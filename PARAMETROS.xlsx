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fe40b80677a590f/Escritorio/MODELO_LOCAL/"/>
    </mc:Choice>
  </mc:AlternateContent>
  <xr:revisionPtr revIDLastSave="389" documentId="13_ncr:1_{99F8BDC3-91A8-4DEF-8B13-A139DB15C5B2}" xr6:coauthVersionLast="47" xr6:coauthVersionMax="47" xr10:uidLastSave="{0C460DEB-B8AD-4C11-A913-15E02896566D}"/>
  <bookViews>
    <workbookView xWindow="-120" yWindow="-120" windowWidth="29040" windowHeight="15720" firstSheet="3" activeTab="5" xr2:uid="{00000000-000D-0000-FFFF-FFFF00000000}"/>
    <workbookView xWindow="28680" yWindow="-120" windowWidth="29040" windowHeight="15720" firstSheet="1" activeTab="1" xr2:uid="{1FB44556-EB17-449A-B10D-B7CE3C900140}"/>
  </bookViews>
  <sheets>
    <sheet name="Servicios" sheetId="1" r:id="rId1"/>
    <sheet name="Trabajadores" sheetId="2" r:id="rId2"/>
    <sheet name="Consultorios" sheetId="3" r:id="rId3"/>
    <sheet name="Presencia_sede" sheetId="4" r:id="rId4"/>
    <sheet name="Habilidad" sheetId="5" r:id="rId5"/>
    <sheet name="FORM" sheetId="31" r:id="rId6"/>
    <sheet name="AD_tis" sheetId="13" r:id="rId7"/>
    <sheet name="DEMANDA" sheetId="33" r:id="rId8"/>
    <sheet name="D_si(2)" sheetId="30" r:id="rId9"/>
    <sheet name="D_si" sheetId="6" r:id="rId10"/>
    <sheet name="K_si" sheetId="7" r:id="rId11"/>
    <sheet name="Costo" sheetId="8" r:id="rId12"/>
    <sheet name="CON_HAB" sheetId="32" r:id="rId13"/>
    <sheet name="TD_tdj1" sheetId="11" r:id="rId14"/>
    <sheet name="TD_tdj2" sheetId="12" r:id="rId15"/>
    <sheet name="TJ_tdj1" sheetId="9" r:id="rId16"/>
    <sheet name="TJ_tdj2" sheetId="10" r:id="rId17"/>
    <sheet name="AD_tis1" sheetId="14" r:id="rId18"/>
    <sheet name="AD_tis2" sheetId="15" r:id="rId19"/>
    <sheet name="AD_tis3" sheetId="16" r:id="rId20"/>
    <sheet name="AD_tis4" sheetId="17" r:id="rId21"/>
    <sheet name="AD_tis5" sheetId="18" r:id="rId22"/>
    <sheet name="C_ics1" sheetId="19" r:id="rId23"/>
    <sheet name="C_ics2" sheetId="20" r:id="rId24"/>
    <sheet name="C_ics3" sheetId="21" r:id="rId25"/>
    <sheet name="C_ics4" sheetId="22" r:id="rId26"/>
    <sheet name="C_ics5" sheetId="23" r:id="rId27"/>
    <sheet name="TA_ti" sheetId="24" r:id="rId28"/>
    <sheet name="TA_tis1" sheetId="25" r:id="rId29"/>
    <sheet name="TA_tis2" sheetId="26" r:id="rId30"/>
    <sheet name="TA_tis3" sheetId="27" r:id="rId31"/>
    <sheet name="TA_tis4" sheetId="28" r:id="rId32"/>
    <sheet name="TA_tis5" sheetId="29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5" l="1"/>
  <c r="F45" i="5"/>
  <c r="G45" i="13"/>
  <c r="B45" i="13"/>
  <c r="S48" i="13" l="1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AY49" i="13"/>
  <c r="AZ49" i="13"/>
  <c r="BA49" i="13"/>
  <c r="BB49" i="13"/>
  <c r="BC49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K4" i="33"/>
  <c r="X3" i="33"/>
  <c r="K3" i="33"/>
  <c r="AN2" i="30" l="1"/>
  <c r="AO2" i="30"/>
  <c r="AP2" i="30"/>
  <c r="AQ2" i="30"/>
  <c r="AR2" i="30"/>
  <c r="AS2" i="30"/>
  <c r="AT2" i="30"/>
  <c r="AU2" i="30"/>
  <c r="AV2" i="30"/>
  <c r="AW2" i="30"/>
  <c r="AX2" i="30"/>
  <c r="AY2" i="30"/>
  <c r="AZ2" i="30"/>
  <c r="BA2" i="30"/>
  <c r="BB2" i="30"/>
  <c r="BC2" i="30"/>
  <c r="AN3" i="30"/>
  <c r="AO3" i="30"/>
  <c r="AP3" i="30"/>
  <c r="AQ3" i="30"/>
  <c r="AR3" i="30"/>
  <c r="AS3" i="30"/>
  <c r="AT3" i="30"/>
  <c r="AU3" i="30"/>
  <c r="AV3" i="30"/>
  <c r="AW3" i="30"/>
  <c r="AX3" i="30"/>
  <c r="AY3" i="30"/>
  <c r="AZ3" i="30"/>
  <c r="BA3" i="30"/>
  <c r="BB3" i="30"/>
  <c r="BC3" i="30"/>
  <c r="AN4" i="30"/>
  <c r="AO4" i="30"/>
  <c r="AP4" i="30"/>
  <c r="AQ4" i="30"/>
  <c r="AR4" i="30"/>
  <c r="AS4" i="30"/>
  <c r="AT4" i="30"/>
  <c r="AU4" i="30"/>
  <c r="AV4" i="30"/>
  <c r="AW4" i="30"/>
  <c r="AX4" i="30"/>
  <c r="AY4" i="30"/>
  <c r="AZ4" i="30"/>
  <c r="BA4" i="30"/>
  <c r="BB4" i="30"/>
  <c r="BC4" i="30"/>
  <c r="AN5" i="30"/>
  <c r="AO5" i="30"/>
  <c r="AP5" i="30"/>
  <c r="AQ5" i="30"/>
  <c r="AR5" i="30"/>
  <c r="AS5" i="30"/>
  <c r="AT5" i="30"/>
  <c r="AU5" i="30"/>
  <c r="AV5" i="30"/>
  <c r="AW5" i="30"/>
  <c r="AX5" i="30"/>
  <c r="AY5" i="30"/>
  <c r="AZ5" i="30"/>
  <c r="BA5" i="30"/>
  <c r="BB5" i="30"/>
  <c r="BC5" i="30"/>
  <c r="AN6" i="30"/>
  <c r="AO6" i="30"/>
  <c r="AP6" i="30"/>
  <c r="AQ6" i="30"/>
  <c r="AR6" i="30"/>
  <c r="AS6" i="30"/>
  <c r="AT6" i="30"/>
  <c r="AU6" i="30"/>
  <c r="AV6" i="30"/>
  <c r="AW6" i="30"/>
  <c r="AX6" i="30"/>
  <c r="AY6" i="30"/>
  <c r="AZ6" i="30"/>
  <c r="BA6" i="30"/>
  <c r="BB6" i="30"/>
  <c r="BC6" i="30"/>
  <c r="C31" i="11" l="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B31" i="11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B31" i="12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2" i="7"/>
  <c r="B3" i="30"/>
  <c r="C3" i="30"/>
  <c r="D3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B4" i="30"/>
  <c r="C4" i="30"/>
  <c r="D4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B5" i="30"/>
  <c r="C5" i="30"/>
  <c r="D5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C2" i="30"/>
  <c r="D2" i="30"/>
  <c r="E2" i="30"/>
  <c r="F2" i="30"/>
  <c r="G2" i="30"/>
  <c r="H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AL2" i="30"/>
  <c r="AM2" i="30"/>
  <c r="B2" i="30"/>
  <c r="AO2" i="6"/>
  <c r="AO2" i="8" s="1"/>
  <c r="AP2" i="6"/>
  <c r="AP2" i="8" s="1"/>
  <c r="AQ2" i="6"/>
  <c r="AQ2" i="8" s="1"/>
  <c r="AR2" i="6"/>
  <c r="AR2" i="8" s="1"/>
  <c r="AS2" i="6"/>
  <c r="AS2" i="8" s="1"/>
  <c r="AT2" i="6"/>
  <c r="AT2" i="8" s="1"/>
  <c r="AU2" i="6"/>
  <c r="AU2" i="8" s="1"/>
  <c r="AV2" i="6"/>
  <c r="AV2" i="8" s="1"/>
  <c r="AN2" i="6"/>
  <c r="AN2" i="8" s="1"/>
  <c r="B3" i="6"/>
  <c r="B3" i="8" s="1"/>
  <c r="C3" i="6"/>
  <c r="C3" i="8" s="1"/>
  <c r="D3" i="6"/>
  <c r="D3" i="8" s="1"/>
  <c r="E3" i="6"/>
  <c r="E3" i="8" s="1"/>
  <c r="F3" i="6"/>
  <c r="F3" i="8" s="1"/>
  <c r="G3" i="6"/>
  <c r="G3" i="8" s="1"/>
  <c r="H3" i="6"/>
  <c r="H3" i="8" s="1"/>
  <c r="I3" i="6"/>
  <c r="I3" i="8" s="1"/>
  <c r="J3" i="6"/>
  <c r="J3" i="8" s="1"/>
  <c r="K3" i="6"/>
  <c r="K3" i="8" s="1"/>
  <c r="L3" i="6"/>
  <c r="L3" i="8" s="1"/>
  <c r="M3" i="6"/>
  <c r="M3" i="8" s="1"/>
  <c r="N3" i="6"/>
  <c r="N3" i="8" s="1"/>
  <c r="O3" i="6"/>
  <c r="O3" i="8" s="1"/>
  <c r="P3" i="6"/>
  <c r="P3" i="8" s="1"/>
  <c r="Q3" i="6"/>
  <c r="Q3" i="8" s="1"/>
  <c r="R3" i="6"/>
  <c r="R3" i="8" s="1"/>
  <c r="S3" i="6"/>
  <c r="S3" i="8" s="1"/>
  <c r="T3" i="6"/>
  <c r="T3" i="8" s="1"/>
  <c r="U3" i="6"/>
  <c r="U3" i="8" s="1"/>
  <c r="V3" i="6"/>
  <c r="V3" i="8" s="1"/>
  <c r="W3" i="6"/>
  <c r="W3" i="8" s="1"/>
  <c r="X3" i="6"/>
  <c r="X3" i="8" s="1"/>
  <c r="Y3" i="6"/>
  <c r="Y3" i="8" s="1"/>
  <c r="Z3" i="6"/>
  <c r="Z3" i="8" s="1"/>
  <c r="AA3" i="6"/>
  <c r="AA3" i="8" s="1"/>
  <c r="AB3" i="6"/>
  <c r="AB3" i="8" s="1"/>
  <c r="AC3" i="6"/>
  <c r="AC3" i="8" s="1"/>
  <c r="AD3" i="6"/>
  <c r="AD3" i="8" s="1"/>
  <c r="AE3" i="6"/>
  <c r="AE3" i="8" s="1"/>
  <c r="AF3" i="6"/>
  <c r="AF3" i="8" s="1"/>
  <c r="AG3" i="6"/>
  <c r="AG3" i="8" s="1"/>
  <c r="AH3" i="6"/>
  <c r="AH3" i="8" s="1"/>
  <c r="AI3" i="6"/>
  <c r="AI3" i="8" s="1"/>
  <c r="AJ3" i="6"/>
  <c r="AJ3" i="8" s="1"/>
  <c r="AK3" i="6"/>
  <c r="AK3" i="8" s="1"/>
  <c r="AL3" i="6"/>
  <c r="AL3" i="8" s="1"/>
  <c r="AM3" i="6"/>
  <c r="AM3" i="8" s="1"/>
  <c r="AN3" i="6"/>
  <c r="AN3" i="8" s="1"/>
  <c r="AO3" i="6"/>
  <c r="AO3" i="8" s="1"/>
  <c r="AP3" i="6"/>
  <c r="AP3" i="8" s="1"/>
  <c r="AQ3" i="6"/>
  <c r="AQ3" i="8" s="1"/>
  <c r="AR3" i="6"/>
  <c r="AR3" i="8" s="1"/>
  <c r="AS3" i="6"/>
  <c r="AS3" i="8" s="1"/>
  <c r="AT3" i="6"/>
  <c r="AT3" i="8" s="1"/>
  <c r="AU3" i="6"/>
  <c r="AU3" i="8" s="1"/>
  <c r="AV3" i="6"/>
  <c r="AV3" i="8" s="1"/>
  <c r="AW3" i="6"/>
  <c r="AW3" i="8" s="1"/>
  <c r="AX3" i="6"/>
  <c r="AX3" i="8" s="1"/>
  <c r="AY3" i="6"/>
  <c r="AY3" i="8" s="1"/>
  <c r="AZ3" i="6"/>
  <c r="AZ3" i="8" s="1"/>
  <c r="BA3" i="6"/>
  <c r="BA3" i="8" s="1"/>
  <c r="BB3" i="6"/>
  <c r="BB3" i="8" s="1"/>
  <c r="BC3" i="6"/>
  <c r="BC3" i="8" s="1"/>
  <c r="B4" i="6"/>
  <c r="B4" i="8" s="1"/>
  <c r="C4" i="6"/>
  <c r="C4" i="8" s="1"/>
  <c r="D4" i="6"/>
  <c r="D4" i="8" s="1"/>
  <c r="E4" i="6"/>
  <c r="E4" i="8" s="1"/>
  <c r="F4" i="6"/>
  <c r="F4" i="8" s="1"/>
  <c r="G4" i="6"/>
  <c r="G4" i="8" s="1"/>
  <c r="H4" i="6"/>
  <c r="H4" i="8" s="1"/>
  <c r="I4" i="6"/>
  <c r="I4" i="8" s="1"/>
  <c r="J4" i="6"/>
  <c r="J4" i="8" s="1"/>
  <c r="K4" i="6"/>
  <c r="K4" i="8" s="1"/>
  <c r="L4" i="6"/>
  <c r="L4" i="8" s="1"/>
  <c r="M4" i="6"/>
  <c r="M4" i="8" s="1"/>
  <c r="N4" i="6"/>
  <c r="N4" i="8" s="1"/>
  <c r="O4" i="6"/>
  <c r="O4" i="8" s="1"/>
  <c r="P4" i="6"/>
  <c r="P4" i="8" s="1"/>
  <c r="Q4" i="6"/>
  <c r="Q4" i="8" s="1"/>
  <c r="R4" i="6"/>
  <c r="R4" i="8" s="1"/>
  <c r="S4" i="6"/>
  <c r="S4" i="8" s="1"/>
  <c r="T4" i="6"/>
  <c r="T4" i="8" s="1"/>
  <c r="U4" i="6"/>
  <c r="U4" i="8" s="1"/>
  <c r="V4" i="6"/>
  <c r="V4" i="8" s="1"/>
  <c r="W4" i="6"/>
  <c r="W4" i="8" s="1"/>
  <c r="X4" i="6"/>
  <c r="X4" i="8" s="1"/>
  <c r="Y4" i="6"/>
  <c r="Y4" i="8" s="1"/>
  <c r="Z4" i="6"/>
  <c r="Z4" i="8" s="1"/>
  <c r="AA4" i="6"/>
  <c r="AA4" i="8" s="1"/>
  <c r="AB4" i="6"/>
  <c r="AB4" i="8" s="1"/>
  <c r="AC4" i="6"/>
  <c r="AC4" i="8" s="1"/>
  <c r="AD4" i="6"/>
  <c r="AD4" i="8" s="1"/>
  <c r="AE4" i="6"/>
  <c r="AE4" i="8" s="1"/>
  <c r="AF4" i="6"/>
  <c r="AF4" i="8" s="1"/>
  <c r="AG4" i="6"/>
  <c r="AG4" i="8" s="1"/>
  <c r="AH4" i="6"/>
  <c r="AH4" i="8" s="1"/>
  <c r="AI4" i="6"/>
  <c r="AI4" i="8" s="1"/>
  <c r="AJ4" i="6"/>
  <c r="AJ4" i="8" s="1"/>
  <c r="AK4" i="6"/>
  <c r="AK4" i="8" s="1"/>
  <c r="AL4" i="6"/>
  <c r="AL4" i="8" s="1"/>
  <c r="AM4" i="6"/>
  <c r="AM4" i="8" s="1"/>
  <c r="AN4" i="6"/>
  <c r="AN4" i="8" s="1"/>
  <c r="AO4" i="6"/>
  <c r="AO4" i="8" s="1"/>
  <c r="AP4" i="6"/>
  <c r="AP4" i="8" s="1"/>
  <c r="AQ4" i="6"/>
  <c r="AQ4" i="8" s="1"/>
  <c r="AR4" i="6"/>
  <c r="AR4" i="8" s="1"/>
  <c r="AS4" i="6"/>
  <c r="AS4" i="8" s="1"/>
  <c r="AT4" i="6"/>
  <c r="AT4" i="8" s="1"/>
  <c r="AU4" i="6"/>
  <c r="AU4" i="8" s="1"/>
  <c r="AV4" i="6"/>
  <c r="AV4" i="8" s="1"/>
  <c r="AW4" i="6"/>
  <c r="AW4" i="8" s="1"/>
  <c r="AX4" i="6"/>
  <c r="AX4" i="8" s="1"/>
  <c r="AY4" i="6"/>
  <c r="AY4" i="8" s="1"/>
  <c r="AZ4" i="6"/>
  <c r="AZ4" i="8" s="1"/>
  <c r="BA4" i="6"/>
  <c r="BA4" i="8" s="1"/>
  <c r="BB4" i="6"/>
  <c r="BB4" i="8" s="1"/>
  <c r="BC4" i="6"/>
  <c r="BC4" i="8" s="1"/>
  <c r="B5" i="6"/>
  <c r="B5" i="8" s="1"/>
  <c r="C5" i="6"/>
  <c r="C5" i="8" s="1"/>
  <c r="D5" i="6"/>
  <c r="D5" i="8" s="1"/>
  <c r="E5" i="6"/>
  <c r="E5" i="8" s="1"/>
  <c r="F5" i="6"/>
  <c r="F5" i="8" s="1"/>
  <c r="G5" i="6"/>
  <c r="G5" i="8" s="1"/>
  <c r="H5" i="6"/>
  <c r="H5" i="8" s="1"/>
  <c r="I5" i="6"/>
  <c r="I5" i="8" s="1"/>
  <c r="J5" i="6"/>
  <c r="J5" i="8" s="1"/>
  <c r="K5" i="6"/>
  <c r="K5" i="8" s="1"/>
  <c r="L5" i="6"/>
  <c r="L5" i="8" s="1"/>
  <c r="M5" i="6"/>
  <c r="M5" i="8" s="1"/>
  <c r="N5" i="6"/>
  <c r="N5" i="8" s="1"/>
  <c r="O5" i="6"/>
  <c r="O5" i="8" s="1"/>
  <c r="P5" i="6"/>
  <c r="P5" i="8" s="1"/>
  <c r="Q5" i="6"/>
  <c r="Q5" i="8" s="1"/>
  <c r="R5" i="6"/>
  <c r="R5" i="8" s="1"/>
  <c r="S5" i="6"/>
  <c r="S5" i="8" s="1"/>
  <c r="T5" i="6"/>
  <c r="T5" i="8" s="1"/>
  <c r="U5" i="6"/>
  <c r="U5" i="8" s="1"/>
  <c r="V5" i="6"/>
  <c r="V5" i="8" s="1"/>
  <c r="W5" i="6"/>
  <c r="W5" i="8" s="1"/>
  <c r="X5" i="6"/>
  <c r="X5" i="8" s="1"/>
  <c r="Y5" i="6"/>
  <c r="Y5" i="8" s="1"/>
  <c r="Z5" i="6"/>
  <c r="Z5" i="8" s="1"/>
  <c r="AA5" i="6"/>
  <c r="AA5" i="8" s="1"/>
  <c r="AB5" i="6"/>
  <c r="AB5" i="8" s="1"/>
  <c r="AC5" i="6"/>
  <c r="AC5" i="8" s="1"/>
  <c r="AD5" i="6"/>
  <c r="AD5" i="8" s="1"/>
  <c r="AE5" i="6"/>
  <c r="AE5" i="8" s="1"/>
  <c r="AF5" i="6"/>
  <c r="AF5" i="8" s="1"/>
  <c r="AG5" i="6"/>
  <c r="AG5" i="8" s="1"/>
  <c r="AH5" i="6"/>
  <c r="AH5" i="8" s="1"/>
  <c r="AI5" i="6"/>
  <c r="AI5" i="8" s="1"/>
  <c r="AJ5" i="6"/>
  <c r="AJ5" i="8" s="1"/>
  <c r="AK5" i="6"/>
  <c r="AK5" i="8" s="1"/>
  <c r="AL5" i="6"/>
  <c r="AL5" i="8" s="1"/>
  <c r="AM5" i="6"/>
  <c r="AM5" i="8" s="1"/>
  <c r="AN5" i="6"/>
  <c r="AN5" i="8" s="1"/>
  <c r="AO5" i="6"/>
  <c r="AO5" i="8" s="1"/>
  <c r="AP5" i="6"/>
  <c r="AP5" i="8" s="1"/>
  <c r="AQ5" i="6"/>
  <c r="AQ5" i="8" s="1"/>
  <c r="AR5" i="6"/>
  <c r="AR5" i="8" s="1"/>
  <c r="AS5" i="6"/>
  <c r="AS5" i="8" s="1"/>
  <c r="AT5" i="6"/>
  <c r="AT5" i="8" s="1"/>
  <c r="AU5" i="6"/>
  <c r="AU5" i="8" s="1"/>
  <c r="AV5" i="6"/>
  <c r="AV5" i="8" s="1"/>
  <c r="AW5" i="6"/>
  <c r="AW5" i="8" s="1"/>
  <c r="AX5" i="6"/>
  <c r="AX5" i="8" s="1"/>
  <c r="AY5" i="6"/>
  <c r="AY5" i="8" s="1"/>
  <c r="AZ5" i="6"/>
  <c r="AZ5" i="8" s="1"/>
  <c r="BA5" i="6"/>
  <c r="BA5" i="8" s="1"/>
  <c r="BB5" i="6"/>
  <c r="BB5" i="8" s="1"/>
  <c r="BC5" i="6"/>
  <c r="BC5" i="8" s="1"/>
  <c r="B6" i="6"/>
  <c r="B6" i="8" s="1"/>
  <c r="C6" i="6"/>
  <c r="C6" i="8" s="1"/>
  <c r="D6" i="6"/>
  <c r="D6" i="8" s="1"/>
  <c r="E6" i="6"/>
  <c r="E6" i="8" s="1"/>
  <c r="F6" i="6"/>
  <c r="F6" i="8" s="1"/>
  <c r="G6" i="6"/>
  <c r="G6" i="8" s="1"/>
  <c r="H6" i="6"/>
  <c r="H6" i="8" s="1"/>
  <c r="I6" i="6"/>
  <c r="I6" i="8" s="1"/>
  <c r="J6" i="6"/>
  <c r="J6" i="8" s="1"/>
  <c r="K6" i="6"/>
  <c r="K6" i="8" s="1"/>
  <c r="L6" i="6"/>
  <c r="L6" i="8" s="1"/>
  <c r="M6" i="6"/>
  <c r="M6" i="8" s="1"/>
  <c r="N6" i="6"/>
  <c r="N6" i="8" s="1"/>
  <c r="O6" i="6"/>
  <c r="O6" i="8" s="1"/>
  <c r="P6" i="6"/>
  <c r="P6" i="8" s="1"/>
  <c r="Q6" i="6"/>
  <c r="Q6" i="8" s="1"/>
  <c r="R6" i="6"/>
  <c r="R6" i="8" s="1"/>
  <c r="S6" i="6"/>
  <c r="S6" i="8" s="1"/>
  <c r="T6" i="6"/>
  <c r="T6" i="8" s="1"/>
  <c r="U6" i="6"/>
  <c r="U6" i="8" s="1"/>
  <c r="V6" i="6"/>
  <c r="V6" i="8" s="1"/>
  <c r="W6" i="6"/>
  <c r="W6" i="8" s="1"/>
  <c r="X6" i="6"/>
  <c r="X6" i="8" s="1"/>
  <c r="Y6" i="6"/>
  <c r="Y6" i="8" s="1"/>
  <c r="Z6" i="6"/>
  <c r="Z6" i="8" s="1"/>
  <c r="AA6" i="6"/>
  <c r="AA6" i="8" s="1"/>
  <c r="AB6" i="6"/>
  <c r="AB6" i="8" s="1"/>
  <c r="AC6" i="6"/>
  <c r="AC6" i="8" s="1"/>
  <c r="AD6" i="6"/>
  <c r="AD6" i="8" s="1"/>
  <c r="AE6" i="6"/>
  <c r="AE6" i="8" s="1"/>
  <c r="AF6" i="6"/>
  <c r="AF6" i="8" s="1"/>
  <c r="AG6" i="6"/>
  <c r="AG6" i="8" s="1"/>
  <c r="AH6" i="6"/>
  <c r="AH6" i="8" s="1"/>
  <c r="AI6" i="6"/>
  <c r="AI6" i="8" s="1"/>
  <c r="AJ6" i="6"/>
  <c r="AJ6" i="8" s="1"/>
  <c r="AK6" i="6"/>
  <c r="AK6" i="8" s="1"/>
  <c r="AL6" i="6"/>
  <c r="AL6" i="8" s="1"/>
  <c r="AM6" i="6"/>
  <c r="AM6" i="8" s="1"/>
  <c r="AN6" i="6"/>
  <c r="AN6" i="8" s="1"/>
  <c r="AO6" i="6"/>
  <c r="AO6" i="8" s="1"/>
  <c r="AP6" i="6"/>
  <c r="AP6" i="8" s="1"/>
  <c r="AQ6" i="6"/>
  <c r="AQ6" i="8" s="1"/>
  <c r="AR6" i="6"/>
  <c r="AR6" i="8" s="1"/>
  <c r="AS6" i="6"/>
  <c r="AS6" i="8" s="1"/>
  <c r="AT6" i="6"/>
  <c r="AT6" i="8" s="1"/>
  <c r="AU6" i="6"/>
  <c r="AU6" i="8" s="1"/>
  <c r="AV6" i="6"/>
  <c r="AV6" i="8" s="1"/>
  <c r="AW6" i="6"/>
  <c r="AW6" i="8" s="1"/>
  <c r="AX6" i="6"/>
  <c r="AX6" i="8" s="1"/>
  <c r="AY6" i="6"/>
  <c r="AY6" i="8" s="1"/>
  <c r="AZ6" i="6"/>
  <c r="AZ6" i="8" s="1"/>
  <c r="BA6" i="6"/>
  <c r="BA6" i="8" s="1"/>
  <c r="BB6" i="6"/>
  <c r="BB6" i="8" s="1"/>
  <c r="BC6" i="6"/>
  <c r="BC6" i="8" s="1"/>
  <c r="C2" i="6"/>
  <c r="C2" i="8" s="1"/>
  <c r="D2" i="6"/>
  <c r="D2" i="8" s="1"/>
  <c r="E2" i="6"/>
  <c r="E2" i="8" s="1"/>
  <c r="F2" i="6"/>
  <c r="F2" i="8" s="1"/>
  <c r="G2" i="6"/>
  <c r="G2" i="8" s="1"/>
  <c r="H2" i="6"/>
  <c r="H2" i="8" s="1"/>
  <c r="I2" i="6"/>
  <c r="I2" i="8" s="1"/>
  <c r="J2" i="6"/>
  <c r="J2" i="8" s="1"/>
  <c r="K2" i="6"/>
  <c r="K2" i="8" s="1"/>
  <c r="L2" i="6"/>
  <c r="L2" i="8" s="1"/>
  <c r="M2" i="6"/>
  <c r="M2" i="8" s="1"/>
  <c r="N2" i="6"/>
  <c r="N2" i="8" s="1"/>
  <c r="O2" i="6"/>
  <c r="O2" i="8" s="1"/>
  <c r="P2" i="6"/>
  <c r="P2" i="8" s="1"/>
  <c r="Q2" i="6"/>
  <c r="Q2" i="8" s="1"/>
  <c r="R2" i="6"/>
  <c r="R2" i="8" s="1"/>
  <c r="S2" i="6"/>
  <c r="S2" i="8" s="1"/>
  <c r="T2" i="6"/>
  <c r="T2" i="8" s="1"/>
  <c r="U2" i="6"/>
  <c r="U2" i="8" s="1"/>
  <c r="V2" i="6"/>
  <c r="V2" i="8" s="1"/>
  <c r="W2" i="6"/>
  <c r="W2" i="8" s="1"/>
  <c r="X2" i="6"/>
  <c r="X2" i="8" s="1"/>
  <c r="Y2" i="6"/>
  <c r="Y2" i="8" s="1"/>
  <c r="Z2" i="6"/>
  <c r="Z2" i="8" s="1"/>
  <c r="AA2" i="6"/>
  <c r="AA2" i="8" s="1"/>
  <c r="AB2" i="6"/>
  <c r="AB2" i="8" s="1"/>
  <c r="AC2" i="6"/>
  <c r="AC2" i="8" s="1"/>
  <c r="AD2" i="6"/>
  <c r="AD2" i="8" s="1"/>
  <c r="AE2" i="6"/>
  <c r="AE2" i="8" s="1"/>
  <c r="AF2" i="6"/>
  <c r="AF2" i="8" s="1"/>
  <c r="AG2" i="6"/>
  <c r="AG2" i="8" s="1"/>
  <c r="AH2" i="6"/>
  <c r="AH2" i="8" s="1"/>
  <c r="AI2" i="6"/>
  <c r="AI2" i="8" s="1"/>
  <c r="AJ2" i="6"/>
  <c r="AJ2" i="8" s="1"/>
  <c r="AK2" i="6"/>
  <c r="AK2" i="8" s="1"/>
  <c r="AL2" i="6"/>
  <c r="AL2" i="8" s="1"/>
  <c r="AM2" i="6"/>
  <c r="AM2" i="8" s="1"/>
  <c r="AW2" i="6"/>
  <c r="AW2" i="8" s="1"/>
  <c r="AX2" i="6"/>
  <c r="AX2" i="8" s="1"/>
  <c r="AY2" i="6"/>
  <c r="AY2" i="8" s="1"/>
  <c r="AZ2" i="6"/>
  <c r="AZ2" i="8" s="1"/>
  <c r="BA2" i="6"/>
  <c r="BA2" i="8" s="1"/>
  <c r="BB2" i="6"/>
  <c r="BB2" i="8" s="1"/>
  <c r="BC2" i="6"/>
  <c r="BC2" i="8" s="1"/>
  <c r="B2" i="6"/>
  <c r="B2" i="8" s="1"/>
  <c r="E32" i="5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AX10" i="21"/>
  <c r="AY10" i="21"/>
  <c r="AZ10" i="21"/>
  <c r="BA10" i="21"/>
  <c r="BB10" i="21"/>
  <c r="BC10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AX11" i="21"/>
  <c r="AY11" i="21"/>
  <c r="AZ11" i="21"/>
  <c r="BA11" i="21"/>
  <c r="BB11" i="21"/>
  <c r="BC11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V12" i="21"/>
  <c r="AW12" i="21"/>
  <c r="AX12" i="21"/>
  <c r="AY12" i="21"/>
  <c r="AZ12" i="21"/>
  <c r="BA12" i="21"/>
  <c r="BB12" i="21"/>
  <c r="BC12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V13" i="21"/>
  <c r="AW13" i="21"/>
  <c r="AX13" i="21"/>
  <c r="AY13" i="21"/>
  <c r="AZ13" i="21"/>
  <c r="BA13" i="21"/>
  <c r="BB13" i="21"/>
  <c r="BC13" i="21"/>
  <c r="X8" i="32"/>
  <c r="W8" i="32"/>
  <c r="V8" i="32"/>
  <c r="U8" i="32"/>
  <c r="T8" i="32"/>
  <c r="S8" i="32"/>
  <c r="X4" i="32"/>
  <c r="X9" i="32" s="1"/>
  <c r="U4" i="32"/>
  <c r="U9" i="32" s="1"/>
  <c r="X3" i="32"/>
  <c r="W3" i="32"/>
  <c r="W4" i="32" s="1"/>
  <c r="W9" i="32" s="1"/>
  <c r="V3" i="32"/>
  <c r="V4" i="32" s="1"/>
  <c r="V9" i="32" s="1"/>
  <c r="U3" i="32"/>
  <c r="T3" i="32"/>
  <c r="T4" i="32" s="1"/>
  <c r="T9" i="32" s="1"/>
  <c r="S3" i="32"/>
  <c r="S4" i="32" s="1"/>
  <c r="S9" i="32" s="1"/>
  <c r="O9" i="32"/>
  <c r="N9" i="32"/>
  <c r="L9" i="32"/>
  <c r="D9" i="32"/>
  <c r="B9" i="32"/>
  <c r="O8" i="32"/>
  <c r="N8" i="32"/>
  <c r="M8" i="32"/>
  <c r="L8" i="32"/>
  <c r="J8" i="32"/>
  <c r="I8" i="32"/>
  <c r="H8" i="32"/>
  <c r="G8" i="32"/>
  <c r="F8" i="32"/>
  <c r="E8" i="32"/>
  <c r="D8" i="32"/>
  <c r="C8" i="32"/>
  <c r="B8" i="32"/>
  <c r="M4" i="32"/>
  <c r="M9" i="32" s="1"/>
  <c r="L4" i="32"/>
  <c r="H4" i="32"/>
  <c r="H9" i="32" s="1"/>
  <c r="G4" i="32"/>
  <c r="G9" i="32" s="1"/>
  <c r="F4" i="32"/>
  <c r="F9" i="32" s="1"/>
  <c r="E4" i="32"/>
  <c r="E9" i="32" s="1"/>
  <c r="D4" i="32"/>
  <c r="O3" i="32"/>
  <c r="N3" i="32"/>
  <c r="M3" i="32"/>
  <c r="L3" i="32"/>
  <c r="K3" i="32"/>
  <c r="K4" i="32" s="1"/>
  <c r="K9" i="32" s="1"/>
  <c r="J3" i="32"/>
  <c r="J4" i="32" s="1"/>
  <c r="J9" i="32" s="1"/>
  <c r="I3" i="32"/>
  <c r="I4" i="32" s="1"/>
  <c r="I9" i="32" s="1"/>
  <c r="H3" i="32"/>
  <c r="G3" i="32"/>
  <c r="F3" i="32"/>
  <c r="E3" i="32"/>
  <c r="D3" i="32"/>
  <c r="C3" i="32"/>
  <c r="C4" i="32" s="1"/>
  <c r="C9" i="32" s="1"/>
  <c r="B3" i="32"/>
  <c r="B31" i="10" l="1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B3" i="11"/>
  <c r="B3" i="9" s="1"/>
  <c r="C3" i="11"/>
  <c r="C3" i="9" s="1"/>
  <c r="D3" i="11"/>
  <c r="D3" i="9" s="1"/>
  <c r="E3" i="11"/>
  <c r="E3" i="9" s="1"/>
  <c r="F3" i="11"/>
  <c r="F3" i="9" s="1"/>
  <c r="G3" i="11"/>
  <c r="G3" i="9" s="1"/>
  <c r="H3" i="11"/>
  <c r="H3" i="9" s="1"/>
  <c r="I3" i="11"/>
  <c r="I3" i="9" s="1"/>
  <c r="J3" i="11"/>
  <c r="J3" i="9" s="1"/>
  <c r="K3" i="11"/>
  <c r="K3" i="9" s="1"/>
  <c r="L3" i="11"/>
  <c r="L3" i="9" s="1"/>
  <c r="M3" i="11"/>
  <c r="M3" i="9" s="1"/>
  <c r="N3" i="11"/>
  <c r="N3" i="9" s="1"/>
  <c r="O3" i="11"/>
  <c r="O3" i="9" s="1"/>
  <c r="P3" i="11"/>
  <c r="P3" i="9" s="1"/>
  <c r="Q3" i="11"/>
  <c r="Q3" i="9" s="1"/>
  <c r="R3" i="11"/>
  <c r="R3" i="9" s="1"/>
  <c r="S3" i="11"/>
  <c r="S3" i="9" s="1"/>
  <c r="T3" i="11"/>
  <c r="T3" i="9" s="1"/>
  <c r="U3" i="11"/>
  <c r="U3" i="9" s="1"/>
  <c r="V3" i="11"/>
  <c r="V3" i="9" s="1"/>
  <c r="W3" i="11"/>
  <c r="W3" i="9" s="1"/>
  <c r="X3" i="11"/>
  <c r="X3" i="9" s="1"/>
  <c r="Y3" i="11"/>
  <c r="Y3" i="9" s="1"/>
  <c r="Z3" i="11"/>
  <c r="Z3" i="9" s="1"/>
  <c r="AA3" i="11"/>
  <c r="AA3" i="9" s="1"/>
  <c r="AB3" i="11"/>
  <c r="AB3" i="9" s="1"/>
  <c r="AC3" i="11"/>
  <c r="AC3" i="9" s="1"/>
  <c r="AD3" i="11"/>
  <c r="AD3" i="9" s="1"/>
  <c r="AE3" i="11"/>
  <c r="AE3" i="9" s="1"/>
  <c r="AF3" i="11"/>
  <c r="AF3" i="9" s="1"/>
  <c r="B4" i="11"/>
  <c r="B4" i="9" s="1"/>
  <c r="C4" i="11"/>
  <c r="C4" i="9" s="1"/>
  <c r="D4" i="11"/>
  <c r="D4" i="9" s="1"/>
  <c r="E4" i="11"/>
  <c r="E4" i="9" s="1"/>
  <c r="F4" i="11"/>
  <c r="F4" i="9" s="1"/>
  <c r="G4" i="11"/>
  <c r="G4" i="9" s="1"/>
  <c r="H4" i="11"/>
  <c r="H4" i="9" s="1"/>
  <c r="I4" i="11"/>
  <c r="I4" i="9" s="1"/>
  <c r="J4" i="11"/>
  <c r="J4" i="9" s="1"/>
  <c r="K4" i="11"/>
  <c r="K4" i="9" s="1"/>
  <c r="L4" i="11"/>
  <c r="L4" i="9" s="1"/>
  <c r="M4" i="11"/>
  <c r="M4" i="9" s="1"/>
  <c r="N4" i="11"/>
  <c r="N4" i="9" s="1"/>
  <c r="O4" i="11"/>
  <c r="O4" i="9" s="1"/>
  <c r="P4" i="11"/>
  <c r="P4" i="9" s="1"/>
  <c r="Q4" i="11"/>
  <c r="Q4" i="9" s="1"/>
  <c r="R4" i="11"/>
  <c r="R4" i="9" s="1"/>
  <c r="S4" i="11"/>
  <c r="S4" i="9" s="1"/>
  <c r="T4" i="11"/>
  <c r="T4" i="9" s="1"/>
  <c r="U4" i="11"/>
  <c r="U4" i="9" s="1"/>
  <c r="V4" i="11"/>
  <c r="V4" i="9" s="1"/>
  <c r="W4" i="11"/>
  <c r="W4" i="9" s="1"/>
  <c r="X4" i="11"/>
  <c r="X4" i="9" s="1"/>
  <c r="Y4" i="11"/>
  <c r="Y4" i="9" s="1"/>
  <c r="Z4" i="11"/>
  <c r="Z4" i="9" s="1"/>
  <c r="AA4" i="11"/>
  <c r="AA4" i="9" s="1"/>
  <c r="AB4" i="11"/>
  <c r="AB4" i="9" s="1"/>
  <c r="AC4" i="11"/>
  <c r="AC4" i="9" s="1"/>
  <c r="AD4" i="11"/>
  <c r="AD4" i="9" s="1"/>
  <c r="AE4" i="11"/>
  <c r="AE4" i="9" s="1"/>
  <c r="AF4" i="11"/>
  <c r="AF4" i="9" s="1"/>
  <c r="B5" i="11"/>
  <c r="B5" i="9" s="1"/>
  <c r="C5" i="11"/>
  <c r="C5" i="9" s="1"/>
  <c r="D5" i="11"/>
  <c r="D5" i="9" s="1"/>
  <c r="E5" i="11"/>
  <c r="E5" i="9" s="1"/>
  <c r="F5" i="11"/>
  <c r="F5" i="9" s="1"/>
  <c r="G5" i="11"/>
  <c r="G5" i="9" s="1"/>
  <c r="H5" i="11"/>
  <c r="H5" i="9" s="1"/>
  <c r="I5" i="11"/>
  <c r="I5" i="9" s="1"/>
  <c r="J5" i="11"/>
  <c r="J5" i="9" s="1"/>
  <c r="K5" i="11"/>
  <c r="K5" i="9" s="1"/>
  <c r="L5" i="11"/>
  <c r="L5" i="9" s="1"/>
  <c r="M5" i="11"/>
  <c r="M5" i="9" s="1"/>
  <c r="N5" i="11"/>
  <c r="N5" i="9" s="1"/>
  <c r="O5" i="11"/>
  <c r="O5" i="9" s="1"/>
  <c r="P5" i="11"/>
  <c r="P5" i="9" s="1"/>
  <c r="Q5" i="11"/>
  <c r="Q5" i="9" s="1"/>
  <c r="R5" i="11"/>
  <c r="R5" i="9" s="1"/>
  <c r="S5" i="11"/>
  <c r="S5" i="9" s="1"/>
  <c r="T5" i="11"/>
  <c r="T5" i="9" s="1"/>
  <c r="U5" i="11"/>
  <c r="U5" i="9" s="1"/>
  <c r="V5" i="11"/>
  <c r="V5" i="9" s="1"/>
  <c r="W5" i="11"/>
  <c r="W5" i="9" s="1"/>
  <c r="X5" i="11"/>
  <c r="X5" i="9" s="1"/>
  <c r="Y5" i="11"/>
  <c r="Y5" i="9" s="1"/>
  <c r="Z5" i="11"/>
  <c r="Z5" i="9" s="1"/>
  <c r="AA5" i="11"/>
  <c r="AA5" i="9" s="1"/>
  <c r="AB5" i="11"/>
  <c r="AB5" i="9" s="1"/>
  <c r="AC5" i="11"/>
  <c r="AC5" i="9" s="1"/>
  <c r="AD5" i="11"/>
  <c r="AD5" i="9" s="1"/>
  <c r="AE5" i="11"/>
  <c r="AE5" i="9" s="1"/>
  <c r="AF5" i="11"/>
  <c r="AF5" i="9" s="1"/>
  <c r="B6" i="11"/>
  <c r="B6" i="9" s="1"/>
  <c r="C6" i="11"/>
  <c r="C6" i="9" s="1"/>
  <c r="D6" i="11"/>
  <c r="D6" i="9" s="1"/>
  <c r="E6" i="11"/>
  <c r="E6" i="9" s="1"/>
  <c r="F6" i="11"/>
  <c r="F6" i="9" s="1"/>
  <c r="G6" i="11"/>
  <c r="G6" i="9" s="1"/>
  <c r="H6" i="11"/>
  <c r="H6" i="9" s="1"/>
  <c r="I6" i="11"/>
  <c r="I6" i="9" s="1"/>
  <c r="J6" i="11"/>
  <c r="J6" i="9" s="1"/>
  <c r="K6" i="11"/>
  <c r="K6" i="9" s="1"/>
  <c r="L6" i="11"/>
  <c r="L6" i="9" s="1"/>
  <c r="M6" i="11"/>
  <c r="M6" i="9" s="1"/>
  <c r="N6" i="11"/>
  <c r="N6" i="9" s="1"/>
  <c r="O6" i="11"/>
  <c r="O6" i="9" s="1"/>
  <c r="P6" i="11"/>
  <c r="P6" i="9" s="1"/>
  <c r="Q6" i="11"/>
  <c r="Q6" i="9" s="1"/>
  <c r="R6" i="11"/>
  <c r="R6" i="9" s="1"/>
  <c r="S6" i="11"/>
  <c r="S6" i="9" s="1"/>
  <c r="T6" i="11"/>
  <c r="T6" i="9" s="1"/>
  <c r="U6" i="11"/>
  <c r="U6" i="9" s="1"/>
  <c r="V6" i="11"/>
  <c r="V6" i="9" s="1"/>
  <c r="W6" i="11"/>
  <c r="W6" i="9" s="1"/>
  <c r="X6" i="11"/>
  <c r="X6" i="9" s="1"/>
  <c r="Y6" i="11"/>
  <c r="Y6" i="9" s="1"/>
  <c r="Z6" i="11"/>
  <c r="Z6" i="9" s="1"/>
  <c r="AA6" i="11"/>
  <c r="AA6" i="9" s="1"/>
  <c r="AB6" i="11"/>
  <c r="AB6" i="9" s="1"/>
  <c r="AC6" i="11"/>
  <c r="AC6" i="9" s="1"/>
  <c r="AD6" i="11"/>
  <c r="AD6" i="9" s="1"/>
  <c r="AE6" i="11"/>
  <c r="AE6" i="9" s="1"/>
  <c r="AF6" i="11"/>
  <c r="AF6" i="9" s="1"/>
  <c r="B7" i="11"/>
  <c r="B7" i="9" s="1"/>
  <c r="C7" i="11"/>
  <c r="C7" i="9" s="1"/>
  <c r="D7" i="11"/>
  <c r="D7" i="9" s="1"/>
  <c r="E7" i="11"/>
  <c r="E7" i="9" s="1"/>
  <c r="F7" i="11"/>
  <c r="F7" i="9" s="1"/>
  <c r="G7" i="11"/>
  <c r="G7" i="9" s="1"/>
  <c r="H7" i="11"/>
  <c r="H7" i="9" s="1"/>
  <c r="I7" i="11"/>
  <c r="I7" i="9" s="1"/>
  <c r="J7" i="11"/>
  <c r="J7" i="9" s="1"/>
  <c r="K7" i="11"/>
  <c r="K7" i="9" s="1"/>
  <c r="L7" i="11"/>
  <c r="L7" i="9" s="1"/>
  <c r="M7" i="11"/>
  <c r="M7" i="9" s="1"/>
  <c r="N7" i="11"/>
  <c r="N7" i="9" s="1"/>
  <c r="O7" i="11"/>
  <c r="O7" i="9" s="1"/>
  <c r="P7" i="11"/>
  <c r="P7" i="9" s="1"/>
  <c r="Q7" i="11"/>
  <c r="Q7" i="9" s="1"/>
  <c r="R7" i="11"/>
  <c r="R7" i="9" s="1"/>
  <c r="S7" i="11"/>
  <c r="S7" i="9" s="1"/>
  <c r="T7" i="11"/>
  <c r="T7" i="9" s="1"/>
  <c r="U7" i="11"/>
  <c r="U7" i="9" s="1"/>
  <c r="V7" i="11"/>
  <c r="V7" i="9" s="1"/>
  <c r="W7" i="11"/>
  <c r="W7" i="9" s="1"/>
  <c r="X7" i="11"/>
  <c r="X7" i="9" s="1"/>
  <c r="Y7" i="11"/>
  <c r="Y7" i="9" s="1"/>
  <c r="Z7" i="11"/>
  <c r="Z7" i="9" s="1"/>
  <c r="AA7" i="11"/>
  <c r="AA7" i="9" s="1"/>
  <c r="AB7" i="11"/>
  <c r="AB7" i="9" s="1"/>
  <c r="AC7" i="11"/>
  <c r="AC7" i="9" s="1"/>
  <c r="AD7" i="11"/>
  <c r="AD7" i="9" s="1"/>
  <c r="AE7" i="11"/>
  <c r="AE7" i="9" s="1"/>
  <c r="AF7" i="11"/>
  <c r="AF7" i="9" s="1"/>
  <c r="B8" i="11"/>
  <c r="B8" i="9" s="1"/>
  <c r="C8" i="11"/>
  <c r="C8" i="9" s="1"/>
  <c r="D8" i="11"/>
  <c r="D8" i="9" s="1"/>
  <c r="E8" i="11"/>
  <c r="E8" i="9" s="1"/>
  <c r="F8" i="11"/>
  <c r="F8" i="9" s="1"/>
  <c r="G8" i="11"/>
  <c r="G8" i="9" s="1"/>
  <c r="H8" i="11"/>
  <c r="H8" i="9" s="1"/>
  <c r="I8" i="11"/>
  <c r="I8" i="9" s="1"/>
  <c r="J8" i="11"/>
  <c r="J8" i="9" s="1"/>
  <c r="K8" i="11"/>
  <c r="K8" i="9" s="1"/>
  <c r="L8" i="11"/>
  <c r="L8" i="9" s="1"/>
  <c r="M8" i="11"/>
  <c r="M8" i="9" s="1"/>
  <c r="N8" i="11"/>
  <c r="N8" i="9" s="1"/>
  <c r="O8" i="11"/>
  <c r="O8" i="9" s="1"/>
  <c r="P8" i="11"/>
  <c r="P8" i="9" s="1"/>
  <c r="Q8" i="11"/>
  <c r="Q8" i="9" s="1"/>
  <c r="R8" i="11"/>
  <c r="R8" i="9" s="1"/>
  <c r="S8" i="11"/>
  <c r="S8" i="9" s="1"/>
  <c r="T8" i="11"/>
  <c r="T8" i="9" s="1"/>
  <c r="U8" i="11"/>
  <c r="U8" i="9" s="1"/>
  <c r="V8" i="11"/>
  <c r="V8" i="9" s="1"/>
  <c r="W8" i="11"/>
  <c r="W8" i="9" s="1"/>
  <c r="X8" i="11"/>
  <c r="X8" i="9" s="1"/>
  <c r="Y8" i="11"/>
  <c r="Y8" i="9" s="1"/>
  <c r="Z8" i="11"/>
  <c r="Z8" i="9" s="1"/>
  <c r="AA8" i="11"/>
  <c r="AA8" i="9" s="1"/>
  <c r="AB8" i="11"/>
  <c r="AB8" i="9" s="1"/>
  <c r="AC8" i="11"/>
  <c r="AC8" i="9" s="1"/>
  <c r="AD8" i="11"/>
  <c r="AD8" i="9" s="1"/>
  <c r="AE8" i="11"/>
  <c r="AE8" i="9" s="1"/>
  <c r="AF8" i="11"/>
  <c r="AF8" i="9" s="1"/>
  <c r="B9" i="11"/>
  <c r="B9" i="9" s="1"/>
  <c r="C9" i="11"/>
  <c r="C9" i="9" s="1"/>
  <c r="D9" i="11"/>
  <c r="D9" i="9" s="1"/>
  <c r="E9" i="11"/>
  <c r="E9" i="9" s="1"/>
  <c r="F9" i="11"/>
  <c r="F9" i="9" s="1"/>
  <c r="G9" i="11"/>
  <c r="G9" i="9" s="1"/>
  <c r="H9" i="11"/>
  <c r="H9" i="9" s="1"/>
  <c r="I9" i="11"/>
  <c r="I9" i="9" s="1"/>
  <c r="J9" i="11"/>
  <c r="J9" i="9" s="1"/>
  <c r="K9" i="11"/>
  <c r="K9" i="9" s="1"/>
  <c r="L9" i="11"/>
  <c r="L9" i="9" s="1"/>
  <c r="M9" i="11"/>
  <c r="M9" i="9" s="1"/>
  <c r="N9" i="11"/>
  <c r="N9" i="9" s="1"/>
  <c r="O9" i="11"/>
  <c r="O9" i="9" s="1"/>
  <c r="P9" i="11"/>
  <c r="P9" i="9" s="1"/>
  <c r="Q9" i="11"/>
  <c r="Q9" i="9" s="1"/>
  <c r="R9" i="11"/>
  <c r="R9" i="9" s="1"/>
  <c r="S9" i="11"/>
  <c r="S9" i="9" s="1"/>
  <c r="T9" i="11"/>
  <c r="T9" i="9" s="1"/>
  <c r="U9" i="11"/>
  <c r="U9" i="9" s="1"/>
  <c r="V9" i="11"/>
  <c r="V9" i="9" s="1"/>
  <c r="W9" i="11"/>
  <c r="W9" i="9" s="1"/>
  <c r="X9" i="11"/>
  <c r="X9" i="9" s="1"/>
  <c r="Y9" i="11"/>
  <c r="Y9" i="9" s="1"/>
  <c r="Z9" i="11"/>
  <c r="Z9" i="9" s="1"/>
  <c r="AA9" i="11"/>
  <c r="AA9" i="9" s="1"/>
  <c r="AB9" i="11"/>
  <c r="AB9" i="9" s="1"/>
  <c r="AC9" i="11"/>
  <c r="AC9" i="9" s="1"/>
  <c r="AD9" i="11"/>
  <c r="AD9" i="9" s="1"/>
  <c r="AE9" i="11"/>
  <c r="AE9" i="9" s="1"/>
  <c r="AF9" i="11"/>
  <c r="AF9" i="9" s="1"/>
  <c r="B10" i="11"/>
  <c r="B10" i="9" s="1"/>
  <c r="C10" i="11"/>
  <c r="C10" i="9" s="1"/>
  <c r="D10" i="11"/>
  <c r="D10" i="9" s="1"/>
  <c r="E10" i="11"/>
  <c r="E10" i="9" s="1"/>
  <c r="F10" i="11"/>
  <c r="F10" i="9" s="1"/>
  <c r="G10" i="11"/>
  <c r="G10" i="9" s="1"/>
  <c r="H10" i="11"/>
  <c r="H10" i="9" s="1"/>
  <c r="I10" i="11"/>
  <c r="I10" i="9" s="1"/>
  <c r="J10" i="11"/>
  <c r="J10" i="9" s="1"/>
  <c r="K10" i="11"/>
  <c r="K10" i="9" s="1"/>
  <c r="L10" i="11"/>
  <c r="L10" i="9" s="1"/>
  <c r="M10" i="11"/>
  <c r="M10" i="9" s="1"/>
  <c r="N10" i="11"/>
  <c r="N10" i="9" s="1"/>
  <c r="O10" i="11"/>
  <c r="O10" i="9" s="1"/>
  <c r="P10" i="11"/>
  <c r="P10" i="9" s="1"/>
  <c r="Q10" i="11"/>
  <c r="Q10" i="9" s="1"/>
  <c r="R10" i="11"/>
  <c r="R10" i="9" s="1"/>
  <c r="S10" i="11"/>
  <c r="S10" i="9" s="1"/>
  <c r="T10" i="11"/>
  <c r="T10" i="9" s="1"/>
  <c r="U10" i="11"/>
  <c r="U10" i="9" s="1"/>
  <c r="V10" i="11"/>
  <c r="V10" i="9" s="1"/>
  <c r="W10" i="11"/>
  <c r="W10" i="9" s="1"/>
  <c r="X10" i="11"/>
  <c r="X10" i="9" s="1"/>
  <c r="Y10" i="11"/>
  <c r="Y10" i="9" s="1"/>
  <c r="Z10" i="11"/>
  <c r="Z10" i="9" s="1"/>
  <c r="AA10" i="11"/>
  <c r="AA10" i="9" s="1"/>
  <c r="AB10" i="11"/>
  <c r="AB10" i="9" s="1"/>
  <c r="AC10" i="11"/>
  <c r="AC10" i="9" s="1"/>
  <c r="AD10" i="11"/>
  <c r="AD10" i="9" s="1"/>
  <c r="AE10" i="11"/>
  <c r="AE10" i="9" s="1"/>
  <c r="AF10" i="11"/>
  <c r="AF10" i="9" s="1"/>
  <c r="B11" i="11"/>
  <c r="B11" i="9" s="1"/>
  <c r="C11" i="11"/>
  <c r="C11" i="9" s="1"/>
  <c r="D11" i="11"/>
  <c r="D11" i="9" s="1"/>
  <c r="E11" i="11"/>
  <c r="E11" i="9" s="1"/>
  <c r="F11" i="11"/>
  <c r="F11" i="9" s="1"/>
  <c r="G11" i="11"/>
  <c r="G11" i="9" s="1"/>
  <c r="H11" i="11"/>
  <c r="H11" i="9" s="1"/>
  <c r="I11" i="11"/>
  <c r="I11" i="9" s="1"/>
  <c r="J11" i="11"/>
  <c r="J11" i="9" s="1"/>
  <c r="K11" i="11"/>
  <c r="K11" i="9" s="1"/>
  <c r="L11" i="11"/>
  <c r="L11" i="9" s="1"/>
  <c r="M11" i="11"/>
  <c r="M11" i="9" s="1"/>
  <c r="N11" i="11"/>
  <c r="N11" i="9" s="1"/>
  <c r="O11" i="11"/>
  <c r="O11" i="9" s="1"/>
  <c r="P11" i="11"/>
  <c r="P11" i="9" s="1"/>
  <c r="Q11" i="11"/>
  <c r="Q11" i="9" s="1"/>
  <c r="R11" i="11"/>
  <c r="R11" i="9" s="1"/>
  <c r="S11" i="11"/>
  <c r="S11" i="9" s="1"/>
  <c r="T11" i="11"/>
  <c r="T11" i="9" s="1"/>
  <c r="U11" i="11"/>
  <c r="U11" i="9" s="1"/>
  <c r="V11" i="11"/>
  <c r="V11" i="9" s="1"/>
  <c r="W11" i="11"/>
  <c r="W11" i="9" s="1"/>
  <c r="X11" i="11"/>
  <c r="X11" i="9" s="1"/>
  <c r="Y11" i="11"/>
  <c r="Y11" i="9" s="1"/>
  <c r="Z11" i="11"/>
  <c r="Z11" i="9" s="1"/>
  <c r="AA11" i="11"/>
  <c r="AA11" i="9" s="1"/>
  <c r="AB11" i="11"/>
  <c r="AB11" i="9" s="1"/>
  <c r="AC11" i="11"/>
  <c r="AC11" i="9" s="1"/>
  <c r="AD11" i="11"/>
  <c r="AD11" i="9" s="1"/>
  <c r="AE11" i="11"/>
  <c r="AE11" i="9" s="1"/>
  <c r="AF11" i="11"/>
  <c r="AF11" i="9" s="1"/>
  <c r="B12" i="11"/>
  <c r="B12" i="9" s="1"/>
  <c r="C12" i="11"/>
  <c r="C12" i="9" s="1"/>
  <c r="D12" i="11"/>
  <c r="D12" i="9" s="1"/>
  <c r="E12" i="11"/>
  <c r="E12" i="9" s="1"/>
  <c r="F12" i="11"/>
  <c r="F12" i="9" s="1"/>
  <c r="G12" i="11"/>
  <c r="G12" i="9" s="1"/>
  <c r="H12" i="11"/>
  <c r="H12" i="9" s="1"/>
  <c r="I12" i="11"/>
  <c r="I12" i="9" s="1"/>
  <c r="J12" i="11"/>
  <c r="J12" i="9" s="1"/>
  <c r="K12" i="11"/>
  <c r="K12" i="9" s="1"/>
  <c r="L12" i="11"/>
  <c r="L12" i="9" s="1"/>
  <c r="M12" i="11"/>
  <c r="M12" i="9" s="1"/>
  <c r="N12" i="11"/>
  <c r="N12" i="9" s="1"/>
  <c r="O12" i="11"/>
  <c r="O12" i="9" s="1"/>
  <c r="P12" i="11"/>
  <c r="P12" i="9" s="1"/>
  <c r="Q12" i="11"/>
  <c r="Q12" i="9" s="1"/>
  <c r="R12" i="11"/>
  <c r="R12" i="9" s="1"/>
  <c r="S12" i="11"/>
  <c r="S12" i="9" s="1"/>
  <c r="T12" i="11"/>
  <c r="T12" i="9" s="1"/>
  <c r="U12" i="11"/>
  <c r="U12" i="9" s="1"/>
  <c r="V12" i="11"/>
  <c r="V12" i="9" s="1"/>
  <c r="W12" i="11"/>
  <c r="W12" i="9" s="1"/>
  <c r="X12" i="11"/>
  <c r="X12" i="9" s="1"/>
  <c r="Y12" i="11"/>
  <c r="Y12" i="9" s="1"/>
  <c r="Z12" i="11"/>
  <c r="Z12" i="9" s="1"/>
  <c r="AA12" i="11"/>
  <c r="AA12" i="9" s="1"/>
  <c r="AB12" i="11"/>
  <c r="AB12" i="9" s="1"/>
  <c r="AC12" i="11"/>
  <c r="AC12" i="9" s="1"/>
  <c r="AD12" i="11"/>
  <c r="AD12" i="9" s="1"/>
  <c r="AE12" i="11"/>
  <c r="AE12" i="9" s="1"/>
  <c r="AF12" i="11"/>
  <c r="AF12" i="9" s="1"/>
  <c r="B13" i="11"/>
  <c r="B13" i="9" s="1"/>
  <c r="C13" i="11"/>
  <c r="C13" i="9" s="1"/>
  <c r="D13" i="11"/>
  <c r="D13" i="9" s="1"/>
  <c r="E13" i="11"/>
  <c r="E13" i="9" s="1"/>
  <c r="F13" i="11"/>
  <c r="F13" i="9" s="1"/>
  <c r="G13" i="11"/>
  <c r="G13" i="9" s="1"/>
  <c r="H13" i="11"/>
  <c r="H13" i="9" s="1"/>
  <c r="I13" i="11"/>
  <c r="I13" i="9" s="1"/>
  <c r="J13" i="11"/>
  <c r="J13" i="9" s="1"/>
  <c r="K13" i="11"/>
  <c r="K13" i="9" s="1"/>
  <c r="L13" i="11"/>
  <c r="L13" i="9" s="1"/>
  <c r="M13" i="11"/>
  <c r="M13" i="9" s="1"/>
  <c r="N13" i="11"/>
  <c r="N13" i="9" s="1"/>
  <c r="O13" i="11"/>
  <c r="O13" i="9" s="1"/>
  <c r="P13" i="11"/>
  <c r="P13" i="9" s="1"/>
  <c r="Q13" i="11"/>
  <c r="Q13" i="9" s="1"/>
  <c r="R13" i="11"/>
  <c r="R13" i="9" s="1"/>
  <c r="S13" i="11"/>
  <c r="S13" i="9" s="1"/>
  <c r="T13" i="11"/>
  <c r="T13" i="9" s="1"/>
  <c r="U13" i="11"/>
  <c r="U13" i="9" s="1"/>
  <c r="V13" i="11"/>
  <c r="V13" i="9" s="1"/>
  <c r="W13" i="11"/>
  <c r="W13" i="9" s="1"/>
  <c r="X13" i="11"/>
  <c r="X13" i="9" s="1"/>
  <c r="Y13" i="11"/>
  <c r="Y13" i="9" s="1"/>
  <c r="Z13" i="11"/>
  <c r="Z13" i="9" s="1"/>
  <c r="AA13" i="11"/>
  <c r="AA13" i="9" s="1"/>
  <c r="AB13" i="11"/>
  <c r="AB13" i="9" s="1"/>
  <c r="AC13" i="11"/>
  <c r="AC13" i="9" s="1"/>
  <c r="AD13" i="11"/>
  <c r="AD13" i="9" s="1"/>
  <c r="AE13" i="11"/>
  <c r="AE13" i="9" s="1"/>
  <c r="AF13" i="11"/>
  <c r="AF13" i="9" s="1"/>
  <c r="B14" i="11"/>
  <c r="B14" i="9" s="1"/>
  <c r="C14" i="11"/>
  <c r="C14" i="9" s="1"/>
  <c r="D14" i="11"/>
  <c r="D14" i="9" s="1"/>
  <c r="E14" i="11"/>
  <c r="E14" i="9" s="1"/>
  <c r="F14" i="11"/>
  <c r="F14" i="9" s="1"/>
  <c r="G14" i="11"/>
  <c r="G14" i="9" s="1"/>
  <c r="H14" i="11"/>
  <c r="H14" i="9" s="1"/>
  <c r="I14" i="11"/>
  <c r="I14" i="9" s="1"/>
  <c r="J14" i="11"/>
  <c r="J14" i="9" s="1"/>
  <c r="K14" i="11"/>
  <c r="K14" i="9" s="1"/>
  <c r="L14" i="11"/>
  <c r="L14" i="9" s="1"/>
  <c r="M14" i="11"/>
  <c r="M14" i="9" s="1"/>
  <c r="N14" i="11"/>
  <c r="N14" i="9" s="1"/>
  <c r="O14" i="11"/>
  <c r="O14" i="9" s="1"/>
  <c r="P14" i="11"/>
  <c r="P14" i="9" s="1"/>
  <c r="Q14" i="11"/>
  <c r="Q14" i="9" s="1"/>
  <c r="R14" i="11"/>
  <c r="R14" i="9" s="1"/>
  <c r="S14" i="11"/>
  <c r="S14" i="9" s="1"/>
  <c r="T14" i="11"/>
  <c r="T14" i="9" s="1"/>
  <c r="U14" i="11"/>
  <c r="U14" i="9" s="1"/>
  <c r="V14" i="11"/>
  <c r="V14" i="9" s="1"/>
  <c r="W14" i="11"/>
  <c r="W14" i="9" s="1"/>
  <c r="X14" i="11"/>
  <c r="X14" i="9" s="1"/>
  <c r="Y14" i="11"/>
  <c r="Y14" i="9" s="1"/>
  <c r="Z14" i="11"/>
  <c r="Z14" i="9" s="1"/>
  <c r="AA14" i="11"/>
  <c r="AA14" i="9" s="1"/>
  <c r="AB14" i="11"/>
  <c r="AB14" i="9" s="1"/>
  <c r="AC14" i="11"/>
  <c r="AC14" i="9" s="1"/>
  <c r="AD14" i="11"/>
  <c r="AD14" i="9" s="1"/>
  <c r="AE14" i="11"/>
  <c r="AE14" i="9" s="1"/>
  <c r="AF14" i="11"/>
  <c r="AF14" i="9" s="1"/>
  <c r="B15" i="11"/>
  <c r="B15" i="9" s="1"/>
  <c r="C15" i="11"/>
  <c r="C15" i="9" s="1"/>
  <c r="D15" i="11"/>
  <c r="D15" i="9" s="1"/>
  <c r="E15" i="11"/>
  <c r="E15" i="9" s="1"/>
  <c r="F15" i="11"/>
  <c r="F15" i="9" s="1"/>
  <c r="G15" i="11"/>
  <c r="G15" i="9" s="1"/>
  <c r="H15" i="11"/>
  <c r="H15" i="9" s="1"/>
  <c r="I15" i="11"/>
  <c r="I15" i="9" s="1"/>
  <c r="J15" i="11"/>
  <c r="J15" i="9" s="1"/>
  <c r="K15" i="11"/>
  <c r="K15" i="9" s="1"/>
  <c r="L15" i="11"/>
  <c r="L15" i="9" s="1"/>
  <c r="M15" i="11"/>
  <c r="M15" i="9" s="1"/>
  <c r="N15" i="11"/>
  <c r="N15" i="9" s="1"/>
  <c r="O15" i="11"/>
  <c r="O15" i="9" s="1"/>
  <c r="P15" i="11"/>
  <c r="P15" i="9" s="1"/>
  <c r="Q15" i="11"/>
  <c r="Q15" i="9" s="1"/>
  <c r="R15" i="11"/>
  <c r="R15" i="9" s="1"/>
  <c r="S15" i="11"/>
  <c r="S15" i="9" s="1"/>
  <c r="T15" i="11"/>
  <c r="T15" i="9" s="1"/>
  <c r="U15" i="11"/>
  <c r="U15" i="9" s="1"/>
  <c r="V15" i="11"/>
  <c r="V15" i="9" s="1"/>
  <c r="W15" i="11"/>
  <c r="W15" i="9" s="1"/>
  <c r="X15" i="11"/>
  <c r="X15" i="9" s="1"/>
  <c r="Y15" i="11"/>
  <c r="Y15" i="9" s="1"/>
  <c r="Z15" i="11"/>
  <c r="Z15" i="9" s="1"/>
  <c r="AA15" i="11"/>
  <c r="AA15" i="9" s="1"/>
  <c r="AB15" i="11"/>
  <c r="AB15" i="9" s="1"/>
  <c r="AC15" i="11"/>
  <c r="AC15" i="9" s="1"/>
  <c r="AD15" i="11"/>
  <c r="AD15" i="9" s="1"/>
  <c r="AE15" i="11"/>
  <c r="AE15" i="9" s="1"/>
  <c r="AF15" i="11"/>
  <c r="AF15" i="9" s="1"/>
  <c r="B16" i="11"/>
  <c r="B16" i="9" s="1"/>
  <c r="C16" i="11"/>
  <c r="C16" i="9" s="1"/>
  <c r="D16" i="11"/>
  <c r="D16" i="9" s="1"/>
  <c r="E16" i="11"/>
  <c r="E16" i="9" s="1"/>
  <c r="F16" i="11"/>
  <c r="F16" i="9" s="1"/>
  <c r="G16" i="11"/>
  <c r="G16" i="9" s="1"/>
  <c r="H16" i="11"/>
  <c r="H16" i="9" s="1"/>
  <c r="I16" i="11"/>
  <c r="I16" i="9" s="1"/>
  <c r="J16" i="11"/>
  <c r="J16" i="9" s="1"/>
  <c r="K16" i="11"/>
  <c r="K16" i="9" s="1"/>
  <c r="L16" i="11"/>
  <c r="L16" i="9" s="1"/>
  <c r="M16" i="11"/>
  <c r="M16" i="9" s="1"/>
  <c r="N16" i="11"/>
  <c r="N16" i="9" s="1"/>
  <c r="O16" i="11"/>
  <c r="O16" i="9" s="1"/>
  <c r="P16" i="11"/>
  <c r="P16" i="9" s="1"/>
  <c r="Q16" i="11"/>
  <c r="Q16" i="9" s="1"/>
  <c r="R16" i="11"/>
  <c r="R16" i="9" s="1"/>
  <c r="S16" i="11"/>
  <c r="S16" i="9" s="1"/>
  <c r="T16" i="11"/>
  <c r="T16" i="9" s="1"/>
  <c r="U16" i="11"/>
  <c r="U16" i="9" s="1"/>
  <c r="V16" i="11"/>
  <c r="V16" i="9" s="1"/>
  <c r="W16" i="11"/>
  <c r="W16" i="9" s="1"/>
  <c r="X16" i="11"/>
  <c r="X16" i="9" s="1"/>
  <c r="Y16" i="11"/>
  <c r="Y16" i="9" s="1"/>
  <c r="Z16" i="11"/>
  <c r="Z16" i="9" s="1"/>
  <c r="AA16" i="11"/>
  <c r="AA16" i="9" s="1"/>
  <c r="AB16" i="11"/>
  <c r="AB16" i="9" s="1"/>
  <c r="AC16" i="11"/>
  <c r="AC16" i="9" s="1"/>
  <c r="AD16" i="11"/>
  <c r="AD16" i="9" s="1"/>
  <c r="AE16" i="11"/>
  <c r="AE16" i="9" s="1"/>
  <c r="AF16" i="11"/>
  <c r="AF16" i="9" s="1"/>
  <c r="B17" i="11"/>
  <c r="B17" i="9" s="1"/>
  <c r="C17" i="11"/>
  <c r="C17" i="9" s="1"/>
  <c r="D17" i="11"/>
  <c r="D17" i="9" s="1"/>
  <c r="E17" i="11"/>
  <c r="E17" i="9" s="1"/>
  <c r="F17" i="11"/>
  <c r="F17" i="9" s="1"/>
  <c r="G17" i="11"/>
  <c r="G17" i="9" s="1"/>
  <c r="H17" i="11"/>
  <c r="H17" i="9" s="1"/>
  <c r="I17" i="11"/>
  <c r="I17" i="9" s="1"/>
  <c r="J17" i="11"/>
  <c r="J17" i="9" s="1"/>
  <c r="K17" i="11"/>
  <c r="K17" i="9" s="1"/>
  <c r="L17" i="11"/>
  <c r="L17" i="9" s="1"/>
  <c r="M17" i="11"/>
  <c r="M17" i="9" s="1"/>
  <c r="N17" i="11"/>
  <c r="N17" i="9" s="1"/>
  <c r="O17" i="11"/>
  <c r="O17" i="9" s="1"/>
  <c r="P17" i="11"/>
  <c r="P17" i="9" s="1"/>
  <c r="Q17" i="11"/>
  <c r="Q17" i="9" s="1"/>
  <c r="R17" i="11"/>
  <c r="R17" i="9" s="1"/>
  <c r="S17" i="11"/>
  <c r="S17" i="9" s="1"/>
  <c r="T17" i="11"/>
  <c r="T17" i="9" s="1"/>
  <c r="U17" i="11"/>
  <c r="U17" i="9" s="1"/>
  <c r="V17" i="11"/>
  <c r="V17" i="9" s="1"/>
  <c r="W17" i="11"/>
  <c r="W17" i="9" s="1"/>
  <c r="X17" i="11"/>
  <c r="X17" i="9" s="1"/>
  <c r="Y17" i="11"/>
  <c r="Y17" i="9" s="1"/>
  <c r="Z17" i="11"/>
  <c r="Z17" i="9" s="1"/>
  <c r="AA17" i="11"/>
  <c r="AA17" i="9" s="1"/>
  <c r="AB17" i="11"/>
  <c r="AB17" i="9" s="1"/>
  <c r="AC17" i="11"/>
  <c r="AC17" i="9" s="1"/>
  <c r="AD17" i="11"/>
  <c r="AD17" i="9" s="1"/>
  <c r="AE17" i="11"/>
  <c r="AE17" i="9" s="1"/>
  <c r="AF17" i="11"/>
  <c r="AF17" i="9" s="1"/>
  <c r="B18" i="11"/>
  <c r="B18" i="9" s="1"/>
  <c r="C18" i="11"/>
  <c r="C18" i="9" s="1"/>
  <c r="D18" i="11"/>
  <c r="D18" i="9" s="1"/>
  <c r="E18" i="11"/>
  <c r="E18" i="9" s="1"/>
  <c r="F18" i="11"/>
  <c r="F18" i="9" s="1"/>
  <c r="G18" i="11"/>
  <c r="G18" i="9" s="1"/>
  <c r="H18" i="11"/>
  <c r="H18" i="9" s="1"/>
  <c r="I18" i="11"/>
  <c r="I18" i="9" s="1"/>
  <c r="J18" i="11"/>
  <c r="J18" i="9" s="1"/>
  <c r="K18" i="11"/>
  <c r="K18" i="9" s="1"/>
  <c r="L18" i="11"/>
  <c r="L18" i="9" s="1"/>
  <c r="M18" i="11"/>
  <c r="M18" i="9" s="1"/>
  <c r="N18" i="11"/>
  <c r="N18" i="9" s="1"/>
  <c r="O18" i="11"/>
  <c r="O18" i="9" s="1"/>
  <c r="P18" i="11"/>
  <c r="P18" i="9" s="1"/>
  <c r="Q18" i="11"/>
  <c r="Q18" i="9" s="1"/>
  <c r="R18" i="11"/>
  <c r="R18" i="9" s="1"/>
  <c r="S18" i="11"/>
  <c r="S18" i="9" s="1"/>
  <c r="T18" i="11"/>
  <c r="T18" i="9" s="1"/>
  <c r="U18" i="11"/>
  <c r="U18" i="9" s="1"/>
  <c r="V18" i="11"/>
  <c r="V18" i="9" s="1"/>
  <c r="W18" i="11"/>
  <c r="W18" i="9" s="1"/>
  <c r="X18" i="11"/>
  <c r="X18" i="9" s="1"/>
  <c r="Y18" i="11"/>
  <c r="Y18" i="9" s="1"/>
  <c r="Z18" i="11"/>
  <c r="Z18" i="9" s="1"/>
  <c r="AA18" i="11"/>
  <c r="AA18" i="9" s="1"/>
  <c r="AB18" i="11"/>
  <c r="AB18" i="9" s="1"/>
  <c r="AC18" i="11"/>
  <c r="AC18" i="9" s="1"/>
  <c r="AD18" i="11"/>
  <c r="AD18" i="9" s="1"/>
  <c r="AE18" i="11"/>
  <c r="AE18" i="9" s="1"/>
  <c r="AF18" i="11"/>
  <c r="AF18" i="9" s="1"/>
  <c r="B19" i="11"/>
  <c r="B19" i="9" s="1"/>
  <c r="C19" i="11"/>
  <c r="C19" i="9" s="1"/>
  <c r="D19" i="11"/>
  <c r="D19" i="9" s="1"/>
  <c r="E19" i="11"/>
  <c r="E19" i="9" s="1"/>
  <c r="F19" i="11"/>
  <c r="F19" i="9" s="1"/>
  <c r="G19" i="11"/>
  <c r="G19" i="9" s="1"/>
  <c r="H19" i="11"/>
  <c r="H19" i="9" s="1"/>
  <c r="I19" i="11"/>
  <c r="I19" i="9" s="1"/>
  <c r="J19" i="11"/>
  <c r="J19" i="9" s="1"/>
  <c r="K19" i="11"/>
  <c r="K19" i="9" s="1"/>
  <c r="L19" i="11"/>
  <c r="L19" i="9" s="1"/>
  <c r="M19" i="11"/>
  <c r="M19" i="9" s="1"/>
  <c r="N19" i="11"/>
  <c r="N19" i="9" s="1"/>
  <c r="O19" i="11"/>
  <c r="O19" i="9" s="1"/>
  <c r="P19" i="11"/>
  <c r="P19" i="9" s="1"/>
  <c r="Q19" i="11"/>
  <c r="Q19" i="9" s="1"/>
  <c r="R19" i="11"/>
  <c r="R19" i="9" s="1"/>
  <c r="S19" i="11"/>
  <c r="S19" i="9" s="1"/>
  <c r="T19" i="11"/>
  <c r="T19" i="9" s="1"/>
  <c r="U19" i="11"/>
  <c r="U19" i="9" s="1"/>
  <c r="V19" i="11"/>
  <c r="V19" i="9" s="1"/>
  <c r="W19" i="11"/>
  <c r="W19" i="9" s="1"/>
  <c r="X19" i="11"/>
  <c r="X19" i="9" s="1"/>
  <c r="Y19" i="11"/>
  <c r="Y19" i="9" s="1"/>
  <c r="Z19" i="11"/>
  <c r="Z19" i="9" s="1"/>
  <c r="AA19" i="11"/>
  <c r="AA19" i="9" s="1"/>
  <c r="AB19" i="11"/>
  <c r="AB19" i="9" s="1"/>
  <c r="AC19" i="11"/>
  <c r="AC19" i="9" s="1"/>
  <c r="AD19" i="11"/>
  <c r="AD19" i="9" s="1"/>
  <c r="AE19" i="11"/>
  <c r="AE19" i="9" s="1"/>
  <c r="AF19" i="11"/>
  <c r="AF19" i="9" s="1"/>
  <c r="B20" i="11"/>
  <c r="B20" i="9" s="1"/>
  <c r="C20" i="11"/>
  <c r="C20" i="9" s="1"/>
  <c r="D20" i="11"/>
  <c r="D20" i="9" s="1"/>
  <c r="E20" i="11"/>
  <c r="E20" i="9" s="1"/>
  <c r="F20" i="11"/>
  <c r="F20" i="9" s="1"/>
  <c r="G20" i="11"/>
  <c r="G20" i="9" s="1"/>
  <c r="H20" i="11"/>
  <c r="H20" i="9" s="1"/>
  <c r="I20" i="11"/>
  <c r="I20" i="9" s="1"/>
  <c r="J20" i="11"/>
  <c r="J20" i="9" s="1"/>
  <c r="K20" i="11"/>
  <c r="K20" i="9" s="1"/>
  <c r="L20" i="11"/>
  <c r="L20" i="9" s="1"/>
  <c r="M20" i="11"/>
  <c r="M20" i="9" s="1"/>
  <c r="N20" i="11"/>
  <c r="N20" i="9" s="1"/>
  <c r="O20" i="11"/>
  <c r="O20" i="9" s="1"/>
  <c r="P20" i="11"/>
  <c r="P20" i="9" s="1"/>
  <c r="Q20" i="11"/>
  <c r="Q20" i="9" s="1"/>
  <c r="R20" i="11"/>
  <c r="R20" i="9" s="1"/>
  <c r="S20" i="11"/>
  <c r="S20" i="9" s="1"/>
  <c r="T20" i="11"/>
  <c r="T20" i="9" s="1"/>
  <c r="U20" i="11"/>
  <c r="U20" i="9" s="1"/>
  <c r="V20" i="11"/>
  <c r="V20" i="9" s="1"/>
  <c r="W20" i="11"/>
  <c r="W20" i="9" s="1"/>
  <c r="X20" i="11"/>
  <c r="X20" i="9" s="1"/>
  <c r="Y20" i="11"/>
  <c r="Y20" i="9" s="1"/>
  <c r="Z20" i="11"/>
  <c r="Z20" i="9" s="1"/>
  <c r="AA20" i="11"/>
  <c r="AA20" i="9" s="1"/>
  <c r="AB20" i="11"/>
  <c r="AB20" i="9" s="1"/>
  <c r="AC20" i="11"/>
  <c r="AC20" i="9" s="1"/>
  <c r="AD20" i="11"/>
  <c r="AD20" i="9" s="1"/>
  <c r="AE20" i="11"/>
  <c r="AE20" i="9" s="1"/>
  <c r="AF20" i="11"/>
  <c r="AF20" i="9" s="1"/>
  <c r="B21" i="11"/>
  <c r="B21" i="9" s="1"/>
  <c r="C21" i="11"/>
  <c r="C21" i="9" s="1"/>
  <c r="D21" i="11"/>
  <c r="D21" i="9" s="1"/>
  <c r="E21" i="11"/>
  <c r="E21" i="9" s="1"/>
  <c r="F21" i="11"/>
  <c r="F21" i="9" s="1"/>
  <c r="G21" i="11"/>
  <c r="G21" i="9" s="1"/>
  <c r="H21" i="11"/>
  <c r="H21" i="9" s="1"/>
  <c r="I21" i="11"/>
  <c r="I21" i="9" s="1"/>
  <c r="J21" i="11"/>
  <c r="J21" i="9" s="1"/>
  <c r="K21" i="11"/>
  <c r="K21" i="9" s="1"/>
  <c r="L21" i="11"/>
  <c r="L21" i="9" s="1"/>
  <c r="M21" i="11"/>
  <c r="M21" i="9" s="1"/>
  <c r="N21" i="11"/>
  <c r="N21" i="9" s="1"/>
  <c r="O21" i="11"/>
  <c r="O21" i="9" s="1"/>
  <c r="P21" i="11"/>
  <c r="P21" i="9" s="1"/>
  <c r="Q21" i="11"/>
  <c r="Q21" i="9" s="1"/>
  <c r="R21" i="11"/>
  <c r="R21" i="9" s="1"/>
  <c r="S21" i="11"/>
  <c r="S21" i="9" s="1"/>
  <c r="T21" i="11"/>
  <c r="T21" i="9" s="1"/>
  <c r="U21" i="11"/>
  <c r="U21" i="9" s="1"/>
  <c r="V21" i="11"/>
  <c r="V21" i="9" s="1"/>
  <c r="W21" i="11"/>
  <c r="W21" i="9" s="1"/>
  <c r="X21" i="11"/>
  <c r="X21" i="9" s="1"/>
  <c r="Y21" i="11"/>
  <c r="Y21" i="9" s="1"/>
  <c r="Z21" i="11"/>
  <c r="Z21" i="9" s="1"/>
  <c r="AA21" i="11"/>
  <c r="AA21" i="9" s="1"/>
  <c r="AB21" i="11"/>
  <c r="AB21" i="9" s="1"/>
  <c r="AC21" i="11"/>
  <c r="AC21" i="9" s="1"/>
  <c r="AD21" i="11"/>
  <c r="AD21" i="9" s="1"/>
  <c r="AE21" i="11"/>
  <c r="AE21" i="9" s="1"/>
  <c r="AF21" i="11"/>
  <c r="AF21" i="9" s="1"/>
  <c r="B22" i="11"/>
  <c r="B22" i="9" s="1"/>
  <c r="C22" i="11"/>
  <c r="C22" i="9" s="1"/>
  <c r="D22" i="11"/>
  <c r="D22" i="9" s="1"/>
  <c r="E22" i="11"/>
  <c r="E22" i="9" s="1"/>
  <c r="F22" i="11"/>
  <c r="F22" i="9" s="1"/>
  <c r="G22" i="11"/>
  <c r="G22" i="9" s="1"/>
  <c r="H22" i="11"/>
  <c r="H22" i="9" s="1"/>
  <c r="I22" i="11"/>
  <c r="I22" i="9" s="1"/>
  <c r="J22" i="11"/>
  <c r="J22" i="9" s="1"/>
  <c r="K22" i="11"/>
  <c r="K22" i="9" s="1"/>
  <c r="L22" i="11"/>
  <c r="L22" i="9" s="1"/>
  <c r="M22" i="11"/>
  <c r="M22" i="9" s="1"/>
  <c r="N22" i="11"/>
  <c r="N22" i="9" s="1"/>
  <c r="O22" i="11"/>
  <c r="O22" i="9" s="1"/>
  <c r="P22" i="11"/>
  <c r="P22" i="9" s="1"/>
  <c r="Q22" i="11"/>
  <c r="Q22" i="9" s="1"/>
  <c r="R22" i="11"/>
  <c r="R22" i="9" s="1"/>
  <c r="S22" i="11"/>
  <c r="S22" i="9" s="1"/>
  <c r="T22" i="11"/>
  <c r="T22" i="9" s="1"/>
  <c r="U22" i="11"/>
  <c r="U22" i="9" s="1"/>
  <c r="V22" i="11"/>
  <c r="V22" i="9" s="1"/>
  <c r="W22" i="11"/>
  <c r="W22" i="9" s="1"/>
  <c r="X22" i="11"/>
  <c r="X22" i="9" s="1"/>
  <c r="Y22" i="11"/>
  <c r="Y22" i="9" s="1"/>
  <c r="Z22" i="11"/>
  <c r="Z22" i="9" s="1"/>
  <c r="AA22" i="11"/>
  <c r="AA22" i="9" s="1"/>
  <c r="AB22" i="11"/>
  <c r="AB22" i="9" s="1"/>
  <c r="AC22" i="11"/>
  <c r="AC22" i="9" s="1"/>
  <c r="AD22" i="11"/>
  <c r="AD22" i="9" s="1"/>
  <c r="AE22" i="11"/>
  <c r="AE22" i="9" s="1"/>
  <c r="AF22" i="11"/>
  <c r="AF22" i="9" s="1"/>
  <c r="B23" i="11"/>
  <c r="B23" i="9" s="1"/>
  <c r="C23" i="11"/>
  <c r="C23" i="9" s="1"/>
  <c r="D23" i="11"/>
  <c r="D23" i="9" s="1"/>
  <c r="E23" i="11"/>
  <c r="E23" i="9" s="1"/>
  <c r="F23" i="11"/>
  <c r="F23" i="9" s="1"/>
  <c r="G23" i="11"/>
  <c r="G23" i="9" s="1"/>
  <c r="H23" i="11"/>
  <c r="H23" i="9" s="1"/>
  <c r="I23" i="11"/>
  <c r="I23" i="9" s="1"/>
  <c r="J23" i="11"/>
  <c r="J23" i="9" s="1"/>
  <c r="K23" i="11"/>
  <c r="K23" i="9" s="1"/>
  <c r="L23" i="11"/>
  <c r="L23" i="9" s="1"/>
  <c r="M23" i="11"/>
  <c r="M23" i="9" s="1"/>
  <c r="N23" i="11"/>
  <c r="N23" i="9" s="1"/>
  <c r="O23" i="11"/>
  <c r="O23" i="9" s="1"/>
  <c r="P23" i="11"/>
  <c r="P23" i="9" s="1"/>
  <c r="Q23" i="11"/>
  <c r="Q23" i="9" s="1"/>
  <c r="R23" i="11"/>
  <c r="R23" i="9" s="1"/>
  <c r="S23" i="11"/>
  <c r="S23" i="9" s="1"/>
  <c r="T23" i="11"/>
  <c r="T23" i="9" s="1"/>
  <c r="U23" i="11"/>
  <c r="U23" i="9" s="1"/>
  <c r="V23" i="11"/>
  <c r="V23" i="9" s="1"/>
  <c r="W23" i="11"/>
  <c r="W23" i="9" s="1"/>
  <c r="X23" i="11"/>
  <c r="X23" i="9" s="1"/>
  <c r="Y23" i="11"/>
  <c r="Y23" i="9" s="1"/>
  <c r="Z23" i="11"/>
  <c r="Z23" i="9" s="1"/>
  <c r="AA23" i="11"/>
  <c r="AA23" i="9" s="1"/>
  <c r="AB23" i="11"/>
  <c r="AB23" i="9" s="1"/>
  <c r="AC23" i="11"/>
  <c r="AC23" i="9" s="1"/>
  <c r="AD23" i="11"/>
  <c r="AD23" i="9" s="1"/>
  <c r="AE23" i="11"/>
  <c r="AE23" i="9" s="1"/>
  <c r="AF23" i="11"/>
  <c r="AF23" i="9" s="1"/>
  <c r="B24" i="11"/>
  <c r="B24" i="9" s="1"/>
  <c r="C24" i="11"/>
  <c r="C24" i="9" s="1"/>
  <c r="D24" i="11"/>
  <c r="D24" i="9" s="1"/>
  <c r="E24" i="11"/>
  <c r="E24" i="9" s="1"/>
  <c r="F24" i="11"/>
  <c r="F24" i="9" s="1"/>
  <c r="G24" i="11"/>
  <c r="G24" i="9" s="1"/>
  <c r="H24" i="11"/>
  <c r="H24" i="9" s="1"/>
  <c r="I24" i="11"/>
  <c r="I24" i="9" s="1"/>
  <c r="J24" i="11"/>
  <c r="J24" i="9" s="1"/>
  <c r="K24" i="11"/>
  <c r="K24" i="9" s="1"/>
  <c r="L24" i="11"/>
  <c r="L24" i="9" s="1"/>
  <c r="M24" i="11"/>
  <c r="M24" i="9" s="1"/>
  <c r="N24" i="11"/>
  <c r="N24" i="9" s="1"/>
  <c r="O24" i="11"/>
  <c r="O24" i="9" s="1"/>
  <c r="P24" i="11"/>
  <c r="P24" i="9" s="1"/>
  <c r="Q24" i="11"/>
  <c r="Q24" i="9" s="1"/>
  <c r="R24" i="11"/>
  <c r="R24" i="9" s="1"/>
  <c r="S24" i="11"/>
  <c r="S24" i="9" s="1"/>
  <c r="T24" i="11"/>
  <c r="T24" i="9" s="1"/>
  <c r="U24" i="11"/>
  <c r="U24" i="9" s="1"/>
  <c r="V24" i="11"/>
  <c r="V24" i="9" s="1"/>
  <c r="W24" i="11"/>
  <c r="W24" i="9" s="1"/>
  <c r="X24" i="11"/>
  <c r="X24" i="9" s="1"/>
  <c r="Y24" i="11"/>
  <c r="Y24" i="9" s="1"/>
  <c r="Z24" i="11"/>
  <c r="Z24" i="9" s="1"/>
  <c r="AA24" i="11"/>
  <c r="AA24" i="9" s="1"/>
  <c r="AB24" i="11"/>
  <c r="AB24" i="9" s="1"/>
  <c r="AC24" i="11"/>
  <c r="AC24" i="9" s="1"/>
  <c r="AD24" i="11"/>
  <c r="AD24" i="9" s="1"/>
  <c r="AE24" i="11"/>
  <c r="AE24" i="9" s="1"/>
  <c r="AF24" i="11"/>
  <c r="AF24" i="9" s="1"/>
  <c r="B25" i="11"/>
  <c r="B25" i="9" s="1"/>
  <c r="C25" i="11"/>
  <c r="C25" i="9" s="1"/>
  <c r="D25" i="11"/>
  <c r="D25" i="9" s="1"/>
  <c r="E25" i="11"/>
  <c r="E25" i="9" s="1"/>
  <c r="F25" i="11"/>
  <c r="F25" i="9" s="1"/>
  <c r="G25" i="11"/>
  <c r="G25" i="9" s="1"/>
  <c r="H25" i="11"/>
  <c r="H25" i="9" s="1"/>
  <c r="I25" i="11"/>
  <c r="I25" i="9" s="1"/>
  <c r="J25" i="11"/>
  <c r="J25" i="9" s="1"/>
  <c r="K25" i="11"/>
  <c r="K25" i="9" s="1"/>
  <c r="L25" i="11"/>
  <c r="L25" i="9" s="1"/>
  <c r="M25" i="11"/>
  <c r="M25" i="9" s="1"/>
  <c r="N25" i="11"/>
  <c r="N25" i="9" s="1"/>
  <c r="O25" i="11"/>
  <c r="O25" i="9" s="1"/>
  <c r="P25" i="11"/>
  <c r="P25" i="9" s="1"/>
  <c r="Q25" i="11"/>
  <c r="Q25" i="9" s="1"/>
  <c r="R25" i="11"/>
  <c r="R25" i="9" s="1"/>
  <c r="S25" i="11"/>
  <c r="S25" i="9" s="1"/>
  <c r="T25" i="11"/>
  <c r="T25" i="9" s="1"/>
  <c r="U25" i="11"/>
  <c r="U25" i="9" s="1"/>
  <c r="V25" i="11"/>
  <c r="V25" i="9" s="1"/>
  <c r="W25" i="11"/>
  <c r="W25" i="9" s="1"/>
  <c r="X25" i="11"/>
  <c r="X25" i="9" s="1"/>
  <c r="Y25" i="11"/>
  <c r="Y25" i="9" s="1"/>
  <c r="Z25" i="11"/>
  <c r="Z25" i="9" s="1"/>
  <c r="AA25" i="11"/>
  <c r="AA25" i="9" s="1"/>
  <c r="AB25" i="11"/>
  <c r="AB25" i="9" s="1"/>
  <c r="AC25" i="11"/>
  <c r="AC25" i="9" s="1"/>
  <c r="AD25" i="11"/>
  <c r="AD25" i="9" s="1"/>
  <c r="AE25" i="11"/>
  <c r="AE25" i="9" s="1"/>
  <c r="AF25" i="11"/>
  <c r="AF25" i="9" s="1"/>
  <c r="B26" i="11"/>
  <c r="B26" i="9" s="1"/>
  <c r="C26" i="11"/>
  <c r="C26" i="9" s="1"/>
  <c r="D26" i="11"/>
  <c r="D26" i="9" s="1"/>
  <c r="E26" i="11"/>
  <c r="E26" i="9" s="1"/>
  <c r="F26" i="11"/>
  <c r="F26" i="9" s="1"/>
  <c r="G26" i="11"/>
  <c r="G26" i="9" s="1"/>
  <c r="H26" i="11"/>
  <c r="H26" i="9" s="1"/>
  <c r="I26" i="11"/>
  <c r="I26" i="9" s="1"/>
  <c r="J26" i="11"/>
  <c r="J26" i="9" s="1"/>
  <c r="K26" i="11"/>
  <c r="K26" i="9" s="1"/>
  <c r="L26" i="11"/>
  <c r="L26" i="9" s="1"/>
  <c r="M26" i="11"/>
  <c r="M26" i="9" s="1"/>
  <c r="N26" i="11"/>
  <c r="N26" i="9" s="1"/>
  <c r="O26" i="11"/>
  <c r="O26" i="9" s="1"/>
  <c r="P26" i="11"/>
  <c r="P26" i="9" s="1"/>
  <c r="Q26" i="11"/>
  <c r="Q26" i="9" s="1"/>
  <c r="R26" i="11"/>
  <c r="R26" i="9" s="1"/>
  <c r="S26" i="11"/>
  <c r="S26" i="9" s="1"/>
  <c r="T26" i="11"/>
  <c r="T26" i="9" s="1"/>
  <c r="U26" i="11"/>
  <c r="U26" i="9" s="1"/>
  <c r="V26" i="11"/>
  <c r="V26" i="9" s="1"/>
  <c r="W26" i="11"/>
  <c r="W26" i="9" s="1"/>
  <c r="X26" i="11"/>
  <c r="X26" i="9" s="1"/>
  <c r="Y26" i="11"/>
  <c r="Y26" i="9" s="1"/>
  <c r="Z26" i="11"/>
  <c r="Z26" i="9" s="1"/>
  <c r="AA26" i="11"/>
  <c r="AA26" i="9" s="1"/>
  <c r="AB26" i="11"/>
  <c r="AB26" i="9" s="1"/>
  <c r="AC26" i="11"/>
  <c r="AC26" i="9" s="1"/>
  <c r="AD26" i="11"/>
  <c r="AD26" i="9" s="1"/>
  <c r="AE26" i="11"/>
  <c r="AE26" i="9" s="1"/>
  <c r="AF26" i="11"/>
  <c r="AF26" i="9" s="1"/>
  <c r="B27" i="11"/>
  <c r="B27" i="9" s="1"/>
  <c r="C27" i="11"/>
  <c r="C27" i="9" s="1"/>
  <c r="D27" i="11"/>
  <c r="D27" i="9" s="1"/>
  <c r="E27" i="11"/>
  <c r="E27" i="9" s="1"/>
  <c r="F27" i="11"/>
  <c r="F27" i="9" s="1"/>
  <c r="G27" i="11"/>
  <c r="G27" i="9" s="1"/>
  <c r="H27" i="11"/>
  <c r="H27" i="9" s="1"/>
  <c r="I27" i="11"/>
  <c r="I27" i="9" s="1"/>
  <c r="J27" i="11"/>
  <c r="J27" i="9" s="1"/>
  <c r="K27" i="11"/>
  <c r="K27" i="9" s="1"/>
  <c r="L27" i="11"/>
  <c r="L27" i="9" s="1"/>
  <c r="M27" i="11"/>
  <c r="M27" i="9" s="1"/>
  <c r="N27" i="11"/>
  <c r="N27" i="9" s="1"/>
  <c r="O27" i="11"/>
  <c r="O27" i="9" s="1"/>
  <c r="P27" i="11"/>
  <c r="P27" i="9" s="1"/>
  <c r="Q27" i="11"/>
  <c r="Q27" i="9" s="1"/>
  <c r="R27" i="11"/>
  <c r="R27" i="9" s="1"/>
  <c r="S27" i="11"/>
  <c r="S27" i="9" s="1"/>
  <c r="T27" i="11"/>
  <c r="T27" i="9" s="1"/>
  <c r="U27" i="11"/>
  <c r="U27" i="9" s="1"/>
  <c r="V27" i="11"/>
  <c r="V27" i="9" s="1"/>
  <c r="W27" i="11"/>
  <c r="W27" i="9" s="1"/>
  <c r="X27" i="11"/>
  <c r="X27" i="9" s="1"/>
  <c r="Y27" i="11"/>
  <c r="Y27" i="9" s="1"/>
  <c r="Z27" i="11"/>
  <c r="Z27" i="9" s="1"/>
  <c r="AA27" i="11"/>
  <c r="AA27" i="9" s="1"/>
  <c r="AB27" i="11"/>
  <c r="AB27" i="9" s="1"/>
  <c r="AC27" i="11"/>
  <c r="AC27" i="9" s="1"/>
  <c r="AD27" i="11"/>
  <c r="AD27" i="9" s="1"/>
  <c r="AE27" i="11"/>
  <c r="AE27" i="9" s="1"/>
  <c r="AF27" i="11"/>
  <c r="AF27" i="9" s="1"/>
  <c r="B28" i="11"/>
  <c r="B28" i="9" s="1"/>
  <c r="C28" i="11"/>
  <c r="C28" i="9" s="1"/>
  <c r="D28" i="11"/>
  <c r="D28" i="9" s="1"/>
  <c r="E28" i="11"/>
  <c r="E28" i="9" s="1"/>
  <c r="F28" i="11"/>
  <c r="F28" i="9" s="1"/>
  <c r="G28" i="11"/>
  <c r="G28" i="9" s="1"/>
  <c r="H28" i="11"/>
  <c r="H28" i="9" s="1"/>
  <c r="I28" i="11"/>
  <c r="I28" i="9" s="1"/>
  <c r="J28" i="11"/>
  <c r="J28" i="9" s="1"/>
  <c r="K28" i="11"/>
  <c r="K28" i="9" s="1"/>
  <c r="L28" i="11"/>
  <c r="L28" i="9" s="1"/>
  <c r="M28" i="11"/>
  <c r="M28" i="9" s="1"/>
  <c r="N28" i="11"/>
  <c r="N28" i="9" s="1"/>
  <c r="O28" i="11"/>
  <c r="O28" i="9" s="1"/>
  <c r="P28" i="11"/>
  <c r="P28" i="9" s="1"/>
  <c r="Q28" i="11"/>
  <c r="Q28" i="9" s="1"/>
  <c r="R28" i="11"/>
  <c r="R28" i="9" s="1"/>
  <c r="S28" i="11"/>
  <c r="S28" i="9" s="1"/>
  <c r="T28" i="11"/>
  <c r="T28" i="9" s="1"/>
  <c r="U28" i="11"/>
  <c r="U28" i="9" s="1"/>
  <c r="V28" i="11"/>
  <c r="V28" i="9" s="1"/>
  <c r="W28" i="11"/>
  <c r="W28" i="9" s="1"/>
  <c r="X28" i="11"/>
  <c r="X28" i="9" s="1"/>
  <c r="Y28" i="11"/>
  <c r="Y28" i="9" s="1"/>
  <c r="Z28" i="11"/>
  <c r="Z28" i="9" s="1"/>
  <c r="AA28" i="11"/>
  <c r="AA28" i="9" s="1"/>
  <c r="AB28" i="11"/>
  <c r="AB28" i="9" s="1"/>
  <c r="AC28" i="11"/>
  <c r="AC28" i="9" s="1"/>
  <c r="AD28" i="11"/>
  <c r="AD28" i="9" s="1"/>
  <c r="AE28" i="11"/>
  <c r="AE28" i="9" s="1"/>
  <c r="AF28" i="11"/>
  <c r="AF28" i="9" s="1"/>
  <c r="B29" i="11"/>
  <c r="B29" i="9" s="1"/>
  <c r="C29" i="11"/>
  <c r="C29" i="9" s="1"/>
  <c r="D29" i="11"/>
  <c r="D29" i="9" s="1"/>
  <c r="E29" i="11"/>
  <c r="E29" i="9" s="1"/>
  <c r="F29" i="11"/>
  <c r="F29" i="9" s="1"/>
  <c r="G29" i="11"/>
  <c r="G29" i="9" s="1"/>
  <c r="H29" i="11"/>
  <c r="H29" i="9" s="1"/>
  <c r="I29" i="11"/>
  <c r="I29" i="9" s="1"/>
  <c r="J29" i="11"/>
  <c r="J29" i="9" s="1"/>
  <c r="K29" i="11"/>
  <c r="K29" i="9" s="1"/>
  <c r="L29" i="11"/>
  <c r="L29" i="9" s="1"/>
  <c r="M29" i="11"/>
  <c r="M29" i="9" s="1"/>
  <c r="N29" i="11"/>
  <c r="N29" i="9" s="1"/>
  <c r="O29" i="11"/>
  <c r="O29" i="9" s="1"/>
  <c r="P29" i="11"/>
  <c r="P29" i="9" s="1"/>
  <c r="Q29" i="11"/>
  <c r="Q29" i="9" s="1"/>
  <c r="R29" i="11"/>
  <c r="R29" i="9" s="1"/>
  <c r="S29" i="11"/>
  <c r="S29" i="9" s="1"/>
  <c r="T29" i="11"/>
  <c r="T29" i="9" s="1"/>
  <c r="U29" i="11"/>
  <c r="U29" i="9" s="1"/>
  <c r="V29" i="11"/>
  <c r="V29" i="9" s="1"/>
  <c r="W29" i="11"/>
  <c r="W29" i="9" s="1"/>
  <c r="X29" i="11"/>
  <c r="X29" i="9" s="1"/>
  <c r="Y29" i="11"/>
  <c r="Y29" i="9" s="1"/>
  <c r="Z29" i="11"/>
  <c r="Z29" i="9" s="1"/>
  <c r="AA29" i="11"/>
  <c r="AA29" i="9" s="1"/>
  <c r="AB29" i="11"/>
  <c r="AB29" i="9" s="1"/>
  <c r="AC29" i="11"/>
  <c r="AC29" i="9" s="1"/>
  <c r="AD29" i="11"/>
  <c r="AD29" i="9" s="1"/>
  <c r="AE29" i="11"/>
  <c r="AE29" i="9" s="1"/>
  <c r="AF29" i="11"/>
  <c r="AF29" i="9" s="1"/>
  <c r="B30" i="11"/>
  <c r="B30" i="9" s="1"/>
  <c r="C30" i="11"/>
  <c r="C30" i="9" s="1"/>
  <c r="D30" i="11"/>
  <c r="D30" i="9" s="1"/>
  <c r="E30" i="11"/>
  <c r="E30" i="9" s="1"/>
  <c r="F30" i="11"/>
  <c r="F30" i="9" s="1"/>
  <c r="G30" i="11"/>
  <c r="G30" i="9" s="1"/>
  <c r="H30" i="11"/>
  <c r="H30" i="9" s="1"/>
  <c r="I30" i="11"/>
  <c r="I30" i="9" s="1"/>
  <c r="J30" i="11"/>
  <c r="J30" i="9" s="1"/>
  <c r="K30" i="11"/>
  <c r="K30" i="9" s="1"/>
  <c r="L30" i="11"/>
  <c r="L30" i="9" s="1"/>
  <c r="M30" i="11"/>
  <c r="M30" i="9" s="1"/>
  <c r="N30" i="11"/>
  <c r="N30" i="9" s="1"/>
  <c r="O30" i="11"/>
  <c r="O30" i="9" s="1"/>
  <c r="P30" i="11"/>
  <c r="P30" i="9" s="1"/>
  <c r="Q30" i="11"/>
  <c r="Q30" i="9" s="1"/>
  <c r="R30" i="11"/>
  <c r="R30" i="9" s="1"/>
  <c r="S30" i="11"/>
  <c r="S30" i="9" s="1"/>
  <c r="T30" i="11"/>
  <c r="T30" i="9" s="1"/>
  <c r="U30" i="11"/>
  <c r="U30" i="9" s="1"/>
  <c r="V30" i="11"/>
  <c r="V30" i="9" s="1"/>
  <c r="W30" i="11"/>
  <c r="W30" i="9" s="1"/>
  <c r="X30" i="11"/>
  <c r="X30" i="9" s="1"/>
  <c r="Y30" i="11"/>
  <c r="Y30" i="9" s="1"/>
  <c r="Z30" i="11"/>
  <c r="Z30" i="9" s="1"/>
  <c r="AA30" i="11"/>
  <c r="AA30" i="9" s="1"/>
  <c r="AB30" i="11"/>
  <c r="AB30" i="9" s="1"/>
  <c r="AC30" i="11"/>
  <c r="AC30" i="9" s="1"/>
  <c r="AD30" i="11"/>
  <c r="AD30" i="9" s="1"/>
  <c r="AE30" i="11"/>
  <c r="AE30" i="9" s="1"/>
  <c r="AF30" i="11"/>
  <c r="AF30" i="9" s="1"/>
  <c r="B32" i="11"/>
  <c r="B32" i="9" s="1"/>
  <c r="C32" i="11"/>
  <c r="C32" i="9" s="1"/>
  <c r="D32" i="11"/>
  <c r="D32" i="9" s="1"/>
  <c r="E32" i="11"/>
  <c r="E32" i="9" s="1"/>
  <c r="F32" i="11"/>
  <c r="F32" i="9" s="1"/>
  <c r="G32" i="11"/>
  <c r="G32" i="9" s="1"/>
  <c r="H32" i="11"/>
  <c r="H32" i="9" s="1"/>
  <c r="I32" i="11"/>
  <c r="I32" i="9" s="1"/>
  <c r="J32" i="11"/>
  <c r="J32" i="9" s="1"/>
  <c r="K32" i="11"/>
  <c r="K32" i="9" s="1"/>
  <c r="L32" i="11"/>
  <c r="L32" i="9" s="1"/>
  <c r="M32" i="11"/>
  <c r="M32" i="9" s="1"/>
  <c r="N32" i="11"/>
  <c r="N32" i="9" s="1"/>
  <c r="O32" i="11"/>
  <c r="O32" i="9" s="1"/>
  <c r="P32" i="11"/>
  <c r="P32" i="9" s="1"/>
  <c r="Q32" i="11"/>
  <c r="Q32" i="9" s="1"/>
  <c r="R32" i="11"/>
  <c r="R32" i="9" s="1"/>
  <c r="S32" i="11"/>
  <c r="S32" i="9" s="1"/>
  <c r="T32" i="11"/>
  <c r="T32" i="9" s="1"/>
  <c r="U32" i="11"/>
  <c r="U32" i="9" s="1"/>
  <c r="V32" i="11"/>
  <c r="V32" i="9" s="1"/>
  <c r="W32" i="11"/>
  <c r="W32" i="9" s="1"/>
  <c r="X32" i="11"/>
  <c r="X32" i="9" s="1"/>
  <c r="Y32" i="11"/>
  <c r="Y32" i="9" s="1"/>
  <c r="Z32" i="11"/>
  <c r="Z32" i="9" s="1"/>
  <c r="AA32" i="11"/>
  <c r="AA32" i="9" s="1"/>
  <c r="AB32" i="11"/>
  <c r="AB32" i="9" s="1"/>
  <c r="AC32" i="11"/>
  <c r="AC32" i="9" s="1"/>
  <c r="AD32" i="11"/>
  <c r="AD32" i="9" s="1"/>
  <c r="AE32" i="11"/>
  <c r="AE32" i="9" s="1"/>
  <c r="AF32" i="11"/>
  <c r="AF32" i="9" s="1"/>
  <c r="B33" i="11"/>
  <c r="B33" i="9" s="1"/>
  <c r="C33" i="11"/>
  <c r="C33" i="9" s="1"/>
  <c r="D33" i="11"/>
  <c r="D33" i="9" s="1"/>
  <c r="E33" i="11"/>
  <c r="E33" i="9" s="1"/>
  <c r="F33" i="11"/>
  <c r="F33" i="9" s="1"/>
  <c r="G33" i="11"/>
  <c r="G33" i="9" s="1"/>
  <c r="H33" i="11"/>
  <c r="H33" i="9" s="1"/>
  <c r="I33" i="11"/>
  <c r="I33" i="9" s="1"/>
  <c r="J33" i="11"/>
  <c r="J33" i="9" s="1"/>
  <c r="K33" i="11"/>
  <c r="K33" i="9" s="1"/>
  <c r="L33" i="11"/>
  <c r="L33" i="9" s="1"/>
  <c r="M33" i="11"/>
  <c r="M33" i="9" s="1"/>
  <c r="N33" i="11"/>
  <c r="N33" i="9" s="1"/>
  <c r="O33" i="11"/>
  <c r="O33" i="9" s="1"/>
  <c r="P33" i="11"/>
  <c r="P33" i="9" s="1"/>
  <c r="Q33" i="11"/>
  <c r="Q33" i="9" s="1"/>
  <c r="R33" i="11"/>
  <c r="R33" i="9" s="1"/>
  <c r="S33" i="11"/>
  <c r="S33" i="9" s="1"/>
  <c r="T33" i="11"/>
  <c r="T33" i="9" s="1"/>
  <c r="U33" i="11"/>
  <c r="U33" i="9" s="1"/>
  <c r="V33" i="11"/>
  <c r="V33" i="9" s="1"/>
  <c r="W33" i="11"/>
  <c r="W33" i="9" s="1"/>
  <c r="X33" i="11"/>
  <c r="X33" i="9" s="1"/>
  <c r="Y33" i="11"/>
  <c r="Y33" i="9" s="1"/>
  <c r="Z33" i="11"/>
  <c r="Z33" i="9" s="1"/>
  <c r="AA33" i="11"/>
  <c r="AA33" i="9" s="1"/>
  <c r="AB33" i="11"/>
  <c r="AB33" i="9" s="1"/>
  <c r="AC33" i="11"/>
  <c r="AC33" i="9" s="1"/>
  <c r="AD33" i="11"/>
  <c r="AD33" i="9" s="1"/>
  <c r="AE33" i="11"/>
  <c r="AE33" i="9" s="1"/>
  <c r="AF33" i="11"/>
  <c r="AF33" i="9" s="1"/>
  <c r="B34" i="11"/>
  <c r="B34" i="9" s="1"/>
  <c r="C34" i="11"/>
  <c r="C34" i="9" s="1"/>
  <c r="D34" i="11"/>
  <c r="D34" i="9" s="1"/>
  <c r="E34" i="11"/>
  <c r="E34" i="9" s="1"/>
  <c r="F34" i="11"/>
  <c r="F34" i="9" s="1"/>
  <c r="G34" i="11"/>
  <c r="G34" i="9" s="1"/>
  <c r="H34" i="11"/>
  <c r="H34" i="9" s="1"/>
  <c r="I34" i="11"/>
  <c r="I34" i="9" s="1"/>
  <c r="J34" i="11"/>
  <c r="J34" i="9" s="1"/>
  <c r="K34" i="11"/>
  <c r="K34" i="9" s="1"/>
  <c r="L34" i="11"/>
  <c r="L34" i="9" s="1"/>
  <c r="M34" i="11"/>
  <c r="M34" i="9" s="1"/>
  <c r="N34" i="11"/>
  <c r="N34" i="9" s="1"/>
  <c r="O34" i="11"/>
  <c r="O34" i="9" s="1"/>
  <c r="P34" i="11"/>
  <c r="P34" i="9" s="1"/>
  <c r="Q34" i="11"/>
  <c r="Q34" i="9" s="1"/>
  <c r="R34" i="11"/>
  <c r="R34" i="9" s="1"/>
  <c r="S34" i="11"/>
  <c r="S34" i="9" s="1"/>
  <c r="T34" i="11"/>
  <c r="T34" i="9" s="1"/>
  <c r="U34" i="11"/>
  <c r="U34" i="9" s="1"/>
  <c r="V34" i="11"/>
  <c r="V34" i="9" s="1"/>
  <c r="W34" i="11"/>
  <c r="W34" i="9" s="1"/>
  <c r="X34" i="11"/>
  <c r="X34" i="9" s="1"/>
  <c r="Y34" i="11"/>
  <c r="Y34" i="9" s="1"/>
  <c r="Z34" i="11"/>
  <c r="Z34" i="9" s="1"/>
  <c r="AA34" i="11"/>
  <c r="AA34" i="9" s="1"/>
  <c r="AB34" i="11"/>
  <c r="AB34" i="9" s="1"/>
  <c r="AC34" i="11"/>
  <c r="AC34" i="9" s="1"/>
  <c r="AD34" i="11"/>
  <c r="AD34" i="9" s="1"/>
  <c r="AE34" i="11"/>
  <c r="AE34" i="9" s="1"/>
  <c r="AF34" i="11"/>
  <c r="AF34" i="9" s="1"/>
  <c r="B35" i="11"/>
  <c r="B35" i="9" s="1"/>
  <c r="C35" i="11"/>
  <c r="C35" i="9" s="1"/>
  <c r="D35" i="11"/>
  <c r="D35" i="9" s="1"/>
  <c r="E35" i="11"/>
  <c r="E35" i="9" s="1"/>
  <c r="F35" i="11"/>
  <c r="F35" i="9" s="1"/>
  <c r="G35" i="11"/>
  <c r="G35" i="9" s="1"/>
  <c r="H35" i="11"/>
  <c r="H35" i="9" s="1"/>
  <c r="I35" i="11"/>
  <c r="I35" i="9" s="1"/>
  <c r="J35" i="11"/>
  <c r="J35" i="9" s="1"/>
  <c r="K35" i="11"/>
  <c r="K35" i="9" s="1"/>
  <c r="L35" i="11"/>
  <c r="L35" i="9" s="1"/>
  <c r="M35" i="11"/>
  <c r="M35" i="9" s="1"/>
  <c r="N35" i="11"/>
  <c r="N35" i="9" s="1"/>
  <c r="O35" i="11"/>
  <c r="O35" i="9" s="1"/>
  <c r="P35" i="11"/>
  <c r="P35" i="9" s="1"/>
  <c r="Q35" i="11"/>
  <c r="Q35" i="9" s="1"/>
  <c r="R35" i="11"/>
  <c r="R35" i="9" s="1"/>
  <c r="S35" i="11"/>
  <c r="S35" i="9" s="1"/>
  <c r="T35" i="11"/>
  <c r="T35" i="9" s="1"/>
  <c r="U35" i="11"/>
  <c r="U35" i="9" s="1"/>
  <c r="V35" i="11"/>
  <c r="V35" i="9" s="1"/>
  <c r="W35" i="11"/>
  <c r="W35" i="9" s="1"/>
  <c r="X35" i="11"/>
  <c r="X35" i="9" s="1"/>
  <c r="Y35" i="11"/>
  <c r="Y35" i="9" s="1"/>
  <c r="Z35" i="11"/>
  <c r="Z35" i="9" s="1"/>
  <c r="AA35" i="11"/>
  <c r="AA35" i="9" s="1"/>
  <c r="AB35" i="11"/>
  <c r="AB35" i="9" s="1"/>
  <c r="AC35" i="11"/>
  <c r="AC35" i="9" s="1"/>
  <c r="AD35" i="11"/>
  <c r="AD35" i="9" s="1"/>
  <c r="AE35" i="11"/>
  <c r="AE35" i="9" s="1"/>
  <c r="AF35" i="11"/>
  <c r="AF35" i="9" s="1"/>
  <c r="B36" i="11"/>
  <c r="B36" i="9" s="1"/>
  <c r="C36" i="11"/>
  <c r="C36" i="9" s="1"/>
  <c r="D36" i="11"/>
  <c r="D36" i="9" s="1"/>
  <c r="E36" i="11"/>
  <c r="E36" i="9" s="1"/>
  <c r="F36" i="11"/>
  <c r="F36" i="9" s="1"/>
  <c r="G36" i="11"/>
  <c r="G36" i="9" s="1"/>
  <c r="H36" i="11"/>
  <c r="H36" i="9" s="1"/>
  <c r="I36" i="11"/>
  <c r="I36" i="9" s="1"/>
  <c r="J36" i="11"/>
  <c r="J36" i="9" s="1"/>
  <c r="K36" i="11"/>
  <c r="K36" i="9" s="1"/>
  <c r="L36" i="11"/>
  <c r="L36" i="9" s="1"/>
  <c r="M36" i="11"/>
  <c r="M36" i="9" s="1"/>
  <c r="N36" i="11"/>
  <c r="N36" i="9" s="1"/>
  <c r="O36" i="11"/>
  <c r="O36" i="9" s="1"/>
  <c r="P36" i="11"/>
  <c r="P36" i="9" s="1"/>
  <c r="Q36" i="11"/>
  <c r="Q36" i="9" s="1"/>
  <c r="R36" i="11"/>
  <c r="R36" i="9" s="1"/>
  <c r="S36" i="11"/>
  <c r="S36" i="9" s="1"/>
  <c r="T36" i="11"/>
  <c r="T36" i="9" s="1"/>
  <c r="U36" i="11"/>
  <c r="U36" i="9" s="1"/>
  <c r="V36" i="11"/>
  <c r="V36" i="9" s="1"/>
  <c r="W36" i="11"/>
  <c r="W36" i="9" s="1"/>
  <c r="X36" i="11"/>
  <c r="X36" i="9" s="1"/>
  <c r="Y36" i="11"/>
  <c r="Y36" i="9" s="1"/>
  <c r="Z36" i="11"/>
  <c r="Z36" i="9" s="1"/>
  <c r="AA36" i="11"/>
  <c r="AA36" i="9" s="1"/>
  <c r="AB36" i="11"/>
  <c r="AB36" i="9" s="1"/>
  <c r="AC36" i="11"/>
  <c r="AC36" i="9" s="1"/>
  <c r="AD36" i="11"/>
  <c r="AD36" i="9" s="1"/>
  <c r="AE36" i="11"/>
  <c r="AE36" i="9" s="1"/>
  <c r="AF36" i="11"/>
  <c r="AF36" i="9" s="1"/>
  <c r="B37" i="11"/>
  <c r="B37" i="9" s="1"/>
  <c r="C37" i="11"/>
  <c r="C37" i="9" s="1"/>
  <c r="D37" i="11"/>
  <c r="D37" i="9" s="1"/>
  <c r="E37" i="11"/>
  <c r="E37" i="9" s="1"/>
  <c r="F37" i="11"/>
  <c r="F37" i="9" s="1"/>
  <c r="G37" i="11"/>
  <c r="G37" i="9" s="1"/>
  <c r="H37" i="11"/>
  <c r="H37" i="9" s="1"/>
  <c r="I37" i="11"/>
  <c r="I37" i="9" s="1"/>
  <c r="J37" i="11"/>
  <c r="J37" i="9" s="1"/>
  <c r="K37" i="11"/>
  <c r="K37" i="9" s="1"/>
  <c r="L37" i="11"/>
  <c r="L37" i="9" s="1"/>
  <c r="M37" i="11"/>
  <c r="M37" i="9" s="1"/>
  <c r="N37" i="11"/>
  <c r="N37" i="9" s="1"/>
  <c r="O37" i="11"/>
  <c r="O37" i="9" s="1"/>
  <c r="P37" i="11"/>
  <c r="P37" i="9" s="1"/>
  <c r="Q37" i="11"/>
  <c r="Q37" i="9" s="1"/>
  <c r="R37" i="11"/>
  <c r="R37" i="9" s="1"/>
  <c r="S37" i="11"/>
  <c r="S37" i="9" s="1"/>
  <c r="T37" i="11"/>
  <c r="T37" i="9" s="1"/>
  <c r="U37" i="11"/>
  <c r="U37" i="9" s="1"/>
  <c r="V37" i="11"/>
  <c r="V37" i="9" s="1"/>
  <c r="W37" i="11"/>
  <c r="W37" i="9" s="1"/>
  <c r="X37" i="11"/>
  <c r="X37" i="9" s="1"/>
  <c r="Y37" i="11"/>
  <c r="Y37" i="9" s="1"/>
  <c r="Z37" i="11"/>
  <c r="Z37" i="9" s="1"/>
  <c r="AA37" i="11"/>
  <c r="AA37" i="9" s="1"/>
  <c r="AB37" i="11"/>
  <c r="AB37" i="9" s="1"/>
  <c r="AC37" i="11"/>
  <c r="AC37" i="9" s="1"/>
  <c r="AD37" i="11"/>
  <c r="AD37" i="9" s="1"/>
  <c r="AE37" i="11"/>
  <c r="AE37" i="9" s="1"/>
  <c r="AF37" i="11"/>
  <c r="AF37" i="9" s="1"/>
  <c r="B38" i="11"/>
  <c r="B38" i="9" s="1"/>
  <c r="C38" i="11"/>
  <c r="C38" i="9" s="1"/>
  <c r="D38" i="11"/>
  <c r="D38" i="9" s="1"/>
  <c r="E38" i="11"/>
  <c r="E38" i="9" s="1"/>
  <c r="F38" i="11"/>
  <c r="F38" i="9" s="1"/>
  <c r="G38" i="11"/>
  <c r="G38" i="9" s="1"/>
  <c r="H38" i="11"/>
  <c r="H38" i="9" s="1"/>
  <c r="I38" i="11"/>
  <c r="I38" i="9" s="1"/>
  <c r="J38" i="11"/>
  <c r="J38" i="9" s="1"/>
  <c r="K38" i="11"/>
  <c r="K38" i="9" s="1"/>
  <c r="L38" i="11"/>
  <c r="L38" i="9" s="1"/>
  <c r="M38" i="11"/>
  <c r="M38" i="9" s="1"/>
  <c r="N38" i="11"/>
  <c r="N38" i="9" s="1"/>
  <c r="O38" i="11"/>
  <c r="O38" i="9" s="1"/>
  <c r="P38" i="11"/>
  <c r="P38" i="9" s="1"/>
  <c r="Q38" i="11"/>
  <c r="Q38" i="9" s="1"/>
  <c r="R38" i="11"/>
  <c r="R38" i="9" s="1"/>
  <c r="S38" i="11"/>
  <c r="S38" i="9" s="1"/>
  <c r="T38" i="11"/>
  <c r="T38" i="9" s="1"/>
  <c r="U38" i="11"/>
  <c r="U38" i="9" s="1"/>
  <c r="V38" i="11"/>
  <c r="V38" i="9" s="1"/>
  <c r="W38" i="11"/>
  <c r="W38" i="9" s="1"/>
  <c r="X38" i="11"/>
  <c r="X38" i="9" s="1"/>
  <c r="Y38" i="11"/>
  <c r="Y38" i="9" s="1"/>
  <c r="Z38" i="11"/>
  <c r="Z38" i="9" s="1"/>
  <c r="AA38" i="11"/>
  <c r="AA38" i="9" s="1"/>
  <c r="AB38" i="11"/>
  <c r="AB38" i="9" s="1"/>
  <c r="AC38" i="11"/>
  <c r="AC38" i="9" s="1"/>
  <c r="AD38" i="11"/>
  <c r="AD38" i="9" s="1"/>
  <c r="AE38" i="11"/>
  <c r="AE38" i="9" s="1"/>
  <c r="AF38" i="11"/>
  <c r="AF38" i="9" s="1"/>
  <c r="B39" i="11"/>
  <c r="B39" i="9" s="1"/>
  <c r="C39" i="11"/>
  <c r="C39" i="9" s="1"/>
  <c r="D39" i="11"/>
  <c r="D39" i="9" s="1"/>
  <c r="E39" i="11"/>
  <c r="E39" i="9" s="1"/>
  <c r="F39" i="11"/>
  <c r="F39" i="9" s="1"/>
  <c r="G39" i="11"/>
  <c r="G39" i="9" s="1"/>
  <c r="H39" i="11"/>
  <c r="H39" i="9" s="1"/>
  <c r="I39" i="11"/>
  <c r="I39" i="9" s="1"/>
  <c r="J39" i="11"/>
  <c r="J39" i="9" s="1"/>
  <c r="K39" i="11"/>
  <c r="K39" i="9" s="1"/>
  <c r="L39" i="11"/>
  <c r="L39" i="9" s="1"/>
  <c r="M39" i="11"/>
  <c r="M39" i="9" s="1"/>
  <c r="N39" i="11"/>
  <c r="N39" i="9" s="1"/>
  <c r="O39" i="11"/>
  <c r="O39" i="9" s="1"/>
  <c r="P39" i="11"/>
  <c r="P39" i="9" s="1"/>
  <c r="Q39" i="11"/>
  <c r="Q39" i="9" s="1"/>
  <c r="R39" i="11"/>
  <c r="R39" i="9" s="1"/>
  <c r="S39" i="11"/>
  <c r="S39" i="9" s="1"/>
  <c r="T39" i="11"/>
  <c r="T39" i="9" s="1"/>
  <c r="U39" i="11"/>
  <c r="U39" i="9" s="1"/>
  <c r="V39" i="11"/>
  <c r="V39" i="9" s="1"/>
  <c r="W39" i="11"/>
  <c r="W39" i="9" s="1"/>
  <c r="X39" i="11"/>
  <c r="X39" i="9" s="1"/>
  <c r="Y39" i="11"/>
  <c r="Y39" i="9" s="1"/>
  <c r="Z39" i="11"/>
  <c r="Z39" i="9" s="1"/>
  <c r="AA39" i="11"/>
  <c r="AA39" i="9" s="1"/>
  <c r="AB39" i="11"/>
  <c r="AB39" i="9" s="1"/>
  <c r="AC39" i="11"/>
  <c r="AC39" i="9" s="1"/>
  <c r="AD39" i="11"/>
  <c r="AD39" i="9" s="1"/>
  <c r="AE39" i="11"/>
  <c r="AE39" i="9" s="1"/>
  <c r="AF39" i="11"/>
  <c r="AF39" i="9" s="1"/>
  <c r="B40" i="11"/>
  <c r="B40" i="9" s="1"/>
  <c r="C40" i="11"/>
  <c r="C40" i="9" s="1"/>
  <c r="D40" i="11"/>
  <c r="D40" i="9" s="1"/>
  <c r="E40" i="11"/>
  <c r="E40" i="9" s="1"/>
  <c r="F40" i="11"/>
  <c r="F40" i="9" s="1"/>
  <c r="G40" i="11"/>
  <c r="G40" i="9" s="1"/>
  <c r="H40" i="11"/>
  <c r="H40" i="9" s="1"/>
  <c r="I40" i="11"/>
  <c r="I40" i="9" s="1"/>
  <c r="J40" i="11"/>
  <c r="J40" i="9" s="1"/>
  <c r="K40" i="11"/>
  <c r="K40" i="9" s="1"/>
  <c r="L40" i="11"/>
  <c r="L40" i="9" s="1"/>
  <c r="M40" i="11"/>
  <c r="M40" i="9" s="1"/>
  <c r="N40" i="11"/>
  <c r="N40" i="9" s="1"/>
  <c r="O40" i="11"/>
  <c r="O40" i="9" s="1"/>
  <c r="P40" i="11"/>
  <c r="P40" i="9" s="1"/>
  <c r="Q40" i="11"/>
  <c r="Q40" i="9" s="1"/>
  <c r="R40" i="11"/>
  <c r="R40" i="9" s="1"/>
  <c r="S40" i="11"/>
  <c r="S40" i="9" s="1"/>
  <c r="T40" i="11"/>
  <c r="T40" i="9" s="1"/>
  <c r="U40" i="11"/>
  <c r="U40" i="9" s="1"/>
  <c r="V40" i="11"/>
  <c r="V40" i="9" s="1"/>
  <c r="W40" i="11"/>
  <c r="W40" i="9" s="1"/>
  <c r="X40" i="11"/>
  <c r="X40" i="9" s="1"/>
  <c r="Y40" i="11"/>
  <c r="Y40" i="9" s="1"/>
  <c r="Z40" i="11"/>
  <c r="Z40" i="9" s="1"/>
  <c r="AA40" i="11"/>
  <c r="AA40" i="9" s="1"/>
  <c r="AB40" i="11"/>
  <c r="AB40" i="9" s="1"/>
  <c r="AC40" i="11"/>
  <c r="AC40" i="9" s="1"/>
  <c r="AD40" i="11"/>
  <c r="AD40" i="9" s="1"/>
  <c r="AE40" i="11"/>
  <c r="AE40" i="9" s="1"/>
  <c r="AF40" i="11"/>
  <c r="AF40" i="9" s="1"/>
  <c r="B41" i="11"/>
  <c r="B41" i="9" s="1"/>
  <c r="C41" i="11"/>
  <c r="C41" i="9" s="1"/>
  <c r="D41" i="11"/>
  <c r="D41" i="9" s="1"/>
  <c r="E41" i="11"/>
  <c r="E41" i="9" s="1"/>
  <c r="F41" i="11"/>
  <c r="F41" i="9" s="1"/>
  <c r="G41" i="11"/>
  <c r="G41" i="9" s="1"/>
  <c r="H41" i="11"/>
  <c r="H41" i="9" s="1"/>
  <c r="I41" i="11"/>
  <c r="I41" i="9" s="1"/>
  <c r="J41" i="11"/>
  <c r="J41" i="9" s="1"/>
  <c r="K41" i="11"/>
  <c r="K41" i="9" s="1"/>
  <c r="L41" i="11"/>
  <c r="L41" i="9" s="1"/>
  <c r="M41" i="11"/>
  <c r="M41" i="9" s="1"/>
  <c r="N41" i="11"/>
  <c r="N41" i="9" s="1"/>
  <c r="O41" i="11"/>
  <c r="O41" i="9" s="1"/>
  <c r="P41" i="11"/>
  <c r="P41" i="9" s="1"/>
  <c r="Q41" i="11"/>
  <c r="Q41" i="9" s="1"/>
  <c r="R41" i="11"/>
  <c r="R41" i="9" s="1"/>
  <c r="S41" i="11"/>
  <c r="S41" i="9" s="1"/>
  <c r="T41" i="11"/>
  <c r="T41" i="9" s="1"/>
  <c r="U41" i="11"/>
  <c r="U41" i="9" s="1"/>
  <c r="V41" i="11"/>
  <c r="V41" i="9" s="1"/>
  <c r="W41" i="11"/>
  <c r="W41" i="9" s="1"/>
  <c r="X41" i="11"/>
  <c r="X41" i="9" s="1"/>
  <c r="Y41" i="11"/>
  <c r="Y41" i="9" s="1"/>
  <c r="Z41" i="11"/>
  <c r="Z41" i="9" s="1"/>
  <c r="AA41" i="11"/>
  <c r="AA41" i="9" s="1"/>
  <c r="AB41" i="11"/>
  <c r="AB41" i="9" s="1"/>
  <c r="AC41" i="11"/>
  <c r="AC41" i="9" s="1"/>
  <c r="AD41" i="11"/>
  <c r="AD41" i="9" s="1"/>
  <c r="AE41" i="11"/>
  <c r="AE41" i="9" s="1"/>
  <c r="AF41" i="11"/>
  <c r="AF41" i="9" s="1"/>
  <c r="B42" i="11"/>
  <c r="B42" i="9" s="1"/>
  <c r="C42" i="11"/>
  <c r="C42" i="9" s="1"/>
  <c r="D42" i="11"/>
  <c r="D42" i="9" s="1"/>
  <c r="E42" i="11"/>
  <c r="E42" i="9" s="1"/>
  <c r="F42" i="11"/>
  <c r="F42" i="9" s="1"/>
  <c r="G42" i="11"/>
  <c r="G42" i="9" s="1"/>
  <c r="H42" i="11"/>
  <c r="H42" i="9" s="1"/>
  <c r="I42" i="11"/>
  <c r="I42" i="9" s="1"/>
  <c r="J42" i="11"/>
  <c r="J42" i="9" s="1"/>
  <c r="K42" i="11"/>
  <c r="K42" i="9" s="1"/>
  <c r="L42" i="11"/>
  <c r="L42" i="9" s="1"/>
  <c r="M42" i="11"/>
  <c r="M42" i="9" s="1"/>
  <c r="N42" i="11"/>
  <c r="N42" i="9" s="1"/>
  <c r="O42" i="11"/>
  <c r="O42" i="9" s="1"/>
  <c r="P42" i="11"/>
  <c r="P42" i="9" s="1"/>
  <c r="Q42" i="11"/>
  <c r="Q42" i="9" s="1"/>
  <c r="R42" i="11"/>
  <c r="R42" i="9" s="1"/>
  <c r="S42" i="11"/>
  <c r="S42" i="9" s="1"/>
  <c r="T42" i="11"/>
  <c r="T42" i="9" s="1"/>
  <c r="U42" i="11"/>
  <c r="U42" i="9" s="1"/>
  <c r="V42" i="11"/>
  <c r="V42" i="9" s="1"/>
  <c r="W42" i="11"/>
  <c r="W42" i="9" s="1"/>
  <c r="X42" i="11"/>
  <c r="X42" i="9" s="1"/>
  <c r="Y42" i="11"/>
  <c r="Y42" i="9" s="1"/>
  <c r="Z42" i="11"/>
  <c r="Z42" i="9" s="1"/>
  <c r="AA42" i="11"/>
  <c r="AA42" i="9" s="1"/>
  <c r="AB42" i="11"/>
  <c r="AB42" i="9" s="1"/>
  <c r="AC42" i="11"/>
  <c r="AC42" i="9" s="1"/>
  <c r="AD42" i="11"/>
  <c r="AD42" i="9" s="1"/>
  <c r="AE42" i="11"/>
  <c r="AE42" i="9" s="1"/>
  <c r="AF42" i="11"/>
  <c r="AF42" i="9" s="1"/>
  <c r="B43" i="11"/>
  <c r="B43" i="9" s="1"/>
  <c r="C43" i="11"/>
  <c r="C43" i="9" s="1"/>
  <c r="D43" i="11"/>
  <c r="D43" i="9" s="1"/>
  <c r="E43" i="11"/>
  <c r="E43" i="9" s="1"/>
  <c r="F43" i="11"/>
  <c r="F43" i="9" s="1"/>
  <c r="G43" i="11"/>
  <c r="G43" i="9" s="1"/>
  <c r="H43" i="11"/>
  <c r="H43" i="9" s="1"/>
  <c r="I43" i="11"/>
  <c r="I43" i="9" s="1"/>
  <c r="J43" i="11"/>
  <c r="J43" i="9" s="1"/>
  <c r="K43" i="11"/>
  <c r="K43" i="9" s="1"/>
  <c r="L43" i="11"/>
  <c r="L43" i="9" s="1"/>
  <c r="M43" i="11"/>
  <c r="M43" i="9" s="1"/>
  <c r="N43" i="11"/>
  <c r="N43" i="9" s="1"/>
  <c r="O43" i="11"/>
  <c r="O43" i="9" s="1"/>
  <c r="P43" i="11"/>
  <c r="P43" i="9" s="1"/>
  <c r="Q43" i="11"/>
  <c r="Q43" i="9" s="1"/>
  <c r="R43" i="11"/>
  <c r="R43" i="9" s="1"/>
  <c r="S43" i="11"/>
  <c r="S43" i="9" s="1"/>
  <c r="T43" i="11"/>
  <c r="T43" i="9" s="1"/>
  <c r="U43" i="11"/>
  <c r="U43" i="9" s="1"/>
  <c r="V43" i="11"/>
  <c r="V43" i="9" s="1"/>
  <c r="W43" i="11"/>
  <c r="W43" i="9" s="1"/>
  <c r="X43" i="11"/>
  <c r="X43" i="9" s="1"/>
  <c r="Y43" i="11"/>
  <c r="Y43" i="9" s="1"/>
  <c r="Z43" i="11"/>
  <c r="Z43" i="9" s="1"/>
  <c r="AA43" i="11"/>
  <c r="AA43" i="9" s="1"/>
  <c r="AB43" i="11"/>
  <c r="AB43" i="9" s="1"/>
  <c r="AC43" i="11"/>
  <c r="AC43" i="9" s="1"/>
  <c r="AD43" i="11"/>
  <c r="AD43" i="9" s="1"/>
  <c r="AE43" i="11"/>
  <c r="AE43" i="9" s="1"/>
  <c r="AF43" i="11"/>
  <c r="AF43" i="9" s="1"/>
  <c r="B44" i="11"/>
  <c r="B44" i="9" s="1"/>
  <c r="C44" i="11"/>
  <c r="C44" i="9" s="1"/>
  <c r="D44" i="11"/>
  <c r="D44" i="9" s="1"/>
  <c r="E44" i="11"/>
  <c r="E44" i="9" s="1"/>
  <c r="F44" i="11"/>
  <c r="F44" i="9" s="1"/>
  <c r="G44" i="11"/>
  <c r="G44" i="9" s="1"/>
  <c r="H44" i="11"/>
  <c r="H44" i="9" s="1"/>
  <c r="I44" i="11"/>
  <c r="I44" i="9" s="1"/>
  <c r="J44" i="11"/>
  <c r="J44" i="9" s="1"/>
  <c r="K44" i="11"/>
  <c r="K44" i="9" s="1"/>
  <c r="L44" i="11"/>
  <c r="L44" i="9" s="1"/>
  <c r="M44" i="11"/>
  <c r="M44" i="9" s="1"/>
  <c r="N44" i="11"/>
  <c r="N44" i="9" s="1"/>
  <c r="O44" i="11"/>
  <c r="O44" i="9" s="1"/>
  <c r="P44" i="11"/>
  <c r="P44" i="9" s="1"/>
  <c r="Q44" i="11"/>
  <c r="Q44" i="9" s="1"/>
  <c r="R44" i="11"/>
  <c r="R44" i="9" s="1"/>
  <c r="S44" i="11"/>
  <c r="S44" i="9" s="1"/>
  <c r="T44" i="11"/>
  <c r="T44" i="9" s="1"/>
  <c r="U44" i="11"/>
  <c r="U44" i="9" s="1"/>
  <c r="V44" i="11"/>
  <c r="V44" i="9" s="1"/>
  <c r="W44" i="11"/>
  <c r="W44" i="9" s="1"/>
  <c r="X44" i="11"/>
  <c r="X44" i="9" s="1"/>
  <c r="Y44" i="11"/>
  <c r="Y44" i="9" s="1"/>
  <c r="Z44" i="11"/>
  <c r="Z44" i="9" s="1"/>
  <c r="AA44" i="11"/>
  <c r="AA44" i="9" s="1"/>
  <c r="AB44" i="11"/>
  <c r="AB44" i="9" s="1"/>
  <c r="AC44" i="11"/>
  <c r="AC44" i="9" s="1"/>
  <c r="AD44" i="11"/>
  <c r="AD44" i="9" s="1"/>
  <c r="AE44" i="11"/>
  <c r="AE44" i="9" s="1"/>
  <c r="AF44" i="11"/>
  <c r="AF44" i="9" s="1"/>
  <c r="B45" i="11"/>
  <c r="B45" i="9" s="1"/>
  <c r="C45" i="11"/>
  <c r="C45" i="9" s="1"/>
  <c r="D45" i="11"/>
  <c r="D45" i="9" s="1"/>
  <c r="E45" i="11"/>
  <c r="E45" i="9" s="1"/>
  <c r="F45" i="11"/>
  <c r="F45" i="9" s="1"/>
  <c r="G45" i="11"/>
  <c r="G45" i="9" s="1"/>
  <c r="H45" i="11"/>
  <c r="H45" i="9" s="1"/>
  <c r="I45" i="11"/>
  <c r="I45" i="9" s="1"/>
  <c r="J45" i="11"/>
  <c r="J45" i="9" s="1"/>
  <c r="K45" i="11"/>
  <c r="K45" i="9" s="1"/>
  <c r="L45" i="11"/>
  <c r="L45" i="9" s="1"/>
  <c r="M45" i="11"/>
  <c r="M45" i="9" s="1"/>
  <c r="N45" i="11"/>
  <c r="N45" i="9" s="1"/>
  <c r="O45" i="11"/>
  <c r="O45" i="9" s="1"/>
  <c r="P45" i="11"/>
  <c r="P45" i="9" s="1"/>
  <c r="Q45" i="11"/>
  <c r="Q45" i="9" s="1"/>
  <c r="R45" i="11"/>
  <c r="R45" i="9" s="1"/>
  <c r="S45" i="11"/>
  <c r="S45" i="9" s="1"/>
  <c r="T45" i="11"/>
  <c r="T45" i="9" s="1"/>
  <c r="U45" i="11"/>
  <c r="U45" i="9" s="1"/>
  <c r="V45" i="11"/>
  <c r="V45" i="9" s="1"/>
  <c r="W45" i="11"/>
  <c r="W45" i="9" s="1"/>
  <c r="X45" i="11"/>
  <c r="X45" i="9" s="1"/>
  <c r="Y45" i="11"/>
  <c r="Y45" i="9" s="1"/>
  <c r="Z45" i="11"/>
  <c r="Z45" i="9" s="1"/>
  <c r="AA45" i="11"/>
  <c r="AA45" i="9" s="1"/>
  <c r="AB45" i="11"/>
  <c r="AB45" i="9" s="1"/>
  <c r="AC45" i="11"/>
  <c r="AC45" i="9" s="1"/>
  <c r="AD45" i="11"/>
  <c r="AD45" i="9" s="1"/>
  <c r="AE45" i="11"/>
  <c r="AE45" i="9" s="1"/>
  <c r="AF45" i="11"/>
  <c r="AF45" i="9" s="1"/>
  <c r="B46" i="11"/>
  <c r="B46" i="9" s="1"/>
  <c r="C46" i="11"/>
  <c r="C46" i="9" s="1"/>
  <c r="D46" i="11"/>
  <c r="D46" i="9" s="1"/>
  <c r="E46" i="11"/>
  <c r="E46" i="9" s="1"/>
  <c r="F46" i="11"/>
  <c r="F46" i="9" s="1"/>
  <c r="G46" i="11"/>
  <c r="G46" i="9" s="1"/>
  <c r="H46" i="11"/>
  <c r="H46" i="9" s="1"/>
  <c r="I46" i="11"/>
  <c r="I46" i="9" s="1"/>
  <c r="J46" i="11"/>
  <c r="J46" i="9" s="1"/>
  <c r="K46" i="11"/>
  <c r="K46" i="9" s="1"/>
  <c r="L46" i="11"/>
  <c r="L46" i="9" s="1"/>
  <c r="M46" i="11"/>
  <c r="M46" i="9" s="1"/>
  <c r="N46" i="11"/>
  <c r="N46" i="9" s="1"/>
  <c r="O46" i="11"/>
  <c r="O46" i="9" s="1"/>
  <c r="P46" i="11"/>
  <c r="P46" i="9" s="1"/>
  <c r="Q46" i="11"/>
  <c r="Q46" i="9" s="1"/>
  <c r="R46" i="11"/>
  <c r="R46" i="9" s="1"/>
  <c r="S46" i="11"/>
  <c r="S46" i="9" s="1"/>
  <c r="T46" i="11"/>
  <c r="T46" i="9" s="1"/>
  <c r="U46" i="11"/>
  <c r="U46" i="9" s="1"/>
  <c r="V46" i="11"/>
  <c r="V46" i="9" s="1"/>
  <c r="W46" i="11"/>
  <c r="W46" i="9" s="1"/>
  <c r="X46" i="11"/>
  <c r="X46" i="9" s="1"/>
  <c r="Y46" i="11"/>
  <c r="Y46" i="9" s="1"/>
  <c r="Z46" i="11"/>
  <c r="Z46" i="9" s="1"/>
  <c r="AA46" i="11"/>
  <c r="AA46" i="9" s="1"/>
  <c r="AB46" i="11"/>
  <c r="AB46" i="9" s="1"/>
  <c r="AC46" i="11"/>
  <c r="AC46" i="9" s="1"/>
  <c r="AD46" i="11"/>
  <c r="AD46" i="9" s="1"/>
  <c r="AE46" i="11"/>
  <c r="AE46" i="9" s="1"/>
  <c r="AF46" i="11"/>
  <c r="AF46" i="9" s="1"/>
  <c r="C2" i="11"/>
  <c r="C2" i="9" s="1"/>
  <c r="D2" i="11"/>
  <c r="D2" i="9" s="1"/>
  <c r="E2" i="11"/>
  <c r="E2" i="9" s="1"/>
  <c r="F2" i="11"/>
  <c r="F2" i="9" s="1"/>
  <c r="G2" i="11"/>
  <c r="G2" i="9" s="1"/>
  <c r="H2" i="11"/>
  <c r="H2" i="9" s="1"/>
  <c r="I2" i="11"/>
  <c r="I2" i="9" s="1"/>
  <c r="J2" i="11"/>
  <c r="J2" i="9" s="1"/>
  <c r="K2" i="11"/>
  <c r="K2" i="9" s="1"/>
  <c r="L2" i="11"/>
  <c r="L2" i="9" s="1"/>
  <c r="M2" i="11"/>
  <c r="M2" i="9" s="1"/>
  <c r="N2" i="11"/>
  <c r="N2" i="9" s="1"/>
  <c r="O2" i="11"/>
  <c r="O2" i="9" s="1"/>
  <c r="P2" i="11"/>
  <c r="P2" i="9" s="1"/>
  <c r="Q2" i="11"/>
  <c r="Q2" i="9" s="1"/>
  <c r="R2" i="11"/>
  <c r="R2" i="9" s="1"/>
  <c r="S2" i="11"/>
  <c r="S2" i="9" s="1"/>
  <c r="T2" i="11"/>
  <c r="T2" i="9" s="1"/>
  <c r="U2" i="11"/>
  <c r="U2" i="9" s="1"/>
  <c r="V2" i="11"/>
  <c r="V2" i="9" s="1"/>
  <c r="W2" i="11"/>
  <c r="W2" i="9" s="1"/>
  <c r="X2" i="11"/>
  <c r="X2" i="9" s="1"/>
  <c r="Y2" i="11"/>
  <c r="Y2" i="9" s="1"/>
  <c r="Z2" i="11"/>
  <c r="Z2" i="9" s="1"/>
  <c r="AA2" i="11"/>
  <c r="AA2" i="9" s="1"/>
  <c r="AB2" i="11"/>
  <c r="AB2" i="9" s="1"/>
  <c r="AC2" i="11"/>
  <c r="AC2" i="9" s="1"/>
  <c r="AD2" i="11"/>
  <c r="AD2" i="9" s="1"/>
  <c r="AE2" i="11"/>
  <c r="AE2" i="9" s="1"/>
  <c r="AF2" i="11"/>
  <c r="AF2" i="9" s="1"/>
  <c r="B2" i="11"/>
  <c r="B2" i="9" s="1"/>
  <c r="B3" i="12"/>
  <c r="B3" i="10" s="1"/>
  <c r="C3" i="12"/>
  <c r="C3" i="10" s="1"/>
  <c r="D3" i="12"/>
  <c r="D3" i="10" s="1"/>
  <c r="E3" i="12"/>
  <c r="E3" i="10" s="1"/>
  <c r="F3" i="12"/>
  <c r="F3" i="10" s="1"/>
  <c r="G3" i="12"/>
  <c r="G3" i="10" s="1"/>
  <c r="H3" i="12"/>
  <c r="H3" i="10" s="1"/>
  <c r="I3" i="12"/>
  <c r="I3" i="10" s="1"/>
  <c r="J3" i="12"/>
  <c r="J3" i="10" s="1"/>
  <c r="K3" i="12"/>
  <c r="K3" i="10" s="1"/>
  <c r="L3" i="12"/>
  <c r="L3" i="10" s="1"/>
  <c r="M3" i="12"/>
  <c r="M3" i="10" s="1"/>
  <c r="N3" i="12"/>
  <c r="N3" i="10" s="1"/>
  <c r="O3" i="12"/>
  <c r="O3" i="10" s="1"/>
  <c r="P3" i="12"/>
  <c r="P3" i="10" s="1"/>
  <c r="Q3" i="12"/>
  <c r="Q3" i="10" s="1"/>
  <c r="R3" i="12"/>
  <c r="R3" i="10" s="1"/>
  <c r="S3" i="12"/>
  <c r="S3" i="10" s="1"/>
  <c r="T3" i="12"/>
  <c r="T3" i="10" s="1"/>
  <c r="U3" i="12"/>
  <c r="U3" i="10" s="1"/>
  <c r="V3" i="12"/>
  <c r="V3" i="10" s="1"/>
  <c r="W3" i="12"/>
  <c r="W3" i="10" s="1"/>
  <c r="X3" i="12"/>
  <c r="X3" i="10" s="1"/>
  <c r="Y3" i="12"/>
  <c r="Y3" i="10" s="1"/>
  <c r="Z3" i="12"/>
  <c r="Z3" i="10" s="1"/>
  <c r="AA3" i="12"/>
  <c r="AA3" i="10" s="1"/>
  <c r="AB3" i="12"/>
  <c r="AB3" i="10" s="1"/>
  <c r="AC3" i="12"/>
  <c r="AC3" i="10" s="1"/>
  <c r="AD3" i="12"/>
  <c r="AD3" i="10" s="1"/>
  <c r="AE3" i="12"/>
  <c r="AE3" i="10" s="1"/>
  <c r="AF3" i="12"/>
  <c r="AF3" i="10" s="1"/>
  <c r="B4" i="12"/>
  <c r="B4" i="10" s="1"/>
  <c r="C4" i="12"/>
  <c r="C4" i="10" s="1"/>
  <c r="D4" i="12"/>
  <c r="D4" i="10" s="1"/>
  <c r="E4" i="12"/>
  <c r="E4" i="10" s="1"/>
  <c r="F4" i="12"/>
  <c r="F4" i="10" s="1"/>
  <c r="G4" i="12"/>
  <c r="G4" i="10" s="1"/>
  <c r="H4" i="12"/>
  <c r="H4" i="10" s="1"/>
  <c r="I4" i="12"/>
  <c r="I4" i="10" s="1"/>
  <c r="J4" i="12"/>
  <c r="J4" i="10" s="1"/>
  <c r="K4" i="12"/>
  <c r="K4" i="10" s="1"/>
  <c r="L4" i="12"/>
  <c r="L4" i="10" s="1"/>
  <c r="M4" i="12"/>
  <c r="M4" i="10" s="1"/>
  <c r="N4" i="12"/>
  <c r="N4" i="10" s="1"/>
  <c r="O4" i="12"/>
  <c r="O4" i="10" s="1"/>
  <c r="P4" i="12"/>
  <c r="P4" i="10" s="1"/>
  <c r="Q4" i="12"/>
  <c r="Q4" i="10" s="1"/>
  <c r="R4" i="12"/>
  <c r="R4" i="10" s="1"/>
  <c r="S4" i="12"/>
  <c r="S4" i="10" s="1"/>
  <c r="T4" i="12"/>
  <c r="T4" i="10" s="1"/>
  <c r="U4" i="12"/>
  <c r="U4" i="10" s="1"/>
  <c r="V4" i="12"/>
  <c r="V4" i="10" s="1"/>
  <c r="W4" i="12"/>
  <c r="W4" i="10" s="1"/>
  <c r="X4" i="12"/>
  <c r="X4" i="10" s="1"/>
  <c r="Y4" i="12"/>
  <c r="Y4" i="10" s="1"/>
  <c r="Z4" i="12"/>
  <c r="Z4" i="10" s="1"/>
  <c r="AA4" i="12"/>
  <c r="AA4" i="10" s="1"/>
  <c r="AB4" i="12"/>
  <c r="AB4" i="10" s="1"/>
  <c r="AC4" i="12"/>
  <c r="AC4" i="10" s="1"/>
  <c r="AD4" i="12"/>
  <c r="AD4" i="10" s="1"/>
  <c r="AE4" i="12"/>
  <c r="AE4" i="10" s="1"/>
  <c r="AF4" i="12"/>
  <c r="AF4" i="10" s="1"/>
  <c r="B5" i="12"/>
  <c r="B5" i="10" s="1"/>
  <c r="C5" i="12"/>
  <c r="C5" i="10" s="1"/>
  <c r="D5" i="12"/>
  <c r="D5" i="10" s="1"/>
  <c r="E5" i="12"/>
  <c r="E5" i="10" s="1"/>
  <c r="F5" i="12"/>
  <c r="F5" i="10" s="1"/>
  <c r="G5" i="12"/>
  <c r="G5" i="10" s="1"/>
  <c r="H5" i="12"/>
  <c r="H5" i="10" s="1"/>
  <c r="I5" i="12"/>
  <c r="I5" i="10" s="1"/>
  <c r="J5" i="12"/>
  <c r="J5" i="10" s="1"/>
  <c r="K5" i="12"/>
  <c r="K5" i="10" s="1"/>
  <c r="L5" i="12"/>
  <c r="L5" i="10" s="1"/>
  <c r="M5" i="12"/>
  <c r="M5" i="10" s="1"/>
  <c r="N5" i="12"/>
  <c r="N5" i="10" s="1"/>
  <c r="O5" i="12"/>
  <c r="O5" i="10" s="1"/>
  <c r="P5" i="12"/>
  <c r="P5" i="10" s="1"/>
  <c r="Q5" i="12"/>
  <c r="Q5" i="10" s="1"/>
  <c r="R5" i="12"/>
  <c r="R5" i="10" s="1"/>
  <c r="S5" i="12"/>
  <c r="S5" i="10" s="1"/>
  <c r="T5" i="12"/>
  <c r="T5" i="10" s="1"/>
  <c r="U5" i="12"/>
  <c r="U5" i="10" s="1"/>
  <c r="V5" i="12"/>
  <c r="V5" i="10" s="1"/>
  <c r="W5" i="12"/>
  <c r="W5" i="10" s="1"/>
  <c r="X5" i="12"/>
  <c r="X5" i="10" s="1"/>
  <c r="Y5" i="12"/>
  <c r="Y5" i="10" s="1"/>
  <c r="Z5" i="12"/>
  <c r="Z5" i="10" s="1"/>
  <c r="AA5" i="12"/>
  <c r="AA5" i="10" s="1"/>
  <c r="AB5" i="12"/>
  <c r="AB5" i="10" s="1"/>
  <c r="AC5" i="12"/>
  <c r="AC5" i="10" s="1"/>
  <c r="AD5" i="12"/>
  <c r="AD5" i="10" s="1"/>
  <c r="AE5" i="12"/>
  <c r="AE5" i="10" s="1"/>
  <c r="AF5" i="12"/>
  <c r="AF5" i="10" s="1"/>
  <c r="B6" i="12"/>
  <c r="B6" i="10" s="1"/>
  <c r="C6" i="12"/>
  <c r="C6" i="10" s="1"/>
  <c r="D6" i="12"/>
  <c r="D6" i="10" s="1"/>
  <c r="E6" i="12"/>
  <c r="E6" i="10" s="1"/>
  <c r="F6" i="12"/>
  <c r="F6" i="10" s="1"/>
  <c r="G6" i="12"/>
  <c r="G6" i="10" s="1"/>
  <c r="H6" i="12"/>
  <c r="H6" i="10" s="1"/>
  <c r="I6" i="12"/>
  <c r="I6" i="10" s="1"/>
  <c r="J6" i="12"/>
  <c r="J6" i="10" s="1"/>
  <c r="K6" i="12"/>
  <c r="K6" i="10" s="1"/>
  <c r="L6" i="12"/>
  <c r="L6" i="10" s="1"/>
  <c r="M6" i="12"/>
  <c r="M6" i="10" s="1"/>
  <c r="N6" i="12"/>
  <c r="N6" i="10" s="1"/>
  <c r="O6" i="12"/>
  <c r="O6" i="10" s="1"/>
  <c r="P6" i="12"/>
  <c r="P6" i="10" s="1"/>
  <c r="Q6" i="12"/>
  <c r="Q6" i="10" s="1"/>
  <c r="R6" i="12"/>
  <c r="R6" i="10" s="1"/>
  <c r="S6" i="12"/>
  <c r="S6" i="10" s="1"/>
  <c r="T6" i="12"/>
  <c r="T6" i="10" s="1"/>
  <c r="U6" i="12"/>
  <c r="U6" i="10" s="1"/>
  <c r="V6" i="12"/>
  <c r="V6" i="10" s="1"/>
  <c r="W6" i="12"/>
  <c r="W6" i="10" s="1"/>
  <c r="X6" i="12"/>
  <c r="X6" i="10" s="1"/>
  <c r="Y6" i="12"/>
  <c r="Y6" i="10" s="1"/>
  <c r="Z6" i="12"/>
  <c r="Z6" i="10" s="1"/>
  <c r="AA6" i="12"/>
  <c r="AA6" i="10" s="1"/>
  <c r="AB6" i="12"/>
  <c r="AB6" i="10" s="1"/>
  <c r="AC6" i="12"/>
  <c r="AC6" i="10" s="1"/>
  <c r="AD6" i="12"/>
  <c r="AD6" i="10" s="1"/>
  <c r="AE6" i="12"/>
  <c r="AE6" i="10" s="1"/>
  <c r="AF6" i="12"/>
  <c r="AF6" i="10" s="1"/>
  <c r="B7" i="12"/>
  <c r="B7" i="10" s="1"/>
  <c r="C7" i="12"/>
  <c r="C7" i="10" s="1"/>
  <c r="D7" i="12"/>
  <c r="D7" i="10" s="1"/>
  <c r="E7" i="12"/>
  <c r="E7" i="10" s="1"/>
  <c r="F7" i="12"/>
  <c r="F7" i="10" s="1"/>
  <c r="G7" i="12"/>
  <c r="G7" i="10" s="1"/>
  <c r="H7" i="12"/>
  <c r="H7" i="10" s="1"/>
  <c r="I7" i="12"/>
  <c r="I7" i="10" s="1"/>
  <c r="J7" i="12"/>
  <c r="J7" i="10" s="1"/>
  <c r="K7" i="12"/>
  <c r="K7" i="10" s="1"/>
  <c r="L7" i="12"/>
  <c r="L7" i="10" s="1"/>
  <c r="M7" i="12"/>
  <c r="M7" i="10" s="1"/>
  <c r="N7" i="12"/>
  <c r="N7" i="10" s="1"/>
  <c r="O7" i="12"/>
  <c r="O7" i="10" s="1"/>
  <c r="P7" i="12"/>
  <c r="P7" i="10" s="1"/>
  <c r="Q7" i="12"/>
  <c r="Q7" i="10" s="1"/>
  <c r="R7" i="12"/>
  <c r="R7" i="10" s="1"/>
  <c r="S7" i="12"/>
  <c r="S7" i="10" s="1"/>
  <c r="T7" i="12"/>
  <c r="T7" i="10" s="1"/>
  <c r="U7" i="12"/>
  <c r="U7" i="10" s="1"/>
  <c r="V7" i="12"/>
  <c r="V7" i="10" s="1"/>
  <c r="W7" i="12"/>
  <c r="W7" i="10" s="1"/>
  <c r="X7" i="12"/>
  <c r="X7" i="10" s="1"/>
  <c r="Y7" i="12"/>
  <c r="Y7" i="10" s="1"/>
  <c r="Z7" i="12"/>
  <c r="Z7" i="10" s="1"/>
  <c r="AA7" i="12"/>
  <c r="AA7" i="10" s="1"/>
  <c r="AB7" i="12"/>
  <c r="AB7" i="10" s="1"/>
  <c r="AC7" i="12"/>
  <c r="AC7" i="10" s="1"/>
  <c r="AD7" i="12"/>
  <c r="AD7" i="10" s="1"/>
  <c r="AE7" i="12"/>
  <c r="AE7" i="10" s="1"/>
  <c r="AF7" i="12"/>
  <c r="AF7" i="10" s="1"/>
  <c r="B8" i="12"/>
  <c r="B8" i="10" s="1"/>
  <c r="C8" i="12"/>
  <c r="C8" i="10" s="1"/>
  <c r="D8" i="12"/>
  <c r="D8" i="10" s="1"/>
  <c r="E8" i="12"/>
  <c r="E8" i="10" s="1"/>
  <c r="F8" i="12"/>
  <c r="F8" i="10" s="1"/>
  <c r="G8" i="12"/>
  <c r="G8" i="10" s="1"/>
  <c r="H8" i="12"/>
  <c r="H8" i="10" s="1"/>
  <c r="I8" i="12"/>
  <c r="I8" i="10" s="1"/>
  <c r="J8" i="12"/>
  <c r="J8" i="10" s="1"/>
  <c r="K8" i="12"/>
  <c r="K8" i="10" s="1"/>
  <c r="L8" i="12"/>
  <c r="L8" i="10" s="1"/>
  <c r="M8" i="12"/>
  <c r="M8" i="10" s="1"/>
  <c r="N8" i="12"/>
  <c r="N8" i="10" s="1"/>
  <c r="O8" i="12"/>
  <c r="O8" i="10" s="1"/>
  <c r="P8" i="12"/>
  <c r="P8" i="10" s="1"/>
  <c r="Q8" i="12"/>
  <c r="Q8" i="10" s="1"/>
  <c r="R8" i="12"/>
  <c r="R8" i="10" s="1"/>
  <c r="S8" i="12"/>
  <c r="S8" i="10" s="1"/>
  <c r="T8" i="12"/>
  <c r="T8" i="10" s="1"/>
  <c r="U8" i="12"/>
  <c r="U8" i="10" s="1"/>
  <c r="V8" i="12"/>
  <c r="V8" i="10" s="1"/>
  <c r="W8" i="12"/>
  <c r="W8" i="10" s="1"/>
  <c r="X8" i="12"/>
  <c r="X8" i="10" s="1"/>
  <c r="Y8" i="12"/>
  <c r="Y8" i="10" s="1"/>
  <c r="Z8" i="12"/>
  <c r="Z8" i="10" s="1"/>
  <c r="AA8" i="12"/>
  <c r="AA8" i="10" s="1"/>
  <c r="AB8" i="12"/>
  <c r="AB8" i="10" s="1"/>
  <c r="AC8" i="12"/>
  <c r="AC8" i="10" s="1"/>
  <c r="AD8" i="12"/>
  <c r="AD8" i="10" s="1"/>
  <c r="AE8" i="12"/>
  <c r="AE8" i="10" s="1"/>
  <c r="AF8" i="12"/>
  <c r="AF8" i="10" s="1"/>
  <c r="B9" i="12"/>
  <c r="B9" i="10" s="1"/>
  <c r="C9" i="12"/>
  <c r="C9" i="10" s="1"/>
  <c r="D9" i="12"/>
  <c r="D9" i="10" s="1"/>
  <c r="E9" i="12"/>
  <c r="E9" i="10" s="1"/>
  <c r="F9" i="12"/>
  <c r="F9" i="10" s="1"/>
  <c r="G9" i="12"/>
  <c r="G9" i="10" s="1"/>
  <c r="H9" i="12"/>
  <c r="H9" i="10" s="1"/>
  <c r="I9" i="12"/>
  <c r="I9" i="10" s="1"/>
  <c r="J9" i="12"/>
  <c r="J9" i="10" s="1"/>
  <c r="K9" i="12"/>
  <c r="K9" i="10" s="1"/>
  <c r="L9" i="12"/>
  <c r="L9" i="10" s="1"/>
  <c r="M9" i="12"/>
  <c r="M9" i="10" s="1"/>
  <c r="N9" i="12"/>
  <c r="N9" i="10" s="1"/>
  <c r="O9" i="12"/>
  <c r="O9" i="10" s="1"/>
  <c r="P9" i="12"/>
  <c r="P9" i="10" s="1"/>
  <c r="Q9" i="12"/>
  <c r="Q9" i="10" s="1"/>
  <c r="R9" i="12"/>
  <c r="R9" i="10" s="1"/>
  <c r="S9" i="12"/>
  <c r="S9" i="10" s="1"/>
  <c r="T9" i="12"/>
  <c r="T9" i="10" s="1"/>
  <c r="U9" i="12"/>
  <c r="U9" i="10" s="1"/>
  <c r="V9" i="12"/>
  <c r="V9" i="10" s="1"/>
  <c r="W9" i="12"/>
  <c r="W9" i="10" s="1"/>
  <c r="X9" i="12"/>
  <c r="X9" i="10" s="1"/>
  <c r="Y9" i="12"/>
  <c r="Y9" i="10" s="1"/>
  <c r="Z9" i="12"/>
  <c r="Z9" i="10" s="1"/>
  <c r="AA9" i="12"/>
  <c r="AA9" i="10" s="1"/>
  <c r="AB9" i="12"/>
  <c r="AB9" i="10" s="1"/>
  <c r="AC9" i="12"/>
  <c r="AC9" i="10" s="1"/>
  <c r="AD9" i="12"/>
  <c r="AD9" i="10" s="1"/>
  <c r="AE9" i="12"/>
  <c r="AE9" i="10" s="1"/>
  <c r="AF9" i="12"/>
  <c r="AF9" i="10" s="1"/>
  <c r="B10" i="12"/>
  <c r="B10" i="10" s="1"/>
  <c r="C10" i="12"/>
  <c r="C10" i="10" s="1"/>
  <c r="D10" i="12"/>
  <c r="D10" i="10" s="1"/>
  <c r="E10" i="12"/>
  <c r="E10" i="10" s="1"/>
  <c r="F10" i="12"/>
  <c r="F10" i="10" s="1"/>
  <c r="G10" i="12"/>
  <c r="G10" i="10" s="1"/>
  <c r="H10" i="12"/>
  <c r="H10" i="10" s="1"/>
  <c r="I10" i="12"/>
  <c r="I10" i="10" s="1"/>
  <c r="J10" i="12"/>
  <c r="J10" i="10" s="1"/>
  <c r="K10" i="12"/>
  <c r="K10" i="10" s="1"/>
  <c r="L10" i="12"/>
  <c r="L10" i="10" s="1"/>
  <c r="M10" i="12"/>
  <c r="M10" i="10" s="1"/>
  <c r="N10" i="12"/>
  <c r="N10" i="10" s="1"/>
  <c r="O10" i="12"/>
  <c r="O10" i="10" s="1"/>
  <c r="P10" i="12"/>
  <c r="P10" i="10" s="1"/>
  <c r="Q10" i="12"/>
  <c r="Q10" i="10" s="1"/>
  <c r="R10" i="12"/>
  <c r="R10" i="10" s="1"/>
  <c r="S10" i="12"/>
  <c r="S10" i="10" s="1"/>
  <c r="T10" i="12"/>
  <c r="T10" i="10" s="1"/>
  <c r="U10" i="12"/>
  <c r="U10" i="10" s="1"/>
  <c r="V10" i="12"/>
  <c r="V10" i="10" s="1"/>
  <c r="W10" i="12"/>
  <c r="W10" i="10" s="1"/>
  <c r="X10" i="12"/>
  <c r="X10" i="10" s="1"/>
  <c r="Y10" i="12"/>
  <c r="Y10" i="10" s="1"/>
  <c r="Z10" i="12"/>
  <c r="Z10" i="10" s="1"/>
  <c r="AA10" i="12"/>
  <c r="AA10" i="10" s="1"/>
  <c r="AB10" i="12"/>
  <c r="AB10" i="10" s="1"/>
  <c r="AC10" i="12"/>
  <c r="AC10" i="10" s="1"/>
  <c r="AD10" i="12"/>
  <c r="AD10" i="10" s="1"/>
  <c r="AE10" i="12"/>
  <c r="AE10" i="10" s="1"/>
  <c r="AF10" i="12"/>
  <c r="AF10" i="10" s="1"/>
  <c r="B11" i="12"/>
  <c r="B11" i="10" s="1"/>
  <c r="C11" i="12"/>
  <c r="C11" i="10" s="1"/>
  <c r="D11" i="12"/>
  <c r="D11" i="10" s="1"/>
  <c r="E11" i="12"/>
  <c r="E11" i="10" s="1"/>
  <c r="F11" i="12"/>
  <c r="F11" i="10" s="1"/>
  <c r="G11" i="12"/>
  <c r="G11" i="10" s="1"/>
  <c r="H11" i="12"/>
  <c r="H11" i="10" s="1"/>
  <c r="I11" i="12"/>
  <c r="I11" i="10" s="1"/>
  <c r="J11" i="12"/>
  <c r="J11" i="10" s="1"/>
  <c r="K11" i="12"/>
  <c r="K11" i="10" s="1"/>
  <c r="L11" i="12"/>
  <c r="L11" i="10" s="1"/>
  <c r="M11" i="12"/>
  <c r="M11" i="10" s="1"/>
  <c r="N11" i="12"/>
  <c r="N11" i="10" s="1"/>
  <c r="O11" i="12"/>
  <c r="O11" i="10" s="1"/>
  <c r="P11" i="12"/>
  <c r="P11" i="10" s="1"/>
  <c r="Q11" i="12"/>
  <c r="Q11" i="10" s="1"/>
  <c r="R11" i="12"/>
  <c r="R11" i="10" s="1"/>
  <c r="S11" i="12"/>
  <c r="S11" i="10" s="1"/>
  <c r="T11" i="12"/>
  <c r="T11" i="10" s="1"/>
  <c r="U11" i="12"/>
  <c r="U11" i="10" s="1"/>
  <c r="V11" i="12"/>
  <c r="V11" i="10" s="1"/>
  <c r="W11" i="12"/>
  <c r="W11" i="10" s="1"/>
  <c r="X11" i="12"/>
  <c r="X11" i="10" s="1"/>
  <c r="Y11" i="12"/>
  <c r="Y11" i="10" s="1"/>
  <c r="Z11" i="12"/>
  <c r="Z11" i="10" s="1"/>
  <c r="AA11" i="12"/>
  <c r="AA11" i="10" s="1"/>
  <c r="AB11" i="12"/>
  <c r="AB11" i="10" s="1"/>
  <c r="AC11" i="12"/>
  <c r="AC11" i="10" s="1"/>
  <c r="AD11" i="12"/>
  <c r="AD11" i="10" s="1"/>
  <c r="AE11" i="12"/>
  <c r="AE11" i="10" s="1"/>
  <c r="AF11" i="12"/>
  <c r="AF11" i="10" s="1"/>
  <c r="B12" i="12"/>
  <c r="B12" i="10" s="1"/>
  <c r="C12" i="12"/>
  <c r="C12" i="10" s="1"/>
  <c r="D12" i="12"/>
  <c r="D12" i="10" s="1"/>
  <c r="E12" i="12"/>
  <c r="E12" i="10" s="1"/>
  <c r="F12" i="12"/>
  <c r="F12" i="10" s="1"/>
  <c r="G12" i="12"/>
  <c r="G12" i="10" s="1"/>
  <c r="H12" i="12"/>
  <c r="H12" i="10" s="1"/>
  <c r="I12" i="12"/>
  <c r="I12" i="10" s="1"/>
  <c r="J12" i="12"/>
  <c r="J12" i="10" s="1"/>
  <c r="K12" i="12"/>
  <c r="K12" i="10" s="1"/>
  <c r="L12" i="12"/>
  <c r="L12" i="10" s="1"/>
  <c r="M12" i="12"/>
  <c r="M12" i="10" s="1"/>
  <c r="N12" i="12"/>
  <c r="N12" i="10" s="1"/>
  <c r="O12" i="12"/>
  <c r="O12" i="10" s="1"/>
  <c r="P12" i="12"/>
  <c r="P12" i="10" s="1"/>
  <c r="Q12" i="12"/>
  <c r="Q12" i="10" s="1"/>
  <c r="R12" i="12"/>
  <c r="R12" i="10" s="1"/>
  <c r="S12" i="12"/>
  <c r="S12" i="10" s="1"/>
  <c r="T12" i="12"/>
  <c r="T12" i="10" s="1"/>
  <c r="U12" i="12"/>
  <c r="U12" i="10" s="1"/>
  <c r="V12" i="12"/>
  <c r="V12" i="10" s="1"/>
  <c r="W12" i="12"/>
  <c r="W12" i="10" s="1"/>
  <c r="X12" i="12"/>
  <c r="X12" i="10" s="1"/>
  <c r="Y12" i="12"/>
  <c r="Y12" i="10" s="1"/>
  <c r="Z12" i="12"/>
  <c r="Z12" i="10" s="1"/>
  <c r="AA12" i="12"/>
  <c r="AA12" i="10" s="1"/>
  <c r="AB12" i="12"/>
  <c r="AB12" i="10" s="1"/>
  <c r="AC12" i="12"/>
  <c r="AC12" i="10" s="1"/>
  <c r="AD12" i="12"/>
  <c r="AD12" i="10" s="1"/>
  <c r="AE12" i="12"/>
  <c r="AE12" i="10" s="1"/>
  <c r="AF12" i="12"/>
  <c r="AF12" i="10" s="1"/>
  <c r="B13" i="12"/>
  <c r="B13" i="10" s="1"/>
  <c r="C13" i="12"/>
  <c r="C13" i="10" s="1"/>
  <c r="D13" i="12"/>
  <c r="D13" i="10" s="1"/>
  <c r="E13" i="12"/>
  <c r="E13" i="10" s="1"/>
  <c r="F13" i="12"/>
  <c r="F13" i="10" s="1"/>
  <c r="G13" i="12"/>
  <c r="G13" i="10" s="1"/>
  <c r="H13" i="12"/>
  <c r="H13" i="10" s="1"/>
  <c r="I13" i="12"/>
  <c r="I13" i="10" s="1"/>
  <c r="J13" i="12"/>
  <c r="J13" i="10" s="1"/>
  <c r="K13" i="12"/>
  <c r="K13" i="10" s="1"/>
  <c r="L13" i="12"/>
  <c r="L13" i="10" s="1"/>
  <c r="M13" i="12"/>
  <c r="M13" i="10" s="1"/>
  <c r="N13" i="12"/>
  <c r="N13" i="10" s="1"/>
  <c r="O13" i="12"/>
  <c r="O13" i="10" s="1"/>
  <c r="P13" i="12"/>
  <c r="P13" i="10" s="1"/>
  <c r="Q13" i="12"/>
  <c r="Q13" i="10" s="1"/>
  <c r="R13" i="12"/>
  <c r="R13" i="10" s="1"/>
  <c r="S13" i="12"/>
  <c r="S13" i="10" s="1"/>
  <c r="T13" i="12"/>
  <c r="T13" i="10" s="1"/>
  <c r="U13" i="12"/>
  <c r="U13" i="10" s="1"/>
  <c r="V13" i="12"/>
  <c r="V13" i="10" s="1"/>
  <c r="W13" i="12"/>
  <c r="W13" i="10" s="1"/>
  <c r="X13" i="12"/>
  <c r="X13" i="10" s="1"/>
  <c r="Y13" i="12"/>
  <c r="Y13" i="10" s="1"/>
  <c r="Z13" i="12"/>
  <c r="Z13" i="10" s="1"/>
  <c r="AA13" i="12"/>
  <c r="AA13" i="10" s="1"/>
  <c r="AB13" i="12"/>
  <c r="AB13" i="10" s="1"/>
  <c r="AC13" i="12"/>
  <c r="AC13" i="10" s="1"/>
  <c r="AD13" i="12"/>
  <c r="AD13" i="10" s="1"/>
  <c r="AE13" i="12"/>
  <c r="AE13" i="10" s="1"/>
  <c r="AF13" i="12"/>
  <c r="AF13" i="10" s="1"/>
  <c r="B14" i="12"/>
  <c r="B14" i="10" s="1"/>
  <c r="C14" i="12"/>
  <c r="C14" i="10" s="1"/>
  <c r="D14" i="12"/>
  <c r="D14" i="10" s="1"/>
  <c r="E14" i="12"/>
  <c r="E14" i="10" s="1"/>
  <c r="F14" i="12"/>
  <c r="F14" i="10" s="1"/>
  <c r="G14" i="12"/>
  <c r="G14" i="10" s="1"/>
  <c r="H14" i="12"/>
  <c r="H14" i="10" s="1"/>
  <c r="I14" i="12"/>
  <c r="I14" i="10" s="1"/>
  <c r="J14" i="12"/>
  <c r="J14" i="10" s="1"/>
  <c r="K14" i="12"/>
  <c r="K14" i="10" s="1"/>
  <c r="L14" i="12"/>
  <c r="L14" i="10" s="1"/>
  <c r="M14" i="12"/>
  <c r="M14" i="10" s="1"/>
  <c r="N14" i="12"/>
  <c r="N14" i="10" s="1"/>
  <c r="O14" i="12"/>
  <c r="O14" i="10" s="1"/>
  <c r="P14" i="12"/>
  <c r="P14" i="10" s="1"/>
  <c r="Q14" i="12"/>
  <c r="Q14" i="10" s="1"/>
  <c r="R14" i="12"/>
  <c r="R14" i="10" s="1"/>
  <c r="S14" i="12"/>
  <c r="S14" i="10" s="1"/>
  <c r="T14" i="12"/>
  <c r="T14" i="10" s="1"/>
  <c r="U14" i="12"/>
  <c r="U14" i="10" s="1"/>
  <c r="V14" i="12"/>
  <c r="V14" i="10" s="1"/>
  <c r="W14" i="12"/>
  <c r="W14" i="10" s="1"/>
  <c r="X14" i="12"/>
  <c r="X14" i="10" s="1"/>
  <c r="Y14" i="12"/>
  <c r="Y14" i="10" s="1"/>
  <c r="Z14" i="12"/>
  <c r="Z14" i="10" s="1"/>
  <c r="AA14" i="12"/>
  <c r="AA14" i="10" s="1"/>
  <c r="AB14" i="12"/>
  <c r="AB14" i="10" s="1"/>
  <c r="AC14" i="12"/>
  <c r="AC14" i="10" s="1"/>
  <c r="AD14" i="12"/>
  <c r="AD14" i="10" s="1"/>
  <c r="AE14" i="12"/>
  <c r="AE14" i="10" s="1"/>
  <c r="AF14" i="12"/>
  <c r="AF14" i="10" s="1"/>
  <c r="B15" i="12"/>
  <c r="B15" i="10" s="1"/>
  <c r="C15" i="12"/>
  <c r="C15" i="10" s="1"/>
  <c r="D15" i="12"/>
  <c r="D15" i="10" s="1"/>
  <c r="E15" i="12"/>
  <c r="E15" i="10" s="1"/>
  <c r="F15" i="12"/>
  <c r="F15" i="10" s="1"/>
  <c r="G15" i="12"/>
  <c r="G15" i="10" s="1"/>
  <c r="H15" i="12"/>
  <c r="H15" i="10" s="1"/>
  <c r="I15" i="12"/>
  <c r="I15" i="10" s="1"/>
  <c r="J15" i="12"/>
  <c r="J15" i="10" s="1"/>
  <c r="K15" i="12"/>
  <c r="K15" i="10" s="1"/>
  <c r="L15" i="12"/>
  <c r="L15" i="10" s="1"/>
  <c r="M15" i="12"/>
  <c r="M15" i="10" s="1"/>
  <c r="N15" i="12"/>
  <c r="N15" i="10" s="1"/>
  <c r="O15" i="12"/>
  <c r="O15" i="10" s="1"/>
  <c r="P15" i="12"/>
  <c r="P15" i="10" s="1"/>
  <c r="Q15" i="12"/>
  <c r="Q15" i="10" s="1"/>
  <c r="R15" i="12"/>
  <c r="R15" i="10" s="1"/>
  <c r="S15" i="12"/>
  <c r="S15" i="10" s="1"/>
  <c r="T15" i="12"/>
  <c r="T15" i="10" s="1"/>
  <c r="U15" i="12"/>
  <c r="U15" i="10" s="1"/>
  <c r="V15" i="12"/>
  <c r="V15" i="10" s="1"/>
  <c r="W15" i="12"/>
  <c r="W15" i="10" s="1"/>
  <c r="X15" i="12"/>
  <c r="X15" i="10" s="1"/>
  <c r="Y15" i="12"/>
  <c r="Y15" i="10" s="1"/>
  <c r="Z15" i="12"/>
  <c r="Z15" i="10" s="1"/>
  <c r="AA15" i="12"/>
  <c r="AA15" i="10" s="1"/>
  <c r="AB15" i="12"/>
  <c r="AB15" i="10" s="1"/>
  <c r="AC15" i="12"/>
  <c r="AC15" i="10" s="1"/>
  <c r="AD15" i="12"/>
  <c r="AD15" i="10" s="1"/>
  <c r="AE15" i="12"/>
  <c r="AE15" i="10" s="1"/>
  <c r="AF15" i="12"/>
  <c r="AF15" i="10" s="1"/>
  <c r="B16" i="12"/>
  <c r="B16" i="10" s="1"/>
  <c r="C16" i="12"/>
  <c r="C16" i="10" s="1"/>
  <c r="D16" i="12"/>
  <c r="D16" i="10" s="1"/>
  <c r="E16" i="12"/>
  <c r="E16" i="10" s="1"/>
  <c r="F16" i="12"/>
  <c r="F16" i="10" s="1"/>
  <c r="G16" i="12"/>
  <c r="G16" i="10" s="1"/>
  <c r="H16" i="12"/>
  <c r="H16" i="10" s="1"/>
  <c r="I16" i="12"/>
  <c r="I16" i="10" s="1"/>
  <c r="J16" i="12"/>
  <c r="J16" i="10" s="1"/>
  <c r="K16" i="12"/>
  <c r="K16" i="10" s="1"/>
  <c r="L16" i="12"/>
  <c r="L16" i="10" s="1"/>
  <c r="M16" i="12"/>
  <c r="M16" i="10" s="1"/>
  <c r="N16" i="12"/>
  <c r="N16" i="10" s="1"/>
  <c r="O16" i="12"/>
  <c r="O16" i="10" s="1"/>
  <c r="P16" i="12"/>
  <c r="P16" i="10" s="1"/>
  <c r="Q16" i="12"/>
  <c r="Q16" i="10" s="1"/>
  <c r="R16" i="12"/>
  <c r="R16" i="10" s="1"/>
  <c r="S16" i="12"/>
  <c r="S16" i="10" s="1"/>
  <c r="T16" i="12"/>
  <c r="T16" i="10" s="1"/>
  <c r="U16" i="12"/>
  <c r="U16" i="10" s="1"/>
  <c r="V16" i="12"/>
  <c r="V16" i="10" s="1"/>
  <c r="W16" i="12"/>
  <c r="W16" i="10" s="1"/>
  <c r="X16" i="12"/>
  <c r="X16" i="10" s="1"/>
  <c r="Y16" i="12"/>
  <c r="Y16" i="10" s="1"/>
  <c r="Z16" i="12"/>
  <c r="Z16" i="10" s="1"/>
  <c r="AA16" i="12"/>
  <c r="AA16" i="10" s="1"/>
  <c r="AB16" i="12"/>
  <c r="AB16" i="10" s="1"/>
  <c r="AC16" i="12"/>
  <c r="AC16" i="10" s="1"/>
  <c r="AD16" i="12"/>
  <c r="AD16" i="10" s="1"/>
  <c r="AE16" i="12"/>
  <c r="AE16" i="10" s="1"/>
  <c r="AF16" i="12"/>
  <c r="AF16" i="10" s="1"/>
  <c r="B17" i="12"/>
  <c r="B17" i="10" s="1"/>
  <c r="C17" i="12"/>
  <c r="C17" i="10" s="1"/>
  <c r="D17" i="12"/>
  <c r="D17" i="10" s="1"/>
  <c r="E17" i="12"/>
  <c r="E17" i="10" s="1"/>
  <c r="F17" i="12"/>
  <c r="F17" i="10" s="1"/>
  <c r="G17" i="12"/>
  <c r="G17" i="10" s="1"/>
  <c r="H17" i="12"/>
  <c r="H17" i="10" s="1"/>
  <c r="I17" i="12"/>
  <c r="I17" i="10" s="1"/>
  <c r="J17" i="12"/>
  <c r="J17" i="10" s="1"/>
  <c r="K17" i="12"/>
  <c r="K17" i="10" s="1"/>
  <c r="L17" i="12"/>
  <c r="L17" i="10" s="1"/>
  <c r="M17" i="12"/>
  <c r="M17" i="10" s="1"/>
  <c r="N17" i="12"/>
  <c r="N17" i="10" s="1"/>
  <c r="O17" i="12"/>
  <c r="O17" i="10" s="1"/>
  <c r="P17" i="12"/>
  <c r="P17" i="10" s="1"/>
  <c r="Q17" i="12"/>
  <c r="Q17" i="10" s="1"/>
  <c r="R17" i="12"/>
  <c r="R17" i="10" s="1"/>
  <c r="S17" i="12"/>
  <c r="S17" i="10" s="1"/>
  <c r="T17" i="12"/>
  <c r="T17" i="10" s="1"/>
  <c r="U17" i="12"/>
  <c r="U17" i="10" s="1"/>
  <c r="V17" i="12"/>
  <c r="V17" i="10" s="1"/>
  <c r="W17" i="12"/>
  <c r="W17" i="10" s="1"/>
  <c r="X17" i="12"/>
  <c r="X17" i="10" s="1"/>
  <c r="Y17" i="12"/>
  <c r="Y17" i="10" s="1"/>
  <c r="Z17" i="12"/>
  <c r="Z17" i="10" s="1"/>
  <c r="AA17" i="12"/>
  <c r="AA17" i="10" s="1"/>
  <c r="AB17" i="12"/>
  <c r="AB17" i="10" s="1"/>
  <c r="AC17" i="12"/>
  <c r="AC17" i="10" s="1"/>
  <c r="AD17" i="12"/>
  <c r="AD17" i="10" s="1"/>
  <c r="AE17" i="12"/>
  <c r="AE17" i="10" s="1"/>
  <c r="AF17" i="12"/>
  <c r="AF17" i="10" s="1"/>
  <c r="B18" i="12"/>
  <c r="B18" i="10" s="1"/>
  <c r="C18" i="12"/>
  <c r="C18" i="10" s="1"/>
  <c r="D18" i="12"/>
  <c r="D18" i="10" s="1"/>
  <c r="E18" i="12"/>
  <c r="E18" i="10" s="1"/>
  <c r="F18" i="12"/>
  <c r="F18" i="10" s="1"/>
  <c r="G18" i="12"/>
  <c r="G18" i="10" s="1"/>
  <c r="H18" i="12"/>
  <c r="H18" i="10" s="1"/>
  <c r="I18" i="12"/>
  <c r="I18" i="10" s="1"/>
  <c r="J18" i="12"/>
  <c r="J18" i="10" s="1"/>
  <c r="K18" i="12"/>
  <c r="K18" i="10" s="1"/>
  <c r="L18" i="12"/>
  <c r="L18" i="10" s="1"/>
  <c r="M18" i="12"/>
  <c r="M18" i="10" s="1"/>
  <c r="N18" i="12"/>
  <c r="N18" i="10" s="1"/>
  <c r="O18" i="12"/>
  <c r="O18" i="10" s="1"/>
  <c r="P18" i="12"/>
  <c r="P18" i="10" s="1"/>
  <c r="Q18" i="12"/>
  <c r="Q18" i="10" s="1"/>
  <c r="R18" i="12"/>
  <c r="R18" i="10" s="1"/>
  <c r="S18" i="12"/>
  <c r="S18" i="10" s="1"/>
  <c r="T18" i="12"/>
  <c r="T18" i="10" s="1"/>
  <c r="U18" i="12"/>
  <c r="U18" i="10" s="1"/>
  <c r="V18" i="12"/>
  <c r="V18" i="10" s="1"/>
  <c r="W18" i="12"/>
  <c r="W18" i="10" s="1"/>
  <c r="X18" i="12"/>
  <c r="X18" i="10" s="1"/>
  <c r="Y18" i="12"/>
  <c r="Y18" i="10" s="1"/>
  <c r="Z18" i="12"/>
  <c r="Z18" i="10" s="1"/>
  <c r="AA18" i="12"/>
  <c r="AA18" i="10" s="1"/>
  <c r="AB18" i="12"/>
  <c r="AB18" i="10" s="1"/>
  <c r="AC18" i="12"/>
  <c r="AC18" i="10" s="1"/>
  <c r="AD18" i="12"/>
  <c r="AD18" i="10" s="1"/>
  <c r="AE18" i="12"/>
  <c r="AE18" i="10" s="1"/>
  <c r="AF18" i="12"/>
  <c r="AF18" i="10" s="1"/>
  <c r="B19" i="12"/>
  <c r="B19" i="10" s="1"/>
  <c r="C19" i="12"/>
  <c r="C19" i="10" s="1"/>
  <c r="D19" i="12"/>
  <c r="D19" i="10" s="1"/>
  <c r="E19" i="12"/>
  <c r="E19" i="10" s="1"/>
  <c r="F19" i="12"/>
  <c r="F19" i="10" s="1"/>
  <c r="G19" i="12"/>
  <c r="G19" i="10" s="1"/>
  <c r="H19" i="12"/>
  <c r="H19" i="10" s="1"/>
  <c r="I19" i="12"/>
  <c r="I19" i="10" s="1"/>
  <c r="J19" i="12"/>
  <c r="J19" i="10" s="1"/>
  <c r="K19" i="12"/>
  <c r="K19" i="10" s="1"/>
  <c r="L19" i="12"/>
  <c r="L19" i="10" s="1"/>
  <c r="M19" i="12"/>
  <c r="M19" i="10" s="1"/>
  <c r="N19" i="12"/>
  <c r="N19" i="10" s="1"/>
  <c r="O19" i="12"/>
  <c r="O19" i="10" s="1"/>
  <c r="P19" i="12"/>
  <c r="P19" i="10" s="1"/>
  <c r="Q19" i="12"/>
  <c r="Q19" i="10" s="1"/>
  <c r="R19" i="12"/>
  <c r="R19" i="10" s="1"/>
  <c r="S19" i="12"/>
  <c r="S19" i="10" s="1"/>
  <c r="T19" i="12"/>
  <c r="T19" i="10" s="1"/>
  <c r="U19" i="12"/>
  <c r="U19" i="10" s="1"/>
  <c r="V19" i="12"/>
  <c r="V19" i="10" s="1"/>
  <c r="W19" i="12"/>
  <c r="W19" i="10" s="1"/>
  <c r="X19" i="12"/>
  <c r="X19" i="10" s="1"/>
  <c r="Y19" i="12"/>
  <c r="Y19" i="10" s="1"/>
  <c r="Z19" i="12"/>
  <c r="Z19" i="10" s="1"/>
  <c r="AA19" i="12"/>
  <c r="AA19" i="10" s="1"/>
  <c r="AB19" i="12"/>
  <c r="AB19" i="10" s="1"/>
  <c r="AC19" i="12"/>
  <c r="AC19" i="10" s="1"/>
  <c r="AD19" i="12"/>
  <c r="AD19" i="10" s="1"/>
  <c r="AE19" i="12"/>
  <c r="AE19" i="10" s="1"/>
  <c r="AF19" i="12"/>
  <c r="AF19" i="10" s="1"/>
  <c r="B20" i="12"/>
  <c r="B20" i="10" s="1"/>
  <c r="C20" i="12"/>
  <c r="C20" i="10" s="1"/>
  <c r="D20" i="12"/>
  <c r="D20" i="10" s="1"/>
  <c r="E20" i="12"/>
  <c r="E20" i="10" s="1"/>
  <c r="F20" i="12"/>
  <c r="F20" i="10" s="1"/>
  <c r="G20" i="12"/>
  <c r="G20" i="10" s="1"/>
  <c r="H20" i="12"/>
  <c r="H20" i="10" s="1"/>
  <c r="I20" i="12"/>
  <c r="I20" i="10" s="1"/>
  <c r="J20" i="12"/>
  <c r="J20" i="10" s="1"/>
  <c r="K20" i="12"/>
  <c r="K20" i="10" s="1"/>
  <c r="L20" i="12"/>
  <c r="L20" i="10" s="1"/>
  <c r="M20" i="12"/>
  <c r="M20" i="10" s="1"/>
  <c r="N20" i="12"/>
  <c r="N20" i="10" s="1"/>
  <c r="O20" i="12"/>
  <c r="O20" i="10" s="1"/>
  <c r="P20" i="12"/>
  <c r="P20" i="10" s="1"/>
  <c r="Q20" i="12"/>
  <c r="Q20" i="10" s="1"/>
  <c r="R20" i="12"/>
  <c r="R20" i="10" s="1"/>
  <c r="S20" i="12"/>
  <c r="S20" i="10" s="1"/>
  <c r="T20" i="12"/>
  <c r="T20" i="10" s="1"/>
  <c r="U20" i="12"/>
  <c r="U20" i="10" s="1"/>
  <c r="V20" i="12"/>
  <c r="V20" i="10" s="1"/>
  <c r="W20" i="12"/>
  <c r="W20" i="10" s="1"/>
  <c r="X20" i="12"/>
  <c r="X20" i="10" s="1"/>
  <c r="Y20" i="12"/>
  <c r="Y20" i="10" s="1"/>
  <c r="Z20" i="12"/>
  <c r="Z20" i="10" s="1"/>
  <c r="AA20" i="12"/>
  <c r="AA20" i="10" s="1"/>
  <c r="AB20" i="12"/>
  <c r="AB20" i="10" s="1"/>
  <c r="AC20" i="12"/>
  <c r="AC20" i="10" s="1"/>
  <c r="AD20" i="12"/>
  <c r="AD20" i="10" s="1"/>
  <c r="AE20" i="12"/>
  <c r="AE20" i="10" s="1"/>
  <c r="AF20" i="12"/>
  <c r="AF20" i="10" s="1"/>
  <c r="B21" i="12"/>
  <c r="B21" i="10" s="1"/>
  <c r="C21" i="12"/>
  <c r="C21" i="10" s="1"/>
  <c r="D21" i="12"/>
  <c r="D21" i="10" s="1"/>
  <c r="E21" i="12"/>
  <c r="E21" i="10" s="1"/>
  <c r="F21" i="12"/>
  <c r="F21" i="10" s="1"/>
  <c r="G21" i="12"/>
  <c r="G21" i="10" s="1"/>
  <c r="H21" i="12"/>
  <c r="H21" i="10" s="1"/>
  <c r="I21" i="12"/>
  <c r="I21" i="10" s="1"/>
  <c r="J21" i="12"/>
  <c r="J21" i="10" s="1"/>
  <c r="K21" i="12"/>
  <c r="K21" i="10" s="1"/>
  <c r="L21" i="12"/>
  <c r="L21" i="10" s="1"/>
  <c r="M21" i="12"/>
  <c r="M21" i="10" s="1"/>
  <c r="N21" i="12"/>
  <c r="N21" i="10" s="1"/>
  <c r="O21" i="12"/>
  <c r="O21" i="10" s="1"/>
  <c r="P21" i="12"/>
  <c r="P21" i="10" s="1"/>
  <c r="Q21" i="12"/>
  <c r="Q21" i="10" s="1"/>
  <c r="R21" i="12"/>
  <c r="R21" i="10" s="1"/>
  <c r="S21" i="12"/>
  <c r="S21" i="10" s="1"/>
  <c r="T21" i="12"/>
  <c r="T21" i="10" s="1"/>
  <c r="U21" i="12"/>
  <c r="U21" i="10" s="1"/>
  <c r="V21" i="12"/>
  <c r="V21" i="10" s="1"/>
  <c r="W21" i="12"/>
  <c r="W21" i="10" s="1"/>
  <c r="X21" i="12"/>
  <c r="X21" i="10" s="1"/>
  <c r="Y21" i="12"/>
  <c r="Y21" i="10" s="1"/>
  <c r="Z21" i="12"/>
  <c r="Z21" i="10" s="1"/>
  <c r="AA21" i="12"/>
  <c r="AA21" i="10" s="1"/>
  <c r="AB21" i="12"/>
  <c r="AB21" i="10" s="1"/>
  <c r="AC21" i="12"/>
  <c r="AC21" i="10" s="1"/>
  <c r="AD21" i="12"/>
  <c r="AD21" i="10" s="1"/>
  <c r="AE21" i="12"/>
  <c r="AE21" i="10" s="1"/>
  <c r="AF21" i="12"/>
  <c r="AF21" i="10" s="1"/>
  <c r="B22" i="12"/>
  <c r="B22" i="10" s="1"/>
  <c r="C22" i="12"/>
  <c r="C22" i="10" s="1"/>
  <c r="D22" i="12"/>
  <c r="D22" i="10" s="1"/>
  <c r="E22" i="12"/>
  <c r="E22" i="10" s="1"/>
  <c r="F22" i="12"/>
  <c r="F22" i="10" s="1"/>
  <c r="G22" i="12"/>
  <c r="G22" i="10" s="1"/>
  <c r="H22" i="12"/>
  <c r="H22" i="10" s="1"/>
  <c r="I22" i="12"/>
  <c r="I22" i="10" s="1"/>
  <c r="J22" i="12"/>
  <c r="J22" i="10" s="1"/>
  <c r="K22" i="12"/>
  <c r="K22" i="10" s="1"/>
  <c r="L22" i="12"/>
  <c r="L22" i="10" s="1"/>
  <c r="M22" i="12"/>
  <c r="M22" i="10" s="1"/>
  <c r="N22" i="12"/>
  <c r="N22" i="10" s="1"/>
  <c r="O22" i="12"/>
  <c r="O22" i="10" s="1"/>
  <c r="P22" i="12"/>
  <c r="P22" i="10" s="1"/>
  <c r="Q22" i="12"/>
  <c r="Q22" i="10" s="1"/>
  <c r="R22" i="12"/>
  <c r="R22" i="10" s="1"/>
  <c r="S22" i="12"/>
  <c r="S22" i="10" s="1"/>
  <c r="T22" i="12"/>
  <c r="T22" i="10" s="1"/>
  <c r="U22" i="12"/>
  <c r="U22" i="10" s="1"/>
  <c r="V22" i="12"/>
  <c r="V22" i="10" s="1"/>
  <c r="W22" i="12"/>
  <c r="W22" i="10" s="1"/>
  <c r="X22" i="12"/>
  <c r="X22" i="10" s="1"/>
  <c r="Y22" i="12"/>
  <c r="Y22" i="10" s="1"/>
  <c r="Z22" i="12"/>
  <c r="Z22" i="10" s="1"/>
  <c r="AA22" i="12"/>
  <c r="AA22" i="10" s="1"/>
  <c r="AB22" i="12"/>
  <c r="AB22" i="10" s="1"/>
  <c r="AC22" i="12"/>
  <c r="AC22" i="10" s="1"/>
  <c r="AD22" i="12"/>
  <c r="AD22" i="10" s="1"/>
  <c r="AE22" i="12"/>
  <c r="AE22" i="10" s="1"/>
  <c r="AF22" i="12"/>
  <c r="AF22" i="10" s="1"/>
  <c r="B23" i="12"/>
  <c r="B23" i="10" s="1"/>
  <c r="C23" i="12"/>
  <c r="C23" i="10" s="1"/>
  <c r="D23" i="12"/>
  <c r="D23" i="10" s="1"/>
  <c r="E23" i="12"/>
  <c r="E23" i="10" s="1"/>
  <c r="F23" i="12"/>
  <c r="F23" i="10" s="1"/>
  <c r="G23" i="12"/>
  <c r="G23" i="10" s="1"/>
  <c r="H23" i="12"/>
  <c r="H23" i="10" s="1"/>
  <c r="I23" i="12"/>
  <c r="I23" i="10" s="1"/>
  <c r="J23" i="12"/>
  <c r="J23" i="10" s="1"/>
  <c r="K23" i="12"/>
  <c r="K23" i="10" s="1"/>
  <c r="L23" i="12"/>
  <c r="L23" i="10" s="1"/>
  <c r="M23" i="12"/>
  <c r="M23" i="10" s="1"/>
  <c r="N23" i="12"/>
  <c r="N23" i="10" s="1"/>
  <c r="O23" i="12"/>
  <c r="O23" i="10" s="1"/>
  <c r="P23" i="12"/>
  <c r="P23" i="10" s="1"/>
  <c r="Q23" i="12"/>
  <c r="Q23" i="10" s="1"/>
  <c r="R23" i="12"/>
  <c r="R23" i="10" s="1"/>
  <c r="S23" i="12"/>
  <c r="S23" i="10" s="1"/>
  <c r="T23" i="12"/>
  <c r="T23" i="10" s="1"/>
  <c r="U23" i="12"/>
  <c r="U23" i="10" s="1"/>
  <c r="V23" i="12"/>
  <c r="V23" i="10" s="1"/>
  <c r="W23" i="12"/>
  <c r="W23" i="10" s="1"/>
  <c r="X23" i="12"/>
  <c r="X23" i="10" s="1"/>
  <c r="Y23" i="12"/>
  <c r="Y23" i="10" s="1"/>
  <c r="Z23" i="12"/>
  <c r="Z23" i="10" s="1"/>
  <c r="AA23" i="12"/>
  <c r="AA23" i="10" s="1"/>
  <c r="AB23" i="12"/>
  <c r="AB23" i="10" s="1"/>
  <c r="AC23" i="12"/>
  <c r="AC23" i="10" s="1"/>
  <c r="AD23" i="12"/>
  <c r="AD23" i="10" s="1"/>
  <c r="AE23" i="12"/>
  <c r="AE23" i="10" s="1"/>
  <c r="AF23" i="12"/>
  <c r="AF23" i="10" s="1"/>
  <c r="B24" i="12"/>
  <c r="B24" i="10" s="1"/>
  <c r="C24" i="12"/>
  <c r="C24" i="10" s="1"/>
  <c r="D24" i="12"/>
  <c r="D24" i="10" s="1"/>
  <c r="E24" i="12"/>
  <c r="E24" i="10" s="1"/>
  <c r="F24" i="12"/>
  <c r="F24" i="10" s="1"/>
  <c r="G24" i="12"/>
  <c r="G24" i="10" s="1"/>
  <c r="H24" i="12"/>
  <c r="H24" i="10" s="1"/>
  <c r="I24" i="12"/>
  <c r="I24" i="10" s="1"/>
  <c r="J24" i="12"/>
  <c r="J24" i="10" s="1"/>
  <c r="K24" i="12"/>
  <c r="K24" i="10" s="1"/>
  <c r="L24" i="12"/>
  <c r="L24" i="10" s="1"/>
  <c r="M24" i="12"/>
  <c r="M24" i="10" s="1"/>
  <c r="N24" i="12"/>
  <c r="N24" i="10" s="1"/>
  <c r="O24" i="12"/>
  <c r="O24" i="10" s="1"/>
  <c r="P24" i="12"/>
  <c r="P24" i="10" s="1"/>
  <c r="Q24" i="12"/>
  <c r="Q24" i="10" s="1"/>
  <c r="R24" i="12"/>
  <c r="R24" i="10" s="1"/>
  <c r="S24" i="12"/>
  <c r="S24" i="10" s="1"/>
  <c r="T24" i="12"/>
  <c r="T24" i="10" s="1"/>
  <c r="U24" i="12"/>
  <c r="U24" i="10" s="1"/>
  <c r="V24" i="12"/>
  <c r="V24" i="10" s="1"/>
  <c r="W24" i="12"/>
  <c r="W24" i="10" s="1"/>
  <c r="X24" i="12"/>
  <c r="X24" i="10" s="1"/>
  <c r="Y24" i="12"/>
  <c r="Y24" i="10" s="1"/>
  <c r="Z24" i="12"/>
  <c r="Z24" i="10" s="1"/>
  <c r="AA24" i="12"/>
  <c r="AA24" i="10" s="1"/>
  <c r="AB24" i="12"/>
  <c r="AB24" i="10" s="1"/>
  <c r="AC24" i="12"/>
  <c r="AC24" i="10" s="1"/>
  <c r="AD24" i="12"/>
  <c r="AD24" i="10" s="1"/>
  <c r="AE24" i="12"/>
  <c r="AE24" i="10" s="1"/>
  <c r="AF24" i="12"/>
  <c r="AF24" i="10" s="1"/>
  <c r="B25" i="12"/>
  <c r="B25" i="10" s="1"/>
  <c r="C25" i="12"/>
  <c r="C25" i="10" s="1"/>
  <c r="D25" i="12"/>
  <c r="D25" i="10" s="1"/>
  <c r="E25" i="12"/>
  <c r="E25" i="10" s="1"/>
  <c r="F25" i="12"/>
  <c r="F25" i="10" s="1"/>
  <c r="G25" i="12"/>
  <c r="G25" i="10" s="1"/>
  <c r="H25" i="12"/>
  <c r="H25" i="10" s="1"/>
  <c r="I25" i="12"/>
  <c r="I25" i="10" s="1"/>
  <c r="J25" i="12"/>
  <c r="J25" i="10" s="1"/>
  <c r="K25" i="12"/>
  <c r="K25" i="10" s="1"/>
  <c r="L25" i="12"/>
  <c r="L25" i="10" s="1"/>
  <c r="M25" i="12"/>
  <c r="M25" i="10" s="1"/>
  <c r="N25" i="12"/>
  <c r="N25" i="10" s="1"/>
  <c r="O25" i="12"/>
  <c r="O25" i="10" s="1"/>
  <c r="P25" i="12"/>
  <c r="P25" i="10" s="1"/>
  <c r="Q25" i="12"/>
  <c r="Q25" i="10" s="1"/>
  <c r="R25" i="12"/>
  <c r="R25" i="10" s="1"/>
  <c r="S25" i="12"/>
  <c r="S25" i="10" s="1"/>
  <c r="T25" i="12"/>
  <c r="T25" i="10" s="1"/>
  <c r="U25" i="12"/>
  <c r="U25" i="10" s="1"/>
  <c r="V25" i="12"/>
  <c r="V25" i="10" s="1"/>
  <c r="W25" i="12"/>
  <c r="W25" i="10" s="1"/>
  <c r="X25" i="12"/>
  <c r="X25" i="10" s="1"/>
  <c r="Y25" i="12"/>
  <c r="Y25" i="10" s="1"/>
  <c r="Z25" i="12"/>
  <c r="Z25" i="10" s="1"/>
  <c r="AA25" i="12"/>
  <c r="AA25" i="10" s="1"/>
  <c r="AB25" i="12"/>
  <c r="AB25" i="10" s="1"/>
  <c r="AC25" i="12"/>
  <c r="AC25" i="10" s="1"/>
  <c r="AD25" i="12"/>
  <c r="AD25" i="10" s="1"/>
  <c r="AE25" i="12"/>
  <c r="AE25" i="10" s="1"/>
  <c r="AF25" i="12"/>
  <c r="AF25" i="10" s="1"/>
  <c r="B26" i="12"/>
  <c r="B26" i="10" s="1"/>
  <c r="C26" i="12"/>
  <c r="C26" i="10" s="1"/>
  <c r="D26" i="12"/>
  <c r="D26" i="10" s="1"/>
  <c r="E26" i="12"/>
  <c r="E26" i="10" s="1"/>
  <c r="F26" i="12"/>
  <c r="F26" i="10" s="1"/>
  <c r="G26" i="12"/>
  <c r="G26" i="10" s="1"/>
  <c r="H26" i="12"/>
  <c r="H26" i="10" s="1"/>
  <c r="I26" i="12"/>
  <c r="I26" i="10" s="1"/>
  <c r="J26" i="12"/>
  <c r="J26" i="10" s="1"/>
  <c r="K26" i="12"/>
  <c r="K26" i="10" s="1"/>
  <c r="L26" i="12"/>
  <c r="L26" i="10" s="1"/>
  <c r="M26" i="12"/>
  <c r="M26" i="10" s="1"/>
  <c r="N26" i="12"/>
  <c r="N26" i="10" s="1"/>
  <c r="O26" i="12"/>
  <c r="O26" i="10" s="1"/>
  <c r="P26" i="12"/>
  <c r="P26" i="10" s="1"/>
  <c r="Q26" i="12"/>
  <c r="Q26" i="10" s="1"/>
  <c r="R26" i="12"/>
  <c r="R26" i="10" s="1"/>
  <c r="S26" i="12"/>
  <c r="S26" i="10" s="1"/>
  <c r="T26" i="12"/>
  <c r="T26" i="10" s="1"/>
  <c r="U26" i="12"/>
  <c r="U26" i="10" s="1"/>
  <c r="V26" i="12"/>
  <c r="V26" i="10" s="1"/>
  <c r="W26" i="12"/>
  <c r="W26" i="10" s="1"/>
  <c r="X26" i="12"/>
  <c r="X26" i="10" s="1"/>
  <c r="Y26" i="12"/>
  <c r="Y26" i="10" s="1"/>
  <c r="Z26" i="12"/>
  <c r="Z26" i="10" s="1"/>
  <c r="AA26" i="12"/>
  <c r="AA26" i="10" s="1"/>
  <c r="AB26" i="12"/>
  <c r="AB26" i="10" s="1"/>
  <c r="AC26" i="12"/>
  <c r="AC26" i="10" s="1"/>
  <c r="AD26" i="12"/>
  <c r="AD26" i="10" s="1"/>
  <c r="AE26" i="12"/>
  <c r="AE26" i="10" s="1"/>
  <c r="AF26" i="12"/>
  <c r="AF26" i="10" s="1"/>
  <c r="B27" i="12"/>
  <c r="B27" i="10" s="1"/>
  <c r="C27" i="12"/>
  <c r="C27" i="10" s="1"/>
  <c r="D27" i="12"/>
  <c r="D27" i="10" s="1"/>
  <c r="E27" i="12"/>
  <c r="E27" i="10" s="1"/>
  <c r="F27" i="12"/>
  <c r="F27" i="10" s="1"/>
  <c r="G27" i="12"/>
  <c r="G27" i="10" s="1"/>
  <c r="H27" i="12"/>
  <c r="H27" i="10" s="1"/>
  <c r="I27" i="12"/>
  <c r="I27" i="10" s="1"/>
  <c r="J27" i="12"/>
  <c r="J27" i="10" s="1"/>
  <c r="K27" i="12"/>
  <c r="K27" i="10" s="1"/>
  <c r="L27" i="12"/>
  <c r="L27" i="10" s="1"/>
  <c r="M27" i="12"/>
  <c r="M27" i="10" s="1"/>
  <c r="N27" i="12"/>
  <c r="N27" i="10" s="1"/>
  <c r="O27" i="12"/>
  <c r="O27" i="10" s="1"/>
  <c r="P27" i="12"/>
  <c r="P27" i="10" s="1"/>
  <c r="Q27" i="12"/>
  <c r="Q27" i="10" s="1"/>
  <c r="R27" i="12"/>
  <c r="R27" i="10" s="1"/>
  <c r="S27" i="12"/>
  <c r="S27" i="10" s="1"/>
  <c r="T27" i="12"/>
  <c r="T27" i="10" s="1"/>
  <c r="U27" i="12"/>
  <c r="U27" i="10" s="1"/>
  <c r="V27" i="12"/>
  <c r="V27" i="10" s="1"/>
  <c r="W27" i="12"/>
  <c r="W27" i="10" s="1"/>
  <c r="X27" i="12"/>
  <c r="X27" i="10" s="1"/>
  <c r="Y27" i="12"/>
  <c r="Y27" i="10" s="1"/>
  <c r="Z27" i="12"/>
  <c r="Z27" i="10" s="1"/>
  <c r="AA27" i="12"/>
  <c r="AA27" i="10" s="1"/>
  <c r="AB27" i="12"/>
  <c r="AB27" i="10" s="1"/>
  <c r="AC27" i="12"/>
  <c r="AC27" i="10" s="1"/>
  <c r="AD27" i="12"/>
  <c r="AD27" i="10" s="1"/>
  <c r="AE27" i="12"/>
  <c r="AE27" i="10" s="1"/>
  <c r="AF27" i="12"/>
  <c r="AF27" i="10" s="1"/>
  <c r="B28" i="12"/>
  <c r="B28" i="10" s="1"/>
  <c r="C28" i="12"/>
  <c r="C28" i="10" s="1"/>
  <c r="D28" i="12"/>
  <c r="D28" i="10" s="1"/>
  <c r="E28" i="12"/>
  <c r="E28" i="10" s="1"/>
  <c r="F28" i="12"/>
  <c r="F28" i="10" s="1"/>
  <c r="G28" i="12"/>
  <c r="G28" i="10" s="1"/>
  <c r="H28" i="12"/>
  <c r="H28" i="10" s="1"/>
  <c r="I28" i="12"/>
  <c r="I28" i="10" s="1"/>
  <c r="J28" i="12"/>
  <c r="J28" i="10" s="1"/>
  <c r="K28" i="12"/>
  <c r="K28" i="10" s="1"/>
  <c r="L28" i="12"/>
  <c r="L28" i="10" s="1"/>
  <c r="M28" i="12"/>
  <c r="M28" i="10" s="1"/>
  <c r="N28" i="12"/>
  <c r="N28" i="10" s="1"/>
  <c r="O28" i="12"/>
  <c r="O28" i="10" s="1"/>
  <c r="P28" i="12"/>
  <c r="P28" i="10" s="1"/>
  <c r="Q28" i="12"/>
  <c r="Q28" i="10" s="1"/>
  <c r="R28" i="12"/>
  <c r="R28" i="10" s="1"/>
  <c r="S28" i="12"/>
  <c r="S28" i="10" s="1"/>
  <c r="T28" i="12"/>
  <c r="T28" i="10" s="1"/>
  <c r="U28" i="12"/>
  <c r="U28" i="10" s="1"/>
  <c r="V28" i="12"/>
  <c r="V28" i="10" s="1"/>
  <c r="W28" i="12"/>
  <c r="W28" i="10" s="1"/>
  <c r="X28" i="12"/>
  <c r="X28" i="10" s="1"/>
  <c r="Y28" i="12"/>
  <c r="Y28" i="10" s="1"/>
  <c r="Z28" i="12"/>
  <c r="Z28" i="10" s="1"/>
  <c r="AA28" i="12"/>
  <c r="AA28" i="10" s="1"/>
  <c r="AB28" i="12"/>
  <c r="AB28" i="10" s="1"/>
  <c r="AC28" i="12"/>
  <c r="AC28" i="10" s="1"/>
  <c r="AD28" i="12"/>
  <c r="AD28" i="10" s="1"/>
  <c r="AE28" i="12"/>
  <c r="AE28" i="10" s="1"/>
  <c r="AF28" i="12"/>
  <c r="AF28" i="10" s="1"/>
  <c r="B29" i="12"/>
  <c r="B29" i="10" s="1"/>
  <c r="C29" i="12"/>
  <c r="C29" i="10" s="1"/>
  <c r="D29" i="12"/>
  <c r="D29" i="10" s="1"/>
  <c r="E29" i="12"/>
  <c r="E29" i="10" s="1"/>
  <c r="F29" i="12"/>
  <c r="F29" i="10" s="1"/>
  <c r="G29" i="12"/>
  <c r="G29" i="10" s="1"/>
  <c r="H29" i="12"/>
  <c r="H29" i="10" s="1"/>
  <c r="I29" i="12"/>
  <c r="I29" i="10" s="1"/>
  <c r="J29" i="12"/>
  <c r="J29" i="10" s="1"/>
  <c r="K29" i="12"/>
  <c r="K29" i="10" s="1"/>
  <c r="L29" i="12"/>
  <c r="L29" i="10" s="1"/>
  <c r="M29" i="12"/>
  <c r="M29" i="10" s="1"/>
  <c r="N29" i="12"/>
  <c r="N29" i="10" s="1"/>
  <c r="O29" i="12"/>
  <c r="O29" i="10" s="1"/>
  <c r="P29" i="12"/>
  <c r="P29" i="10" s="1"/>
  <c r="Q29" i="12"/>
  <c r="Q29" i="10" s="1"/>
  <c r="R29" i="12"/>
  <c r="R29" i="10" s="1"/>
  <c r="S29" i="12"/>
  <c r="S29" i="10" s="1"/>
  <c r="T29" i="12"/>
  <c r="T29" i="10" s="1"/>
  <c r="U29" i="12"/>
  <c r="U29" i="10" s="1"/>
  <c r="V29" i="12"/>
  <c r="V29" i="10" s="1"/>
  <c r="W29" i="12"/>
  <c r="W29" i="10" s="1"/>
  <c r="X29" i="12"/>
  <c r="X29" i="10" s="1"/>
  <c r="Y29" i="12"/>
  <c r="Y29" i="10" s="1"/>
  <c r="Z29" i="12"/>
  <c r="Z29" i="10" s="1"/>
  <c r="AA29" i="12"/>
  <c r="AA29" i="10" s="1"/>
  <c r="AB29" i="12"/>
  <c r="AB29" i="10" s="1"/>
  <c r="AC29" i="12"/>
  <c r="AC29" i="10" s="1"/>
  <c r="AD29" i="12"/>
  <c r="AD29" i="10" s="1"/>
  <c r="AE29" i="12"/>
  <c r="AE29" i="10" s="1"/>
  <c r="AF29" i="12"/>
  <c r="AF29" i="10" s="1"/>
  <c r="B30" i="12"/>
  <c r="B30" i="10" s="1"/>
  <c r="C30" i="12"/>
  <c r="C30" i="10" s="1"/>
  <c r="D30" i="12"/>
  <c r="D30" i="10" s="1"/>
  <c r="E30" i="12"/>
  <c r="E30" i="10" s="1"/>
  <c r="F30" i="12"/>
  <c r="F30" i="10" s="1"/>
  <c r="G30" i="12"/>
  <c r="G30" i="10" s="1"/>
  <c r="H30" i="12"/>
  <c r="H30" i="10" s="1"/>
  <c r="I30" i="12"/>
  <c r="I30" i="10" s="1"/>
  <c r="J30" i="12"/>
  <c r="J30" i="10" s="1"/>
  <c r="K30" i="12"/>
  <c r="K30" i="10" s="1"/>
  <c r="L30" i="12"/>
  <c r="L30" i="10" s="1"/>
  <c r="M30" i="12"/>
  <c r="M30" i="10" s="1"/>
  <c r="N30" i="12"/>
  <c r="N30" i="10" s="1"/>
  <c r="O30" i="12"/>
  <c r="O30" i="10" s="1"/>
  <c r="P30" i="12"/>
  <c r="P30" i="10" s="1"/>
  <c r="Q30" i="12"/>
  <c r="Q30" i="10" s="1"/>
  <c r="R30" i="12"/>
  <c r="R30" i="10" s="1"/>
  <c r="S30" i="12"/>
  <c r="S30" i="10" s="1"/>
  <c r="T30" i="12"/>
  <c r="T30" i="10" s="1"/>
  <c r="U30" i="12"/>
  <c r="U30" i="10" s="1"/>
  <c r="V30" i="12"/>
  <c r="V30" i="10" s="1"/>
  <c r="W30" i="12"/>
  <c r="W30" i="10" s="1"/>
  <c r="X30" i="12"/>
  <c r="X30" i="10" s="1"/>
  <c r="Y30" i="12"/>
  <c r="Y30" i="10" s="1"/>
  <c r="Z30" i="12"/>
  <c r="Z30" i="10" s="1"/>
  <c r="AA30" i="12"/>
  <c r="AA30" i="10" s="1"/>
  <c r="AB30" i="12"/>
  <c r="AB30" i="10" s="1"/>
  <c r="AC30" i="12"/>
  <c r="AC30" i="10" s="1"/>
  <c r="AD30" i="12"/>
  <c r="AD30" i="10" s="1"/>
  <c r="AE30" i="12"/>
  <c r="AE30" i="10" s="1"/>
  <c r="AF30" i="12"/>
  <c r="AF30" i="10" s="1"/>
  <c r="B32" i="12"/>
  <c r="B32" i="10" s="1"/>
  <c r="C32" i="12"/>
  <c r="C32" i="10" s="1"/>
  <c r="D32" i="12"/>
  <c r="D32" i="10" s="1"/>
  <c r="E32" i="12"/>
  <c r="E32" i="10" s="1"/>
  <c r="F32" i="12"/>
  <c r="F32" i="10" s="1"/>
  <c r="G32" i="12"/>
  <c r="G32" i="10" s="1"/>
  <c r="H32" i="12"/>
  <c r="H32" i="10" s="1"/>
  <c r="I32" i="12"/>
  <c r="I32" i="10" s="1"/>
  <c r="J32" i="12"/>
  <c r="J32" i="10" s="1"/>
  <c r="K32" i="12"/>
  <c r="K32" i="10" s="1"/>
  <c r="L32" i="12"/>
  <c r="L32" i="10" s="1"/>
  <c r="M32" i="12"/>
  <c r="M32" i="10" s="1"/>
  <c r="N32" i="12"/>
  <c r="N32" i="10" s="1"/>
  <c r="O32" i="12"/>
  <c r="O32" i="10" s="1"/>
  <c r="P32" i="12"/>
  <c r="P32" i="10" s="1"/>
  <c r="Q32" i="12"/>
  <c r="Q32" i="10" s="1"/>
  <c r="R32" i="12"/>
  <c r="R32" i="10" s="1"/>
  <c r="S32" i="12"/>
  <c r="S32" i="10" s="1"/>
  <c r="T32" i="12"/>
  <c r="T32" i="10" s="1"/>
  <c r="U32" i="12"/>
  <c r="U32" i="10" s="1"/>
  <c r="V32" i="12"/>
  <c r="V32" i="10" s="1"/>
  <c r="W32" i="12"/>
  <c r="W32" i="10" s="1"/>
  <c r="X32" i="12"/>
  <c r="X32" i="10" s="1"/>
  <c r="Y32" i="12"/>
  <c r="Y32" i="10" s="1"/>
  <c r="Z32" i="12"/>
  <c r="Z32" i="10" s="1"/>
  <c r="AA32" i="12"/>
  <c r="AA32" i="10" s="1"/>
  <c r="AB32" i="12"/>
  <c r="AB32" i="10" s="1"/>
  <c r="AC32" i="12"/>
  <c r="AC32" i="10" s="1"/>
  <c r="AD32" i="12"/>
  <c r="AD32" i="10" s="1"/>
  <c r="AE32" i="12"/>
  <c r="AE32" i="10" s="1"/>
  <c r="AF32" i="12"/>
  <c r="AF32" i="10" s="1"/>
  <c r="B33" i="12"/>
  <c r="B33" i="10" s="1"/>
  <c r="C33" i="12"/>
  <c r="C33" i="10" s="1"/>
  <c r="D33" i="12"/>
  <c r="D33" i="10" s="1"/>
  <c r="E33" i="12"/>
  <c r="E33" i="10" s="1"/>
  <c r="F33" i="12"/>
  <c r="F33" i="10" s="1"/>
  <c r="G33" i="12"/>
  <c r="G33" i="10" s="1"/>
  <c r="H33" i="12"/>
  <c r="H33" i="10" s="1"/>
  <c r="I33" i="12"/>
  <c r="I33" i="10" s="1"/>
  <c r="J33" i="12"/>
  <c r="J33" i="10" s="1"/>
  <c r="K33" i="12"/>
  <c r="K33" i="10" s="1"/>
  <c r="L33" i="12"/>
  <c r="L33" i="10" s="1"/>
  <c r="M33" i="12"/>
  <c r="M33" i="10" s="1"/>
  <c r="N33" i="12"/>
  <c r="N33" i="10" s="1"/>
  <c r="O33" i="12"/>
  <c r="O33" i="10" s="1"/>
  <c r="P33" i="12"/>
  <c r="P33" i="10" s="1"/>
  <c r="Q33" i="12"/>
  <c r="Q33" i="10" s="1"/>
  <c r="R33" i="12"/>
  <c r="R33" i="10" s="1"/>
  <c r="S33" i="12"/>
  <c r="S33" i="10" s="1"/>
  <c r="T33" i="12"/>
  <c r="T33" i="10" s="1"/>
  <c r="U33" i="12"/>
  <c r="U33" i="10" s="1"/>
  <c r="V33" i="12"/>
  <c r="V33" i="10" s="1"/>
  <c r="W33" i="12"/>
  <c r="W33" i="10" s="1"/>
  <c r="X33" i="12"/>
  <c r="X33" i="10" s="1"/>
  <c r="Y33" i="12"/>
  <c r="Y33" i="10" s="1"/>
  <c r="Z33" i="12"/>
  <c r="Z33" i="10" s="1"/>
  <c r="AA33" i="12"/>
  <c r="AA33" i="10" s="1"/>
  <c r="AB33" i="12"/>
  <c r="AB33" i="10" s="1"/>
  <c r="AC33" i="12"/>
  <c r="AC33" i="10" s="1"/>
  <c r="AD33" i="12"/>
  <c r="AD33" i="10" s="1"/>
  <c r="AE33" i="12"/>
  <c r="AE33" i="10" s="1"/>
  <c r="AF33" i="12"/>
  <c r="AF33" i="10" s="1"/>
  <c r="B34" i="12"/>
  <c r="B34" i="10" s="1"/>
  <c r="C34" i="12"/>
  <c r="C34" i="10" s="1"/>
  <c r="D34" i="12"/>
  <c r="D34" i="10" s="1"/>
  <c r="E34" i="12"/>
  <c r="E34" i="10" s="1"/>
  <c r="F34" i="12"/>
  <c r="F34" i="10" s="1"/>
  <c r="G34" i="12"/>
  <c r="G34" i="10" s="1"/>
  <c r="H34" i="12"/>
  <c r="H34" i="10" s="1"/>
  <c r="I34" i="12"/>
  <c r="I34" i="10" s="1"/>
  <c r="J34" i="12"/>
  <c r="J34" i="10" s="1"/>
  <c r="K34" i="12"/>
  <c r="K34" i="10" s="1"/>
  <c r="L34" i="12"/>
  <c r="L34" i="10" s="1"/>
  <c r="M34" i="12"/>
  <c r="M34" i="10" s="1"/>
  <c r="N34" i="12"/>
  <c r="N34" i="10" s="1"/>
  <c r="O34" i="12"/>
  <c r="O34" i="10" s="1"/>
  <c r="P34" i="12"/>
  <c r="P34" i="10" s="1"/>
  <c r="Q34" i="12"/>
  <c r="Q34" i="10" s="1"/>
  <c r="R34" i="12"/>
  <c r="R34" i="10" s="1"/>
  <c r="S34" i="12"/>
  <c r="S34" i="10" s="1"/>
  <c r="T34" i="12"/>
  <c r="T34" i="10" s="1"/>
  <c r="U34" i="12"/>
  <c r="U34" i="10" s="1"/>
  <c r="V34" i="12"/>
  <c r="V34" i="10" s="1"/>
  <c r="W34" i="12"/>
  <c r="W34" i="10" s="1"/>
  <c r="X34" i="12"/>
  <c r="X34" i="10" s="1"/>
  <c r="Y34" i="12"/>
  <c r="Y34" i="10" s="1"/>
  <c r="Z34" i="12"/>
  <c r="Z34" i="10" s="1"/>
  <c r="AA34" i="12"/>
  <c r="AA34" i="10" s="1"/>
  <c r="AB34" i="12"/>
  <c r="AB34" i="10" s="1"/>
  <c r="AC34" i="12"/>
  <c r="AC34" i="10" s="1"/>
  <c r="AD34" i="12"/>
  <c r="AD34" i="10" s="1"/>
  <c r="AE34" i="12"/>
  <c r="AE34" i="10" s="1"/>
  <c r="AF34" i="12"/>
  <c r="AF34" i="10" s="1"/>
  <c r="B35" i="12"/>
  <c r="B35" i="10" s="1"/>
  <c r="C35" i="12"/>
  <c r="C35" i="10" s="1"/>
  <c r="D35" i="12"/>
  <c r="D35" i="10" s="1"/>
  <c r="E35" i="12"/>
  <c r="E35" i="10" s="1"/>
  <c r="F35" i="12"/>
  <c r="F35" i="10" s="1"/>
  <c r="G35" i="12"/>
  <c r="G35" i="10" s="1"/>
  <c r="H35" i="12"/>
  <c r="H35" i="10" s="1"/>
  <c r="I35" i="12"/>
  <c r="I35" i="10" s="1"/>
  <c r="J35" i="12"/>
  <c r="J35" i="10" s="1"/>
  <c r="K35" i="12"/>
  <c r="K35" i="10" s="1"/>
  <c r="L35" i="12"/>
  <c r="L35" i="10" s="1"/>
  <c r="M35" i="12"/>
  <c r="M35" i="10" s="1"/>
  <c r="N35" i="12"/>
  <c r="N35" i="10" s="1"/>
  <c r="O35" i="12"/>
  <c r="O35" i="10" s="1"/>
  <c r="P35" i="12"/>
  <c r="P35" i="10" s="1"/>
  <c r="Q35" i="12"/>
  <c r="Q35" i="10" s="1"/>
  <c r="R35" i="12"/>
  <c r="R35" i="10" s="1"/>
  <c r="S35" i="12"/>
  <c r="S35" i="10" s="1"/>
  <c r="T35" i="12"/>
  <c r="T35" i="10" s="1"/>
  <c r="U35" i="12"/>
  <c r="U35" i="10" s="1"/>
  <c r="V35" i="12"/>
  <c r="V35" i="10" s="1"/>
  <c r="W35" i="12"/>
  <c r="W35" i="10" s="1"/>
  <c r="X35" i="12"/>
  <c r="X35" i="10" s="1"/>
  <c r="Y35" i="12"/>
  <c r="Y35" i="10" s="1"/>
  <c r="Z35" i="12"/>
  <c r="Z35" i="10" s="1"/>
  <c r="AA35" i="12"/>
  <c r="AA35" i="10" s="1"/>
  <c r="AB35" i="12"/>
  <c r="AB35" i="10" s="1"/>
  <c r="AC35" i="12"/>
  <c r="AC35" i="10" s="1"/>
  <c r="AD35" i="12"/>
  <c r="AD35" i="10" s="1"/>
  <c r="AE35" i="12"/>
  <c r="AE35" i="10" s="1"/>
  <c r="AF35" i="12"/>
  <c r="AF35" i="10" s="1"/>
  <c r="B36" i="12"/>
  <c r="B36" i="10" s="1"/>
  <c r="C36" i="12"/>
  <c r="C36" i="10" s="1"/>
  <c r="D36" i="12"/>
  <c r="D36" i="10" s="1"/>
  <c r="E36" i="12"/>
  <c r="E36" i="10" s="1"/>
  <c r="F36" i="12"/>
  <c r="F36" i="10" s="1"/>
  <c r="G36" i="12"/>
  <c r="G36" i="10" s="1"/>
  <c r="H36" i="12"/>
  <c r="H36" i="10" s="1"/>
  <c r="I36" i="12"/>
  <c r="I36" i="10" s="1"/>
  <c r="J36" i="12"/>
  <c r="J36" i="10" s="1"/>
  <c r="K36" i="12"/>
  <c r="K36" i="10" s="1"/>
  <c r="L36" i="12"/>
  <c r="L36" i="10" s="1"/>
  <c r="M36" i="12"/>
  <c r="M36" i="10" s="1"/>
  <c r="N36" i="12"/>
  <c r="N36" i="10" s="1"/>
  <c r="O36" i="12"/>
  <c r="O36" i="10" s="1"/>
  <c r="P36" i="12"/>
  <c r="P36" i="10" s="1"/>
  <c r="Q36" i="12"/>
  <c r="Q36" i="10" s="1"/>
  <c r="R36" i="12"/>
  <c r="R36" i="10" s="1"/>
  <c r="S36" i="12"/>
  <c r="S36" i="10" s="1"/>
  <c r="T36" i="12"/>
  <c r="T36" i="10" s="1"/>
  <c r="U36" i="12"/>
  <c r="U36" i="10" s="1"/>
  <c r="V36" i="12"/>
  <c r="V36" i="10" s="1"/>
  <c r="W36" i="12"/>
  <c r="W36" i="10" s="1"/>
  <c r="X36" i="12"/>
  <c r="X36" i="10" s="1"/>
  <c r="Y36" i="12"/>
  <c r="Y36" i="10" s="1"/>
  <c r="Z36" i="12"/>
  <c r="Z36" i="10" s="1"/>
  <c r="AA36" i="12"/>
  <c r="AA36" i="10" s="1"/>
  <c r="AB36" i="12"/>
  <c r="AB36" i="10" s="1"/>
  <c r="AC36" i="12"/>
  <c r="AC36" i="10" s="1"/>
  <c r="AD36" i="12"/>
  <c r="AD36" i="10" s="1"/>
  <c r="AE36" i="12"/>
  <c r="AE36" i="10" s="1"/>
  <c r="AF36" i="12"/>
  <c r="AF36" i="10" s="1"/>
  <c r="B37" i="12"/>
  <c r="B37" i="10" s="1"/>
  <c r="C37" i="12"/>
  <c r="C37" i="10" s="1"/>
  <c r="D37" i="12"/>
  <c r="D37" i="10" s="1"/>
  <c r="E37" i="12"/>
  <c r="E37" i="10" s="1"/>
  <c r="F37" i="12"/>
  <c r="F37" i="10" s="1"/>
  <c r="G37" i="12"/>
  <c r="G37" i="10" s="1"/>
  <c r="H37" i="12"/>
  <c r="H37" i="10" s="1"/>
  <c r="I37" i="12"/>
  <c r="I37" i="10" s="1"/>
  <c r="J37" i="12"/>
  <c r="J37" i="10" s="1"/>
  <c r="K37" i="12"/>
  <c r="K37" i="10" s="1"/>
  <c r="L37" i="12"/>
  <c r="L37" i="10" s="1"/>
  <c r="M37" i="12"/>
  <c r="M37" i="10" s="1"/>
  <c r="N37" i="12"/>
  <c r="N37" i="10" s="1"/>
  <c r="O37" i="12"/>
  <c r="O37" i="10" s="1"/>
  <c r="P37" i="12"/>
  <c r="P37" i="10" s="1"/>
  <c r="Q37" i="12"/>
  <c r="Q37" i="10" s="1"/>
  <c r="R37" i="12"/>
  <c r="R37" i="10" s="1"/>
  <c r="S37" i="12"/>
  <c r="S37" i="10" s="1"/>
  <c r="T37" i="12"/>
  <c r="T37" i="10" s="1"/>
  <c r="U37" i="12"/>
  <c r="U37" i="10" s="1"/>
  <c r="V37" i="12"/>
  <c r="V37" i="10" s="1"/>
  <c r="W37" i="12"/>
  <c r="W37" i="10" s="1"/>
  <c r="X37" i="12"/>
  <c r="X37" i="10" s="1"/>
  <c r="Y37" i="12"/>
  <c r="Y37" i="10" s="1"/>
  <c r="Z37" i="12"/>
  <c r="Z37" i="10" s="1"/>
  <c r="AA37" i="12"/>
  <c r="AA37" i="10" s="1"/>
  <c r="AB37" i="12"/>
  <c r="AB37" i="10" s="1"/>
  <c r="AC37" i="12"/>
  <c r="AC37" i="10" s="1"/>
  <c r="AD37" i="12"/>
  <c r="AD37" i="10" s="1"/>
  <c r="AE37" i="12"/>
  <c r="AE37" i="10" s="1"/>
  <c r="AF37" i="12"/>
  <c r="AF37" i="10" s="1"/>
  <c r="B38" i="12"/>
  <c r="B38" i="10" s="1"/>
  <c r="C38" i="12"/>
  <c r="C38" i="10" s="1"/>
  <c r="D38" i="12"/>
  <c r="D38" i="10" s="1"/>
  <c r="E38" i="12"/>
  <c r="E38" i="10" s="1"/>
  <c r="F38" i="12"/>
  <c r="F38" i="10" s="1"/>
  <c r="G38" i="12"/>
  <c r="G38" i="10" s="1"/>
  <c r="H38" i="12"/>
  <c r="H38" i="10" s="1"/>
  <c r="I38" i="12"/>
  <c r="I38" i="10" s="1"/>
  <c r="J38" i="12"/>
  <c r="J38" i="10" s="1"/>
  <c r="K38" i="12"/>
  <c r="K38" i="10" s="1"/>
  <c r="L38" i="12"/>
  <c r="L38" i="10" s="1"/>
  <c r="M38" i="12"/>
  <c r="M38" i="10" s="1"/>
  <c r="N38" i="12"/>
  <c r="N38" i="10" s="1"/>
  <c r="O38" i="12"/>
  <c r="O38" i="10" s="1"/>
  <c r="P38" i="12"/>
  <c r="P38" i="10" s="1"/>
  <c r="Q38" i="12"/>
  <c r="Q38" i="10" s="1"/>
  <c r="R38" i="12"/>
  <c r="R38" i="10" s="1"/>
  <c r="S38" i="12"/>
  <c r="S38" i="10" s="1"/>
  <c r="T38" i="12"/>
  <c r="T38" i="10" s="1"/>
  <c r="U38" i="12"/>
  <c r="U38" i="10" s="1"/>
  <c r="V38" i="12"/>
  <c r="V38" i="10" s="1"/>
  <c r="W38" i="12"/>
  <c r="W38" i="10" s="1"/>
  <c r="X38" i="12"/>
  <c r="X38" i="10" s="1"/>
  <c r="Y38" i="12"/>
  <c r="Y38" i="10" s="1"/>
  <c r="Z38" i="12"/>
  <c r="Z38" i="10" s="1"/>
  <c r="AA38" i="12"/>
  <c r="AA38" i="10" s="1"/>
  <c r="AB38" i="12"/>
  <c r="AB38" i="10" s="1"/>
  <c r="AC38" i="12"/>
  <c r="AC38" i="10" s="1"/>
  <c r="AD38" i="12"/>
  <c r="AD38" i="10" s="1"/>
  <c r="AE38" i="12"/>
  <c r="AE38" i="10" s="1"/>
  <c r="AF38" i="12"/>
  <c r="AF38" i="10" s="1"/>
  <c r="B39" i="12"/>
  <c r="B39" i="10" s="1"/>
  <c r="C39" i="12"/>
  <c r="C39" i="10" s="1"/>
  <c r="D39" i="12"/>
  <c r="D39" i="10" s="1"/>
  <c r="E39" i="12"/>
  <c r="E39" i="10" s="1"/>
  <c r="F39" i="12"/>
  <c r="F39" i="10" s="1"/>
  <c r="G39" i="12"/>
  <c r="G39" i="10" s="1"/>
  <c r="H39" i="12"/>
  <c r="H39" i="10" s="1"/>
  <c r="I39" i="12"/>
  <c r="I39" i="10" s="1"/>
  <c r="J39" i="12"/>
  <c r="J39" i="10" s="1"/>
  <c r="K39" i="12"/>
  <c r="K39" i="10" s="1"/>
  <c r="L39" i="12"/>
  <c r="L39" i="10" s="1"/>
  <c r="M39" i="12"/>
  <c r="M39" i="10" s="1"/>
  <c r="N39" i="12"/>
  <c r="N39" i="10" s="1"/>
  <c r="O39" i="12"/>
  <c r="O39" i="10" s="1"/>
  <c r="P39" i="12"/>
  <c r="P39" i="10" s="1"/>
  <c r="Q39" i="12"/>
  <c r="Q39" i="10" s="1"/>
  <c r="R39" i="12"/>
  <c r="R39" i="10" s="1"/>
  <c r="S39" i="12"/>
  <c r="S39" i="10" s="1"/>
  <c r="T39" i="12"/>
  <c r="T39" i="10" s="1"/>
  <c r="U39" i="12"/>
  <c r="U39" i="10" s="1"/>
  <c r="V39" i="12"/>
  <c r="V39" i="10" s="1"/>
  <c r="W39" i="12"/>
  <c r="W39" i="10" s="1"/>
  <c r="X39" i="12"/>
  <c r="X39" i="10" s="1"/>
  <c r="Y39" i="12"/>
  <c r="Y39" i="10" s="1"/>
  <c r="Z39" i="12"/>
  <c r="Z39" i="10" s="1"/>
  <c r="AA39" i="12"/>
  <c r="AA39" i="10" s="1"/>
  <c r="AB39" i="12"/>
  <c r="AB39" i="10" s="1"/>
  <c r="AC39" i="12"/>
  <c r="AC39" i="10" s="1"/>
  <c r="AD39" i="12"/>
  <c r="AD39" i="10" s="1"/>
  <c r="AE39" i="12"/>
  <c r="AE39" i="10" s="1"/>
  <c r="AF39" i="12"/>
  <c r="AF39" i="10" s="1"/>
  <c r="B40" i="12"/>
  <c r="B40" i="10" s="1"/>
  <c r="C40" i="12"/>
  <c r="C40" i="10" s="1"/>
  <c r="D40" i="12"/>
  <c r="D40" i="10" s="1"/>
  <c r="E40" i="12"/>
  <c r="E40" i="10" s="1"/>
  <c r="F40" i="12"/>
  <c r="F40" i="10" s="1"/>
  <c r="G40" i="12"/>
  <c r="G40" i="10" s="1"/>
  <c r="H40" i="12"/>
  <c r="H40" i="10" s="1"/>
  <c r="I40" i="12"/>
  <c r="I40" i="10" s="1"/>
  <c r="J40" i="12"/>
  <c r="J40" i="10" s="1"/>
  <c r="K40" i="12"/>
  <c r="K40" i="10" s="1"/>
  <c r="L40" i="12"/>
  <c r="L40" i="10" s="1"/>
  <c r="M40" i="12"/>
  <c r="M40" i="10" s="1"/>
  <c r="N40" i="12"/>
  <c r="N40" i="10" s="1"/>
  <c r="O40" i="12"/>
  <c r="O40" i="10" s="1"/>
  <c r="P40" i="12"/>
  <c r="P40" i="10" s="1"/>
  <c r="Q40" i="12"/>
  <c r="Q40" i="10" s="1"/>
  <c r="R40" i="12"/>
  <c r="R40" i="10" s="1"/>
  <c r="S40" i="12"/>
  <c r="S40" i="10" s="1"/>
  <c r="T40" i="12"/>
  <c r="T40" i="10" s="1"/>
  <c r="U40" i="12"/>
  <c r="U40" i="10" s="1"/>
  <c r="V40" i="12"/>
  <c r="V40" i="10" s="1"/>
  <c r="W40" i="12"/>
  <c r="W40" i="10" s="1"/>
  <c r="X40" i="12"/>
  <c r="X40" i="10" s="1"/>
  <c r="Y40" i="12"/>
  <c r="Y40" i="10" s="1"/>
  <c r="Z40" i="12"/>
  <c r="Z40" i="10" s="1"/>
  <c r="AA40" i="12"/>
  <c r="AA40" i="10" s="1"/>
  <c r="AB40" i="12"/>
  <c r="AB40" i="10" s="1"/>
  <c r="AC40" i="12"/>
  <c r="AC40" i="10" s="1"/>
  <c r="AD40" i="12"/>
  <c r="AD40" i="10" s="1"/>
  <c r="AE40" i="12"/>
  <c r="AE40" i="10" s="1"/>
  <c r="AF40" i="12"/>
  <c r="AF40" i="10" s="1"/>
  <c r="B41" i="12"/>
  <c r="B41" i="10" s="1"/>
  <c r="C41" i="12"/>
  <c r="C41" i="10" s="1"/>
  <c r="D41" i="12"/>
  <c r="D41" i="10" s="1"/>
  <c r="E41" i="12"/>
  <c r="E41" i="10" s="1"/>
  <c r="F41" i="12"/>
  <c r="F41" i="10" s="1"/>
  <c r="G41" i="12"/>
  <c r="G41" i="10" s="1"/>
  <c r="H41" i="12"/>
  <c r="H41" i="10" s="1"/>
  <c r="I41" i="12"/>
  <c r="I41" i="10" s="1"/>
  <c r="J41" i="12"/>
  <c r="J41" i="10" s="1"/>
  <c r="K41" i="12"/>
  <c r="K41" i="10" s="1"/>
  <c r="L41" i="12"/>
  <c r="L41" i="10" s="1"/>
  <c r="M41" i="12"/>
  <c r="M41" i="10" s="1"/>
  <c r="N41" i="12"/>
  <c r="N41" i="10" s="1"/>
  <c r="O41" i="12"/>
  <c r="O41" i="10" s="1"/>
  <c r="P41" i="12"/>
  <c r="P41" i="10" s="1"/>
  <c r="Q41" i="12"/>
  <c r="Q41" i="10" s="1"/>
  <c r="R41" i="12"/>
  <c r="R41" i="10" s="1"/>
  <c r="S41" i="12"/>
  <c r="S41" i="10" s="1"/>
  <c r="T41" i="12"/>
  <c r="T41" i="10" s="1"/>
  <c r="U41" i="12"/>
  <c r="U41" i="10" s="1"/>
  <c r="V41" i="12"/>
  <c r="V41" i="10" s="1"/>
  <c r="W41" i="12"/>
  <c r="W41" i="10" s="1"/>
  <c r="X41" i="12"/>
  <c r="X41" i="10" s="1"/>
  <c r="Y41" i="12"/>
  <c r="Y41" i="10" s="1"/>
  <c r="Z41" i="12"/>
  <c r="Z41" i="10" s="1"/>
  <c r="AA41" i="12"/>
  <c r="AA41" i="10" s="1"/>
  <c r="AB41" i="12"/>
  <c r="AB41" i="10" s="1"/>
  <c r="AC41" i="12"/>
  <c r="AC41" i="10" s="1"/>
  <c r="AD41" i="12"/>
  <c r="AD41" i="10" s="1"/>
  <c r="AE41" i="12"/>
  <c r="AE41" i="10" s="1"/>
  <c r="AF41" i="12"/>
  <c r="AF41" i="10" s="1"/>
  <c r="B42" i="12"/>
  <c r="B42" i="10" s="1"/>
  <c r="C42" i="12"/>
  <c r="C42" i="10" s="1"/>
  <c r="D42" i="12"/>
  <c r="D42" i="10" s="1"/>
  <c r="E42" i="12"/>
  <c r="E42" i="10" s="1"/>
  <c r="F42" i="12"/>
  <c r="F42" i="10" s="1"/>
  <c r="G42" i="12"/>
  <c r="G42" i="10" s="1"/>
  <c r="H42" i="12"/>
  <c r="H42" i="10" s="1"/>
  <c r="I42" i="12"/>
  <c r="I42" i="10" s="1"/>
  <c r="J42" i="12"/>
  <c r="J42" i="10" s="1"/>
  <c r="K42" i="12"/>
  <c r="K42" i="10" s="1"/>
  <c r="L42" i="12"/>
  <c r="L42" i="10" s="1"/>
  <c r="M42" i="12"/>
  <c r="M42" i="10" s="1"/>
  <c r="N42" i="12"/>
  <c r="N42" i="10" s="1"/>
  <c r="O42" i="12"/>
  <c r="O42" i="10" s="1"/>
  <c r="P42" i="12"/>
  <c r="P42" i="10" s="1"/>
  <c r="Q42" i="12"/>
  <c r="Q42" i="10" s="1"/>
  <c r="R42" i="12"/>
  <c r="R42" i="10" s="1"/>
  <c r="S42" i="12"/>
  <c r="S42" i="10" s="1"/>
  <c r="T42" i="12"/>
  <c r="T42" i="10" s="1"/>
  <c r="U42" i="12"/>
  <c r="U42" i="10" s="1"/>
  <c r="V42" i="12"/>
  <c r="V42" i="10" s="1"/>
  <c r="W42" i="12"/>
  <c r="W42" i="10" s="1"/>
  <c r="X42" i="12"/>
  <c r="X42" i="10" s="1"/>
  <c r="Y42" i="12"/>
  <c r="Y42" i="10" s="1"/>
  <c r="Z42" i="12"/>
  <c r="Z42" i="10" s="1"/>
  <c r="AA42" i="12"/>
  <c r="AA42" i="10" s="1"/>
  <c r="AB42" i="12"/>
  <c r="AB42" i="10" s="1"/>
  <c r="AC42" i="12"/>
  <c r="AC42" i="10" s="1"/>
  <c r="AD42" i="12"/>
  <c r="AD42" i="10" s="1"/>
  <c r="AE42" i="12"/>
  <c r="AE42" i="10" s="1"/>
  <c r="AF42" i="12"/>
  <c r="AF42" i="10" s="1"/>
  <c r="B43" i="12"/>
  <c r="B43" i="10" s="1"/>
  <c r="C43" i="12"/>
  <c r="C43" i="10" s="1"/>
  <c r="D43" i="12"/>
  <c r="D43" i="10" s="1"/>
  <c r="E43" i="12"/>
  <c r="E43" i="10" s="1"/>
  <c r="F43" i="12"/>
  <c r="F43" i="10" s="1"/>
  <c r="G43" i="12"/>
  <c r="G43" i="10" s="1"/>
  <c r="H43" i="12"/>
  <c r="H43" i="10" s="1"/>
  <c r="I43" i="12"/>
  <c r="I43" i="10" s="1"/>
  <c r="J43" i="12"/>
  <c r="J43" i="10" s="1"/>
  <c r="K43" i="12"/>
  <c r="K43" i="10" s="1"/>
  <c r="L43" i="12"/>
  <c r="L43" i="10" s="1"/>
  <c r="M43" i="12"/>
  <c r="M43" i="10" s="1"/>
  <c r="N43" i="12"/>
  <c r="N43" i="10" s="1"/>
  <c r="O43" i="12"/>
  <c r="O43" i="10" s="1"/>
  <c r="P43" i="12"/>
  <c r="P43" i="10" s="1"/>
  <c r="Q43" i="12"/>
  <c r="Q43" i="10" s="1"/>
  <c r="R43" i="12"/>
  <c r="R43" i="10" s="1"/>
  <c r="S43" i="12"/>
  <c r="S43" i="10" s="1"/>
  <c r="T43" i="12"/>
  <c r="T43" i="10" s="1"/>
  <c r="U43" i="12"/>
  <c r="U43" i="10" s="1"/>
  <c r="V43" i="12"/>
  <c r="V43" i="10" s="1"/>
  <c r="W43" i="12"/>
  <c r="W43" i="10" s="1"/>
  <c r="X43" i="12"/>
  <c r="X43" i="10" s="1"/>
  <c r="Y43" i="12"/>
  <c r="Y43" i="10" s="1"/>
  <c r="Z43" i="12"/>
  <c r="Z43" i="10" s="1"/>
  <c r="AA43" i="12"/>
  <c r="AA43" i="10" s="1"/>
  <c r="AB43" i="12"/>
  <c r="AB43" i="10" s="1"/>
  <c r="AC43" i="12"/>
  <c r="AC43" i="10" s="1"/>
  <c r="AD43" i="12"/>
  <c r="AD43" i="10" s="1"/>
  <c r="AE43" i="12"/>
  <c r="AE43" i="10" s="1"/>
  <c r="AF43" i="12"/>
  <c r="AF43" i="10" s="1"/>
  <c r="B44" i="12"/>
  <c r="B44" i="10" s="1"/>
  <c r="C44" i="12"/>
  <c r="C44" i="10" s="1"/>
  <c r="D44" i="12"/>
  <c r="D44" i="10" s="1"/>
  <c r="E44" i="12"/>
  <c r="E44" i="10" s="1"/>
  <c r="F44" i="12"/>
  <c r="F44" i="10" s="1"/>
  <c r="G44" i="12"/>
  <c r="G44" i="10" s="1"/>
  <c r="H44" i="12"/>
  <c r="H44" i="10" s="1"/>
  <c r="I44" i="12"/>
  <c r="I44" i="10" s="1"/>
  <c r="J44" i="12"/>
  <c r="J44" i="10" s="1"/>
  <c r="K44" i="12"/>
  <c r="K44" i="10" s="1"/>
  <c r="L44" i="12"/>
  <c r="L44" i="10" s="1"/>
  <c r="M44" i="12"/>
  <c r="M44" i="10" s="1"/>
  <c r="N44" i="12"/>
  <c r="N44" i="10" s="1"/>
  <c r="O44" i="12"/>
  <c r="O44" i="10" s="1"/>
  <c r="P44" i="12"/>
  <c r="P44" i="10" s="1"/>
  <c r="Q44" i="12"/>
  <c r="Q44" i="10" s="1"/>
  <c r="R44" i="12"/>
  <c r="R44" i="10" s="1"/>
  <c r="S44" i="12"/>
  <c r="S44" i="10" s="1"/>
  <c r="T44" i="12"/>
  <c r="T44" i="10" s="1"/>
  <c r="U44" i="12"/>
  <c r="U44" i="10" s="1"/>
  <c r="V44" i="12"/>
  <c r="V44" i="10" s="1"/>
  <c r="W44" i="12"/>
  <c r="W44" i="10" s="1"/>
  <c r="X44" i="12"/>
  <c r="X44" i="10" s="1"/>
  <c r="Y44" i="12"/>
  <c r="Y44" i="10" s="1"/>
  <c r="Z44" i="12"/>
  <c r="Z44" i="10" s="1"/>
  <c r="AA44" i="12"/>
  <c r="AA44" i="10" s="1"/>
  <c r="AB44" i="12"/>
  <c r="AB44" i="10" s="1"/>
  <c r="AC44" i="12"/>
  <c r="AC44" i="10" s="1"/>
  <c r="AD44" i="12"/>
  <c r="AD44" i="10" s="1"/>
  <c r="AE44" i="12"/>
  <c r="AE44" i="10" s="1"/>
  <c r="AF44" i="12"/>
  <c r="AF44" i="10" s="1"/>
  <c r="B45" i="12"/>
  <c r="B45" i="10" s="1"/>
  <c r="C45" i="12"/>
  <c r="C45" i="10" s="1"/>
  <c r="D45" i="12"/>
  <c r="D45" i="10" s="1"/>
  <c r="E45" i="12"/>
  <c r="E45" i="10" s="1"/>
  <c r="F45" i="12"/>
  <c r="F45" i="10" s="1"/>
  <c r="G45" i="12"/>
  <c r="G45" i="10" s="1"/>
  <c r="H45" i="12"/>
  <c r="H45" i="10" s="1"/>
  <c r="I45" i="12"/>
  <c r="I45" i="10" s="1"/>
  <c r="J45" i="12"/>
  <c r="J45" i="10" s="1"/>
  <c r="K45" i="12"/>
  <c r="K45" i="10" s="1"/>
  <c r="L45" i="12"/>
  <c r="L45" i="10" s="1"/>
  <c r="M45" i="12"/>
  <c r="M45" i="10" s="1"/>
  <c r="N45" i="12"/>
  <c r="N45" i="10" s="1"/>
  <c r="O45" i="12"/>
  <c r="O45" i="10" s="1"/>
  <c r="P45" i="12"/>
  <c r="P45" i="10" s="1"/>
  <c r="Q45" i="12"/>
  <c r="Q45" i="10" s="1"/>
  <c r="R45" i="12"/>
  <c r="R45" i="10" s="1"/>
  <c r="S45" i="12"/>
  <c r="S45" i="10" s="1"/>
  <c r="T45" i="12"/>
  <c r="T45" i="10" s="1"/>
  <c r="U45" i="12"/>
  <c r="U45" i="10" s="1"/>
  <c r="V45" i="12"/>
  <c r="V45" i="10" s="1"/>
  <c r="W45" i="12"/>
  <c r="W45" i="10" s="1"/>
  <c r="X45" i="12"/>
  <c r="X45" i="10" s="1"/>
  <c r="Y45" i="12"/>
  <c r="Y45" i="10" s="1"/>
  <c r="Z45" i="12"/>
  <c r="Z45" i="10" s="1"/>
  <c r="AA45" i="12"/>
  <c r="AA45" i="10" s="1"/>
  <c r="AB45" i="12"/>
  <c r="AB45" i="10" s="1"/>
  <c r="AC45" i="12"/>
  <c r="AC45" i="10" s="1"/>
  <c r="AD45" i="12"/>
  <c r="AD45" i="10" s="1"/>
  <c r="AE45" i="12"/>
  <c r="AE45" i="10" s="1"/>
  <c r="AF45" i="12"/>
  <c r="AF45" i="10" s="1"/>
  <c r="B46" i="12"/>
  <c r="B46" i="10" s="1"/>
  <c r="C46" i="12"/>
  <c r="C46" i="10" s="1"/>
  <c r="D46" i="12"/>
  <c r="D46" i="10" s="1"/>
  <c r="E46" i="12"/>
  <c r="E46" i="10" s="1"/>
  <c r="F46" i="12"/>
  <c r="F46" i="10" s="1"/>
  <c r="G46" i="12"/>
  <c r="G46" i="10" s="1"/>
  <c r="H46" i="12"/>
  <c r="H46" i="10" s="1"/>
  <c r="I46" i="12"/>
  <c r="I46" i="10" s="1"/>
  <c r="J46" i="12"/>
  <c r="J46" i="10" s="1"/>
  <c r="K46" i="12"/>
  <c r="K46" i="10" s="1"/>
  <c r="L46" i="12"/>
  <c r="L46" i="10" s="1"/>
  <c r="M46" i="12"/>
  <c r="M46" i="10" s="1"/>
  <c r="N46" i="12"/>
  <c r="N46" i="10" s="1"/>
  <c r="O46" i="12"/>
  <c r="O46" i="10" s="1"/>
  <c r="P46" i="12"/>
  <c r="P46" i="10" s="1"/>
  <c r="Q46" i="12"/>
  <c r="Q46" i="10" s="1"/>
  <c r="R46" i="12"/>
  <c r="R46" i="10" s="1"/>
  <c r="S46" i="12"/>
  <c r="S46" i="10" s="1"/>
  <c r="T46" i="12"/>
  <c r="T46" i="10" s="1"/>
  <c r="U46" i="12"/>
  <c r="U46" i="10" s="1"/>
  <c r="V46" i="12"/>
  <c r="V46" i="10" s="1"/>
  <c r="W46" i="12"/>
  <c r="W46" i="10" s="1"/>
  <c r="X46" i="12"/>
  <c r="X46" i="10" s="1"/>
  <c r="Y46" i="12"/>
  <c r="Y46" i="10" s="1"/>
  <c r="Z46" i="12"/>
  <c r="Z46" i="10" s="1"/>
  <c r="AA46" i="12"/>
  <c r="AA46" i="10" s="1"/>
  <c r="AB46" i="12"/>
  <c r="AB46" i="10" s="1"/>
  <c r="AC46" i="12"/>
  <c r="AC46" i="10" s="1"/>
  <c r="AD46" i="12"/>
  <c r="AD46" i="10" s="1"/>
  <c r="AE46" i="12"/>
  <c r="AE46" i="10" s="1"/>
  <c r="AF46" i="12"/>
  <c r="AF46" i="10" s="1"/>
  <c r="C2" i="12"/>
  <c r="C2" i="10" s="1"/>
  <c r="D2" i="12"/>
  <c r="D2" i="10" s="1"/>
  <c r="E2" i="12"/>
  <c r="E2" i="10" s="1"/>
  <c r="F2" i="12"/>
  <c r="F2" i="10" s="1"/>
  <c r="G2" i="12"/>
  <c r="G2" i="10" s="1"/>
  <c r="H2" i="12"/>
  <c r="H2" i="10" s="1"/>
  <c r="I2" i="12"/>
  <c r="I2" i="10" s="1"/>
  <c r="J2" i="12"/>
  <c r="J2" i="10" s="1"/>
  <c r="K2" i="12"/>
  <c r="K2" i="10" s="1"/>
  <c r="L2" i="12"/>
  <c r="L2" i="10" s="1"/>
  <c r="M2" i="12"/>
  <c r="M2" i="10" s="1"/>
  <c r="N2" i="12"/>
  <c r="N2" i="10" s="1"/>
  <c r="O2" i="12"/>
  <c r="O2" i="10" s="1"/>
  <c r="P2" i="12"/>
  <c r="P2" i="10" s="1"/>
  <c r="Q2" i="12"/>
  <c r="Q2" i="10" s="1"/>
  <c r="R2" i="12"/>
  <c r="R2" i="10" s="1"/>
  <c r="S2" i="12"/>
  <c r="S2" i="10" s="1"/>
  <c r="T2" i="12"/>
  <c r="T2" i="10" s="1"/>
  <c r="U2" i="12"/>
  <c r="U2" i="10" s="1"/>
  <c r="V2" i="12"/>
  <c r="V2" i="10" s="1"/>
  <c r="W2" i="12"/>
  <c r="W2" i="10" s="1"/>
  <c r="X2" i="12"/>
  <c r="X2" i="10" s="1"/>
  <c r="Y2" i="12"/>
  <c r="Y2" i="10" s="1"/>
  <c r="Z2" i="12"/>
  <c r="Z2" i="10" s="1"/>
  <c r="AA2" i="12"/>
  <c r="AA2" i="10" s="1"/>
  <c r="AB2" i="12"/>
  <c r="AB2" i="10" s="1"/>
  <c r="AC2" i="12"/>
  <c r="AC2" i="10" s="1"/>
  <c r="AD2" i="12"/>
  <c r="AD2" i="10" s="1"/>
  <c r="AE2" i="12"/>
  <c r="AE2" i="10" s="1"/>
  <c r="AF2" i="12"/>
  <c r="AF2" i="10" s="1"/>
  <c r="B2" i="12"/>
  <c r="B2" i="10" s="1"/>
  <c r="A2" i="29" l="1"/>
  <c r="A2" i="28"/>
  <c r="A2" i="27"/>
  <c r="A2" i="26"/>
  <c r="A2" i="25"/>
  <c r="A2" i="24"/>
  <c r="A2" i="18"/>
  <c r="A2" i="17"/>
  <c r="A2" i="16"/>
  <c r="A2" i="15"/>
  <c r="A2" i="14"/>
  <c r="BE46" i="13"/>
  <c r="G46" i="13"/>
  <c r="G44" i="13"/>
  <c r="G43" i="13"/>
  <c r="BC42" i="13"/>
  <c r="BB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C41" i="13"/>
  <c r="BB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G40" i="13"/>
  <c r="B40" i="13"/>
  <c r="BE39" i="13"/>
  <c r="G39" i="13"/>
  <c r="G38" i="13"/>
  <c r="BE37" i="13"/>
  <c r="G37" i="13"/>
  <c r="G36" i="13"/>
  <c r="G35" i="13"/>
  <c r="G34" i="13"/>
  <c r="G33" i="13"/>
  <c r="BG32" i="13"/>
  <c r="G32" i="13"/>
  <c r="G31" i="13"/>
  <c r="BD30" i="13"/>
  <c r="G30" i="13"/>
  <c r="BF27" i="13"/>
  <c r="BE24" i="13"/>
  <c r="BE21" i="13"/>
  <c r="BG17" i="13"/>
  <c r="BF14" i="13"/>
  <c r="BF11" i="13"/>
  <c r="BE8" i="13"/>
  <c r="BE5" i="13"/>
  <c r="BB2" i="21"/>
  <c r="BA2" i="21"/>
  <c r="AX2" i="21"/>
  <c r="AV2" i="21"/>
  <c r="AT2" i="21"/>
  <c r="AS2" i="21"/>
  <c r="AP2" i="21"/>
  <c r="AN2" i="21"/>
  <c r="AL2" i="21"/>
  <c r="AK2" i="21"/>
  <c r="AH2" i="21"/>
  <c r="AF2" i="21"/>
  <c r="AD2" i="21"/>
  <c r="AC2" i="21"/>
  <c r="Z2" i="21"/>
  <c r="X2" i="21"/>
  <c r="V2" i="21"/>
  <c r="U2" i="21"/>
  <c r="R2" i="21"/>
  <c r="P2" i="21"/>
  <c r="N2" i="21"/>
  <c r="M2" i="21"/>
  <c r="J2" i="21"/>
  <c r="H2" i="21"/>
  <c r="F2" i="21"/>
  <c r="E2" i="21"/>
  <c r="B2" i="21"/>
  <c r="F46" i="5"/>
  <c r="E46" i="5"/>
  <c r="D46" i="5"/>
  <c r="BF46" i="24" s="1"/>
  <c r="C46" i="5"/>
  <c r="BE46" i="24" s="1"/>
  <c r="B46" i="5"/>
  <c r="BG45" i="24"/>
  <c r="D45" i="5"/>
  <c r="BF45" i="24" s="1"/>
  <c r="C45" i="5"/>
  <c r="B45" i="5"/>
  <c r="F44" i="5"/>
  <c r="E44" i="5"/>
  <c r="BG44" i="24" s="1"/>
  <c r="D44" i="5"/>
  <c r="C44" i="5"/>
  <c r="BE44" i="24" s="1"/>
  <c r="B44" i="5"/>
  <c r="BD44" i="24" s="1"/>
  <c r="F43" i="5"/>
  <c r="E43" i="5"/>
  <c r="D43" i="5"/>
  <c r="C43" i="5"/>
  <c r="BE43" i="24" s="1"/>
  <c r="B43" i="5"/>
  <c r="BD43" i="24" s="1"/>
  <c r="F42" i="5"/>
  <c r="E42" i="5"/>
  <c r="BG42" i="24" s="1"/>
  <c r="D42" i="5"/>
  <c r="BF42" i="24" s="1"/>
  <c r="C42" i="5"/>
  <c r="BE42" i="24" s="1"/>
  <c r="B42" i="5"/>
  <c r="F41" i="5"/>
  <c r="E41" i="5"/>
  <c r="BG41" i="24" s="1"/>
  <c r="D41" i="5"/>
  <c r="BF41" i="24" s="1"/>
  <c r="C41" i="5"/>
  <c r="BE41" i="24" s="1"/>
  <c r="B41" i="5"/>
  <c r="F40" i="5"/>
  <c r="E40" i="5"/>
  <c r="BG40" i="24" s="1"/>
  <c r="D40" i="5"/>
  <c r="BF40" i="24" s="1"/>
  <c r="C40" i="5"/>
  <c r="BE40" i="24" s="1"/>
  <c r="B40" i="5"/>
  <c r="F39" i="5"/>
  <c r="E39" i="5"/>
  <c r="BG39" i="24" s="1"/>
  <c r="D39" i="5"/>
  <c r="C39" i="5"/>
  <c r="BE39" i="24" s="1"/>
  <c r="B39" i="5"/>
  <c r="BD39" i="24" s="1"/>
  <c r="F38" i="5"/>
  <c r="E38" i="5"/>
  <c r="D38" i="5"/>
  <c r="C38" i="5"/>
  <c r="BE38" i="24" s="1"/>
  <c r="B38" i="5"/>
  <c r="BD38" i="24" s="1"/>
  <c r="F37" i="5"/>
  <c r="E37" i="5"/>
  <c r="BG37" i="24" s="1"/>
  <c r="D37" i="5"/>
  <c r="BF37" i="24" s="1"/>
  <c r="C37" i="5"/>
  <c r="BE37" i="24" s="1"/>
  <c r="B37" i="5"/>
  <c r="F36" i="5"/>
  <c r="E36" i="5"/>
  <c r="BG36" i="24" s="1"/>
  <c r="D36" i="5"/>
  <c r="BF36" i="24" s="1"/>
  <c r="C36" i="5"/>
  <c r="B36" i="5"/>
  <c r="BD36" i="24" s="1"/>
  <c r="F35" i="5"/>
  <c r="E35" i="5"/>
  <c r="BG35" i="24" s="1"/>
  <c r="D35" i="5"/>
  <c r="C35" i="5"/>
  <c r="B35" i="5"/>
  <c r="BD35" i="24" s="1"/>
  <c r="F34" i="5"/>
  <c r="E34" i="5"/>
  <c r="D34" i="5"/>
  <c r="BF34" i="24" s="1"/>
  <c r="C34" i="5"/>
  <c r="BE34" i="24" s="1"/>
  <c r="B34" i="5"/>
  <c r="BD34" i="24" s="1"/>
  <c r="F33" i="5"/>
  <c r="E33" i="5"/>
  <c r="D33" i="5"/>
  <c r="BF33" i="24" s="1"/>
  <c r="C33" i="5"/>
  <c r="BE33" i="24" s="1"/>
  <c r="B33" i="5"/>
  <c r="F32" i="5"/>
  <c r="BG32" i="24"/>
  <c r="D32" i="5"/>
  <c r="BF32" i="24" s="1"/>
  <c r="C32" i="5"/>
  <c r="B32" i="5"/>
  <c r="F31" i="5"/>
  <c r="E31" i="5"/>
  <c r="BG31" i="24" s="1"/>
  <c r="D31" i="5"/>
  <c r="C31" i="5"/>
  <c r="BE31" i="24" s="1"/>
  <c r="B31" i="5"/>
  <c r="BD31" i="24" s="1"/>
  <c r="F30" i="5"/>
  <c r="E30" i="5"/>
  <c r="D30" i="5"/>
  <c r="C30" i="5"/>
  <c r="BE30" i="24" s="1"/>
  <c r="B30" i="5"/>
  <c r="BD30" i="24" s="1"/>
  <c r="F29" i="5"/>
  <c r="E29" i="5"/>
  <c r="BG29" i="24" s="1"/>
  <c r="D29" i="5"/>
  <c r="BF29" i="24" s="1"/>
  <c r="C29" i="5"/>
  <c r="BE29" i="24" s="1"/>
  <c r="B29" i="5"/>
  <c r="F28" i="5"/>
  <c r="E28" i="5"/>
  <c r="D28" i="5"/>
  <c r="BF28" i="24" s="1"/>
  <c r="C28" i="5"/>
  <c r="BE28" i="24" s="1"/>
  <c r="B28" i="5"/>
  <c r="F27" i="5"/>
  <c r="E27" i="5"/>
  <c r="BG27" i="24" s="1"/>
  <c r="D27" i="5"/>
  <c r="BF27" i="24" s="1"/>
  <c r="C27" i="5"/>
  <c r="BE27" i="24" s="1"/>
  <c r="B27" i="5"/>
  <c r="F26" i="5"/>
  <c r="E26" i="5"/>
  <c r="D26" i="5"/>
  <c r="BF26" i="24" s="1"/>
  <c r="C26" i="5"/>
  <c r="BE26" i="24" s="1"/>
  <c r="B26" i="5"/>
  <c r="F25" i="5"/>
  <c r="E25" i="5"/>
  <c r="BG25" i="24" s="1"/>
  <c r="D25" i="5"/>
  <c r="BF25" i="24" s="1"/>
  <c r="C25" i="5"/>
  <c r="BE25" i="24" s="1"/>
  <c r="B25" i="5"/>
  <c r="F24" i="5"/>
  <c r="E24" i="5"/>
  <c r="D24" i="5"/>
  <c r="BF24" i="24" s="1"/>
  <c r="C24" i="5"/>
  <c r="BE24" i="24" s="1"/>
  <c r="B24" i="5"/>
  <c r="F23" i="5"/>
  <c r="E23" i="5"/>
  <c r="BG23" i="24" s="1"/>
  <c r="D23" i="5"/>
  <c r="BF23" i="24" s="1"/>
  <c r="C23" i="5"/>
  <c r="BE23" i="24" s="1"/>
  <c r="B23" i="5"/>
  <c r="F22" i="5"/>
  <c r="E22" i="5"/>
  <c r="D22" i="5"/>
  <c r="BF22" i="24" s="1"/>
  <c r="C22" i="5"/>
  <c r="BE22" i="24" s="1"/>
  <c r="B22" i="5"/>
  <c r="F21" i="5"/>
  <c r="E21" i="5"/>
  <c r="BG21" i="24" s="1"/>
  <c r="D21" i="5"/>
  <c r="BF21" i="24" s="1"/>
  <c r="C21" i="5"/>
  <c r="BE21" i="24" s="1"/>
  <c r="B21" i="5"/>
  <c r="F20" i="5"/>
  <c r="E20" i="5"/>
  <c r="D20" i="5"/>
  <c r="BF20" i="24" s="1"/>
  <c r="C20" i="5"/>
  <c r="BE20" i="24" s="1"/>
  <c r="B20" i="5"/>
  <c r="F19" i="5"/>
  <c r="E19" i="5"/>
  <c r="BG19" i="24" s="1"/>
  <c r="D19" i="5"/>
  <c r="BF19" i="24" s="1"/>
  <c r="C19" i="5"/>
  <c r="BE19" i="24" s="1"/>
  <c r="B19" i="5"/>
  <c r="F18" i="5"/>
  <c r="E18" i="5"/>
  <c r="D18" i="5"/>
  <c r="BF18" i="24" s="1"/>
  <c r="C18" i="5"/>
  <c r="BE18" i="24" s="1"/>
  <c r="B18" i="5"/>
  <c r="F17" i="5"/>
  <c r="E17" i="5"/>
  <c r="BG17" i="24" s="1"/>
  <c r="D17" i="5"/>
  <c r="BF17" i="24" s="1"/>
  <c r="C17" i="5"/>
  <c r="BE17" i="24" s="1"/>
  <c r="B17" i="5"/>
  <c r="F16" i="5"/>
  <c r="E16" i="5"/>
  <c r="D16" i="5"/>
  <c r="BF16" i="24" s="1"/>
  <c r="C16" i="5"/>
  <c r="BE16" i="24" s="1"/>
  <c r="B16" i="5"/>
  <c r="F15" i="5"/>
  <c r="E15" i="5"/>
  <c r="BG15" i="24" s="1"/>
  <c r="D15" i="5"/>
  <c r="BF15" i="24" s="1"/>
  <c r="C15" i="5"/>
  <c r="BE15" i="24" s="1"/>
  <c r="B15" i="5"/>
  <c r="F14" i="5"/>
  <c r="E14" i="5"/>
  <c r="D14" i="5"/>
  <c r="BF14" i="24" s="1"/>
  <c r="C14" i="5"/>
  <c r="BE14" i="24" s="1"/>
  <c r="B14" i="5"/>
  <c r="F13" i="5"/>
  <c r="E13" i="5"/>
  <c r="BG13" i="24" s="1"/>
  <c r="D13" i="5"/>
  <c r="BF13" i="24" s="1"/>
  <c r="C13" i="5"/>
  <c r="BE13" i="24" s="1"/>
  <c r="B13" i="5"/>
  <c r="F12" i="5"/>
  <c r="E12" i="5"/>
  <c r="D12" i="5"/>
  <c r="BF12" i="24" s="1"/>
  <c r="C12" i="5"/>
  <c r="BE12" i="24" s="1"/>
  <c r="B12" i="5"/>
  <c r="F11" i="5"/>
  <c r="E11" i="5"/>
  <c r="BG11" i="24" s="1"/>
  <c r="D11" i="5"/>
  <c r="BF11" i="24" s="1"/>
  <c r="C11" i="5"/>
  <c r="BE11" i="24" s="1"/>
  <c r="B11" i="5"/>
  <c r="F10" i="5"/>
  <c r="E10" i="5"/>
  <c r="D10" i="5"/>
  <c r="BF10" i="24" s="1"/>
  <c r="C10" i="5"/>
  <c r="BE10" i="24" s="1"/>
  <c r="B10" i="5"/>
  <c r="F9" i="5"/>
  <c r="E9" i="5"/>
  <c r="BG9" i="24" s="1"/>
  <c r="D9" i="5"/>
  <c r="BF9" i="24" s="1"/>
  <c r="C9" i="5"/>
  <c r="BE9" i="24" s="1"/>
  <c r="B9" i="5"/>
  <c r="F8" i="5"/>
  <c r="E8" i="5"/>
  <c r="D8" i="5"/>
  <c r="BF8" i="24" s="1"/>
  <c r="C8" i="5"/>
  <c r="BE8" i="24" s="1"/>
  <c r="B8" i="5"/>
  <c r="F7" i="5"/>
  <c r="E7" i="5"/>
  <c r="BG7" i="24" s="1"/>
  <c r="D7" i="5"/>
  <c r="BF7" i="24" s="1"/>
  <c r="C7" i="5"/>
  <c r="BE7" i="24" s="1"/>
  <c r="B7" i="5"/>
  <c r="F6" i="5"/>
  <c r="E6" i="5"/>
  <c r="D6" i="5"/>
  <c r="BF6" i="24" s="1"/>
  <c r="C6" i="5"/>
  <c r="BE6" i="24" s="1"/>
  <c r="B6" i="5"/>
  <c r="F5" i="5"/>
  <c r="E5" i="5"/>
  <c r="BG5" i="24" s="1"/>
  <c r="D5" i="5"/>
  <c r="BF5" i="24" s="1"/>
  <c r="C5" i="5"/>
  <c r="BE5" i="24" s="1"/>
  <c r="B5" i="5"/>
  <c r="F4" i="5"/>
  <c r="E4" i="5"/>
  <c r="D4" i="5"/>
  <c r="BF4" i="24" s="1"/>
  <c r="C4" i="5"/>
  <c r="BE4" i="24" s="1"/>
  <c r="B4" i="5"/>
  <c r="F3" i="5"/>
  <c r="E3" i="5"/>
  <c r="BG3" i="24" s="1"/>
  <c r="D3" i="5"/>
  <c r="BF3" i="24" s="1"/>
  <c r="C3" i="5"/>
  <c r="BE3" i="24" s="1"/>
  <c r="B3" i="5"/>
  <c r="F2" i="5"/>
  <c r="E2" i="5"/>
  <c r="D2" i="5"/>
  <c r="BF2" i="24" s="1"/>
  <c r="C2" i="5"/>
  <c r="BE2" i="24" s="1"/>
  <c r="B2" i="5"/>
  <c r="A2" i="4"/>
  <c r="A1" i="2"/>
  <c r="D4" i="20" l="1"/>
  <c r="D9" i="20"/>
  <c r="D8" i="20"/>
  <c r="D6" i="20"/>
  <c r="D5" i="20"/>
  <c r="D12" i="20"/>
  <c r="D2" i="20"/>
  <c r="D7" i="20"/>
  <c r="D11" i="20"/>
  <c r="D10" i="20"/>
  <c r="D13" i="20"/>
  <c r="D3" i="20"/>
  <c r="AF6" i="22"/>
  <c r="AF10" i="22"/>
  <c r="AF5" i="22"/>
  <c r="AF9" i="22"/>
  <c r="AF3" i="22"/>
  <c r="AF7" i="22"/>
  <c r="AF11" i="22"/>
  <c r="AF13" i="22"/>
  <c r="AF8" i="22"/>
  <c r="AF12" i="22"/>
  <c r="AF4" i="22"/>
  <c r="AF2" i="22"/>
  <c r="AF3" i="21"/>
  <c r="AP6" i="23"/>
  <c r="AP10" i="23"/>
  <c r="AP5" i="23"/>
  <c r="AP9" i="23"/>
  <c r="AP13" i="23"/>
  <c r="AP3" i="23"/>
  <c r="AP7" i="23"/>
  <c r="AP11" i="23"/>
  <c r="AP2" i="23"/>
  <c r="AP8" i="23"/>
  <c r="AP4" i="23"/>
  <c r="AP12" i="23"/>
  <c r="AP4" i="21"/>
  <c r="U48" i="24"/>
  <c r="U3" i="20"/>
  <c r="U4" i="20"/>
  <c r="U6" i="20"/>
  <c r="U11" i="20"/>
  <c r="U9" i="20"/>
  <c r="U10" i="20"/>
  <c r="U2" i="20"/>
  <c r="U8" i="20"/>
  <c r="U13" i="20"/>
  <c r="U5" i="20"/>
  <c r="U7" i="20"/>
  <c r="U12" i="20"/>
  <c r="G49" i="24"/>
  <c r="G2" i="21"/>
  <c r="AM49" i="24"/>
  <c r="AM22" i="27" s="1"/>
  <c r="AM2" i="21"/>
  <c r="Y50" i="24"/>
  <c r="Y42" i="28" s="1"/>
  <c r="Y3" i="22"/>
  <c r="Y6" i="22"/>
  <c r="Y10" i="22"/>
  <c r="Y5" i="22"/>
  <c r="Y7" i="22"/>
  <c r="Y11" i="22"/>
  <c r="Y8" i="22"/>
  <c r="Y9" i="22"/>
  <c r="Y13" i="22"/>
  <c r="Y4" i="22"/>
  <c r="Y2" i="22"/>
  <c r="Y12" i="22"/>
  <c r="Y3" i="21"/>
  <c r="K51" i="24"/>
  <c r="K2" i="23"/>
  <c r="K6" i="23"/>
  <c r="K10" i="23"/>
  <c r="K5" i="23"/>
  <c r="K9" i="23"/>
  <c r="K13" i="23"/>
  <c r="K3" i="23"/>
  <c r="K7" i="23"/>
  <c r="K11" i="23"/>
  <c r="K12" i="23"/>
  <c r="K8" i="23"/>
  <c r="K4" i="23"/>
  <c r="K4" i="21"/>
  <c r="AY2" i="23"/>
  <c r="AY6" i="23"/>
  <c r="AY10" i="23"/>
  <c r="AY5" i="23"/>
  <c r="AY9" i="23"/>
  <c r="AY13" i="23"/>
  <c r="AY3" i="23"/>
  <c r="AY7" i="23"/>
  <c r="AY11" i="23"/>
  <c r="AY12" i="23"/>
  <c r="AY4" i="23"/>
  <c r="AY4" i="21"/>
  <c r="AY8" i="23"/>
  <c r="N3" i="20"/>
  <c r="N5" i="20"/>
  <c r="N6" i="20"/>
  <c r="N10" i="20"/>
  <c r="N4" i="20"/>
  <c r="N7" i="20"/>
  <c r="N12" i="20"/>
  <c r="N11" i="20"/>
  <c r="N2" i="20"/>
  <c r="N9" i="20"/>
  <c r="N8" i="20"/>
  <c r="N13" i="20"/>
  <c r="AT3" i="20"/>
  <c r="AT6" i="20"/>
  <c r="AT10" i="20"/>
  <c r="AT5" i="20"/>
  <c r="AT4" i="20"/>
  <c r="AT7" i="20"/>
  <c r="AT8" i="20"/>
  <c r="AT13" i="20"/>
  <c r="AT2" i="20"/>
  <c r="AT11" i="20"/>
  <c r="AT9" i="20"/>
  <c r="AT12" i="20"/>
  <c r="H4" i="20"/>
  <c r="H7" i="20"/>
  <c r="H11" i="20"/>
  <c r="H5" i="20"/>
  <c r="H6" i="20"/>
  <c r="H8" i="20"/>
  <c r="H3" i="20"/>
  <c r="H12" i="20"/>
  <c r="H2" i="20"/>
  <c r="H10" i="20"/>
  <c r="H9" i="20"/>
  <c r="H13" i="20"/>
  <c r="AV4" i="20"/>
  <c r="AV3" i="20"/>
  <c r="AV7" i="20"/>
  <c r="AV11" i="20"/>
  <c r="AV6" i="20"/>
  <c r="AV10" i="20"/>
  <c r="AV12" i="20"/>
  <c r="AV2" i="20"/>
  <c r="AV5" i="20"/>
  <c r="AV9" i="20"/>
  <c r="AV8" i="20"/>
  <c r="AV13" i="20"/>
  <c r="B48" i="24"/>
  <c r="B5" i="20"/>
  <c r="B3" i="20"/>
  <c r="B8" i="20"/>
  <c r="B12" i="20"/>
  <c r="B7" i="20"/>
  <c r="B10" i="20"/>
  <c r="B9" i="20"/>
  <c r="B13" i="20"/>
  <c r="B2" i="20"/>
  <c r="B6" i="20"/>
  <c r="B4" i="20"/>
  <c r="B11" i="20"/>
  <c r="J48" i="24"/>
  <c r="J14" i="26" s="1"/>
  <c r="J5" i="20"/>
  <c r="J3" i="20"/>
  <c r="J8" i="20"/>
  <c r="J12" i="20"/>
  <c r="J7" i="20"/>
  <c r="J4" i="20"/>
  <c r="J9" i="20"/>
  <c r="J6" i="20"/>
  <c r="J13" i="20"/>
  <c r="J11" i="20"/>
  <c r="J2" i="20"/>
  <c r="J10" i="20"/>
  <c r="R48" i="24"/>
  <c r="R5" i="20"/>
  <c r="R3" i="20"/>
  <c r="R8" i="20"/>
  <c r="R12" i="20"/>
  <c r="R4" i="20"/>
  <c r="R7" i="20"/>
  <c r="R13" i="20"/>
  <c r="R11" i="20"/>
  <c r="R10" i="20"/>
  <c r="R2" i="20"/>
  <c r="R6" i="20"/>
  <c r="R9" i="20"/>
  <c r="Z48" i="24"/>
  <c r="Z24" i="26" s="1"/>
  <c r="Z5" i="20"/>
  <c r="Z3" i="20"/>
  <c r="Z8" i="20"/>
  <c r="Z12" i="20"/>
  <c r="Z7" i="20"/>
  <c r="Z4" i="20"/>
  <c r="Z6" i="20"/>
  <c r="Z13" i="20"/>
  <c r="Z11" i="20"/>
  <c r="Z9" i="20"/>
  <c r="Z2" i="20"/>
  <c r="Z10" i="20"/>
  <c r="AH48" i="24"/>
  <c r="AH5" i="20"/>
  <c r="AH3" i="20"/>
  <c r="AH8" i="20"/>
  <c r="AH7" i="20"/>
  <c r="AH13" i="20"/>
  <c r="AH9" i="20"/>
  <c r="AH6" i="20"/>
  <c r="AH11" i="20"/>
  <c r="AH12" i="20"/>
  <c r="AH4" i="20"/>
  <c r="AH10" i="20"/>
  <c r="AH2" i="20"/>
  <c r="AP48" i="24"/>
  <c r="AP5" i="20"/>
  <c r="AP3" i="20"/>
  <c r="AP8" i="20"/>
  <c r="AP7" i="20"/>
  <c r="AP4" i="20"/>
  <c r="AP9" i="20"/>
  <c r="AP13" i="20"/>
  <c r="AP6" i="20"/>
  <c r="AP11" i="20"/>
  <c r="AP12" i="20"/>
  <c r="AP10" i="20"/>
  <c r="AP2" i="20"/>
  <c r="AX48" i="24"/>
  <c r="AX3" i="20"/>
  <c r="AX8" i="20"/>
  <c r="AX4" i="20"/>
  <c r="AX7" i="20"/>
  <c r="AX5" i="20"/>
  <c r="AX13" i="20"/>
  <c r="AX11" i="20"/>
  <c r="AX10" i="20"/>
  <c r="AX9" i="20"/>
  <c r="AX12" i="20"/>
  <c r="AX2" i="20"/>
  <c r="AX6" i="20"/>
  <c r="D49" i="24"/>
  <c r="D2" i="21"/>
  <c r="L49" i="24"/>
  <c r="L43" i="27" s="1"/>
  <c r="L2" i="21"/>
  <c r="T49" i="24"/>
  <c r="T10" i="27" s="1"/>
  <c r="T2" i="21"/>
  <c r="AB49" i="24"/>
  <c r="AB2" i="21"/>
  <c r="AJ49" i="24"/>
  <c r="AJ2" i="21"/>
  <c r="AR49" i="24"/>
  <c r="AR10" i="27" s="1"/>
  <c r="AR2" i="21"/>
  <c r="AZ49" i="24"/>
  <c r="AZ45" i="27" s="1"/>
  <c r="AZ2" i="21"/>
  <c r="F50" i="24"/>
  <c r="F3" i="22"/>
  <c r="F5" i="22"/>
  <c r="F9" i="22"/>
  <c r="F4" i="22"/>
  <c r="F8" i="22"/>
  <c r="F12" i="22"/>
  <c r="F6" i="22"/>
  <c r="F10" i="22"/>
  <c r="F11" i="22"/>
  <c r="F3" i="21"/>
  <c r="F2" i="22"/>
  <c r="F13" i="22"/>
  <c r="F7" i="22"/>
  <c r="N50" i="24"/>
  <c r="N19" i="28" s="1"/>
  <c r="N5" i="22"/>
  <c r="N9" i="22"/>
  <c r="N3" i="22"/>
  <c r="N4" i="22"/>
  <c r="N8" i="22"/>
  <c r="N12" i="22"/>
  <c r="N6" i="22"/>
  <c r="N10" i="22"/>
  <c r="N3" i="21"/>
  <c r="N2" i="22"/>
  <c r="N13" i="22"/>
  <c r="N7" i="22"/>
  <c r="N11" i="22"/>
  <c r="V50" i="24"/>
  <c r="V21" i="28" s="1"/>
  <c r="V5" i="22"/>
  <c r="V9" i="22"/>
  <c r="V4" i="22"/>
  <c r="V8" i="22"/>
  <c r="V12" i="22"/>
  <c r="V3" i="22"/>
  <c r="V6" i="22"/>
  <c r="V10" i="22"/>
  <c r="V11" i="22"/>
  <c r="V7" i="22"/>
  <c r="V3" i="21"/>
  <c r="V2" i="22"/>
  <c r="V13" i="22"/>
  <c r="AD50" i="24"/>
  <c r="AD5" i="22"/>
  <c r="AD9" i="22"/>
  <c r="AD4" i="22"/>
  <c r="AD8" i="22"/>
  <c r="AD6" i="22"/>
  <c r="AD10" i="22"/>
  <c r="AD12" i="22"/>
  <c r="AD3" i="21"/>
  <c r="AD7" i="22"/>
  <c r="AD11" i="22"/>
  <c r="AD2" i="22"/>
  <c r="AD13" i="22"/>
  <c r="AD3" i="22"/>
  <c r="AL5" i="22"/>
  <c r="AL9" i="22"/>
  <c r="AL4" i="22"/>
  <c r="AL8" i="22"/>
  <c r="AL6" i="22"/>
  <c r="AL10" i="22"/>
  <c r="AL12" i="22"/>
  <c r="AL3" i="21"/>
  <c r="AL2" i="22"/>
  <c r="AL11" i="22"/>
  <c r="AL13" i="22"/>
  <c r="AL3" i="22"/>
  <c r="AL7" i="22"/>
  <c r="AT50" i="24"/>
  <c r="AT5" i="22"/>
  <c r="AT9" i="22"/>
  <c r="AT4" i="22"/>
  <c r="AT8" i="22"/>
  <c r="AT6" i="22"/>
  <c r="AT10" i="22"/>
  <c r="AT12" i="22"/>
  <c r="AT3" i="22"/>
  <c r="AT11" i="22"/>
  <c r="AT3" i="21"/>
  <c r="AT2" i="22"/>
  <c r="AT13" i="22"/>
  <c r="AT7" i="22"/>
  <c r="BB50" i="24"/>
  <c r="BB5" i="22"/>
  <c r="BB9" i="22"/>
  <c r="BB4" i="22"/>
  <c r="BB8" i="22"/>
  <c r="BB6" i="22"/>
  <c r="BB10" i="22"/>
  <c r="BB12" i="22"/>
  <c r="BB7" i="22"/>
  <c r="BB3" i="21"/>
  <c r="BB3" i="22"/>
  <c r="BB2" i="22"/>
  <c r="BB13" i="22"/>
  <c r="BB11" i="22"/>
  <c r="H51" i="24"/>
  <c r="H5" i="23"/>
  <c r="H9" i="23"/>
  <c r="H13" i="23"/>
  <c r="H4" i="23"/>
  <c r="H8" i="23"/>
  <c r="H12" i="23"/>
  <c r="H6" i="23"/>
  <c r="H10" i="23"/>
  <c r="H11" i="23"/>
  <c r="H2" i="23"/>
  <c r="H7" i="23"/>
  <c r="H3" i="23"/>
  <c r="H4" i="21"/>
  <c r="P51" i="24"/>
  <c r="P5" i="23"/>
  <c r="P9" i="23"/>
  <c r="P13" i="23"/>
  <c r="P4" i="23"/>
  <c r="P8" i="23"/>
  <c r="P12" i="23"/>
  <c r="P6" i="23"/>
  <c r="P10" i="23"/>
  <c r="P11" i="23"/>
  <c r="P3" i="23"/>
  <c r="P7" i="23"/>
  <c r="P4" i="21"/>
  <c r="P2" i="23"/>
  <c r="X51" i="24"/>
  <c r="X5" i="23"/>
  <c r="X9" i="23"/>
  <c r="X13" i="23"/>
  <c r="X4" i="23"/>
  <c r="X8" i="23"/>
  <c r="X12" i="23"/>
  <c r="X6" i="23"/>
  <c r="X10" i="23"/>
  <c r="X3" i="23"/>
  <c r="X2" i="23"/>
  <c r="X7" i="23"/>
  <c r="X4" i="21"/>
  <c r="X11" i="23"/>
  <c r="AF51" i="24"/>
  <c r="AF5" i="23"/>
  <c r="AF9" i="23"/>
  <c r="AF13" i="23"/>
  <c r="AF4" i="23"/>
  <c r="AF8" i="23"/>
  <c r="AF12" i="23"/>
  <c r="AF6" i="23"/>
  <c r="AF10" i="23"/>
  <c r="AF2" i="23"/>
  <c r="AF7" i="23"/>
  <c r="AF3" i="23"/>
  <c r="AF11" i="23"/>
  <c r="AF4" i="21"/>
  <c r="AN51" i="24"/>
  <c r="AN5" i="23"/>
  <c r="AN9" i="23"/>
  <c r="AN13" i="23"/>
  <c r="AN4" i="23"/>
  <c r="AN8" i="23"/>
  <c r="AN12" i="23"/>
  <c r="AN6" i="23"/>
  <c r="AN10" i="23"/>
  <c r="AN11" i="23"/>
  <c r="AN2" i="23"/>
  <c r="AN7" i="23"/>
  <c r="AN4" i="21"/>
  <c r="AN3" i="23"/>
  <c r="AV51" i="24"/>
  <c r="AV5" i="23"/>
  <c r="AV9" i="23"/>
  <c r="AV13" i="23"/>
  <c r="AV4" i="23"/>
  <c r="AV8" i="23"/>
  <c r="AV12" i="23"/>
  <c r="AV6" i="23"/>
  <c r="AV10" i="23"/>
  <c r="AV11" i="23"/>
  <c r="AV3" i="23"/>
  <c r="AV2" i="23"/>
  <c r="AV7" i="23"/>
  <c r="AV4" i="21"/>
  <c r="H6" i="22"/>
  <c r="H10" i="22"/>
  <c r="H5" i="22"/>
  <c r="H9" i="22"/>
  <c r="H7" i="22"/>
  <c r="H11" i="22"/>
  <c r="H3" i="22"/>
  <c r="H13" i="22"/>
  <c r="H12" i="22"/>
  <c r="H8" i="22"/>
  <c r="H2" i="22"/>
  <c r="H4" i="22"/>
  <c r="H3" i="21"/>
  <c r="B6" i="23"/>
  <c r="B10" i="23"/>
  <c r="B5" i="23"/>
  <c r="B9" i="23"/>
  <c r="B13" i="23"/>
  <c r="B3" i="23"/>
  <c r="B7" i="23"/>
  <c r="B11" i="23"/>
  <c r="B4" i="23"/>
  <c r="B2" i="23"/>
  <c r="B8" i="23"/>
  <c r="B12" i="23"/>
  <c r="B4" i="21"/>
  <c r="AX6" i="23"/>
  <c r="AX10" i="23"/>
  <c r="AX5" i="23"/>
  <c r="AX9" i="23"/>
  <c r="AX13" i="23"/>
  <c r="AX3" i="23"/>
  <c r="AX7" i="23"/>
  <c r="AX11" i="23"/>
  <c r="AX2" i="23"/>
  <c r="AX12" i="23"/>
  <c r="AX8" i="23"/>
  <c r="AX4" i="23"/>
  <c r="AX4" i="21"/>
  <c r="C7" i="20"/>
  <c r="C4" i="20"/>
  <c r="C5" i="20"/>
  <c r="C11" i="20"/>
  <c r="C10" i="20"/>
  <c r="C3" i="20"/>
  <c r="C9" i="20"/>
  <c r="C13" i="20"/>
  <c r="C6" i="20"/>
  <c r="C8" i="20"/>
  <c r="C12" i="20"/>
  <c r="C2" i="20"/>
  <c r="K3" i="20"/>
  <c r="K7" i="20"/>
  <c r="K10" i="20"/>
  <c r="K5" i="20"/>
  <c r="K8" i="20"/>
  <c r="K9" i="20"/>
  <c r="K13" i="20"/>
  <c r="K6" i="20"/>
  <c r="K12" i="20"/>
  <c r="K4" i="20"/>
  <c r="K11" i="20"/>
  <c r="K2" i="20"/>
  <c r="S4" i="20"/>
  <c r="S5" i="20"/>
  <c r="S7" i="20"/>
  <c r="S3" i="20"/>
  <c r="S6" i="20"/>
  <c r="S8" i="20"/>
  <c r="S9" i="20"/>
  <c r="S13" i="20"/>
  <c r="S12" i="20"/>
  <c r="S11" i="20"/>
  <c r="S10" i="20"/>
  <c r="S2" i="20"/>
  <c r="AA4" i="20"/>
  <c r="AA5" i="20"/>
  <c r="AA3" i="20"/>
  <c r="AA7" i="20"/>
  <c r="AA6" i="20"/>
  <c r="AA13" i="20"/>
  <c r="AA12" i="20"/>
  <c r="AA10" i="20"/>
  <c r="AA8" i="20"/>
  <c r="AA9" i="20"/>
  <c r="AA2" i="20"/>
  <c r="AA11" i="20"/>
  <c r="AI3" i="20"/>
  <c r="AI5" i="20"/>
  <c r="AI7" i="20"/>
  <c r="AI4" i="20"/>
  <c r="AI11" i="20"/>
  <c r="AI13" i="20"/>
  <c r="AI12" i="20"/>
  <c r="AI6" i="20"/>
  <c r="AI10" i="20"/>
  <c r="AI8" i="20"/>
  <c r="AI9" i="20"/>
  <c r="AI2" i="20"/>
  <c r="AQ5" i="20"/>
  <c r="AQ12" i="20"/>
  <c r="AQ8" i="20"/>
  <c r="AQ13" i="20"/>
  <c r="AQ9" i="20"/>
  <c r="AQ11" i="20"/>
  <c r="AQ4" i="20"/>
  <c r="AQ3" i="20"/>
  <c r="AQ7" i="20"/>
  <c r="AQ10" i="20"/>
  <c r="AQ6" i="20"/>
  <c r="AQ2" i="20"/>
  <c r="AY3" i="20"/>
  <c r="AY4" i="20"/>
  <c r="AY5" i="20"/>
  <c r="AY6" i="20"/>
  <c r="AY7" i="20"/>
  <c r="AY12" i="20"/>
  <c r="AY11" i="20"/>
  <c r="AY13" i="20"/>
  <c r="AY9" i="20"/>
  <c r="AY10" i="20"/>
  <c r="AY8" i="20"/>
  <c r="AY2" i="20"/>
  <c r="G3" i="22"/>
  <c r="G5" i="22"/>
  <c r="G9" i="22"/>
  <c r="G4" i="22"/>
  <c r="G8" i="22"/>
  <c r="G6" i="22"/>
  <c r="G10" i="22"/>
  <c r="G12" i="22"/>
  <c r="G11" i="22"/>
  <c r="G3" i="21"/>
  <c r="G7" i="22"/>
  <c r="G2" i="22"/>
  <c r="G13" i="22"/>
  <c r="O3" i="22"/>
  <c r="O5" i="22"/>
  <c r="O9" i="22"/>
  <c r="O4" i="22"/>
  <c r="O8" i="22"/>
  <c r="O6" i="22"/>
  <c r="O10" i="22"/>
  <c r="O7" i="22"/>
  <c r="O3" i="21"/>
  <c r="O11" i="22"/>
  <c r="O13" i="22"/>
  <c r="O2" i="22"/>
  <c r="O12" i="22"/>
  <c r="W3" i="22"/>
  <c r="W5" i="22"/>
  <c r="W9" i="22"/>
  <c r="W4" i="22"/>
  <c r="W8" i="22"/>
  <c r="W6" i="22"/>
  <c r="W10" i="22"/>
  <c r="W11" i="22"/>
  <c r="W7" i="22"/>
  <c r="W12" i="22"/>
  <c r="W3" i="21"/>
  <c r="W13" i="22"/>
  <c r="W2" i="22"/>
  <c r="AE5" i="22"/>
  <c r="AE9" i="22"/>
  <c r="AE4" i="22"/>
  <c r="AE8" i="22"/>
  <c r="AE6" i="22"/>
  <c r="AE10" i="22"/>
  <c r="AE12" i="22"/>
  <c r="AE3" i="21"/>
  <c r="AE3" i="22"/>
  <c r="AE2" i="22"/>
  <c r="AE7" i="22"/>
  <c r="AE11" i="22"/>
  <c r="AE13" i="22"/>
  <c r="AM5" i="22"/>
  <c r="AM9" i="22"/>
  <c r="AM4" i="22"/>
  <c r="AM8" i="22"/>
  <c r="AM6" i="22"/>
  <c r="AM10" i="22"/>
  <c r="AM3" i="22"/>
  <c r="AM12" i="22"/>
  <c r="AM3" i="21"/>
  <c r="AM7" i="22"/>
  <c r="AM11" i="22"/>
  <c r="AM13" i="22"/>
  <c r="AM2" i="22"/>
  <c r="AU5" i="22"/>
  <c r="AU9" i="22"/>
  <c r="AU4" i="22"/>
  <c r="AU8" i="22"/>
  <c r="AU6" i="22"/>
  <c r="AU10" i="22"/>
  <c r="AU7" i="22"/>
  <c r="AU12" i="22"/>
  <c r="AU3" i="22"/>
  <c r="AU11" i="22"/>
  <c r="AU3" i="21"/>
  <c r="AU2" i="22"/>
  <c r="AU13" i="22"/>
  <c r="BC5" i="22"/>
  <c r="BC9" i="22"/>
  <c r="BC4" i="22"/>
  <c r="BC6" i="22"/>
  <c r="BC10" i="22"/>
  <c r="BC12" i="22"/>
  <c r="BC7" i="22"/>
  <c r="BC3" i="21"/>
  <c r="BC11" i="22"/>
  <c r="BC3" i="22"/>
  <c r="BC2" i="22"/>
  <c r="BC8" i="22"/>
  <c r="BC13" i="22"/>
  <c r="I5" i="23"/>
  <c r="I9" i="23"/>
  <c r="I13" i="23"/>
  <c r="I4" i="23"/>
  <c r="I8" i="23"/>
  <c r="I12" i="23"/>
  <c r="I2" i="23"/>
  <c r="I6" i="23"/>
  <c r="I10" i="23"/>
  <c r="I11" i="23"/>
  <c r="I3" i="23"/>
  <c r="I4" i="21"/>
  <c r="I7" i="23"/>
  <c r="Q5" i="23"/>
  <c r="Q9" i="23"/>
  <c r="Q13" i="23"/>
  <c r="Q4" i="23"/>
  <c r="Q8" i="23"/>
  <c r="Q12" i="23"/>
  <c r="Q2" i="23"/>
  <c r="Q6" i="23"/>
  <c r="Q10" i="23"/>
  <c r="Q3" i="23"/>
  <c r="Q7" i="23"/>
  <c r="Q4" i="21"/>
  <c r="Q11" i="23"/>
  <c r="Y5" i="23"/>
  <c r="Y9" i="23"/>
  <c r="Y13" i="23"/>
  <c r="Y4" i="23"/>
  <c r="Y8" i="23"/>
  <c r="Y12" i="23"/>
  <c r="Y2" i="23"/>
  <c r="Y6" i="23"/>
  <c r="Y10" i="23"/>
  <c r="Y7" i="23"/>
  <c r="Y3" i="23"/>
  <c r="Y11" i="23"/>
  <c r="Y4" i="21"/>
  <c r="AG5" i="23"/>
  <c r="AG9" i="23"/>
  <c r="AG13" i="23"/>
  <c r="AG4" i="23"/>
  <c r="AG8" i="23"/>
  <c r="AG12" i="23"/>
  <c r="AG2" i="23"/>
  <c r="AG6" i="23"/>
  <c r="AG10" i="23"/>
  <c r="AG11" i="23"/>
  <c r="AG7" i="23"/>
  <c r="AG3" i="23"/>
  <c r="AG4" i="21"/>
  <c r="AO5" i="23"/>
  <c r="AO9" i="23"/>
  <c r="AO13" i="23"/>
  <c r="AO4" i="23"/>
  <c r="AO8" i="23"/>
  <c r="AO12" i="23"/>
  <c r="AO2" i="23"/>
  <c r="AO6" i="23"/>
  <c r="AO10" i="23"/>
  <c r="AO11" i="23"/>
  <c r="AO3" i="23"/>
  <c r="AO7" i="23"/>
  <c r="AO4" i="21"/>
  <c r="AW5" i="23"/>
  <c r="AW9" i="23"/>
  <c r="AW13" i="23"/>
  <c r="AW4" i="23"/>
  <c r="AW8" i="23"/>
  <c r="AW12" i="23"/>
  <c r="AW2" i="23"/>
  <c r="AW6" i="23"/>
  <c r="AW10" i="23"/>
  <c r="AW3" i="23"/>
  <c r="AW7" i="23"/>
  <c r="AW4" i="21"/>
  <c r="AW11" i="23"/>
  <c r="L4" i="20"/>
  <c r="L9" i="20"/>
  <c r="L3" i="20"/>
  <c r="L6" i="20"/>
  <c r="L11" i="20"/>
  <c r="L2" i="20"/>
  <c r="L10" i="20"/>
  <c r="L5" i="20"/>
  <c r="L8" i="20"/>
  <c r="L13" i="20"/>
  <c r="L7" i="20"/>
  <c r="L12" i="20"/>
  <c r="AB4" i="20"/>
  <c r="AB9" i="20"/>
  <c r="AB5" i="20"/>
  <c r="AB6" i="20"/>
  <c r="AB8" i="20"/>
  <c r="AB2" i="20"/>
  <c r="AB3" i="20"/>
  <c r="AB13" i="20"/>
  <c r="AB11" i="20"/>
  <c r="AB7" i="20"/>
  <c r="AB10" i="20"/>
  <c r="AB12" i="20"/>
  <c r="AJ4" i="20"/>
  <c r="AJ9" i="20"/>
  <c r="AJ3" i="20"/>
  <c r="AJ5" i="20"/>
  <c r="AJ6" i="20"/>
  <c r="AJ2" i="20"/>
  <c r="AJ7" i="20"/>
  <c r="AJ12" i="20"/>
  <c r="AJ11" i="20"/>
  <c r="AJ13" i="20"/>
  <c r="AJ10" i="20"/>
  <c r="AJ8" i="20"/>
  <c r="AR4" i="20"/>
  <c r="AR5" i="20"/>
  <c r="AR9" i="20"/>
  <c r="AR3" i="20"/>
  <c r="AR6" i="20"/>
  <c r="AR2" i="20"/>
  <c r="AR13" i="20"/>
  <c r="AR11" i="20"/>
  <c r="AR10" i="20"/>
  <c r="AR12" i="20"/>
  <c r="AR7" i="20"/>
  <c r="AR8" i="20"/>
  <c r="X6" i="22"/>
  <c r="X10" i="22"/>
  <c r="X5" i="22"/>
  <c r="X9" i="22"/>
  <c r="X7" i="22"/>
  <c r="X11" i="22"/>
  <c r="X3" i="22"/>
  <c r="X13" i="22"/>
  <c r="X4" i="22"/>
  <c r="X12" i="22"/>
  <c r="X8" i="22"/>
  <c r="X3" i="21"/>
  <c r="X2" i="22"/>
  <c r="J6" i="23"/>
  <c r="J10" i="23"/>
  <c r="J5" i="23"/>
  <c r="J9" i="23"/>
  <c r="J13" i="23"/>
  <c r="J3" i="23"/>
  <c r="J7" i="23"/>
  <c r="J11" i="23"/>
  <c r="J2" i="23"/>
  <c r="J8" i="23"/>
  <c r="J4" i="23"/>
  <c r="J12" i="23"/>
  <c r="J4" i="21"/>
  <c r="E48" i="24"/>
  <c r="E5" i="20"/>
  <c r="E3" i="20"/>
  <c r="E4" i="20"/>
  <c r="E6" i="20"/>
  <c r="E12" i="20"/>
  <c r="E2" i="20"/>
  <c r="E7" i="20"/>
  <c r="E11" i="20"/>
  <c r="E8" i="20"/>
  <c r="E9" i="20"/>
  <c r="E10" i="20"/>
  <c r="E13" i="20"/>
  <c r="AS48" i="24"/>
  <c r="AS5" i="20"/>
  <c r="AS3" i="20"/>
  <c r="AS6" i="20"/>
  <c r="AS2" i="20"/>
  <c r="AS11" i="20"/>
  <c r="AS13" i="20"/>
  <c r="AS4" i="20"/>
  <c r="AS7" i="20"/>
  <c r="AS9" i="20"/>
  <c r="AS10" i="20"/>
  <c r="AS12" i="20"/>
  <c r="AS8" i="20"/>
  <c r="AE49" i="24"/>
  <c r="AE2" i="21"/>
  <c r="I50" i="24"/>
  <c r="I3" i="22"/>
  <c r="I6" i="22"/>
  <c r="I10" i="22"/>
  <c r="I5" i="22"/>
  <c r="I7" i="22"/>
  <c r="I11" i="22"/>
  <c r="I13" i="22"/>
  <c r="I9" i="22"/>
  <c r="I12" i="22"/>
  <c r="I4" i="22"/>
  <c r="I2" i="22"/>
  <c r="I8" i="22"/>
  <c r="I3" i="21"/>
  <c r="AW50" i="24"/>
  <c r="AW6" i="22"/>
  <c r="AW10" i="22"/>
  <c r="AW5" i="22"/>
  <c r="AW3" i="22"/>
  <c r="AW7" i="22"/>
  <c r="AW11" i="22"/>
  <c r="AW4" i="22"/>
  <c r="AW9" i="22"/>
  <c r="AW13" i="22"/>
  <c r="AW12" i="22"/>
  <c r="AW8" i="22"/>
  <c r="AW2" i="22"/>
  <c r="AW3" i="21"/>
  <c r="AQ2" i="23"/>
  <c r="AQ6" i="23"/>
  <c r="AQ10" i="23"/>
  <c r="AQ5" i="23"/>
  <c r="AQ9" i="23"/>
  <c r="AQ13" i="23"/>
  <c r="AQ3" i="23"/>
  <c r="AQ7" i="23"/>
  <c r="AQ11" i="23"/>
  <c r="AQ12" i="23"/>
  <c r="AQ8" i="23"/>
  <c r="AQ4" i="23"/>
  <c r="AQ4" i="21"/>
  <c r="AD3" i="20"/>
  <c r="AD6" i="20"/>
  <c r="AD10" i="20"/>
  <c r="AD4" i="20"/>
  <c r="AD7" i="20"/>
  <c r="AD11" i="20"/>
  <c r="AD9" i="20"/>
  <c r="AD5" i="20"/>
  <c r="AD8" i="20"/>
  <c r="AD2" i="20"/>
  <c r="AD13" i="20"/>
  <c r="AD12" i="20"/>
  <c r="B3" i="22"/>
  <c r="B7" i="22"/>
  <c r="B11" i="22"/>
  <c r="B6" i="22"/>
  <c r="B10" i="22"/>
  <c r="B4" i="22"/>
  <c r="B8" i="22"/>
  <c r="B9" i="22"/>
  <c r="B5" i="22"/>
  <c r="B13" i="22"/>
  <c r="B3" i="21"/>
  <c r="B12" i="22"/>
  <c r="B2" i="22"/>
  <c r="J3" i="22"/>
  <c r="J7" i="22"/>
  <c r="J11" i="22"/>
  <c r="J6" i="22"/>
  <c r="J10" i="22"/>
  <c r="J4" i="22"/>
  <c r="J8" i="22"/>
  <c r="J13" i="22"/>
  <c r="J5" i="22"/>
  <c r="J9" i="22"/>
  <c r="J12" i="22"/>
  <c r="J3" i="21"/>
  <c r="J2" i="22"/>
  <c r="R3" i="22"/>
  <c r="R7" i="22"/>
  <c r="R11" i="22"/>
  <c r="R6" i="22"/>
  <c r="R10" i="22"/>
  <c r="R4" i="22"/>
  <c r="R8" i="22"/>
  <c r="R13" i="22"/>
  <c r="R9" i="22"/>
  <c r="R3" i="21"/>
  <c r="R5" i="22"/>
  <c r="R12" i="22"/>
  <c r="R2" i="22"/>
  <c r="Z7" i="22"/>
  <c r="Z11" i="22"/>
  <c r="Z3" i="22"/>
  <c r="Z6" i="22"/>
  <c r="Z10" i="22"/>
  <c r="Z4" i="22"/>
  <c r="Z8" i="22"/>
  <c r="Z9" i="22"/>
  <c r="Z13" i="22"/>
  <c r="Z3" i="21"/>
  <c r="Z12" i="22"/>
  <c r="Z2" i="22"/>
  <c r="Z5" i="22"/>
  <c r="AH3" i="22"/>
  <c r="AH7" i="22"/>
  <c r="AH11" i="22"/>
  <c r="AH6" i="22"/>
  <c r="AH10" i="22"/>
  <c r="AH4" i="22"/>
  <c r="AH8" i="22"/>
  <c r="AH5" i="22"/>
  <c r="AH13" i="22"/>
  <c r="AH3" i="21"/>
  <c r="AH12" i="22"/>
  <c r="AH2" i="22"/>
  <c r="AH9" i="22"/>
  <c r="AP3" i="22"/>
  <c r="AP7" i="22"/>
  <c r="AP11" i="22"/>
  <c r="AP6" i="22"/>
  <c r="AP10" i="22"/>
  <c r="AP4" i="22"/>
  <c r="AP8" i="22"/>
  <c r="AP13" i="22"/>
  <c r="AP5" i="22"/>
  <c r="AP3" i="21"/>
  <c r="AP9" i="22"/>
  <c r="AP2" i="22"/>
  <c r="AP12" i="22"/>
  <c r="AX3" i="22"/>
  <c r="AX7" i="22"/>
  <c r="AX11" i="22"/>
  <c r="AX6" i="22"/>
  <c r="AX10" i="22"/>
  <c r="AX4" i="22"/>
  <c r="AX8" i="22"/>
  <c r="AX9" i="22"/>
  <c r="AX13" i="22"/>
  <c r="AX3" i="21"/>
  <c r="AX12" i="22"/>
  <c r="AX2" i="22"/>
  <c r="AX5" i="22"/>
  <c r="D3" i="23"/>
  <c r="D7" i="23"/>
  <c r="D11" i="23"/>
  <c r="D2" i="23"/>
  <c r="D6" i="23"/>
  <c r="D10" i="23"/>
  <c r="D4" i="23"/>
  <c r="D8" i="23"/>
  <c r="D12" i="23"/>
  <c r="D13" i="23"/>
  <c r="D5" i="23"/>
  <c r="D9" i="23"/>
  <c r="D4" i="21"/>
  <c r="L3" i="23"/>
  <c r="L7" i="23"/>
  <c r="L11" i="23"/>
  <c r="L2" i="23"/>
  <c r="L6" i="23"/>
  <c r="L10" i="23"/>
  <c r="L4" i="23"/>
  <c r="L8" i="23"/>
  <c r="L12" i="23"/>
  <c r="L5" i="23"/>
  <c r="L9" i="23"/>
  <c r="L4" i="21"/>
  <c r="L13" i="23"/>
  <c r="T3" i="23"/>
  <c r="T7" i="23"/>
  <c r="T11" i="23"/>
  <c r="T2" i="23"/>
  <c r="T6" i="23"/>
  <c r="T10" i="23"/>
  <c r="T4" i="23"/>
  <c r="T8" i="23"/>
  <c r="T12" i="23"/>
  <c r="T9" i="23"/>
  <c r="T5" i="23"/>
  <c r="T13" i="23"/>
  <c r="T4" i="21"/>
  <c r="AB3" i="23"/>
  <c r="AB7" i="23"/>
  <c r="AB11" i="23"/>
  <c r="AB2" i="23"/>
  <c r="AB6" i="23"/>
  <c r="AB10" i="23"/>
  <c r="AB4" i="23"/>
  <c r="AB8" i="23"/>
  <c r="AB12" i="23"/>
  <c r="AB13" i="23"/>
  <c r="AB9" i="23"/>
  <c r="AB5" i="23"/>
  <c r="AB4" i="21"/>
  <c r="AJ3" i="23"/>
  <c r="AJ7" i="23"/>
  <c r="AJ11" i="23"/>
  <c r="AJ2" i="23"/>
  <c r="AJ6" i="23"/>
  <c r="AJ10" i="23"/>
  <c r="AJ4" i="23"/>
  <c r="AJ8" i="23"/>
  <c r="AJ12" i="23"/>
  <c r="AJ13" i="23"/>
  <c r="AJ5" i="23"/>
  <c r="AJ9" i="23"/>
  <c r="AJ4" i="21"/>
  <c r="AR3" i="23"/>
  <c r="AR7" i="23"/>
  <c r="AR11" i="23"/>
  <c r="AR2" i="23"/>
  <c r="AR6" i="23"/>
  <c r="AR10" i="23"/>
  <c r="AR4" i="23"/>
  <c r="AR8" i="23"/>
  <c r="AR12" i="23"/>
  <c r="AR5" i="23"/>
  <c r="AR9" i="23"/>
  <c r="AR13" i="23"/>
  <c r="AR4" i="21"/>
  <c r="AZ51" i="24"/>
  <c r="AZ3" i="23"/>
  <c r="AZ7" i="23"/>
  <c r="AZ11" i="23"/>
  <c r="AZ2" i="23"/>
  <c r="AZ6" i="23"/>
  <c r="AZ10" i="23"/>
  <c r="AZ4" i="23"/>
  <c r="AZ8" i="23"/>
  <c r="AZ12" i="23"/>
  <c r="AZ9" i="23"/>
  <c r="AZ5" i="23"/>
  <c r="AZ13" i="23"/>
  <c r="AZ4" i="21"/>
  <c r="AV6" i="22"/>
  <c r="AV10" i="22"/>
  <c r="AV5" i="22"/>
  <c r="AV9" i="22"/>
  <c r="AV3" i="22"/>
  <c r="AV7" i="22"/>
  <c r="AV13" i="22"/>
  <c r="AV12" i="22"/>
  <c r="AV11" i="22"/>
  <c r="AV2" i="22"/>
  <c r="AV8" i="22"/>
  <c r="AV4" i="22"/>
  <c r="AV3" i="21"/>
  <c r="AH6" i="23"/>
  <c r="AH10" i="23"/>
  <c r="AH5" i="23"/>
  <c r="AH9" i="23"/>
  <c r="AH13" i="23"/>
  <c r="AH3" i="23"/>
  <c r="AH7" i="23"/>
  <c r="AH11" i="23"/>
  <c r="AH2" i="23"/>
  <c r="AH4" i="23"/>
  <c r="AH8" i="23"/>
  <c r="AH12" i="23"/>
  <c r="AH4" i="21"/>
  <c r="M48" i="24"/>
  <c r="M3" i="20"/>
  <c r="M5" i="20"/>
  <c r="M6" i="20"/>
  <c r="M4" i="20"/>
  <c r="M12" i="20"/>
  <c r="M2" i="20"/>
  <c r="M11" i="20"/>
  <c r="M9" i="20"/>
  <c r="M10" i="20"/>
  <c r="M8" i="20"/>
  <c r="M7" i="20"/>
  <c r="M13" i="20"/>
  <c r="Q50" i="24"/>
  <c r="Q6" i="22"/>
  <c r="Q10" i="22"/>
  <c r="Q5" i="22"/>
  <c r="Q7" i="22"/>
  <c r="Q11" i="22"/>
  <c r="Q4" i="22"/>
  <c r="Q13" i="22"/>
  <c r="Q3" i="22"/>
  <c r="Q8" i="22"/>
  <c r="Q12" i="22"/>
  <c r="Q2" i="22"/>
  <c r="Q3" i="21"/>
  <c r="Q9" i="22"/>
  <c r="G48" i="24"/>
  <c r="G3" i="20"/>
  <c r="G4" i="20"/>
  <c r="G5" i="20"/>
  <c r="G6" i="20"/>
  <c r="G7" i="20"/>
  <c r="G9" i="20"/>
  <c r="G2" i="20"/>
  <c r="G12" i="20"/>
  <c r="G11" i="20"/>
  <c r="G10" i="20"/>
  <c r="G13" i="20"/>
  <c r="G8" i="20"/>
  <c r="O48" i="24"/>
  <c r="O3" i="20"/>
  <c r="O6" i="20"/>
  <c r="O4" i="20"/>
  <c r="O5" i="20"/>
  <c r="O7" i="20"/>
  <c r="O8" i="20"/>
  <c r="O12" i="20"/>
  <c r="O10" i="20"/>
  <c r="O11" i="20"/>
  <c r="O2" i="20"/>
  <c r="O9" i="20"/>
  <c r="O13" i="20"/>
  <c r="W48" i="24"/>
  <c r="W3" i="20"/>
  <c r="W6" i="20"/>
  <c r="W5" i="20"/>
  <c r="W7" i="20"/>
  <c r="W12" i="20"/>
  <c r="W4" i="20"/>
  <c r="W10" i="20"/>
  <c r="W11" i="20"/>
  <c r="W2" i="20"/>
  <c r="W9" i="20"/>
  <c r="W8" i="20"/>
  <c r="W13" i="20"/>
  <c r="AE48" i="24"/>
  <c r="AE3" i="20"/>
  <c r="AE6" i="20"/>
  <c r="AE4" i="20"/>
  <c r="AE7" i="20"/>
  <c r="AE12" i="20"/>
  <c r="AE10" i="20"/>
  <c r="AE11" i="20"/>
  <c r="AE9" i="20"/>
  <c r="AE8" i="20"/>
  <c r="AE2" i="20"/>
  <c r="AE5" i="20"/>
  <c r="AE13" i="20"/>
  <c r="AM48" i="24"/>
  <c r="AM31" i="26" s="1"/>
  <c r="AM3" i="20"/>
  <c r="AM4" i="20"/>
  <c r="AM6" i="20"/>
  <c r="AM7" i="20"/>
  <c r="AM10" i="20"/>
  <c r="AM11" i="20"/>
  <c r="AM12" i="20"/>
  <c r="AM9" i="20"/>
  <c r="AM8" i="20"/>
  <c r="AM2" i="20"/>
  <c r="AM13" i="20"/>
  <c r="AM5" i="20"/>
  <c r="AU48" i="24"/>
  <c r="AU3" i="20"/>
  <c r="AU6" i="20"/>
  <c r="AU5" i="20"/>
  <c r="AU4" i="20"/>
  <c r="AU7" i="20"/>
  <c r="AU9" i="20"/>
  <c r="AU12" i="20"/>
  <c r="AU8" i="20"/>
  <c r="AU2" i="20"/>
  <c r="AU13" i="20"/>
  <c r="AU10" i="20"/>
  <c r="AU11" i="20"/>
  <c r="BC48" i="24"/>
  <c r="BC24" i="26" s="1"/>
  <c r="BC3" i="20"/>
  <c r="BC6" i="20"/>
  <c r="BC5" i="20"/>
  <c r="BC4" i="20"/>
  <c r="BC8" i="20"/>
  <c r="BC12" i="20"/>
  <c r="BC7" i="20"/>
  <c r="BC2" i="20"/>
  <c r="BC10" i="20"/>
  <c r="BC11" i="20"/>
  <c r="BC13" i="20"/>
  <c r="BC9" i="20"/>
  <c r="I49" i="24"/>
  <c r="I2" i="21"/>
  <c r="Q49" i="24"/>
  <c r="Q2" i="21"/>
  <c r="Y49" i="24"/>
  <c r="Y2" i="21"/>
  <c r="AG49" i="24"/>
  <c r="AG2" i="21"/>
  <c r="AO49" i="24"/>
  <c r="AO2" i="21"/>
  <c r="AW49" i="24"/>
  <c r="AW2" i="21"/>
  <c r="C50" i="24"/>
  <c r="C3" i="22"/>
  <c r="C7" i="22"/>
  <c r="C11" i="22"/>
  <c r="C6" i="22"/>
  <c r="C4" i="22"/>
  <c r="C8" i="22"/>
  <c r="C12" i="22"/>
  <c r="C2" i="22"/>
  <c r="C9" i="22"/>
  <c r="C5" i="22"/>
  <c r="C13" i="22"/>
  <c r="C10" i="22"/>
  <c r="C3" i="21"/>
  <c r="K50" i="24"/>
  <c r="K40" i="28" s="1"/>
  <c r="K3" i="22"/>
  <c r="K7" i="22"/>
  <c r="K11" i="22"/>
  <c r="K6" i="22"/>
  <c r="K4" i="22"/>
  <c r="K8" i="22"/>
  <c r="K12" i="22"/>
  <c r="K2" i="22"/>
  <c r="K13" i="22"/>
  <c r="K5" i="22"/>
  <c r="K3" i="21"/>
  <c r="K9" i="22"/>
  <c r="K10" i="22"/>
  <c r="S50" i="24"/>
  <c r="S3" i="22"/>
  <c r="S7" i="22"/>
  <c r="S11" i="22"/>
  <c r="S6" i="22"/>
  <c r="S4" i="22"/>
  <c r="S8" i="22"/>
  <c r="S12" i="22"/>
  <c r="S2" i="22"/>
  <c r="S10" i="22"/>
  <c r="S13" i="22"/>
  <c r="S5" i="22"/>
  <c r="S3" i="21"/>
  <c r="S9" i="22"/>
  <c r="AA50" i="24"/>
  <c r="AA3" i="22"/>
  <c r="AA7" i="22"/>
  <c r="AA11" i="22"/>
  <c r="AA6" i="22"/>
  <c r="AA4" i="22"/>
  <c r="AA8" i="22"/>
  <c r="AA5" i="22"/>
  <c r="AA2" i="22"/>
  <c r="AA9" i="22"/>
  <c r="AA13" i="22"/>
  <c r="AA12" i="22"/>
  <c r="AA10" i="22"/>
  <c r="AA3" i="21"/>
  <c r="AI50" i="24"/>
  <c r="AI3" i="22"/>
  <c r="AI7" i="22"/>
  <c r="AI11" i="22"/>
  <c r="AI6" i="22"/>
  <c r="AI4" i="22"/>
  <c r="AI8" i="22"/>
  <c r="AI10" i="22"/>
  <c r="AI2" i="22"/>
  <c r="AI5" i="22"/>
  <c r="AI13" i="22"/>
  <c r="AI9" i="22"/>
  <c r="AI3" i="21"/>
  <c r="AI12" i="22"/>
  <c r="AQ50" i="24"/>
  <c r="AQ3" i="22"/>
  <c r="AQ7" i="22"/>
  <c r="AQ11" i="22"/>
  <c r="AQ6" i="22"/>
  <c r="AQ4" i="22"/>
  <c r="AQ8" i="22"/>
  <c r="AQ9" i="22"/>
  <c r="AQ2" i="22"/>
  <c r="AQ10" i="22"/>
  <c r="AQ13" i="22"/>
  <c r="AQ5" i="22"/>
  <c r="AQ3" i="21"/>
  <c r="AQ12" i="22"/>
  <c r="AY50" i="24"/>
  <c r="AY3" i="22"/>
  <c r="AY7" i="22"/>
  <c r="AY11" i="22"/>
  <c r="AY6" i="22"/>
  <c r="AY4" i="22"/>
  <c r="AY8" i="22"/>
  <c r="AY2" i="22"/>
  <c r="AY9" i="22"/>
  <c r="AY13" i="22"/>
  <c r="AY5" i="22"/>
  <c r="AY10" i="22"/>
  <c r="AY12" i="22"/>
  <c r="AY3" i="21"/>
  <c r="E51" i="24"/>
  <c r="E3" i="23"/>
  <c r="E7" i="23"/>
  <c r="E11" i="23"/>
  <c r="E2" i="23"/>
  <c r="E6" i="23"/>
  <c r="E10" i="23"/>
  <c r="E4" i="23"/>
  <c r="E8" i="23"/>
  <c r="E12" i="23"/>
  <c r="E5" i="23"/>
  <c r="E9" i="23"/>
  <c r="E13" i="23"/>
  <c r="E4" i="21"/>
  <c r="M51" i="24"/>
  <c r="M3" i="23"/>
  <c r="M7" i="23"/>
  <c r="M11" i="23"/>
  <c r="M2" i="23"/>
  <c r="M6" i="23"/>
  <c r="M10" i="23"/>
  <c r="M4" i="23"/>
  <c r="M8" i="23"/>
  <c r="M12" i="23"/>
  <c r="M9" i="23"/>
  <c r="M5" i="23"/>
  <c r="M13" i="23"/>
  <c r="M4" i="21"/>
  <c r="U51" i="24"/>
  <c r="U3" i="23"/>
  <c r="U7" i="23"/>
  <c r="U11" i="23"/>
  <c r="U2" i="23"/>
  <c r="U6" i="23"/>
  <c r="U10" i="23"/>
  <c r="U4" i="23"/>
  <c r="U8" i="23"/>
  <c r="U12" i="23"/>
  <c r="U13" i="23"/>
  <c r="U9" i="23"/>
  <c r="U5" i="23"/>
  <c r="U4" i="21"/>
  <c r="AC51" i="24"/>
  <c r="AC3" i="23"/>
  <c r="AC7" i="23"/>
  <c r="AC11" i="23"/>
  <c r="AC2" i="23"/>
  <c r="AC6" i="23"/>
  <c r="AC10" i="23"/>
  <c r="AC4" i="23"/>
  <c r="AC8" i="23"/>
  <c r="AC12" i="23"/>
  <c r="AC13" i="23"/>
  <c r="AC5" i="23"/>
  <c r="AC4" i="21"/>
  <c r="AC9" i="23"/>
  <c r="AK51" i="24"/>
  <c r="AK3" i="23"/>
  <c r="AK7" i="23"/>
  <c r="AK11" i="23"/>
  <c r="AK2" i="23"/>
  <c r="AK6" i="23"/>
  <c r="AK10" i="23"/>
  <c r="AK4" i="23"/>
  <c r="AK8" i="23"/>
  <c r="AK12" i="23"/>
  <c r="AK5" i="23"/>
  <c r="AK9" i="23"/>
  <c r="AK13" i="23"/>
  <c r="AK4" i="21"/>
  <c r="AS51" i="24"/>
  <c r="AS3" i="23"/>
  <c r="AS7" i="23"/>
  <c r="AS11" i="23"/>
  <c r="AS2" i="23"/>
  <c r="AS6" i="23"/>
  <c r="AS10" i="23"/>
  <c r="AS4" i="23"/>
  <c r="AS8" i="23"/>
  <c r="AS12" i="23"/>
  <c r="AS9" i="23"/>
  <c r="AS5" i="23"/>
  <c r="AS13" i="23"/>
  <c r="AS4" i="21"/>
  <c r="BA3" i="23"/>
  <c r="BA7" i="23"/>
  <c r="BA11" i="23"/>
  <c r="BA2" i="23"/>
  <c r="BA6" i="23"/>
  <c r="BA10" i="23"/>
  <c r="BA4" i="23"/>
  <c r="BA8" i="23"/>
  <c r="BA12" i="23"/>
  <c r="BA13" i="23"/>
  <c r="BA9" i="23"/>
  <c r="BA51" i="24"/>
  <c r="BA5" i="23"/>
  <c r="BA4" i="21"/>
  <c r="T4" i="20"/>
  <c r="T9" i="20"/>
  <c r="T5" i="20"/>
  <c r="T6" i="20"/>
  <c r="T3" i="20"/>
  <c r="T10" i="20"/>
  <c r="T2" i="20"/>
  <c r="T8" i="20"/>
  <c r="T13" i="20"/>
  <c r="T7" i="20"/>
  <c r="T12" i="20"/>
  <c r="T11" i="20"/>
  <c r="AZ4" i="20"/>
  <c r="AZ5" i="20"/>
  <c r="AZ9" i="20"/>
  <c r="AZ3" i="20"/>
  <c r="AZ6" i="20"/>
  <c r="AZ2" i="20"/>
  <c r="AZ7" i="20"/>
  <c r="AZ11" i="20"/>
  <c r="AZ13" i="20"/>
  <c r="AZ8" i="20"/>
  <c r="AZ12" i="20"/>
  <c r="AZ10" i="20"/>
  <c r="P6" i="22"/>
  <c r="P10" i="22"/>
  <c r="P5" i="22"/>
  <c r="P9" i="22"/>
  <c r="P3" i="22"/>
  <c r="P7" i="22"/>
  <c r="P11" i="22"/>
  <c r="P13" i="22"/>
  <c r="P3" i="21"/>
  <c r="P4" i="22"/>
  <c r="P8" i="22"/>
  <c r="P12" i="22"/>
  <c r="P2" i="22"/>
  <c r="R6" i="23"/>
  <c r="R10" i="23"/>
  <c r="R5" i="23"/>
  <c r="R9" i="23"/>
  <c r="R13" i="23"/>
  <c r="R3" i="23"/>
  <c r="R7" i="23"/>
  <c r="R11" i="23"/>
  <c r="R2" i="23"/>
  <c r="R12" i="23"/>
  <c r="R8" i="23"/>
  <c r="R4" i="23"/>
  <c r="R4" i="21"/>
  <c r="AK48" i="24"/>
  <c r="AK3" i="20"/>
  <c r="AK5" i="20"/>
  <c r="AK4" i="20"/>
  <c r="AK6" i="20"/>
  <c r="AK8" i="20"/>
  <c r="AK2" i="20"/>
  <c r="AK13" i="20"/>
  <c r="AK7" i="20"/>
  <c r="AK11" i="20"/>
  <c r="AK12" i="20"/>
  <c r="AK9" i="20"/>
  <c r="AK10" i="20"/>
  <c r="O49" i="24"/>
  <c r="O2" i="21"/>
  <c r="AU49" i="24"/>
  <c r="AU25" i="27" s="1"/>
  <c r="AU2" i="21"/>
  <c r="AG50" i="24"/>
  <c r="AG35" i="28" s="1"/>
  <c r="AG6" i="22"/>
  <c r="AG10" i="22"/>
  <c r="AG5" i="22"/>
  <c r="AG3" i="22"/>
  <c r="AG7" i="22"/>
  <c r="AG11" i="22"/>
  <c r="AG13" i="22"/>
  <c r="AG8" i="22"/>
  <c r="AG9" i="22"/>
  <c r="AG12" i="22"/>
  <c r="AG2" i="22"/>
  <c r="AG3" i="21"/>
  <c r="AG4" i="22"/>
  <c r="C51" i="24"/>
  <c r="C2" i="23"/>
  <c r="C6" i="23"/>
  <c r="C10" i="23"/>
  <c r="C5" i="23"/>
  <c r="C9" i="23"/>
  <c r="C13" i="23"/>
  <c r="C3" i="23"/>
  <c r="C7" i="23"/>
  <c r="C11" i="23"/>
  <c r="C8" i="23"/>
  <c r="C4" i="23"/>
  <c r="C12" i="23"/>
  <c r="C4" i="21"/>
  <c r="AA2" i="23"/>
  <c r="AA6" i="23"/>
  <c r="AA10" i="23"/>
  <c r="AA5" i="23"/>
  <c r="AA9" i="23"/>
  <c r="AA13" i="23"/>
  <c r="AA3" i="23"/>
  <c r="AA7" i="23"/>
  <c r="AA11" i="23"/>
  <c r="AA4" i="23"/>
  <c r="AA8" i="23"/>
  <c r="AA12" i="23"/>
  <c r="AA4" i="21"/>
  <c r="AL3" i="20"/>
  <c r="AL4" i="20"/>
  <c r="AL6" i="20"/>
  <c r="AL10" i="20"/>
  <c r="AL5" i="20"/>
  <c r="AL7" i="20"/>
  <c r="AL9" i="20"/>
  <c r="AL8" i="20"/>
  <c r="AL2" i="20"/>
  <c r="AL13" i="20"/>
  <c r="AL11" i="20"/>
  <c r="AL12" i="20"/>
  <c r="P4" i="20"/>
  <c r="P5" i="20"/>
  <c r="P7" i="20"/>
  <c r="P11" i="20"/>
  <c r="P6" i="20"/>
  <c r="P2" i="20"/>
  <c r="P10" i="20"/>
  <c r="P9" i="20"/>
  <c r="P12" i="20"/>
  <c r="P8" i="20"/>
  <c r="P3" i="20"/>
  <c r="P13" i="20"/>
  <c r="X4" i="20"/>
  <c r="X7" i="20"/>
  <c r="X11" i="20"/>
  <c r="X3" i="20"/>
  <c r="X6" i="20"/>
  <c r="X5" i="20"/>
  <c r="X8" i="20"/>
  <c r="X2" i="20"/>
  <c r="X12" i="20"/>
  <c r="X10" i="20"/>
  <c r="X9" i="20"/>
  <c r="X13" i="20"/>
  <c r="AF4" i="20"/>
  <c r="AF7" i="20"/>
  <c r="AF11" i="20"/>
  <c r="AF6" i="20"/>
  <c r="AF3" i="20"/>
  <c r="AF5" i="20"/>
  <c r="AF12" i="20"/>
  <c r="AF10" i="20"/>
  <c r="AF9" i="20"/>
  <c r="AF2" i="20"/>
  <c r="AF8" i="20"/>
  <c r="AF13" i="20"/>
  <c r="D3" i="22"/>
  <c r="D4" i="22"/>
  <c r="D8" i="22"/>
  <c r="D12" i="22"/>
  <c r="D7" i="22"/>
  <c r="D11" i="22"/>
  <c r="D5" i="22"/>
  <c r="D9" i="22"/>
  <c r="D3" i="21"/>
  <c r="D2" i="22"/>
  <c r="D10" i="22"/>
  <c r="D13" i="22"/>
  <c r="D6" i="22"/>
  <c r="L4" i="22"/>
  <c r="L8" i="22"/>
  <c r="L12" i="22"/>
  <c r="L3" i="22"/>
  <c r="L7" i="22"/>
  <c r="L11" i="22"/>
  <c r="L5" i="22"/>
  <c r="L9" i="22"/>
  <c r="L10" i="22"/>
  <c r="L3" i="21"/>
  <c r="L6" i="22"/>
  <c r="L2" i="22"/>
  <c r="L13" i="22"/>
  <c r="T4" i="22"/>
  <c r="T8" i="22"/>
  <c r="T12" i="22"/>
  <c r="T7" i="22"/>
  <c r="T11" i="22"/>
  <c r="T5" i="22"/>
  <c r="T9" i="22"/>
  <c r="T3" i="21"/>
  <c r="T2" i="22"/>
  <c r="T6" i="22"/>
  <c r="T10" i="22"/>
  <c r="T13" i="22"/>
  <c r="T3" i="22"/>
  <c r="AB4" i="22"/>
  <c r="AB8" i="22"/>
  <c r="AB12" i="22"/>
  <c r="AB3" i="22"/>
  <c r="AB7" i="22"/>
  <c r="AB11" i="22"/>
  <c r="AB5" i="22"/>
  <c r="AB9" i="22"/>
  <c r="AB3" i="21"/>
  <c r="AB2" i="22"/>
  <c r="AB10" i="22"/>
  <c r="AB6" i="22"/>
  <c r="AB13" i="22"/>
  <c r="AJ4" i="22"/>
  <c r="AJ8" i="22"/>
  <c r="AJ3" i="22"/>
  <c r="AJ7" i="22"/>
  <c r="AJ11" i="22"/>
  <c r="AJ5" i="22"/>
  <c r="AJ9" i="22"/>
  <c r="AJ3" i="21"/>
  <c r="AJ10" i="22"/>
  <c r="AJ2" i="22"/>
  <c r="AJ12" i="22"/>
  <c r="AJ6" i="22"/>
  <c r="AJ13" i="22"/>
  <c r="AR4" i="22"/>
  <c r="AR8" i="22"/>
  <c r="AR3" i="22"/>
  <c r="AR7" i="22"/>
  <c r="AR11" i="22"/>
  <c r="AR5" i="22"/>
  <c r="AR9" i="22"/>
  <c r="AR3" i="21"/>
  <c r="AR6" i="22"/>
  <c r="AR2" i="22"/>
  <c r="AR12" i="22"/>
  <c r="AR10" i="22"/>
  <c r="AR13" i="22"/>
  <c r="AZ4" i="22"/>
  <c r="AZ8" i="22"/>
  <c r="AZ3" i="22"/>
  <c r="AZ7" i="22"/>
  <c r="AZ11" i="22"/>
  <c r="AZ5" i="22"/>
  <c r="AZ9" i="22"/>
  <c r="AZ3" i="21"/>
  <c r="AZ2" i="22"/>
  <c r="AZ6" i="22"/>
  <c r="AZ12" i="22"/>
  <c r="AZ10" i="22"/>
  <c r="AZ13" i="22"/>
  <c r="F4" i="23"/>
  <c r="F8" i="23"/>
  <c r="F12" i="23"/>
  <c r="F3" i="23"/>
  <c r="F7" i="23"/>
  <c r="F11" i="23"/>
  <c r="F2" i="23"/>
  <c r="F5" i="23"/>
  <c r="F9" i="23"/>
  <c r="F13" i="23"/>
  <c r="F10" i="23"/>
  <c r="F4" i="21"/>
  <c r="F6" i="23"/>
  <c r="N4" i="23"/>
  <c r="N8" i="23"/>
  <c r="N12" i="23"/>
  <c r="N3" i="23"/>
  <c r="N7" i="23"/>
  <c r="N11" i="23"/>
  <c r="N2" i="23"/>
  <c r="N5" i="23"/>
  <c r="N9" i="23"/>
  <c r="N13" i="23"/>
  <c r="N6" i="23"/>
  <c r="N4" i="21"/>
  <c r="N10" i="23"/>
  <c r="V4" i="23"/>
  <c r="V8" i="23"/>
  <c r="V12" i="23"/>
  <c r="V3" i="23"/>
  <c r="V7" i="23"/>
  <c r="V11" i="23"/>
  <c r="V2" i="23"/>
  <c r="V5" i="23"/>
  <c r="V9" i="23"/>
  <c r="V13" i="23"/>
  <c r="V6" i="23"/>
  <c r="V10" i="23"/>
  <c r="V4" i="21"/>
  <c r="AD4" i="23"/>
  <c r="AD8" i="23"/>
  <c r="AD12" i="23"/>
  <c r="AD3" i="23"/>
  <c r="AD7" i="23"/>
  <c r="AD11" i="23"/>
  <c r="AD2" i="23"/>
  <c r="AD5" i="23"/>
  <c r="AD9" i="23"/>
  <c r="AD13" i="23"/>
  <c r="AD10" i="23"/>
  <c r="AD6" i="23"/>
  <c r="AD4" i="21"/>
  <c r="AL4" i="23"/>
  <c r="AL8" i="23"/>
  <c r="AL12" i="23"/>
  <c r="AL3" i="23"/>
  <c r="AL7" i="23"/>
  <c r="AL11" i="23"/>
  <c r="AL2" i="23"/>
  <c r="AL5" i="23"/>
  <c r="AL9" i="23"/>
  <c r="AL13" i="23"/>
  <c r="AL10" i="23"/>
  <c r="AL4" i="21"/>
  <c r="AL6" i="23"/>
  <c r="AT4" i="23"/>
  <c r="AT8" i="23"/>
  <c r="AT12" i="23"/>
  <c r="AT3" i="23"/>
  <c r="AT7" i="23"/>
  <c r="AT11" i="23"/>
  <c r="AT2" i="23"/>
  <c r="AT5" i="23"/>
  <c r="AT9" i="23"/>
  <c r="AT13" i="23"/>
  <c r="AT6" i="23"/>
  <c r="AT4" i="21"/>
  <c r="AT10" i="23"/>
  <c r="BB4" i="23"/>
  <c r="BB8" i="23"/>
  <c r="BB12" i="23"/>
  <c r="BB3" i="23"/>
  <c r="BB7" i="23"/>
  <c r="BB11" i="23"/>
  <c r="BB2" i="23"/>
  <c r="BB5" i="23"/>
  <c r="BB9" i="23"/>
  <c r="BB13" i="23"/>
  <c r="BB6" i="23"/>
  <c r="BB10" i="23"/>
  <c r="BB4" i="21"/>
  <c r="AN6" i="22"/>
  <c r="AN10" i="22"/>
  <c r="AN5" i="22"/>
  <c r="AN9" i="22"/>
  <c r="AN3" i="22"/>
  <c r="AN7" i="22"/>
  <c r="AN11" i="22"/>
  <c r="AN13" i="22"/>
  <c r="AN12" i="22"/>
  <c r="AN8" i="22"/>
  <c r="AN3" i="21"/>
  <c r="AN4" i="22"/>
  <c r="AN2" i="22"/>
  <c r="Z6" i="23"/>
  <c r="Z10" i="23"/>
  <c r="Z5" i="23"/>
  <c r="Z9" i="23"/>
  <c r="Z13" i="23"/>
  <c r="Z3" i="23"/>
  <c r="Z7" i="23"/>
  <c r="Z11" i="23"/>
  <c r="Z2" i="23"/>
  <c r="Z12" i="23"/>
  <c r="Z4" i="23"/>
  <c r="Z4" i="21"/>
  <c r="Z8" i="23"/>
  <c r="AC48" i="24"/>
  <c r="AC4" i="20"/>
  <c r="AC5" i="20"/>
  <c r="AC6" i="20"/>
  <c r="AC7" i="20"/>
  <c r="AC9" i="20"/>
  <c r="AC10" i="20"/>
  <c r="AC2" i="20"/>
  <c r="AC13" i="20"/>
  <c r="AC8" i="20"/>
  <c r="AC3" i="20"/>
  <c r="AC12" i="20"/>
  <c r="AC11" i="20"/>
  <c r="BA48" i="24"/>
  <c r="BA35" i="26" s="1"/>
  <c r="BA5" i="20"/>
  <c r="BA4" i="20"/>
  <c r="BA6" i="20"/>
  <c r="BA3" i="20"/>
  <c r="BA2" i="20"/>
  <c r="BA9" i="20"/>
  <c r="BA10" i="20"/>
  <c r="BA7" i="20"/>
  <c r="BA11" i="20"/>
  <c r="BA13" i="20"/>
  <c r="BA8" i="20"/>
  <c r="BA12" i="20"/>
  <c r="W49" i="24"/>
  <c r="W41" i="27" s="1"/>
  <c r="W2" i="21"/>
  <c r="BC49" i="24"/>
  <c r="BC42" i="27" s="1"/>
  <c r="BC2" i="21"/>
  <c r="AO50" i="24"/>
  <c r="AO6" i="22"/>
  <c r="AO10" i="22"/>
  <c r="AO5" i="22"/>
  <c r="AO3" i="22"/>
  <c r="AO7" i="22"/>
  <c r="AO11" i="22"/>
  <c r="AO13" i="22"/>
  <c r="AO12" i="22"/>
  <c r="AO4" i="22"/>
  <c r="AO9" i="22"/>
  <c r="AO2" i="22"/>
  <c r="AO8" i="22"/>
  <c r="AO3" i="21"/>
  <c r="S2" i="23"/>
  <c r="S6" i="23"/>
  <c r="S10" i="23"/>
  <c r="S5" i="23"/>
  <c r="S9" i="23"/>
  <c r="S13" i="23"/>
  <c r="S3" i="23"/>
  <c r="S7" i="23"/>
  <c r="S11" i="23"/>
  <c r="S12" i="23"/>
  <c r="S4" i="23"/>
  <c r="S8" i="23"/>
  <c r="S4" i="21"/>
  <c r="AI2" i="23"/>
  <c r="AI6" i="23"/>
  <c r="AI10" i="23"/>
  <c r="AI5" i="23"/>
  <c r="AI9" i="23"/>
  <c r="AI13" i="23"/>
  <c r="AI3" i="23"/>
  <c r="AI7" i="23"/>
  <c r="AI11" i="23"/>
  <c r="AI8" i="23"/>
  <c r="AI4" i="23"/>
  <c r="AI12" i="23"/>
  <c r="AI4" i="21"/>
  <c r="F3" i="20"/>
  <c r="F5" i="20"/>
  <c r="F4" i="20"/>
  <c r="F6" i="20"/>
  <c r="F10" i="20"/>
  <c r="F7" i="20"/>
  <c r="F13" i="20"/>
  <c r="F12" i="20"/>
  <c r="F2" i="20"/>
  <c r="F11" i="20"/>
  <c r="F9" i="20"/>
  <c r="F8" i="20"/>
  <c r="V3" i="20"/>
  <c r="V6" i="20"/>
  <c r="V10" i="20"/>
  <c r="V7" i="20"/>
  <c r="V12" i="20"/>
  <c r="V4" i="20"/>
  <c r="V11" i="20"/>
  <c r="V13" i="20"/>
  <c r="V9" i="20"/>
  <c r="V2" i="20"/>
  <c r="V8" i="20"/>
  <c r="V5" i="20"/>
  <c r="BB3" i="20"/>
  <c r="BB6" i="20"/>
  <c r="BB10" i="20"/>
  <c r="BB5" i="20"/>
  <c r="BB7" i="20"/>
  <c r="BB2" i="20"/>
  <c r="BB11" i="20"/>
  <c r="BB13" i="20"/>
  <c r="BB9" i="20"/>
  <c r="BB4" i="20"/>
  <c r="BB8" i="20"/>
  <c r="BB12" i="20"/>
  <c r="AN4" i="20"/>
  <c r="AN7" i="20"/>
  <c r="AN11" i="20"/>
  <c r="AN6" i="20"/>
  <c r="AN3" i="20"/>
  <c r="AN5" i="20"/>
  <c r="AN10" i="20"/>
  <c r="AN12" i="20"/>
  <c r="AN9" i="20"/>
  <c r="AN8" i="20"/>
  <c r="AN2" i="20"/>
  <c r="AN13" i="20"/>
  <c r="I48" i="24"/>
  <c r="I3" i="20"/>
  <c r="I7" i="20"/>
  <c r="I4" i="20"/>
  <c r="I5" i="20"/>
  <c r="I6" i="20"/>
  <c r="I8" i="20"/>
  <c r="I13" i="20"/>
  <c r="I12" i="20"/>
  <c r="I2" i="20"/>
  <c r="I11" i="20"/>
  <c r="I10" i="20"/>
  <c r="I9" i="20"/>
  <c r="Q48" i="24"/>
  <c r="Q45" i="26" s="1"/>
  <c r="Q4" i="20"/>
  <c r="Q5" i="20"/>
  <c r="Q7" i="20"/>
  <c r="Q6" i="20"/>
  <c r="Q3" i="20"/>
  <c r="Q13" i="20"/>
  <c r="Q10" i="20"/>
  <c r="Q11" i="20"/>
  <c r="Q12" i="20"/>
  <c r="Q9" i="20"/>
  <c r="Q8" i="20"/>
  <c r="Q2" i="20"/>
  <c r="Y48" i="24"/>
  <c r="Y5" i="20"/>
  <c r="Y7" i="20"/>
  <c r="Y3" i="20"/>
  <c r="Y6" i="20"/>
  <c r="Y4" i="20"/>
  <c r="Y13" i="20"/>
  <c r="Y2" i="20"/>
  <c r="Y11" i="20"/>
  <c r="Y12" i="20"/>
  <c r="Y10" i="20"/>
  <c r="Y9" i="20"/>
  <c r="Y8" i="20"/>
  <c r="AG48" i="24"/>
  <c r="AG41" i="26" s="1"/>
  <c r="AG7" i="20"/>
  <c r="AG6" i="20"/>
  <c r="AG3" i="20"/>
  <c r="AG5" i="20"/>
  <c r="AG13" i="20"/>
  <c r="AG2" i="20"/>
  <c r="AG11" i="20"/>
  <c r="AG12" i="20"/>
  <c r="AG4" i="20"/>
  <c r="AG10" i="20"/>
  <c r="AG9" i="20"/>
  <c r="AG8" i="20"/>
  <c r="AO48" i="24"/>
  <c r="AO4" i="20"/>
  <c r="AO6" i="20"/>
  <c r="AO5" i="20"/>
  <c r="AO13" i="20"/>
  <c r="AO11" i="20"/>
  <c r="AO10" i="20"/>
  <c r="AO12" i="20"/>
  <c r="AO3" i="20"/>
  <c r="AO7" i="20"/>
  <c r="AO9" i="20"/>
  <c r="AO8" i="20"/>
  <c r="AO2" i="20"/>
  <c r="AW48" i="24"/>
  <c r="AW35" i="26" s="1"/>
  <c r="AW4" i="20"/>
  <c r="AW3" i="20"/>
  <c r="AW6" i="20"/>
  <c r="AW11" i="20"/>
  <c r="AW13" i="20"/>
  <c r="AW10" i="20"/>
  <c r="AW5" i="20"/>
  <c r="AW9" i="20"/>
  <c r="AW12" i="20"/>
  <c r="AW8" i="20"/>
  <c r="AW2" i="20"/>
  <c r="AW7" i="20"/>
  <c r="C49" i="24"/>
  <c r="C35" i="27" s="1"/>
  <c r="C2" i="21"/>
  <c r="K49" i="24"/>
  <c r="K44" i="27" s="1"/>
  <c r="K2" i="21"/>
  <c r="S49" i="24"/>
  <c r="S2" i="21"/>
  <c r="AA49" i="24"/>
  <c r="AA2" i="21"/>
  <c r="AI49" i="24"/>
  <c r="AI36" i="27" s="1"/>
  <c r="AI2" i="21"/>
  <c r="AQ49" i="24"/>
  <c r="AQ2" i="21"/>
  <c r="AY49" i="24"/>
  <c r="AY2" i="21"/>
  <c r="E50" i="24"/>
  <c r="E3" i="22"/>
  <c r="E4" i="22"/>
  <c r="E8" i="22"/>
  <c r="E12" i="22"/>
  <c r="E7" i="22"/>
  <c r="E5" i="22"/>
  <c r="E9" i="22"/>
  <c r="E6" i="22"/>
  <c r="E11" i="22"/>
  <c r="E3" i="21"/>
  <c r="E2" i="22"/>
  <c r="E10" i="22"/>
  <c r="E13" i="22"/>
  <c r="M50" i="24"/>
  <c r="M3" i="22"/>
  <c r="M4" i="22"/>
  <c r="M8" i="22"/>
  <c r="M12" i="22"/>
  <c r="M7" i="22"/>
  <c r="M5" i="22"/>
  <c r="M9" i="22"/>
  <c r="M10" i="22"/>
  <c r="M3" i="21"/>
  <c r="M6" i="22"/>
  <c r="M2" i="22"/>
  <c r="M11" i="22"/>
  <c r="M13" i="22"/>
  <c r="U50" i="24"/>
  <c r="U3" i="22"/>
  <c r="U4" i="22"/>
  <c r="U8" i="22"/>
  <c r="U7" i="22"/>
  <c r="U5" i="22"/>
  <c r="U9" i="22"/>
  <c r="U12" i="22"/>
  <c r="U3" i="21"/>
  <c r="U2" i="22"/>
  <c r="U13" i="22"/>
  <c r="U10" i="22"/>
  <c r="U6" i="22"/>
  <c r="U11" i="22"/>
  <c r="AC50" i="24"/>
  <c r="AC45" i="28" s="1"/>
  <c r="AC4" i="22"/>
  <c r="AC8" i="22"/>
  <c r="AC3" i="22"/>
  <c r="AC7" i="22"/>
  <c r="AC5" i="22"/>
  <c r="AC9" i="22"/>
  <c r="AC3" i="21"/>
  <c r="AC11" i="22"/>
  <c r="AC2" i="22"/>
  <c r="AC6" i="22"/>
  <c r="AC12" i="22"/>
  <c r="AC10" i="22"/>
  <c r="AC13" i="22"/>
  <c r="AK50" i="24"/>
  <c r="AK4" i="22"/>
  <c r="AK8" i="22"/>
  <c r="AK3" i="22"/>
  <c r="AK7" i="22"/>
  <c r="AK5" i="22"/>
  <c r="AK9" i="22"/>
  <c r="AK6" i="22"/>
  <c r="AK3" i="21"/>
  <c r="AK10" i="22"/>
  <c r="AK2" i="22"/>
  <c r="AK13" i="22"/>
  <c r="AK11" i="22"/>
  <c r="AK12" i="22"/>
  <c r="AS4" i="22"/>
  <c r="AS8" i="22"/>
  <c r="AS3" i="22"/>
  <c r="AS7" i="22"/>
  <c r="AS5" i="22"/>
  <c r="AS9" i="22"/>
  <c r="AS11" i="22"/>
  <c r="AS3" i="21"/>
  <c r="AS6" i="22"/>
  <c r="AS2" i="22"/>
  <c r="AS10" i="22"/>
  <c r="AS13" i="22"/>
  <c r="AS12" i="22"/>
  <c r="BA4" i="22"/>
  <c r="BA8" i="22"/>
  <c r="BA3" i="22"/>
  <c r="BA7" i="22"/>
  <c r="BA5" i="22"/>
  <c r="BA9" i="22"/>
  <c r="BA10" i="22"/>
  <c r="BA3" i="21"/>
  <c r="BA2" i="22"/>
  <c r="BA6" i="22"/>
  <c r="BA11" i="22"/>
  <c r="BA12" i="22"/>
  <c r="BA13" i="22"/>
  <c r="G4" i="23"/>
  <c r="G8" i="23"/>
  <c r="G12" i="23"/>
  <c r="G3" i="23"/>
  <c r="G7" i="23"/>
  <c r="G11" i="23"/>
  <c r="G5" i="23"/>
  <c r="G9" i="23"/>
  <c r="G13" i="23"/>
  <c r="G2" i="23"/>
  <c r="G6" i="23"/>
  <c r="G10" i="23"/>
  <c r="G4" i="21"/>
  <c r="O4" i="23"/>
  <c r="O8" i="23"/>
  <c r="O12" i="23"/>
  <c r="O3" i="23"/>
  <c r="O7" i="23"/>
  <c r="O11" i="23"/>
  <c r="O5" i="23"/>
  <c r="O9" i="23"/>
  <c r="O13" i="23"/>
  <c r="O6" i="23"/>
  <c r="O2" i="23"/>
  <c r="O10" i="23"/>
  <c r="O4" i="21"/>
  <c r="W4" i="23"/>
  <c r="W8" i="23"/>
  <c r="W12" i="23"/>
  <c r="W3" i="23"/>
  <c r="W7" i="23"/>
  <c r="W11" i="23"/>
  <c r="W5" i="23"/>
  <c r="W9" i="23"/>
  <c r="W13" i="23"/>
  <c r="W10" i="23"/>
  <c r="W6" i="23"/>
  <c r="W2" i="23"/>
  <c r="W4" i="21"/>
  <c r="AE4" i="23"/>
  <c r="AE8" i="23"/>
  <c r="AE12" i="23"/>
  <c r="AE3" i="23"/>
  <c r="AE7" i="23"/>
  <c r="AE11" i="23"/>
  <c r="AE5" i="23"/>
  <c r="AE9" i="23"/>
  <c r="AE13" i="23"/>
  <c r="AE10" i="23"/>
  <c r="AE2" i="23"/>
  <c r="AE4" i="21"/>
  <c r="AE6" i="23"/>
  <c r="AM4" i="23"/>
  <c r="AM8" i="23"/>
  <c r="AM12" i="23"/>
  <c r="AM3" i="23"/>
  <c r="AM7" i="23"/>
  <c r="AM11" i="23"/>
  <c r="AM5" i="23"/>
  <c r="AM9" i="23"/>
  <c r="AM13" i="23"/>
  <c r="AM2" i="23"/>
  <c r="AM6" i="23"/>
  <c r="AM4" i="21"/>
  <c r="AM10" i="23"/>
  <c r="AU51" i="24"/>
  <c r="AU4" i="23"/>
  <c r="AU8" i="23"/>
  <c r="AU12" i="23"/>
  <c r="AU3" i="23"/>
  <c r="AU7" i="23"/>
  <c r="AU11" i="23"/>
  <c r="AU5" i="23"/>
  <c r="AU9" i="23"/>
  <c r="AU13" i="23"/>
  <c r="AU6" i="23"/>
  <c r="AU2" i="23"/>
  <c r="AU10" i="23"/>
  <c r="AU4" i="21"/>
  <c r="BC51" i="24"/>
  <c r="BC4" i="23"/>
  <c r="BC8" i="23"/>
  <c r="BC12" i="23"/>
  <c r="BC3" i="23"/>
  <c r="BC7" i="23"/>
  <c r="BC11" i="23"/>
  <c r="BC5" i="23"/>
  <c r="BC9" i="23"/>
  <c r="BC13" i="23"/>
  <c r="BC10" i="23"/>
  <c r="BC6" i="23"/>
  <c r="BC4" i="21"/>
  <c r="BC2" i="23"/>
  <c r="AF47" i="24"/>
  <c r="AF37" i="25" s="1"/>
  <c r="AF7" i="19"/>
  <c r="AF4" i="19"/>
  <c r="AF12" i="19"/>
  <c r="AF9" i="19"/>
  <c r="AF6" i="19"/>
  <c r="AF2" i="19"/>
  <c r="AF3" i="19"/>
  <c r="AF5" i="19"/>
  <c r="AF13" i="19"/>
  <c r="AF8" i="19"/>
  <c r="AF10" i="19"/>
  <c r="AF11" i="19"/>
  <c r="AV47" i="24"/>
  <c r="AV7" i="19"/>
  <c r="AV4" i="19"/>
  <c r="AV12" i="19"/>
  <c r="AV9" i="19"/>
  <c r="AV6" i="19"/>
  <c r="AV2" i="19"/>
  <c r="AV3" i="19"/>
  <c r="AV5" i="19"/>
  <c r="AV13" i="19"/>
  <c r="AV11" i="19"/>
  <c r="AV10" i="19"/>
  <c r="AV8" i="19"/>
  <c r="P47" i="24"/>
  <c r="P7" i="19"/>
  <c r="P4" i="19"/>
  <c r="P12" i="19"/>
  <c r="P9" i="19"/>
  <c r="P3" i="19"/>
  <c r="P6" i="19"/>
  <c r="P2" i="19"/>
  <c r="P5" i="19"/>
  <c r="P13" i="19"/>
  <c r="P11" i="19"/>
  <c r="P10" i="19"/>
  <c r="P8" i="19"/>
  <c r="AW10" i="19"/>
  <c r="AW7" i="19"/>
  <c r="AW4" i="19"/>
  <c r="AW12" i="19"/>
  <c r="AW9" i="19"/>
  <c r="AW6" i="19"/>
  <c r="AW8" i="19"/>
  <c r="AW2" i="19"/>
  <c r="AW11" i="19"/>
  <c r="AW3" i="19"/>
  <c r="AW13" i="19"/>
  <c r="AW5" i="19"/>
  <c r="Z5" i="19"/>
  <c r="Z13" i="19"/>
  <c r="Z10" i="19"/>
  <c r="Z7" i="19"/>
  <c r="Z4" i="19"/>
  <c r="Z12" i="19"/>
  <c r="Z3" i="19"/>
  <c r="Z11" i="19"/>
  <c r="Z2" i="19"/>
  <c r="Z6" i="19"/>
  <c r="Z9" i="19"/>
  <c r="Z8" i="19"/>
  <c r="AP5" i="19"/>
  <c r="AP13" i="19"/>
  <c r="AP10" i="19"/>
  <c r="AP7" i="19"/>
  <c r="AP4" i="19"/>
  <c r="AP12" i="19"/>
  <c r="AP3" i="19"/>
  <c r="AP11" i="19"/>
  <c r="AP6" i="19"/>
  <c r="AP9" i="19"/>
  <c r="AP8" i="19"/>
  <c r="AP2" i="19"/>
  <c r="AI47" i="24"/>
  <c r="AI8" i="19"/>
  <c r="AI5" i="19"/>
  <c r="AI13" i="19"/>
  <c r="AI10" i="19"/>
  <c r="AI7" i="19"/>
  <c r="AI4" i="19"/>
  <c r="AI6" i="19"/>
  <c r="AI2" i="19"/>
  <c r="AI9" i="19"/>
  <c r="AI11" i="19"/>
  <c r="AI12" i="19"/>
  <c r="AI3" i="19"/>
  <c r="C47" i="24"/>
  <c r="C30" i="25" s="1"/>
  <c r="C8" i="19"/>
  <c r="C5" i="19"/>
  <c r="C13" i="19"/>
  <c r="C10" i="19"/>
  <c r="C7" i="19"/>
  <c r="C4" i="19"/>
  <c r="C6" i="19"/>
  <c r="C2" i="19"/>
  <c r="C11" i="19"/>
  <c r="C9" i="19"/>
  <c r="C3" i="19"/>
  <c r="C12" i="19"/>
  <c r="K47" i="24"/>
  <c r="K36" i="25" s="1"/>
  <c r="K8" i="19"/>
  <c r="K5" i="19"/>
  <c r="K13" i="19"/>
  <c r="K10" i="19"/>
  <c r="K7" i="19"/>
  <c r="K4" i="19"/>
  <c r="K6" i="19"/>
  <c r="K2" i="19"/>
  <c r="K9" i="19"/>
  <c r="K3" i="19"/>
  <c r="K12" i="19"/>
  <c r="K11" i="19"/>
  <c r="S47" i="24"/>
  <c r="S8" i="19"/>
  <c r="S5" i="19"/>
  <c r="S13" i="19"/>
  <c r="S10" i="19"/>
  <c r="S7" i="19"/>
  <c r="S4" i="19"/>
  <c r="S6" i="19"/>
  <c r="S2" i="19"/>
  <c r="S9" i="19"/>
  <c r="S11" i="19"/>
  <c r="S12" i="19"/>
  <c r="S3" i="19"/>
  <c r="AB47" i="24"/>
  <c r="AB44" i="25" s="1"/>
  <c r="AB3" i="19"/>
  <c r="AB11" i="19"/>
  <c r="AB8" i="19"/>
  <c r="AB5" i="19"/>
  <c r="AB13" i="19"/>
  <c r="AB10" i="19"/>
  <c r="AB7" i="19"/>
  <c r="AB9" i="19"/>
  <c r="AB6" i="19"/>
  <c r="AB12" i="19"/>
  <c r="AB2" i="19"/>
  <c r="AB4" i="19"/>
  <c r="AJ47" i="24"/>
  <c r="AJ3" i="19"/>
  <c r="AJ11" i="19"/>
  <c r="AJ8" i="19"/>
  <c r="AJ5" i="19"/>
  <c r="AJ13" i="19"/>
  <c r="AJ10" i="19"/>
  <c r="AJ7" i="19"/>
  <c r="AJ9" i="19"/>
  <c r="AJ2" i="19"/>
  <c r="AJ12" i="19"/>
  <c r="AJ4" i="19"/>
  <c r="AJ6" i="19"/>
  <c r="AR47" i="24"/>
  <c r="AR3" i="19"/>
  <c r="AR11" i="19"/>
  <c r="AR8" i="19"/>
  <c r="AR5" i="19"/>
  <c r="AR13" i="19"/>
  <c r="AR7" i="19"/>
  <c r="AR10" i="19"/>
  <c r="AR9" i="19"/>
  <c r="AR6" i="19"/>
  <c r="AR4" i="19"/>
  <c r="AR12" i="19"/>
  <c r="AR2" i="19"/>
  <c r="AZ3" i="19"/>
  <c r="AZ11" i="19"/>
  <c r="AZ8" i="19"/>
  <c r="AZ7" i="19"/>
  <c r="AZ5" i="19"/>
  <c r="AZ13" i="19"/>
  <c r="AZ10" i="19"/>
  <c r="AZ9" i="19"/>
  <c r="AZ4" i="19"/>
  <c r="AZ12" i="19"/>
  <c r="AZ2" i="19"/>
  <c r="AZ6" i="19"/>
  <c r="W47" i="24"/>
  <c r="W4" i="19"/>
  <c r="W12" i="19"/>
  <c r="W9" i="19"/>
  <c r="W8" i="19"/>
  <c r="W6" i="19"/>
  <c r="W2" i="19"/>
  <c r="W3" i="19"/>
  <c r="W11" i="19"/>
  <c r="W10" i="19"/>
  <c r="W7" i="19"/>
  <c r="W13" i="19"/>
  <c r="W5" i="19"/>
  <c r="AO10" i="19"/>
  <c r="AO7" i="19"/>
  <c r="AO4" i="19"/>
  <c r="AO12" i="19"/>
  <c r="AO9" i="19"/>
  <c r="AO6" i="19"/>
  <c r="AO8" i="19"/>
  <c r="AO3" i="19"/>
  <c r="AO2" i="19"/>
  <c r="AO11" i="19"/>
  <c r="AO13" i="19"/>
  <c r="AO5" i="19"/>
  <c r="I10" i="19"/>
  <c r="I7" i="19"/>
  <c r="I4" i="19"/>
  <c r="I12" i="19"/>
  <c r="I9" i="19"/>
  <c r="I6" i="19"/>
  <c r="I8" i="19"/>
  <c r="I3" i="19"/>
  <c r="I2" i="19"/>
  <c r="I5" i="19"/>
  <c r="I11" i="19"/>
  <c r="I13" i="19"/>
  <c r="AH5" i="19"/>
  <c r="AH13" i="19"/>
  <c r="AH10" i="19"/>
  <c r="AH7" i="19"/>
  <c r="AH4" i="19"/>
  <c r="AH12" i="19"/>
  <c r="AH3" i="19"/>
  <c r="AH11" i="19"/>
  <c r="AH2" i="19"/>
  <c r="AH8" i="19"/>
  <c r="AH6" i="19"/>
  <c r="AH9" i="19"/>
  <c r="J5" i="19"/>
  <c r="J13" i="19"/>
  <c r="J10" i="19"/>
  <c r="J7" i="19"/>
  <c r="J4" i="19"/>
  <c r="J12" i="19"/>
  <c r="J9" i="19"/>
  <c r="J3" i="19"/>
  <c r="J11" i="19"/>
  <c r="J6" i="19"/>
  <c r="J2" i="19"/>
  <c r="J8" i="19"/>
  <c r="AY47" i="24"/>
  <c r="AY34" i="25" s="1"/>
  <c r="AY8" i="19"/>
  <c r="AY5" i="19"/>
  <c r="AY13" i="19"/>
  <c r="AY10" i="19"/>
  <c r="AY7" i="19"/>
  <c r="AY4" i="19"/>
  <c r="AY6" i="19"/>
  <c r="AY2" i="19"/>
  <c r="AY12" i="19"/>
  <c r="AY3" i="19"/>
  <c r="AY9" i="19"/>
  <c r="AY11" i="19"/>
  <c r="D47" i="24"/>
  <c r="D3" i="19"/>
  <c r="D11" i="19"/>
  <c r="D8" i="19"/>
  <c r="D5" i="19"/>
  <c r="D13" i="19"/>
  <c r="D10" i="19"/>
  <c r="D7" i="19"/>
  <c r="D9" i="19"/>
  <c r="D12" i="19"/>
  <c r="D2" i="19"/>
  <c r="D4" i="19"/>
  <c r="D6" i="19"/>
  <c r="L47" i="24"/>
  <c r="L3" i="19"/>
  <c r="L11" i="19"/>
  <c r="L8" i="19"/>
  <c r="L5" i="19"/>
  <c r="L13" i="19"/>
  <c r="L10" i="19"/>
  <c r="L7" i="19"/>
  <c r="L9" i="19"/>
  <c r="L6" i="19"/>
  <c r="L2" i="19"/>
  <c r="L12" i="19"/>
  <c r="L4" i="19"/>
  <c r="T47" i="24"/>
  <c r="T45" i="25" s="1"/>
  <c r="T3" i="19"/>
  <c r="T11" i="19"/>
  <c r="T8" i="19"/>
  <c r="T7" i="19"/>
  <c r="T5" i="19"/>
  <c r="T13" i="19"/>
  <c r="T10" i="19"/>
  <c r="T9" i="19"/>
  <c r="T4" i="19"/>
  <c r="T6" i="19"/>
  <c r="T12" i="19"/>
  <c r="T2" i="19"/>
  <c r="AC47" i="24"/>
  <c r="AC41" i="25" s="1"/>
  <c r="AC6" i="19"/>
  <c r="AC2" i="19"/>
  <c r="AC3" i="19"/>
  <c r="AC11" i="19"/>
  <c r="AC8" i="19"/>
  <c r="AC5" i="19"/>
  <c r="AC13" i="19"/>
  <c r="AC4" i="19"/>
  <c r="AC12" i="19"/>
  <c r="AC10" i="19"/>
  <c r="AC7" i="19"/>
  <c r="AC9" i="19"/>
  <c r="AK47" i="24"/>
  <c r="AK44" i="25" s="1"/>
  <c r="AK6" i="19"/>
  <c r="AK2" i="19"/>
  <c r="AK3" i="19"/>
  <c r="AK11" i="19"/>
  <c r="AK8" i="19"/>
  <c r="AK5" i="19"/>
  <c r="AK13" i="19"/>
  <c r="AK4" i="19"/>
  <c r="AK12" i="19"/>
  <c r="AK9" i="19"/>
  <c r="AK7" i="19"/>
  <c r="AK10" i="19"/>
  <c r="AS47" i="24"/>
  <c r="AS34" i="25" s="1"/>
  <c r="AS6" i="19"/>
  <c r="AS2" i="19"/>
  <c r="AS3" i="19"/>
  <c r="AS11" i="19"/>
  <c r="AS8" i="19"/>
  <c r="AS5" i="19"/>
  <c r="AS13" i="19"/>
  <c r="AS4" i="19"/>
  <c r="AS12" i="19"/>
  <c r="AS9" i="19"/>
  <c r="AS7" i="19"/>
  <c r="AS10" i="19"/>
  <c r="BA47" i="24"/>
  <c r="BA6" i="19"/>
  <c r="BA2" i="19"/>
  <c r="BA3" i="19"/>
  <c r="BA11" i="19"/>
  <c r="BA8" i="19"/>
  <c r="BA5" i="19"/>
  <c r="BA13" i="19"/>
  <c r="BA4" i="19"/>
  <c r="BA12" i="19"/>
  <c r="BA7" i="19"/>
  <c r="BA10" i="19"/>
  <c r="BA9" i="19"/>
  <c r="O47" i="24"/>
  <c r="O43" i="25" s="1"/>
  <c r="O4" i="19"/>
  <c r="O12" i="19"/>
  <c r="O9" i="19"/>
  <c r="O6" i="19"/>
  <c r="O2" i="19"/>
  <c r="O3" i="19"/>
  <c r="O11" i="19"/>
  <c r="O8" i="19"/>
  <c r="O10" i="19"/>
  <c r="O13" i="19"/>
  <c r="O5" i="19"/>
  <c r="O7" i="19"/>
  <c r="H47" i="24"/>
  <c r="H7" i="19"/>
  <c r="H4" i="19"/>
  <c r="H12" i="19"/>
  <c r="H9" i="19"/>
  <c r="H6" i="19"/>
  <c r="H2" i="19"/>
  <c r="H3" i="19"/>
  <c r="H5" i="19"/>
  <c r="H13" i="19"/>
  <c r="H8" i="19"/>
  <c r="H10" i="19"/>
  <c r="H11" i="19"/>
  <c r="AG10" i="19"/>
  <c r="AG7" i="19"/>
  <c r="AG4" i="19"/>
  <c r="AG12" i="19"/>
  <c r="AG9" i="19"/>
  <c r="AG6" i="19"/>
  <c r="AG8" i="19"/>
  <c r="AG5" i="19"/>
  <c r="AG2" i="19"/>
  <c r="AG3" i="19"/>
  <c r="AG11" i="19"/>
  <c r="AG13" i="19"/>
  <c r="Y10" i="19"/>
  <c r="Y7" i="19"/>
  <c r="Y6" i="19"/>
  <c r="Y4" i="19"/>
  <c r="Y12" i="19"/>
  <c r="Y9" i="19"/>
  <c r="Y8" i="19"/>
  <c r="Y13" i="19"/>
  <c r="Y3" i="19"/>
  <c r="Y11" i="19"/>
  <c r="Y5" i="19"/>
  <c r="Y2" i="19"/>
  <c r="AA47" i="24"/>
  <c r="AA8" i="19"/>
  <c r="AA5" i="19"/>
  <c r="AA13" i="19"/>
  <c r="AA10" i="19"/>
  <c r="AA7" i="19"/>
  <c r="AA4" i="19"/>
  <c r="AA6" i="19"/>
  <c r="AA2" i="19"/>
  <c r="AA12" i="19"/>
  <c r="AA3" i="19"/>
  <c r="AA11" i="19"/>
  <c r="AA9" i="19"/>
  <c r="E47" i="24"/>
  <c r="E43" i="25" s="1"/>
  <c r="E6" i="19"/>
  <c r="E2" i="19"/>
  <c r="E3" i="19"/>
  <c r="E11" i="19"/>
  <c r="E8" i="19"/>
  <c r="E5" i="19"/>
  <c r="E13" i="19"/>
  <c r="E4" i="19"/>
  <c r="E12" i="19"/>
  <c r="E10" i="19"/>
  <c r="E7" i="19"/>
  <c r="E9" i="19"/>
  <c r="M47" i="24"/>
  <c r="M27" i="25" s="1"/>
  <c r="M6" i="19"/>
  <c r="M2" i="19"/>
  <c r="M3" i="19"/>
  <c r="M11" i="19"/>
  <c r="M8" i="19"/>
  <c r="M5" i="19"/>
  <c r="M13" i="19"/>
  <c r="M4" i="19"/>
  <c r="M12" i="19"/>
  <c r="M9" i="19"/>
  <c r="M10" i="19"/>
  <c r="M7" i="19"/>
  <c r="U47" i="24"/>
  <c r="U46" i="25" s="1"/>
  <c r="U6" i="19"/>
  <c r="U2" i="19"/>
  <c r="U3" i="19"/>
  <c r="U11" i="19"/>
  <c r="U8" i="19"/>
  <c r="U5" i="19"/>
  <c r="U13" i="19"/>
  <c r="U4" i="19"/>
  <c r="U12" i="19"/>
  <c r="U7" i="19"/>
  <c r="U9" i="19"/>
  <c r="U10" i="19"/>
  <c r="AD9" i="19"/>
  <c r="AD6" i="19"/>
  <c r="AD2" i="19"/>
  <c r="AD3" i="19"/>
  <c r="AD11" i="19"/>
  <c r="AD8" i="19"/>
  <c r="AD5" i="19"/>
  <c r="AD7" i="19"/>
  <c r="AD10" i="19"/>
  <c r="AD12" i="19"/>
  <c r="AD4" i="19"/>
  <c r="AD13" i="19"/>
  <c r="AL9" i="19"/>
  <c r="AL6" i="19"/>
  <c r="AL2" i="19"/>
  <c r="AL3" i="19"/>
  <c r="AL11" i="19"/>
  <c r="AL8" i="19"/>
  <c r="AL5" i="19"/>
  <c r="AL7" i="19"/>
  <c r="AL13" i="19"/>
  <c r="AL12" i="19"/>
  <c r="AL10" i="19"/>
  <c r="AL4" i="19"/>
  <c r="AT9" i="19"/>
  <c r="AT6" i="19"/>
  <c r="AT2" i="19"/>
  <c r="AT3" i="19"/>
  <c r="AT11" i="19"/>
  <c r="AT8" i="19"/>
  <c r="AT5" i="19"/>
  <c r="AT7" i="19"/>
  <c r="AT10" i="19"/>
  <c r="AT12" i="19"/>
  <c r="AT13" i="19"/>
  <c r="AT4" i="19"/>
  <c r="BB9" i="19"/>
  <c r="BB6" i="19"/>
  <c r="BB2" i="19"/>
  <c r="BB3" i="19"/>
  <c r="BB11" i="19"/>
  <c r="BB8" i="19"/>
  <c r="BB5" i="19"/>
  <c r="BB7" i="19"/>
  <c r="BB4" i="19"/>
  <c r="BB10" i="19"/>
  <c r="BB12" i="19"/>
  <c r="BB13" i="19"/>
  <c r="G47" i="24"/>
  <c r="G27" i="25" s="1"/>
  <c r="G4" i="19"/>
  <c r="G12" i="19"/>
  <c r="G9" i="19"/>
  <c r="G6" i="19"/>
  <c r="G2" i="19"/>
  <c r="G3" i="19"/>
  <c r="G11" i="19"/>
  <c r="G8" i="19"/>
  <c r="G10" i="19"/>
  <c r="G13" i="19"/>
  <c r="G5" i="19"/>
  <c r="G7" i="19"/>
  <c r="AN47" i="24"/>
  <c r="AN7" i="19"/>
  <c r="AN4" i="19"/>
  <c r="AN12" i="19"/>
  <c r="AN9" i="19"/>
  <c r="AN6" i="19"/>
  <c r="AN2" i="19"/>
  <c r="AN3" i="19"/>
  <c r="AN5" i="19"/>
  <c r="AN13" i="19"/>
  <c r="AN11" i="19"/>
  <c r="AN8" i="19"/>
  <c r="AN10" i="19"/>
  <c r="X47" i="24"/>
  <c r="X43" i="25" s="1"/>
  <c r="X7" i="19"/>
  <c r="X3" i="19"/>
  <c r="X4" i="19"/>
  <c r="X12" i="19"/>
  <c r="X9" i="19"/>
  <c r="X6" i="19"/>
  <c r="X2" i="19"/>
  <c r="X5" i="19"/>
  <c r="X13" i="19"/>
  <c r="X10" i="19"/>
  <c r="X11" i="19"/>
  <c r="X8" i="19"/>
  <c r="Q10" i="19"/>
  <c r="Q7" i="19"/>
  <c r="Q4" i="19"/>
  <c r="Q12" i="19"/>
  <c r="Q9" i="19"/>
  <c r="Q6" i="19"/>
  <c r="Q8" i="19"/>
  <c r="Q11" i="19"/>
  <c r="Q13" i="19"/>
  <c r="Q3" i="19"/>
  <c r="Q2" i="19"/>
  <c r="Q5" i="19"/>
  <c r="AX5" i="19"/>
  <c r="AX13" i="19"/>
  <c r="AX10" i="19"/>
  <c r="AX7" i="19"/>
  <c r="AX4" i="19"/>
  <c r="AX12" i="19"/>
  <c r="AX3" i="19"/>
  <c r="AX11" i="19"/>
  <c r="AX8" i="19"/>
  <c r="AX2" i="19"/>
  <c r="AX6" i="19"/>
  <c r="AX9" i="19"/>
  <c r="R5" i="19"/>
  <c r="R13" i="19"/>
  <c r="R10" i="19"/>
  <c r="R7" i="19"/>
  <c r="R9" i="19"/>
  <c r="R4" i="19"/>
  <c r="R12" i="19"/>
  <c r="R3" i="19"/>
  <c r="R11" i="19"/>
  <c r="R2" i="19"/>
  <c r="R6" i="19"/>
  <c r="R8" i="19"/>
  <c r="AQ47" i="24"/>
  <c r="AQ35" i="25" s="1"/>
  <c r="AQ8" i="19"/>
  <c r="AQ5" i="19"/>
  <c r="AQ13" i="19"/>
  <c r="AQ10" i="19"/>
  <c r="AQ7" i="19"/>
  <c r="AQ4" i="19"/>
  <c r="AQ6" i="19"/>
  <c r="AQ2" i="19"/>
  <c r="AQ3" i="19"/>
  <c r="AQ9" i="19"/>
  <c r="AQ11" i="19"/>
  <c r="AQ12" i="19"/>
  <c r="F9" i="19"/>
  <c r="F6" i="19"/>
  <c r="F2" i="19"/>
  <c r="F3" i="19"/>
  <c r="F11" i="19"/>
  <c r="F8" i="19"/>
  <c r="F5" i="19"/>
  <c r="F7" i="19"/>
  <c r="F10" i="19"/>
  <c r="F12" i="19"/>
  <c r="F4" i="19"/>
  <c r="F13" i="19"/>
  <c r="N9" i="19"/>
  <c r="N6" i="19"/>
  <c r="N2" i="19"/>
  <c r="N3" i="19"/>
  <c r="N11" i="19"/>
  <c r="N8" i="19"/>
  <c r="N5" i="19"/>
  <c r="N7" i="19"/>
  <c r="N12" i="19"/>
  <c r="N10" i="19"/>
  <c r="N4" i="19"/>
  <c r="N13" i="19"/>
  <c r="V9" i="19"/>
  <c r="V6" i="19"/>
  <c r="V2" i="19"/>
  <c r="V3" i="19"/>
  <c r="V11" i="19"/>
  <c r="V8" i="19"/>
  <c r="V5" i="19"/>
  <c r="V7" i="19"/>
  <c r="V4" i="19"/>
  <c r="V13" i="19"/>
  <c r="V10" i="19"/>
  <c r="V12" i="19"/>
  <c r="AE47" i="24"/>
  <c r="AE4" i="19"/>
  <c r="AE12" i="19"/>
  <c r="AE9" i="19"/>
  <c r="AE6" i="19"/>
  <c r="AE2" i="19"/>
  <c r="AE3" i="19"/>
  <c r="AE11" i="19"/>
  <c r="AE8" i="19"/>
  <c r="AE10" i="19"/>
  <c r="AE5" i="19"/>
  <c r="AE7" i="19"/>
  <c r="AE13" i="19"/>
  <c r="AM47" i="24"/>
  <c r="AM27" i="25" s="1"/>
  <c r="AM4" i="19"/>
  <c r="AM12" i="19"/>
  <c r="AM9" i="19"/>
  <c r="AM6" i="19"/>
  <c r="AM2" i="19"/>
  <c r="AM3" i="19"/>
  <c r="AM11" i="19"/>
  <c r="AM8" i="19"/>
  <c r="AM10" i="19"/>
  <c r="AM13" i="19"/>
  <c r="AM7" i="19"/>
  <c r="AM5" i="19"/>
  <c r="AU47" i="24"/>
  <c r="AU46" i="25" s="1"/>
  <c r="AU4" i="19"/>
  <c r="AU12" i="19"/>
  <c r="AU9" i="19"/>
  <c r="AU8" i="19"/>
  <c r="AU6" i="19"/>
  <c r="AU2" i="19"/>
  <c r="AU3" i="19"/>
  <c r="AU11" i="19"/>
  <c r="AU10" i="19"/>
  <c r="AU13" i="19"/>
  <c r="AU5" i="19"/>
  <c r="AU7" i="19"/>
  <c r="BC47" i="24"/>
  <c r="BC32" i="25" s="1"/>
  <c r="BC4" i="19"/>
  <c r="BC12" i="19"/>
  <c r="BC9" i="19"/>
  <c r="BC6" i="19"/>
  <c r="BC2" i="19"/>
  <c r="BC3" i="19"/>
  <c r="BC11" i="19"/>
  <c r="BC8" i="19"/>
  <c r="BC10" i="19"/>
  <c r="BC7" i="19"/>
  <c r="BC5" i="19"/>
  <c r="BC13" i="19"/>
  <c r="B4" i="19"/>
  <c r="B2" i="19"/>
  <c r="B7" i="19"/>
  <c r="B3" i="19"/>
  <c r="B11" i="19"/>
  <c r="B6" i="19"/>
  <c r="B10" i="19"/>
  <c r="B9" i="19"/>
  <c r="B13" i="19"/>
  <c r="B5" i="19"/>
  <c r="B8" i="19"/>
  <c r="B12" i="19"/>
  <c r="AL50" i="24"/>
  <c r="AL42" i="28" s="1"/>
  <c r="AL42" i="17"/>
  <c r="AY35" i="17"/>
  <c r="L30" i="14"/>
  <c r="AV40" i="18"/>
  <c r="Z47" i="24"/>
  <c r="Z30" i="14"/>
  <c r="W45" i="27"/>
  <c r="W33" i="27"/>
  <c r="W46" i="27"/>
  <c r="W42" i="27"/>
  <c r="W34" i="27"/>
  <c r="W26" i="27"/>
  <c r="W22" i="27"/>
  <c r="W27" i="27"/>
  <c r="W32" i="27"/>
  <c r="W28" i="27"/>
  <c r="W24" i="27"/>
  <c r="W20" i="27"/>
  <c r="W16" i="27"/>
  <c r="W7" i="27"/>
  <c r="W19" i="27"/>
  <c r="W29" i="27"/>
  <c r="W23" i="27"/>
  <c r="W17" i="27"/>
  <c r="W13" i="27"/>
  <c r="W36" i="27"/>
  <c r="W25" i="27"/>
  <c r="W21" i="27"/>
  <c r="W5" i="27"/>
  <c r="W4" i="27"/>
  <c r="W8" i="27"/>
  <c r="W40" i="27"/>
  <c r="W12" i="27"/>
  <c r="W10" i="27"/>
  <c r="W3" i="27"/>
  <c r="BC41" i="27"/>
  <c r="BC18" i="27"/>
  <c r="BC20" i="27"/>
  <c r="BC15" i="27"/>
  <c r="BC23" i="27"/>
  <c r="AW45" i="28"/>
  <c r="AW41" i="28"/>
  <c r="AW37" i="28"/>
  <c r="AW42" i="28"/>
  <c r="AW39" i="28"/>
  <c r="AW29" i="28"/>
  <c r="AW44" i="28"/>
  <c r="AW36" i="28"/>
  <c r="AW35" i="28"/>
  <c r="AW31" i="28"/>
  <c r="AW25" i="28"/>
  <c r="AW21" i="28"/>
  <c r="AW27" i="28"/>
  <c r="AW23" i="28"/>
  <c r="AW17" i="28"/>
  <c r="AW13" i="28"/>
  <c r="AW9" i="28"/>
  <c r="AW19" i="28"/>
  <c r="AW15" i="28"/>
  <c r="AW11" i="28"/>
  <c r="AW40" i="28"/>
  <c r="AW18" i="28"/>
  <c r="AW7" i="28"/>
  <c r="AW32" i="28"/>
  <c r="AW5" i="28"/>
  <c r="AW3" i="28"/>
  <c r="AQ51" i="24"/>
  <c r="AQ42" i="18"/>
  <c r="AS42" i="15"/>
  <c r="AG42" i="17"/>
  <c r="BD6" i="24"/>
  <c r="L6" i="25" s="1"/>
  <c r="BD6" i="13"/>
  <c r="BD14" i="24"/>
  <c r="BD14" i="13"/>
  <c r="BD22" i="24"/>
  <c r="D22" i="25" s="1"/>
  <c r="BD22" i="13"/>
  <c r="BF44" i="24"/>
  <c r="BF44" i="13"/>
  <c r="BD46" i="24"/>
  <c r="D46" i="25" s="1"/>
  <c r="BD46" i="13"/>
  <c r="D37" i="25"/>
  <c r="D43" i="25"/>
  <c r="D39" i="25"/>
  <c r="D35" i="25"/>
  <c r="D30" i="25"/>
  <c r="D26" i="25"/>
  <c r="D44" i="25"/>
  <c r="D31" i="25"/>
  <c r="D15" i="25"/>
  <c r="D38" i="25"/>
  <c r="D36" i="25"/>
  <c r="D34" i="25"/>
  <c r="D8" i="25"/>
  <c r="D14" i="25"/>
  <c r="L43" i="25"/>
  <c r="L39" i="25"/>
  <c r="L35" i="25"/>
  <c r="L36" i="25"/>
  <c r="L34" i="25"/>
  <c r="L30" i="25"/>
  <c r="L46" i="25"/>
  <c r="L31" i="25"/>
  <c r="L3" i="25"/>
  <c r="L44" i="25"/>
  <c r="L38" i="25"/>
  <c r="L21" i="25"/>
  <c r="L8" i="25"/>
  <c r="L14" i="25"/>
  <c r="T44" i="25"/>
  <c r="AJ43" i="25"/>
  <c r="AJ39" i="25"/>
  <c r="AJ35" i="25"/>
  <c r="AJ31" i="25"/>
  <c r="AJ46" i="25"/>
  <c r="AJ30" i="25"/>
  <c r="AJ44" i="25"/>
  <c r="AJ40" i="25"/>
  <c r="AJ38" i="25"/>
  <c r="AJ36" i="25"/>
  <c r="AJ34" i="25"/>
  <c r="AJ17" i="25"/>
  <c r="AJ6" i="25"/>
  <c r="AJ20" i="25"/>
  <c r="AJ14" i="25"/>
  <c r="AR41" i="25"/>
  <c r="AR43" i="25"/>
  <c r="AR39" i="25"/>
  <c r="AR35" i="25"/>
  <c r="AR31" i="25"/>
  <c r="AR36" i="25"/>
  <c r="AR34" i="25"/>
  <c r="AR30" i="25"/>
  <c r="AR46" i="25"/>
  <c r="AR19" i="25"/>
  <c r="AR44" i="25"/>
  <c r="AR40" i="25"/>
  <c r="AR38" i="25"/>
  <c r="AR5" i="25"/>
  <c r="AR6" i="25"/>
  <c r="AR18" i="25"/>
  <c r="AR14" i="25"/>
  <c r="AZ47" i="24"/>
  <c r="AZ30" i="14"/>
  <c r="F48" i="24"/>
  <c r="F42" i="15"/>
  <c r="N48" i="24"/>
  <c r="N41" i="15"/>
  <c r="V48" i="24"/>
  <c r="V41" i="15"/>
  <c r="AD48" i="24"/>
  <c r="AD41" i="15"/>
  <c r="AL48" i="24"/>
  <c r="AL41" i="15"/>
  <c r="AT48" i="24"/>
  <c r="AT42" i="15"/>
  <c r="BB48" i="24"/>
  <c r="BB42" i="15"/>
  <c r="H49" i="24"/>
  <c r="P49" i="24"/>
  <c r="P42" i="16"/>
  <c r="X49" i="24"/>
  <c r="X42" i="16"/>
  <c r="AF49" i="24"/>
  <c r="AF42" i="16"/>
  <c r="AN49" i="24"/>
  <c r="AV49" i="24"/>
  <c r="AV42" i="16"/>
  <c r="B50" i="24"/>
  <c r="B50" i="13"/>
  <c r="J50" i="24"/>
  <c r="J42" i="17"/>
  <c r="R50" i="24"/>
  <c r="Z50" i="24"/>
  <c r="Z41" i="17"/>
  <c r="AH50" i="24"/>
  <c r="AH41" i="17"/>
  <c r="AP50" i="24"/>
  <c r="AP42" i="17"/>
  <c r="AX50" i="24"/>
  <c r="AX42" i="17"/>
  <c r="D51" i="24"/>
  <c r="D42" i="18"/>
  <c r="L51" i="24"/>
  <c r="T51" i="24"/>
  <c r="T42" i="18"/>
  <c r="AB51" i="24"/>
  <c r="AJ51" i="24"/>
  <c r="AR51" i="24"/>
  <c r="AR41" i="18"/>
  <c r="BE2" i="13"/>
  <c r="BF5" i="13"/>
  <c r="BF8" i="13"/>
  <c r="BG11" i="13"/>
  <c r="BE15" i="13"/>
  <c r="BE18" i="13"/>
  <c r="BF21" i="13"/>
  <c r="BF24" i="13"/>
  <c r="BG27" i="13"/>
  <c r="BE30" i="13"/>
  <c r="BD35" i="13"/>
  <c r="BF37" i="13"/>
  <c r="BG39" i="13"/>
  <c r="BD44" i="13"/>
  <c r="BF46" i="13"/>
  <c r="M30" i="14"/>
  <c r="AA30" i="14"/>
  <c r="AM30" i="14"/>
  <c r="O41" i="15"/>
  <c r="AE41" i="15"/>
  <c r="AU42" i="15"/>
  <c r="AO41" i="16"/>
  <c r="C50" i="13"/>
  <c r="C42" i="17" s="1"/>
  <c r="S41" i="17"/>
  <c r="BB42" i="17"/>
  <c r="X41" i="18"/>
  <c r="BG2" i="24"/>
  <c r="AW2" i="28" s="1"/>
  <c r="BG2" i="13"/>
  <c r="BD9" i="24"/>
  <c r="BD9" i="13"/>
  <c r="BD17" i="24"/>
  <c r="L17" i="25" s="1"/>
  <c r="BD17" i="13"/>
  <c r="BF31" i="24"/>
  <c r="W31" i="27" s="1"/>
  <c r="BF31" i="13"/>
  <c r="BG34" i="24"/>
  <c r="E34" i="28" s="1"/>
  <c r="BG34" i="13"/>
  <c r="BF39" i="24"/>
  <c r="BF39" i="13"/>
  <c r="BD41" i="24"/>
  <c r="BD41" i="13"/>
  <c r="AA46" i="25"/>
  <c r="AA29" i="25"/>
  <c r="AA44" i="25"/>
  <c r="AA43" i="25"/>
  <c r="AA30" i="25"/>
  <c r="AA26" i="25"/>
  <c r="AA39" i="25"/>
  <c r="AA38" i="25"/>
  <c r="AA36" i="25"/>
  <c r="AA35" i="25"/>
  <c r="AA34" i="25"/>
  <c r="AA31" i="25"/>
  <c r="AA6" i="25"/>
  <c r="AA17" i="25"/>
  <c r="AA2" i="25"/>
  <c r="AA14" i="25"/>
  <c r="AA9" i="25"/>
  <c r="M43" i="26"/>
  <c r="M39" i="26"/>
  <c r="M44" i="26"/>
  <c r="M40" i="26"/>
  <c r="M46" i="26"/>
  <c r="M38" i="26"/>
  <c r="M37" i="26"/>
  <c r="M31" i="26"/>
  <c r="M27" i="26"/>
  <c r="M23" i="26"/>
  <c r="M19" i="26"/>
  <c r="M41" i="26"/>
  <c r="M28" i="26"/>
  <c r="M24" i="26"/>
  <c r="M20" i="26"/>
  <c r="M34" i="26"/>
  <c r="M42" i="26"/>
  <c r="M33" i="26"/>
  <c r="M29" i="26"/>
  <c r="M25" i="26"/>
  <c r="M21" i="26"/>
  <c r="M30" i="26"/>
  <c r="M17" i="26"/>
  <c r="M13" i="26"/>
  <c r="M9" i="26"/>
  <c r="M18" i="26"/>
  <c r="M14" i="26"/>
  <c r="M10" i="26"/>
  <c r="M6" i="26"/>
  <c r="M15" i="26"/>
  <c r="M11" i="26"/>
  <c r="M7" i="26"/>
  <c r="M22" i="26"/>
  <c r="M16" i="26"/>
  <c r="M12" i="26"/>
  <c r="M8" i="26"/>
  <c r="M26" i="26"/>
  <c r="M5" i="26"/>
  <c r="M3" i="26"/>
  <c r="M2" i="26"/>
  <c r="M4" i="26"/>
  <c r="AS43" i="26"/>
  <c r="AS39" i="26"/>
  <c r="AS44" i="26"/>
  <c r="AS40" i="26"/>
  <c r="AS46" i="26"/>
  <c r="AS42" i="26"/>
  <c r="AS41" i="26"/>
  <c r="AS38" i="26"/>
  <c r="AS37" i="26"/>
  <c r="AS31" i="26"/>
  <c r="AS27" i="26"/>
  <c r="AS23" i="26"/>
  <c r="AS19" i="26"/>
  <c r="AS28" i="26"/>
  <c r="AS24" i="26"/>
  <c r="AS20" i="26"/>
  <c r="AS45" i="26"/>
  <c r="AS29" i="26"/>
  <c r="AS25" i="26"/>
  <c r="AS21" i="26"/>
  <c r="AS34" i="26"/>
  <c r="AS17" i="26"/>
  <c r="AS13" i="26"/>
  <c r="AS9" i="26"/>
  <c r="AS5" i="26"/>
  <c r="AS33" i="26"/>
  <c r="AS22" i="26"/>
  <c r="AS18" i="26"/>
  <c r="AS14" i="26"/>
  <c r="AS10" i="26"/>
  <c r="AS6" i="26"/>
  <c r="AS26" i="26"/>
  <c r="AS30" i="26"/>
  <c r="AS15" i="26"/>
  <c r="AS11" i="26"/>
  <c r="AS7" i="26"/>
  <c r="AS16" i="26"/>
  <c r="AS12" i="26"/>
  <c r="AS8" i="26"/>
  <c r="AS3" i="26"/>
  <c r="AS2" i="26"/>
  <c r="AS4" i="26"/>
  <c r="BA30" i="14"/>
  <c r="AK30" i="14"/>
  <c r="X30" i="14"/>
  <c r="AY30" i="14"/>
  <c r="Q42" i="17"/>
  <c r="BD11" i="24"/>
  <c r="D11" i="25" s="1"/>
  <c r="BD11" i="13"/>
  <c r="AN11" i="18" s="1"/>
  <c r="BD19" i="24"/>
  <c r="BD19" i="13"/>
  <c r="BG20" i="24"/>
  <c r="AW20" i="28" s="1"/>
  <c r="BG20" i="13"/>
  <c r="BG28" i="24"/>
  <c r="AW28" i="28" s="1"/>
  <c r="BG28" i="13"/>
  <c r="E30" i="25"/>
  <c r="U34" i="25"/>
  <c r="U9" i="25"/>
  <c r="AK30" i="25"/>
  <c r="AK34" i="25"/>
  <c r="AK9" i="25"/>
  <c r="AS35" i="25"/>
  <c r="AS44" i="25"/>
  <c r="AS41" i="25"/>
  <c r="AS10" i="25"/>
  <c r="AS6" i="25"/>
  <c r="BA39" i="25"/>
  <c r="BA38" i="25"/>
  <c r="BA30" i="25"/>
  <c r="BA36" i="25"/>
  <c r="BA35" i="25"/>
  <c r="BA34" i="25"/>
  <c r="BA46" i="25"/>
  <c r="BA31" i="25"/>
  <c r="BA28" i="25"/>
  <c r="BA44" i="25"/>
  <c r="BA43" i="25"/>
  <c r="BA25" i="25"/>
  <c r="BA41" i="25"/>
  <c r="BA14" i="25"/>
  <c r="BA11" i="25"/>
  <c r="BA9" i="25"/>
  <c r="BA19" i="25"/>
  <c r="BA6" i="25"/>
  <c r="BA17" i="25"/>
  <c r="G44" i="26"/>
  <c r="G40" i="26"/>
  <c r="G45" i="26"/>
  <c r="G41" i="26"/>
  <c r="G37" i="26"/>
  <c r="G43" i="26"/>
  <c r="G42" i="26"/>
  <c r="G34" i="26"/>
  <c r="G28" i="26"/>
  <c r="G24" i="26"/>
  <c r="G20" i="26"/>
  <c r="G33" i="26"/>
  <c r="G29" i="26"/>
  <c r="G25" i="26"/>
  <c r="G21" i="26"/>
  <c r="G39" i="26"/>
  <c r="G38" i="26"/>
  <c r="G30" i="26"/>
  <c r="G26" i="26"/>
  <c r="G22" i="26"/>
  <c r="G23" i="26"/>
  <c r="G18" i="26"/>
  <c r="G14" i="26"/>
  <c r="G10" i="26"/>
  <c r="G6" i="26"/>
  <c r="G27" i="26"/>
  <c r="G19" i="26"/>
  <c r="G15" i="26"/>
  <c r="G11" i="26"/>
  <c r="G7" i="26"/>
  <c r="G46" i="26"/>
  <c r="G31" i="26"/>
  <c r="G16" i="26"/>
  <c r="G12" i="26"/>
  <c r="G8" i="26"/>
  <c r="G17" i="26"/>
  <c r="G13" i="26"/>
  <c r="G9" i="26"/>
  <c r="G2" i="26"/>
  <c r="G4" i="26"/>
  <c r="G5" i="26"/>
  <c r="G3" i="26"/>
  <c r="O44" i="26"/>
  <c r="O40" i="26"/>
  <c r="O41" i="26"/>
  <c r="O37" i="26"/>
  <c r="O43" i="26"/>
  <c r="O28" i="26"/>
  <c r="O24" i="26"/>
  <c r="O20" i="26"/>
  <c r="O34" i="26"/>
  <c r="O46" i="26"/>
  <c r="O33" i="26"/>
  <c r="O29" i="26"/>
  <c r="O25" i="26"/>
  <c r="O21" i="26"/>
  <c r="O42" i="26"/>
  <c r="O30" i="26"/>
  <c r="O26" i="26"/>
  <c r="O22" i="26"/>
  <c r="O39" i="26"/>
  <c r="O31" i="26"/>
  <c r="O18" i="26"/>
  <c r="O14" i="26"/>
  <c r="O10" i="26"/>
  <c r="O6" i="26"/>
  <c r="O38" i="26"/>
  <c r="O15" i="26"/>
  <c r="O11" i="26"/>
  <c r="O7" i="26"/>
  <c r="O23" i="26"/>
  <c r="O27" i="26"/>
  <c r="O19" i="26"/>
  <c r="O16" i="26"/>
  <c r="O12" i="26"/>
  <c r="O8" i="26"/>
  <c r="O17" i="26"/>
  <c r="O13" i="26"/>
  <c r="O9" i="26"/>
  <c r="O2" i="26"/>
  <c r="O4" i="26"/>
  <c r="O5" i="26"/>
  <c r="O3" i="26"/>
  <c r="W44" i="26"/>
  <c r="W40" i="26"/>
  <c r="W41" i="26"/>
  <c r="W37" i="26"/>
  <c r="W43" i="26"/>
  <c r="W46" i="26"/>
  <c r="W42" i="26"/>
  <c r="W39" i="26"/>
  <c r="W38" i="26"/>
  <c r="W28" i="26"/>
  <c r="W24" i="26"/>
  <c r="W20" i="26"/>
  <c r="W34" i="26"/>
  <c r="W33" i="26"/>
  <c r="W29" i="26"/>
  <c r="W25" i="26"/>
  <c r="W21" i="26"/>
  <c r="W30" i="26"/>
  <c r="W26" i="26"/>
  <c r="W22" i="26"/>
  <c r="W18" i="26"/>
  <c r="W14" i="26"/>
  <c r="W10" i="26"/>
  <c r="W6" i="26"/>
  <c r="W15" i="26"/>
  <c r="W11" i="26"/>
  <c r="W7" i="26"/>
  <c r="W31" i="26"/>
  <c r="W16" i="26"/>
  <c r="W12" i="26"/>
  <c r="W8" i="26"/>
  <c r="W23" i="26"/>
  <c r="W19" i="26"/>
  <c r="W17" i="26"/>
  <c r="W13" i="26"/>
  <c r="W9" i="26"/>
  <c r="W2" i="26"/>
  <c r="W27" i="26"/>
  <c r="W4" i="26"/>
  <c r="W3" i="26"/>
  <c r="W5" i="26"/>
  <c r="AE44" i="26"/>
  <c r="AE40" i="26"/>
  <c r="AE41" i="26"/>
  <c r="AE37" i="26"/>
  <c r="AE43" i="26"/>
  <c r="AE28" i="26"/>
  <c r="AE24" i="26"/>
  <c r="AE20" i="26"/>
  <c r="AE38" i="26"/>
  <c r="AE33" i="26"/>
  <c r="AE29" i="26"/>
  <c r="AE25" i="26"/>
  <c r="AE21" i="26"/>
  <c r="AE39" i="26"/>
  <c r="AE34" i="26"/>
  <c r="AE30" i="26"/>
  <c r="AE26" i="26"/>
  <c r="AE22" i="26"/>
  <c r="AE31" i="26"/>
  <c r="AE19" i="26"/>
  <c r="AE18" i="26"/>
  <c r="AE14" i="26"/>
  <c r="AE10" i="26"/>
  <c r="AE6" i="26"/>
  <c r="AE23" i="26"/>
  <c r="AE46" i="26"/>
  <c r="AE27" i="26"/>
  <c r="AE15" i="26"/>
  <c r="AE11" i="26"/>
  <c r="AE7" i="26"/>
  <c r="AE16" i="26"/>
  <c r="AE12" i="26"/>
  <c r="AE8" i="26"/>
  <c r="AE42" i="26"/>
  <c r="AE17" i="26"/>
  <c r="AE13" i="26"/>
  <c r="AE9" i="26"/>
  <c r="AE2" i="26"/>
  <c r="AE4" i="26"/>
  <c r="AE5" i="26"/>
  <c r="AE3" i="26"/>
  <c r="AU44" i="26"/>
  <c r="AU40" i="26"/>
  <c r="AU36" i="26"/>
  <c r="AU41" i="26"/>
  <c r="AU37" i="26"/>
  <c r="AU43" i="26"/>
  <c r="AU42" i="26"/>
  <c r="AU28" i="26"/>
  <c r="AU24" i="26"/>
  <c r="AU20" i="26"/>
  <c r="AU39" i="26"/>
  <c r="AU46" i="26"/>
  <c r="AU29" i="26"/>
  <c r="AU25" i="26"/>
  <c r="AU21" i="26"/>
  <c r="AU33" i="26"/>
  <c r="AU30" i="26"/>
  <c r="AU26" i="26"/>
  <c r="AU22" i="26"/>
  <c r="AU31" i="26"/>
  <c r="AU27" i="26"/>
  <c r="AU18" i="26"/>
  <c r="AU14" i="26"/>
  <c r="AU10" i="26"/>
  <c r="AU6" i="26"/>
  <c r="AU15" i="26"/>
  <c r="AU11" i="26"/>
  <c r="AU7" i="26"/>
  <c r="AU38" i="26"/>
  <c r="AU16" i="26"/>
  <c r="AU12" i="26"/>
  <c r="AU8" i="26"/>
  <c r="AU35" i="26"/>
  <c r="AU34" i="26"/>
  <c r="AU19" i="26"/>
  <c r="AU17" i="26"/>
  <c r="AU13" i="26"/>
  <c r="AU9" i="26"/>
  <c r="AU5" i="26"/>
  <c r="AU2" i="26"/>
  <c r="AU23" i="26"/>
  <c r="AU4" i="26"/>
  <c r="AU3" i="26"/>
  <c r="I46" i="27"/>
  <c r="I42" i="27"/>
  <c r="I34" i="27"/>
  <c r="I39" i="27"/>
  <c r="I33" i="27"/>
  <c r="I27" i="27"/>
  <c r="I23" i="27"/>
  <c r="I19" i="27"/>
  <c r="I44" i="27"/>
  <c r="I40" i="27"/>
  <c r="I28" i="27"/>
  <c r="I29" i="27"/>
  <c r="I25" i="27"/>
  <c r="I21" i="27"/>
  <c r="I17" i="27"/>
  <c r="I37" i="27"/>
  <c r="I32" i="27"/>
  <c r="I12" i="27"/>
  <c r="I8" i="27"/>
  <c r="I36" i="27"/>
  <c r="I20" i="27"/>
  <c r="I24" i="27"/>
  <c r="I26" i="27"/>
  <c r="I31" i="27"/>
  <c r="I14" i="27"/>
  <c r="I10" i="27"/>
  <c r="I18" i="27"/>
  <c r="I16" i="27"/>
  <c r="I11" i="27"/>
  <c r="I45" i="27"/>
  <c r="I22" i="27"/>
  <c r="I13" i="27"/>
  <c r="I6" i="27"/>
  <c r="I5" i="27"/>
  <c r="I2" i="27"/>
  <c r="I41" i="27"/>
  <c r="I3" i="27"/>
  <c r="I15" i="27"/>
  <c r="I9" i="27"/>
  <c r="I4" i="27"/>
  <c r="I7" i="27"/>
  <c r="Q46" i="27"/>
  <c r="Q42" i="27"/>
  <c r="Q34" i="27"/>
  <c r="Q39" i="27"/>
  <c r="Q36" i="27"/>
  <c r="Q27" i="27"/>
  <c r="Q23" i="27"/>
  <c r="Q19" i="27"/>
  <c r="Q32" i="27"/>
  <c r="Q31" i="27"/>
  <c r="Q45" i="27"/>
  <c r="Q28" i="27"/>
  <c r="Q37" i="27"/>
  <c r="Q33" i="27"/>
  <c r="Q29" i="27"/>
  <c r="Q25" i="27"/>
  <c r="Q21" i="27"/>
  <c r="Q17" i="27"/>
  <c r="Q40" i="27"/>
  <c r="Q18" i="27"/>
  <c r="Q16" i="27"/>
  <c r="Q12" i="27"/>
  <c r="Q8" i="27"/>
  <c r="Q22" i="27"/>
  <c r="Q20" i="27"/>
  <c r="Q14" i="27"/>
  <c r="Q10" i="27"/>
  <c r="Q41" i="27"/>
  <c r="Q24" i="27"/>
  <c r="Q7" i="27"/>
  <c r="Q9" i="27"/>
  <c r="Q26" i="27"/>
  <c r="Q15" i="27"/>
  <c r="Q2" i="27"/>
  <c r="Q44" i="27"/>
  <c r="Q6" i="27"/>
  <c r="Q5" i="27"/>
  <c r="Q3" i="27"/>
  <c r="Q13" i="27"/>
  <c r="Q4" i="27"/>
  <c r="Q11" i="27"/>
  <c r="Y46" i="27"/>
  <c r="Y42" i="27"/>
  <c r="Y34" i="27"/>
  <c r="Y39" i="27"/>
  <c r="Y41" i="27"/>
  <c r="Y33" i="27"/>
  <c r="Y27" i="27"/>
  <c r="Y23" i="27"/>
  <c r="Y19" i="27"/>
  <c r="Y37" i="27"/>
  <c r="Y28" i="27"/>
  <c r="Y24" i="27"/>
  <c r="Y40" i="27"/>
  <c r="Y29" i="27"/>
  <c r="Y25" i="27"/>
  <c r="Y21" i="27"/>
  <c r="Y17" i="27"/>
  <c r="Y12" i="27"/>
  <c r="Y8" i="27"/>
  <c r="Y4" i="27"/>
  <c r="Y32" i="27"/>
  <c r="Y16" i="27"/>
  <c r="Y26" i="27"/>
  <c r="Y18" i="27"/>
  <c r="Y45" i="27"/>
  <c r="Y22" i="27"/>
  <c r="Y14" i="27"/>
  <c r="Y10" i="27"/>
  <c r="Y6" i="27"/>
  <c r="Y44" i="27"/>
  <c r="Y31" i="27"/>
  <c r="Y36" i="27"/>
  <c r="Y15" i="27"/>
  <c r="Y11" i="27"/>
  <c r="Y20" i="27"/>
  <c r="Y13" i="27"/>
  <c r="Y2" i="27"/>
  <c r="Y3" i="27"/>
  <c r="Y9" i="27"/>
  <c r="Y7" i="27"/>
  <c r="Y5" i="27"/>
  <c r="AG46" i="27"/>
  <c r="AG42" i="27"/>
  <c r="AG34" i="27"/>
  <c r="AG39" i="27"/>
  <c r="AG44" i="27"/>
  <c r="AG27" i="27"/>
  <c r="AG23" i="27"/>
  <c r="AG19" i="27"/>
  <c r="AG40" i="27"/>
  <c r="AG36" i="27"/>
  <c r="AG28" i="27"/>
  <c r="AG24" i="27"/>
  <c r="AG45" i="27"/>
  <c r="AG33" i="27"/>
  <c r="AG29" i="27"/>
  <c r="AG25" i="27"/>
  <c r="AG21" i="27"/>
  <c r="AG17" i="27"/>
  <c r="AG12" i="27"/>
  <c r="AG8" i="27"/>
  <c r="AG4" i="27"/>
  <c r="AG41" i="27"/>
  <c r="AG31" i="27"/>
  <c r="AG20" i="27"/>
  <c r="AG37" i="27"/>
  <c r="AG16" i="27"/>
  <c r="AG14" i="27"/>
  <c r="AG10" i="27"/>
  <c r="AG6" i="27"/>
  <c r="AG18" i="27"/>
  <c r="AG7" i="27"/>
  <c r="AG26" i="27"/>
  <c r="AG5" i="27"/>
  <c r="AG9" i="27"/>
  <c r="AG2" i="27"/>
  <c r="AG3" i="27"/>
  <c r="AG15" i="27"/>
  <c r="AG13" i="27"/>
  <c r="AG32" i="27"/>
  <c r="AG11" i="27"/>
  <c r="AG22" i="27"/>
  <c r="AO46" i="27"/>
  <c r="AO42" i="27"/>
  <c r="AO34" i="27"/>
  <c r="AO30" i="27"/>
  <c r="AO39" i="27"/>
  <c r="AO33" i="27"/>
  <c r="AO27" i="27"/>
  <c r="AO23" i="27"/>
  <c r="AO19" i="27"/>
  <c r="AO45" i="27"/>
  <c r="AO41" i="27"/>
  <c r="AO28" i="27"/>
  <c r="AO24" i="27"/>
  <c r="AO29" i="27"/>
  <c r="AO25" i="27"/>
  <c r="AO21" i="27"/>
  <c r="AO17" i="27"/>
  <c r="AO31" i="27"/>
  <c r="AO12" i="27"/>
  <c r="AO8" i="27"/>
  <c r="AO4" i="27"/>
  <c r="AO37" i="27"/>
  <c r="AO18" i="27"/>
  <c r="AO44" i="27"/>
  <c r="AO22" i="27"/>
  <c r="AO13" i="27"/>
  <c r="AO40" i="27"/>
  <c r="AO26" i="27"/>
  <c r="AO36" i="27"/>
  <c r="AO32" i="27"/>
  <c r="AO14" i="27"/>
  <c r="AO10" i="27"/>
  <c r="AO6" i="27"/>
  <c r="AO20" i="27"/>
  <c r="AO11" i="27"/>
  <c r="AO16" i="27"/>
  <c r="AO5" i="27"/>
  <c r="AO2" i="27"/>
  <c r="AO15" i="27"/>
  <c r="AO3" i="27"/>
  <c r="AO9" i="27"/>
  <c r="AO7" i="27"/>
  <c r="AW46" i="27"/>
  <c r="AW42" i="27"/>
  <c r="AW34" i="27"/>
  <c r="AW39" i="27"/>
  <c r="AW35" i="27"/>
  <c r="AW37" i="27"/>
  <c r="AW27" i="27"/>
  <c r="AW23" i="27"/>
  <c r="AW19" i="27"/>
  <c r="AW15" i="27"/>
  <c r="AW32" i="27"/>
  <c r="AW31" i="27"/>
  <c r="AW44" i="27"/>
  <c r="AW28" i="27"/>
  <c r="AW24" i="27"/>
  <c r="AW36" i="27"/>
  <c r="AW33" i="27"/>
  <c r="AW29" i="27"/>
  <c r="AW25" i="27"/>
  <c r="AW21" i="27"/>
  <c r="AW17" i="27"/>
  <c r="AW41" i="27"/>
  <c r="AW20" i="27"/>
  <c r="AW16" i="27"/>
  <c r="AW12" i="27"/>
  <c r="AW8" i="27"/>
  <c r="AW4" i="27"/>
  <c r="AW40" i="27"/>
  <c r="AW13" i="27"/>
  <c r="AW18" i="27"/>
  <c r="AW14" i="27"/>
  <c r="AW10" i="27"/>
  <c r="AW6" i="27"/>
  <c r="AW22" i="27"/>
  <c r="AW7" i="27"/>
  <c r="AW45" i="27"/>
  <c r="AW9" i="27"/>
  <c r="AW2" i="27"/>
  <c r="AW5" i="27"/>
  <c r="AW3" i="27"/>
  <c r="AW26" i="27"/>
  <c r="AW11" i="27"/>
  <c r="C42" i="28"/>
  <c r="C39" i="28"/>
  <c r="C35" i="28"/>
  <c r="C44" i="28"/>
  <c r="C36" i="28"/>
  <c r="C41" i="28"/>
  <c r="C40" i="28"/>
  <c r="C32" i="28"/>
  <c r="C45" i="28"/>
  <c r="C31" i="28"/>
  <c r="C37" i="28"/>
  <c r="C29" i="28"/>
  <c r="C28" i="28"/>
  <c r="C17" i="28"/>
  <c r="C21" i="28"/>
  <c r="C15" i="28"/>
  <c r="C7" i="28"/>
  <c r="C20" i="28"/>
  <c r="C11" i="28"/>
  <c r="C19" i="28"/>
  <c r="C27" i="28"/>
  <c r="C13" i="28"/>
  <c r="C3" i="28"/>
  <c r="C5" i="28"/>
  <c r="C25" i="28"/>
  <c r="C23" i="28"/>
  <c r="C9" i="28"/>
  <c r="K39" i="28"/>
  <c r="K35" i="28"/>
  <c r="K31" i="28"/>
  <c r="K29" i="28"/>
  <c r="K41" i="28"/>
  <c r="K13" i="28"/>
  <c r="K11" i="28"/>
  <c r="K5" i="28"/>
  <c r="S46" i="28"/>
  <c r="S42" i="28"/>
  <c r="S39" i="28"/>
  <c r="S35" i="28"/>
  <c r="S44" i="28"/>
  <c r="S36" i="28"/>
  <c r="S34" i="28"/>
  <c r="S41" i="28"/>
  <c r="S40" i="28"/>
  <c r="S32" i="28"/>
  <c r="S45" i="28"/>
  <c r="S37" i="28"/>
  <c r="S21" i="28"/>
  <c r="S17" i="28"/>
  <c r="S20" i="28"/>
  <c r="S28" i="28"/>
  <c r="S27" i="28"/>
  <c r="S11" i="28"/>
  <c r="S29" i="28"/>
  <c r="S19" i="28"/>
  <c r="S9" i="28"/>
  <c r="S7" i="28"/>
  <c r="S15" i="28"/>
  <c r="S31" i="28"/>
  <c r="S23" i="28"/>
  <c r="S13" i="28"/>
  <c r="S25" i="28"/>
  <c r="S3" i="28"/>
  <c r="S5" i="28"/>
  <c r="AA42" i="28"/>
  <c r="AA34" i="28"/>
  <c r="AA39" i="28"/>
  <c r="AA35" i="28"/>
  <c r="AA40" i="28"/>
  <c r="AA45" i="28"/>
  <c r="AA37" i="28"/>
  <c r="AA44" i="28"/>
  <c r="AA36" i="28"/>
  <c r="AA32" i="28"/>
  <c r="AA41" i="28"/>
  <c r="AA28" i="28"/>
  <c r="AA29" i="28"/>
  <c r="AA24" i="28"/>
  <c r="AA17" i="28"/>
  <c r="AA20" i="28"/>
  <c r="AA27" i="28"/>
  <c r="AA31" i="28"/>
  <c r="AA16" i="28"/>
  <c r="AA23" i="28"/>
  <c r="AA21" i="28"/>
  <c r="AA7" i="28"/>
  <c r="AA25" i="28"/>
  <c r="AA11" i="28"/>
  <c r="AA9" i="28"/>
  <c r="AA5" i="28"/>
  <c r="AA3" i="28"/>
  <c r="AA15" i="28"/>
  <c r="AA19" i="28"/>
  <c r="AA13" i="28"/>
  <c r="AI42" i="28"/>
  <c r="AI39" i="28"/>
  <c r="AI35" i="28"/>
  <c r="AI44" i="28"/>
  <c r="AI36" i="28"/>
  <c r="AI41" i="28"/>
  <c r="AI40" i="28"/>
  <c r="AI32" i="28"/>
  <c r="AI31" i="28"/>
  <c r="AI29" i="28"/>
  <c r="AI27" i="28"/>
  <c r="AI17" i="28"/>
  <c r="AI25" i="28"/>
  <c r="AI23" i="28"/>
  <c r="AI21" i="28"/>
  <c r="AI20" i="28"/>
  <c r="AI28" i="28"/>
  <c r="AI12" i="28"/>
  <c r="AI13" i="28"/>
  <c r="AI7" i="28"/>
  <c r="AI45" i="28"/>
  <c r="AI19" i="28"/>
  <c r="AI15" i="28"/>
  <c r="AI11" i="28"/>
  <c r="AI2" i="28"/>
  <c r="AI3" i="28"/>
  <c r="AI5" i="28"/>
  <c r="AI37" i="28"/>
  <c r="AI9" i="28"/>
  <c r="AQ42" i="28"/>
  <c r="AQ39" i="28"/>
  <c r="AQ35" i="28"/>
  <c r="AQ40" i="28"/>
  <c r="AQ45" i="28"/>
  <c r="AQ37" i="28"/>
  <c r="AQ44" i="28"/>
  <c r="AQ36" i="28"/>
  <c r="AQ32" i="28"/>
  <c r="AQ41" i="28"/>
  <c r="AQ33" i="28"/>
  <c r="AQ31" i="28"/>
  <c r="AQ28" i="28"/>
  <c r="AQ17" i="28"/>
  <c r="AQ29" i="28"/>
  <c r="AQ25" i="28"/>
  <c r="AQ23" i="28"/>
  <c r="AQ19" i="28"/>
  <c r="AQ27" i="28"/>
  <c r="AQ15" i="28"/>
  <c r="AQ7" i="28"/>
  <c r="AQ13" i="28"/>
  <c r="AQ21" i="28"/>
  <c r="AQ3" i="28"/>
  <c r="AQ9" i="28"/>
  <c r="AQ5" i="28"/>
  <c r="AQ11" i="28"/>
  <c r="AQ20" i="28"/>
  <c r="AY42" i="28"/>
  <c r="AY43" i="28"/>
  <c r="AY39" i="28"/>
  <c r="AY35" i="28"/>
  <c r="AY44" i="28"/>
  <c r="AY36" i="28"/>
  <c r="AY41" i="28"/>
  <c r="AY40" i="28"/>
  <c r="AY32" i="28"/>
  <c r="AY28" i="28"/>
  <c r="AY31" i="28"/>
  <c r="AY37" i="28"/>
  <c r="AY20" i="28"/>
  <c r="AY17" i="28"/>
  <c r="AY29" i="28"/>
  <c r="AY27" i="28"/>
  <c r="AY25" i="28"/>
  <c r="AY23" i="28"/>
  <c r="AY13" i="28"/>
  <c r="AY11" i="28"/>
  <c r="AY45" i="28"/>
  <c r="AY9" i="28"/>
  <c r="AY7" i="28"/>
  <c r="AY19" i="28"/>
  <c r="AY3" i="28"/>
  <c r="AY5" i="28"/>
  <c r="AY21" i="28"/>
  <c r="AY15" i="28"/>
  <c r="BF2" i="13"/>
  <c r="BG5" i="13"/>
  <c r="BE9" i="13"/>
  <c r="BE12" i="13"/>
  <c r="BF15" i="13"/>
  <c r="BF18" i="13"/>
  <c r="BG21" i="13"/>
  <c r="BE25" i="13"/>
  <c r="BE28" i="13"/>
  <c r="BE33" i="13"/>
  <c r="BG35" i="13"/>
  <c r="BG37" i="13"/>
  <c r="BE42" i="13"/>
  <c r="BE44" i="13"/>
  <c r="C47" i="13"/>
  <c r="C30" i="14" s="1"/>
  <c r="O30" i="14"/>
  <c r="AB30" i="14"/>
  <c r="BC30" i="14"/>
  <c r="Q41" i="15"/>
  <c r="AW42" i="15"/>
  <c r="K42" i="16"/>
  <c r="AA42" i="16"/>
  <c r="AQ42" i="16"/>
  <c r="E42" i="17"/>
  <c r="U41" i="17"/>
  <c r="C51" i="13"/>
  <c r="AC42" i="18"/>
  <c r="BG10" i="24"/>
  <c r="E10" i="28" s="1"/>
  <c r="BG10" i="13"/>
  <c r="BD33" i="24"/>
  <c r="D33" i="25" s="1"/>
  <c r="BD33" i="13"/>
  <c r="AI34" i="25"/>
  <c r="AI33" i="25"/>
  <c r="AI21" i="25"/>
  <c r="AI31" i="25"/>
  <c r="AI46" i="25"/>
  <c r="AI30" i="25"/>
  <c r="AI44" i="25"/>
  <c r="AI43" i="25"/>
  <c r="AI41" i="25"/>
  <c r="AI19" i="25"/>
  <c r="AI39" i="25"/>
  <c r="AI38" i="25"/>
  <c r="AI36" i="25"/>
  <c r="AI35" i="25"/>
  <c r="AI9" i="25"/>
  <c r="AI6" i="25"/>
  <c r="AI17" i="25"/>
  <c r="AI14" i="25"/>
  <c r="AI11" i="25"/>
  <c r="AC43" i="26"/>
  <c r="AC39" i="26"/>
  <c r="AC44" i="26"/>
  <c r="AC40" i="26"/>
  <c r="AC46" i="26"/>
  <c r="AC42" i="26"/>
  <c r="AC41" i="26"/>
  <c r="AC31" i="26"/>
  <c r="AC27" i="26"/>
  <c r="AC23" i="26"/>
  <c r="AC19" i="26"/>
  <c r="AC28" i="26"/>
  <c r="AC24" i="26"/>
  <c r="AC20" i="26"/>
  <c r="AC38" i="26"/>
  <c r="AC37" i="26"/>
  <c r="AC33" i="26"/>
  <c r="AC29" i="26"/>
  <c r="AC25" i="26"/>
  <c r="AC21" i="26"/>
  <c r="AC17" i="26"/>
  <c r="AC13" i="26"/>
  <c r="AC9" i="26"/>
  <c r="AC5" i="26"/>
  <c r="AC18" i="26"/>
  <c r="AC14" i="26"/>
  <c r="AC10" i="26"/>
  <c r="AC6" i="26"/>
  <c r="AC36" i="26"/>
  <c r="AC34" i="26"/>
  <c r="AC22" i="26"/>
  <c r="AC15" i="26"/>
  <c r="AC11" i="26"/>
  <c r="AC7" i="26"/>
  <c r="AC30" i="26"/>
  <c r="AC16" i="26"/>
  <c r="AC12" i="26"/>
  <c r="AC8" i="26"/>
  <c r="AC26" i="26"/>
  <c r="AC3" i="26"/>
  <c r="AC4" i="26"/>
  <c r="AC2" i="26"/>
  <c r="O45" i="27"/>
  <c r="O41" i="27"/>
  <c r="O37" i="27"/>
  <c r="O33" i="27"/>
  <c r="O46" i="27"/>
  <c r="O42" i="27"/>
  <c r="O34" i="27"/>
  <c r="O40" i="27"/>
  <c r="O26" i="27"/>
  <c r="O22" i="27"/>
  <c r="O18" i="27"/>
  <c r="O36" i="27"/>
  <c r="O32" i="27"/>
  <c r="O27" i="27"/>
  <c r="O39" i="27"/>
  <c r="O28" i="27"/>
  <c r="O24" i="27"/>
  <c r="O20" i="27"/>
  <c r="O16" i="27"/>
  <c r="O44" i="27"/>
  <c r="O23" i="27"/>
  <c r="O15" i="27"/>
  <c r="O11" i="27"/>
  <c r="O7" i="27"/>
  <c r="O31" i="27"/>
  <c r="O17" i="27"/>
  <c r="O25" i="27"/>
  <c r="O21" i="27"/>
  <c r="O13" i="27"/>
  <c r="O9" i="27"/>
  <c r="O14" i="27"/>
  <c r="O10" i="27"/>
  <c r="O4" i="27"/>
  <c r="O12" i="27"/>
  <c r="O19" i="27"/>
  <c r="O2" i="27"/>
  <c r="O8" i="27"/>
  <c r="O6" i="27"/>
  <c r="O29" i="27"/>
  <c r="O3" i="27"/>
  <c r="O5" i="27"/>
  <c r="S51" i="24"/>
  <c r="S41" i="18"/>
  <c r="AY51" i="24"/>
  <c r="AY41" i="18"/>
  <c r="BG4" i="24"/>
  <c r="U4" i="28" s="1"/>
  <c r="BG4" i="13"/>
  <c r="BD27" i="24"/>
  <c r="AJ27" i="25" s="1"/>
  <c r="BD27" i="13"/>
  <c r="M34" i="25"/>
  <c r="M32" i="25"/>
  <c r="M43" i="25"/>
  <c r="M39" i="25"/>
  <c r="M10" i="25"/>
  <c r="M6" i="25"/>
  <c r="M2" i="25"/>
  <c r="BD8" i="24"/>
  <c r="BD8" i="13"/>
  <c r="BD16" i="24"/>
  <c r="AA16" i="25" s="1"/>
  <c r="BD16" i="13"/>
  <c r="BD24" i="24"/>
  <c r="AR24" i="25" s="1"/>
  <c r="BD24" i="13"/>
  <c r="BF30" i="24"/>
  <c r="Q30" i="27" s="1"/>
  <c r="BF30" i="13"/>
  <c r="BD32" i="24"/>
  <c r="BD32" i="13"/>
  <c r="BG33" i="24"/>
  <c r="BG33" i="13"/>
  <c r="BE35" i="24"/>
  <c r="BE35" i="13"/>
  <c r="BF38" i="24"/>
  <c r="AG38" i="27" s="1"/>
  <c r="BF38" i="13"/>
  <c r="BD40" i="24"/>
  <c r="AA40" i="25" s="1"/>
  <c r="BD40" i="13"/>
  <c r="F47" i="24"/>
  <c r="F30" i="14"/>
  <c r="N47" i="24"/>
  <c r="N30" i="14"/>
  <c r="V47" i="24"/>
  <c r="V30" i="14"/>
  <c r="AD47" i="24"/>
  <c r="AD30" i="14"/>
  <c r="AL47" i="24"/>
  <c r="AL30" i="14"/>
  <c r="AT47" i="24"/>
  <c r="AT2" i="14"/>
  <c r="BB47" i="24"/>
  <c r="BB30" i="14"/>
  <c r="H48" i="24"/>
  <c r="H42" i="15"/>
  <c r="P48" i="24"/>
  <c r="P42" i="15"/>
  <c r="X48" i="24"/>
  <c r="X41" i="15"/>
  <c r="AF48" i="24"/>
  <c r="AF41" i="15"/>
  <c r="AN48" i="24"/>
  <c r="AN41" i="15"/>
  <c r="AV48" i="24"/>
  <c r="AV42" i="15"/>
  <c r="B49" i="24"/>
  <c r="B49" i="13"/>
  <c r="B41" i="16" s="1"/>
  <c r="J49" i="24"/>
  <c r="J42" i="16"/>
  <c r="R49" i="24"/>
  <c r="Z49" i="24"/>
  <c r="Z42" i="16"/>
  <c r="AH49" i="24"/>
  <c r="AH42" i="16"/>
  <c r="AP49" i="24"/>
  <c r="AX49" i="24"/>
  <c r="D50" i="24"/>
  <c r="D42" i="17"/>
  <c r="L50" i="24"/>
  <c r="L41" i="17"/>
  <c r="T50" i="24"/>
  <c r="AB50" i="24"/>
  <c r="AB41" i="17"/>
  <c r="AJ50" i="24"/>
  <c r="AR50" i="24"/>
  <c r="AZ50" i="24"/>
  <c r="AZ41" i="17"/>
  <c r="F51" i="24"/>
  <c r="N51" i="24"/>
  <c r="N41" i="18"/>
  <c r="V51" i="24"/>
  <c r="V41" i="18"/>
  <c r="AD51" i="24"/>
  <c r="AD41" i="18"/>
  <c r="AL51" i="24"/>
  <c r="AT51" i="24"/>
  <c r="AT42" i="18"/>
  <c r="BB51" i="24"/>
  <c r="BB42" i="18"/>
  <c r="BE3" i="13"/>
  <c r="BE6" i="13"/>
  <c r="BF9" i="13"/>
  <c r="BF12" i="13"/>
  <c r="BG15" i="13"/>
  <c r="BE19" i="13"/>
  <c r="BE22" i="13"/>
  <c r="BF25" i="13"/>
  <c r="BF28" i="13"/>
  <c r="BD31" i="13"/>
  <c r="AN31" i="18" s="1"/>
  <c r="BF33" i="13"/>
  <c r="BE41" i="13"/>
  <c r="AS41" i="15" s="1"/>
  <c r="AN42" i="15"/>
  <c r="BF42" i="13"/>
  <c r="AN42" i="16" s="1"/>
  <c r="BG44" i="13"/>
  <c r="D30" i="14"/>
  <c r="P30" i="14"/>
  <c r="AC30" i="14"/>
  <c r="AQ30" i="14"/>
  <c r="B48" i="13"/>
  <c r="B41" i="15" s="1"/>
  <c r="R41" i="15"/>
  <c r="AH41" i="15"/>
  <c r="AX42" i="15"/>
  <c r="L42" i="16"/>
  <c r="AB42" i="16"/>
  <c r="AR41" i="16"/>
  <c r="V42" i="17"/>
  <c r="E41" i="18"/>
  <c r="AF42" i="18"/>
  <c r="S41" i="25"/>
  <c r="S40" i="25"/>
  <c r="S39" i="25"/>
  <c r="S38" i="25"/>
  <c r="S30" i="25"/>
  <c r="S36" i="25"/>
  <c r="S35" i="25"/>
  <c r="S34" i="25"/>
  <c r="S33" i="25"/>
  <c r="S19" i="25"/>
  <c r="S32" i="25"/>
  <c r="S31" i="25"/>
  <c r="S46" i="25"/>
  <c r="S28" i="25"/>
  <c r="S44" i="25"/>
  <c r="S43" i="25"/>
  <c r="S17" i="25"/>
  <c r="S16" i="25"/>
  <c r="S2" i="25"/>
  <c r="S14" i="25"/>
  <c r="S11" i="25"/>
  <c r="S9" i="25"/>
  <c r="S8" i="25"/>
  <c r="S6" i="25"/>
  <c r="AI51" i="24"/>
  <c r="AI41" i="18"/>
  <c r="BG12" i="24"/>
  <c r="AW12" i="28" s="1"/>
  <c r="BG12" i="13"/>
  <c r="BD5" i="24"/>
  <c r="T5" i="25" s="1"/>
  <c r="BD5" i="13"/>
  <c r="BD29" i="24"/>
  <c r="D29" i="25" s="1"/>
  <c r="BD29" i="13"/>
  <c r="BG30" i="24"/>
  <c r="AW30" i="28" s="1"/>
  <c r="BG30" i="13"/>
  <c r="BE32" i="24"/>
  <c r="O32" i="26" s="1"/>
  <c r="BE32" i="13"/>
  <c r="BF35" i="24"/>
  <c r="W35" i="27" s="1"/>
  <c r="BF35" i="13"/>
  <c r="BD37" i="24"/>
  <c r="AR37" i="25" s="1"/>
  <c r="BD37" i="13"/>
  <c r="BG38" i="24"/>
  <c r="AQ38" i="28" s="1"/>
  <c r="BG38" i="13"/>
  <c r="BF43" i="24"/>
  <c r="AO43" i="27" s="1"/>
  <c r="BF43" i="13"/>
  <c r="BD45" i="24"/>
  <c r="BD45" i="13"/>
  <c r="BG46" i="24"/>
  <c r="AW46" i="28" s="1"/>
  <c r="BG46" i="13"/>
  <c r="G44" i="25"/>
  <c r="G31" i="25"/>
  <c r="G38" i="25"/>
  <c r="G36" i="25"/>
  <c r="G30" i="25"/>
  <c r="G46" i="25"/>
  <c r="G2" i="25"/>
  <c r="G6" i="25"/>
  <c r="W36" i="25"/>
  <c r="W35" i="25"/>
  <c r="W27" i="25"/>
  <c r="W19" i="25"/>
  <c r="W34" i="25"/>
  <c r="W33" i="25"/>
  <c r="W32" i="25"/>
  <c r="W31" i="25"/>
  <c r="W24" i="25"/>
  <c r="W46" i="25"/>
  <c r="W45" i="25"/>
  <c r="W44" i="25"/>
  <c r="W43" i="25"/>
  <c r="W41" i="25"/>
  <c r="W40" i="25"/>
  <c r="W39" i="25"/>
  <c r="W30" i="25"/>
  <c r="W38" i="25"/>
  <c r="W37" i="25"/>
  <c r="W11" i="25"/>
  <c r="W10" i="25"/>
  <c r="W9" i="25"/>
  <c r="W8" i="25"/>
  <c r="W6" i="25"/>
  <c r="W5" i="25"/>
  <c r="W18" i="25"/>
  <c r="W17" i="25"/>
  <c r="W16" i="25"/>
  <c r="W14" i="25"/>
  <c r="AE40" i="25"/>
  <c r="AE39" i="25"/>
  <c r="AE27" i="25"/>
  <c r="AE19" i="25"/>
  <c r="AE38" i="25"/>
  <c r="AE37" i="25"/>
  <c r="AE36" i="25"/>
  <c r="AE35" i="25"/>
  <c r="AE28" i="25"/>
  <c r="AE24" i="25"/>
  <c r="AE34" i="25"/>
  <c r="AE33" i="25"/>
  <c r="AE32" i="25"/>
  <c r="AE31" i="25"/>
  <c r="AE29" i="25"/>
  <c r="AE21" i="25"/>
  <c r="AE46" i="25"/>
  <c r="AE45" i="25"/>
  <c r="AE44" i="25"/>
  <c r="AE43" i="25"/>
  <c r="AE30" i="25"/>
  <c r="AE41" i="25"/>
  <c r="AE16" i="25"/>
  <c r="AE14" i="25"/>
  <c r="AE11" i="25"/>
  <c r="AE10" i="25"/>
  <c r="AE9" i="25"/>
  <c r="AE8" i="25"/>
  <c r="AE6" i="25"/>
  <c r="AE5" i="25"/>
  <c r="AE3" i="25"/>
  <c r="AE17" i="25"/>
  <c r="AM24" i="25"/>
  <c r="AM32" i="25"/>
  <c r="AM14" i="25"/>
  <c r="AU31" i="25"/>
  <c r="AU44" i="25"/>
  <c r="AU41" i="25"/>
  <c r="AU37" i="25"/>
  <c r="AU30" i="25"/>
  <c r="AU6" i="25"/>
  <c r="AU16" i="25"/>
  <c r="BC33" i="25"/>
  <c r="BC29" i="25"/>
  <c r="BC9" i="25"/>
  <c r="I41" i="26"/>
  <c r="I37" i="26"/>
  <c r="I46" i="26"/>
  <c r="I42" i="26"/>
  <c r="I38" i="26"/>
  <c r="I44" i="26"/>
  <c r="I40" i="26"/>
  <c r="I33" i="26"/>
  <c r="I29" i="26"/>
  <c r="I25" i="26"/>
  <c r="I21" i="26"/>
  <c r="I43" i="26"/>
  <c r="I39" i="26"/>
  <c r="I30" i="26"/>
  <c r="I26" i="26"/>
  <c r="I22" i="26"/>
  <c r="I31" i="26"/>
  <c r="I27" i="26"/>
  <c r="I23" i="26"/>
  <c r="I19" i="26"/>
  <c r="I15" i="26"/>
  <c r="I11" i="26"/>
  <c r="I7" i="26"/>
  <c r="I35" i="26"/>
  <c r="I32" i="26"/>
  <c r="I16" i="26"/>
  <c r="I12" i="26"/>
  <c r="I8" i="26"/>
  <c r="I34" i="26"/>
  <c r="I20" i="26"/>
  <c r="I17" i="26"/>
  <c r="I13" i="26"/>
  <c r="I9" i="26"/>
  <c r="I28" i="26"/>
  <c r="I18" i="26"/>
  <c r="I14" i="26"/>
  <c r="I10" i="26"/>
  <c r="I6" i="26"/>
  <c r="I24" i="26"/>
  <c r="I3" i="26"/>
  <c r="I5" i="26"/>
  <c r="I2" i="26"/>
  <c r="I4" i="26"/>
  <c r="Q46" i="26"/>
  <c r="Q42" i="26"/>
  <c r="Q21" i="26"/>
  <c r="Q40" i="26"/>
  <c r="Q23" i="26"/>
  <c r="Q19" i="26"/>
  <c r="Q43" i="26"/>
  <c r="Q16" i="26"/>
  <c r="Q14" i="26"/>
  <c r="Q10" i="26"/>
  <c r="Q2" i="26"/>
  <c r="Y41" i="26"/>
  <c r="Y37" i="26"/>
  <c r="Y46" i="26"/>
  <c r="Y42" i="26"/>
  <c r="Y38" i="26"/>
  <c r="Y44" i="26"/>
  <c r="Y34" i="26"/>
  <c r="Y33" i="26"/>
  <c r="Y29" i="26"/>
  <c r="Y25" i="26"/>
  <c r="Y21" i="26"/>
  <c r="Y35" i="26"/>
  <c r="Y30" i="26"/>
  <c r="Y26" i="26"/>
  <c r="Y22" i="26"/>
  <c r="Y43" i="26"/>
  <c r="Y31" i="26"/>
  <c r="Y27" i="26"/>
  <c r="Y23" i="26"/>
  <c r="Y19" i="26"/>
  <c r="Y15" i="26"/>
  <c r="Y11" i="26"/>
  <c r="Y7" i="26"/>
  <c r="Y20" i="26"/>
  <c r="Y16" i="26"/>
  <c r="Y12" i="26"/>
  <c r="Y8" i="26"/>
  <c r="Y24" i="26"/>
  <c r="Y32" i="26"/>
  <c r="Y28" i="26"/>
  <c r="Y17" i="26"/>
  <c r="Y13" i="26"/>
  <c r="Y9" i="26"/>
  <c r="Y40" i="26"/>
  <c r="Y39" i="26"/>
  <c r="Y18" i="26"/>
  <c r="Y14" i="26"/>
  <c r="Y10" i="26"/>
  <c r="Y6" i="26"/>
  <c r="Y3" i="26"/>
  <c r="Y5" i="26"/>
  <c r="Y2" i="26"/>
  <c r="Y4" i="26"/>
  <c r="AO41" i="26"/>
  <c r="AO37" i="26"/>
  <c r="AO33" i="26"/>
  <c r="AO46" i="26"/>
  <c r="AO42" i="26"/>
  <c r="AO38" i="26"/>
  <c r="AO44" i="26"/>
  <c r="AO29" i="26"/>
  <c r="AO25" i="26"/>
  <c r="AO21" i="26"/>
  <c r="AO34" i="26"/>
  <c r="AO30" i="26"/>
  <c r="AO26" i="26"/>
  <c r="AO22" i="26"/>
  <c r="AO40" i="26"/>
  <c r="AO35" i="26"/>
  <c r="AO39" i="26"/>
  <c r="AO31" i="26"/>
  <c r="AO27" i="26"/>
  <c r="AO23" i="26"/>
  <c r="AO19" i="26"/>
  <c r="AO20" i="26"/>
  <c r="AO15" i="26"/>
  <c r="AO11" i="26"/>
  <c r="AO7" i="26"/>
  <c r="AO24" i="26"/>
  <c r="AO28" i="26"/>
  <c r="AO16" i="26"/>
  <c r="AO12" i="26"/>
  <c r="AO8" i="26"/>
  <c r="AO17" i="26"/>
  <c r="AO13" i="26"/>
  <c r="AO9" i="26"/>
  <c r="AO32" i="26"/>
  <c r="AO18" i="26"/>
  <c r="AO14" i="26"/>
  <c r="AO10" i="26"/>
  <c r="AO6" i="26"/>
  <c r="AO43" i="26"/>
  <c r="AO5" i="26"/>
  <c r="AO3" i="26"/>
  <c r="AO2" i="26"/>
  <c r="AO4" i="26"/>
  <c r="C36" i="27"/>
  <c r="C29" i="27"/>
  <c r="C23" i="27"/>
  <c r="C21" i="27"/>
  <c r="C3" i="27"/>
  <c r="K35" i="27"/>
  <c r="K31" i="27"/>
  <c r="K20" i="27"/>
  <c r="K16" i="27"/>
  <c r="K26" i="27"/>
  <c r="K22" i="27"/>
  <c r="K23" i="27"/>
  <c r="K33" i="27"/>
  <c r="K6" i="27"/>
  <c r="K2" i="27"/>
  <c r="K41" i="27"/>
  <c r="K12" i="27"/>
  <c r="S43" i="27"/>
  <c r="S39" i="27"/>
  <c r="S35" i="27"/>
  <c r="S31" i="27"/>
  <c r="S44" i="27"/>
  <c r="S40" i="27"/>
  <c r="S36" i="27"/>
  <c r="S34" i="27"/>
  <c r="S30" i="27"/>
  <c r="S28" i="27"/>
  <c r="S24" i="27"/>
  <c r="S20" i="27"/>
  <c r="S16" i="27"/>
  <c r="S45" i="27"/>
  <c r="S41" i="27"/>
  <c r="S29" i="27"/>
  <c r="S25" i="27"/>
  <c r="S26" i="27"/>
  <c r="S22" i="27"/>
  <c r="S18" i="27"/>
  <c r="S13" i="27"/>
  <c r="S9" i="27"/>
  <c r="S5" i="27"/>
  <c r="S33" i="27"/>
  <c r="S21" i="27"/>
  <c r="S46" i="27"/>
  <c r="S14" i="27"/>
  <c r="S42" i="27"/>
  <c r="S27" i="27"/>
  <c r="S38" i="27"/>
  <c r="S32" i="27"/>
  <c r="S15" i="27"/>
  <c r="S11" i="27"/>
  <c r="S7" i="27"/>
  <c r="S37" i="27"/>
  <c r="S19" i="27"/>
  <c r="S23" i="27"/>
  <c r="S12" i="27"/>
  <c r="S2" i="27"/>
  <c r="S6" i="27"/>
  <c r="S3" i="27"/>
  <c r="S4" i="27"/>
  <c r="S10" i="27"/>
  <c r="S17" i="27"/>
  <c r="S8" i="27"/>
  <c r="AA43" i="27"/>
  <c r="AA39" i="27"/>
  <c r="AA35" i="27"/>
  <c r="AA31" i="27"/>
  <c r="AA44" i="27"/>
  <c r="AA40" i="27"/>
  <c r="AA36" i="27"/>
  <c r="AA37" i="27"/>
  <c r="AA28" i="27"/>
  <c r="AA24" i="27"/>
  <c r="AA20" i="27"/>
  <c r="AA16" i="27"/>
  <c r="AA32" i="27"/>
  <c r="AA46" i="27"/>
  <c r="AA30" i="27"/>
  <c r="AA29" i="27"/>
  <c r="AA25" i="27"/>
  <c r="AA38" i="27"/>
  <c r="AA26" i="27"/>
  <c r="AA22" i="27"/>
  <c r="AA18" i="27"/>
  <c r="AA33" i="27"/>
  <c r="AA19" i="27"/>
  <c r="AA17" i="27"/>
  <c r="AA13" i="27"/>
  <c r="AA9" i="27"/>
  <c r="AA5" i="27"/>
  <c r="AA42" i="27"/>
  <c r="AA23" i="27"/>
  <c r="AA34" i="27"/>
  <c r="AA14" i="27"/>
  <c r="AA45" i="27"/>
  <c r="AA41" i="27"/>
  <c r="AA21" i="27"/>
  <c r="AA15" i="27"/>
  <c r="AA11" i="27"/>
  <c r="AA7" i="27"/>
  <c r="AA8" i="27"/>
  <c r="AA2" i="27"/>
  <c r="AA10" i="27"/>
  <c r="AA27" i="27"/>
  <c r="AA3" i="27"/>
  <c r="AA6" i="27"/>
  <c r="AA4" i="27"/>
  <c r="AA12" i="27"/>
  <c r="AI35" i="27"/>
  <c r="AI20" i="27"/>
  <c r="AI26" i="27"/>
  <c r="AI37" i="27"/>
  <c r="AI7" i="27"/>
  <c r="AI10" i="27"/>
  <c r="AQ43" i="27"/>
  <c r="AQ39" i="27"/>
  <c r="AQ35" i="27"/>
  <c r="AQ31" i="27"/>
  <c r="AQ44" i="27"/>
  <c r="AQ40" i="27"/>
  <c r="AQ36" i="27"/>
  <c r="AQ45" i="27"/>
  <c r="AQ28" i="27"/>
  <c r="AQ24" i="27"/>
  <c r="AQ20" i="27"/>
  <c r="AQ16" i="27"/>
  <c r="AQ41" i="27"/>
  <c r="AQ37" i="27"/>
  <c r="AQ29" i="27"/>
  <c r="AQ25" i="27"/>
  <c r="AQ46" i="27"/>
  <c r="AQ26" i="27"/>
  <c r="AQ22" i="27"/>
  <c r="AQ18" i="27"/>
  <c r="AQ34" i="27"/>
  <c r="AQ13" i="27"/>
  <c r="AQ9" i="27"/>
  <c r="AQ5" i="27"/>
  <c r="AQ32" i="27"/>
  <c r="AQ21" i="27"/>
  <c r="AQ14" i="27"/>
  <c r="AQ30" i="27"/>
  <c r="AQ33" i="27"/>
  <c r="AQ17" i="27"/>
  <c r="AQ11" i="27"/>
  <c r="AQ7" i="27"/>
  <c r="AQ15" i="27"/>
  <c r="AQ42" i="27"/>
  <c r="AQ8" i="27"/>
  <c r="AQ27" i="27"/>
  <c r="AQ2" i="27"/>
  <c r="AQ10" i="27"/>
  <c r="AQ4" i="27"/>
  <c r="AQ38" i="27"/>
  <c r="AQ3" i="27"/>
  <c r="AQ23" i="27"/>
  <c r="AQ19" i="27"/>
  <c r="AQ6" i="27"/>
  <c r="AQ12" i="27"/>
  <c r="AY43" i="27"/>
  <c r="AY39" i="27"/>
  <c r="AY35" i="27"/>
  <c r="AY31" i="27"/>
  <c r="AY44" i="27"/>
  <c r="AY40" i="27"/>
  <c r="AY36" i="27"/>
  <c r="AY30" i="27"/>
  <c r="AY28" i="27"/>
  <c r="AY24" i="27"/>
  <c r="AY20" i="27"/>
  <c r="AY16" i="27"/>
  <c r="AY46" i="27"/>
  <c r="AY42" i="27"/>
  <c r="AY29" i="27"/>
  <c r="AY25" i="27"/>
  <c r="AY34" i="27"/>
  <c r="AY26" i="27"/>
  <c r="AY22" i="27"/>
  <c r="AY18" i="27"/>
  <c r="AY37" i="27"/>
  <c r="AY32" i="27"/>
  <c r="AY13" i="27"/>
  <c r="AY9" i="27"/>
  <c r="AY5" i="27"/>
  <c r="AY33" i="27"/>
  <c r="AY19" i="27"/>
  <c r="AY23" i="27"/>
  <c r="AY14" i="27"/>
  <c r="AY27" i="27"/>
  <c r="AY11" i="27"/>
  <c r="AY7" i="27"/>
  <c r="AY38" i="27"/>
  <c r="AY21" i="27"/>
  <c r="AY45" i="27"/>
  <c r="AY12" i="27"/>
  <c r="AY2" i="27"/>
  <c r="AY6" i="27"/>
  <c r="AY41" i="27"/>
  <c r="AY15" i="27"/>
  <c r="AY3" i="27"/>
  <c r="AY17" i="27"/>
  <c r="AY10" i="27"/>
  <c r="AY8" i="27"/>
  <c r="AY4" i="27"/>
  <c r="E39" i="28"/>
  <c r="E35" i="28"/>
  <c r="E44" i="28"/>
  <c r="E40" i="28"/>
  <c r="E36" i="28"/>
  <c r="E41" i="28"/>
  <c r="E31" i="28"/>
  <c r="E46" i="28"/>
  <c r="E45" i="28"/>
  <c r="E37" i="28"/>
  <c r="E33" i="28"/>
  <c r="E29" i="28"/>
  <c r="E27" i="28"/>
  <c r="E23" i="28"/>
  <c r="E42" i="28"/>
  <c r="E25" i="28"/>
  <c r="E21" i="28"/>
  <c r="E26" i="28"/>
  <c r="E32" i="28"/>
  <c r="E19" i="28"/>
  <c r="E15" i="28"/>
  <c r="E11" i="28"/>
  <c r="E17" i="28"/>
  <c r="E13" i="28"/>
  <c r="E9" i="28"/>
  <c r="E12" i="28"/>
  <c r="E20" i="28"/>
  <c r="E16" i="28"/>
  <c r="E3" i="28"/>
  <c r="E7" i="28"/>
  <c r="E5" i="28"/>
  <c r="E28" i="28"/>
  <c r="M39" i="28"/>
  <c r="M35" i="28"/>
  <c r="M44" i="28"/>
  <c r="M40" i="28"/>
  <c r="M36" i="28"/>
  <c r="M45" i="28"/>
  <c r="M37" i="28"/>
  <c r="M31" i="28"/>
  <c r="M42" i="28"/>
  <c r="M41" i="28"/>
  <c r="M33" i="28"/>
  <c r="M29" i="28"/>
  <c r="M46" i="28"/>
  <c r="M27" i="28"/>
  <c r="M23" i="28"/>
  <c r="M32" i="28"/>
  <c r="M28" i="28"/>
  <c r="M25" i="28"/>
  <c r="M21" i="28"/>
  <c r="M18" i="28"/>
  <c r="M19" i="28"/>
  <c r="M15" i="28"/>
  <c r="M11" i="28"/>
  <c r="M20" i="28"/>
  <c r="M17" i="28"/>
  <c r="M13" i="28"/>
  <c r="M9" i="28"/>
  <c r="M12" i="28"/>
  <c r="M3" i="28"/>
  <c r="M26" i="28"/>
  <c r="M7" i="28"/>
  <c r="M5" i="28"/>
  <c r="U39" i="28"/>
  <c r="U35" i="28"/>
  <c r="U44" i="28"/>
  <c r="U40" i="28"/>
  <c r="U36" i="28"/>
  <c r="U41" i="28"/>
  <c r="U31" i="28"/>
  <c r="U46" i="28"/>
  <c r="U45" i="28"/>
  <c r="U37" i="28"/>
  <c r="U33" i="28"/>
  <c r="U29" i="28"/>
  <c r="U32" i="28"/>
  <c r="U27" i="28"/>
  <c r="U23" i="28"/>
  <c r="U30" i="28"/>
  <c r="U28" i="28"/>
  <c r="U25" i="28"/>
  <c r="U21" i="28"/>
  <c r="U42" i="28"/>
  <c r="U24" i="28"/>
  <c r="U19" i="28"/>
  <c r="U15" i="28"/>
  <c r="U11" i="28"/>
  <c r="U17" i="28"/>
  <c r="U13" i="28"/>
  <c r="U9" i="28"/>
  <c r="U8" i="28"/>
  <c r="U3" i="28"/>
  <c r="U12" i="28"/>
  <c r="U20" i="28"/>
  <c r="U5" i="28"/>
  <c r="U2" i="28"/>
  <c r="U7" i="28"/>
  <c r="AC35" i="28"/>
  <c r="AC41" i="28"/>
  <c r="AC28" i="28"/>
  <c r="AC13" i="28"/>
  <c r="AK43" i="28"/>
  <c r="AK39" i="28"/>
  <c r="AK35" i="28"/>
  <c r="AK44" i="28"/>
  <c r="AK40" i="28"/>
  <c r="AK36" i="28"/>
  <c r="AK41" i="28"/>
  <c r="AK31" i="28"/>
  <c r="AK46" i="28"/>
  <c r="AK45" i="28"/>
  <c r="AK37" i="28"/>
  <c r="AK33" i="28"/>
  <c r="AK29" i="28"/>
  <c r="AK28" i="28"/>
  <c r="AK27" i="28"/>
  <c r="AK23" i="28"/>
  <c r="AK42" i="28"/>
  <c r="AK25" i="28"/>
  <c r="AK21" i="28"/>
  <c r="AK20" i="28"/>
  <c r="AK19" i="28"/>
  <c r="AK15" i="28"/>
  <c r="AK11" i="28"/>
  <c r="AK17" i="28"/>
  <c r="AK13" i="28"/>
  <c r="AK9" i="28"/>
  <c r="AK12" i="28"/>
  <c r="AK3" i="28"/>
  <c r="AK32" i="28"/>
  <c r="AK5" i="28"/>
  <c r="AK7" i="28"/>
  <c r="AS50" i="24"/>
  <c r="AS41" i="17"/>
  <c r="BA50" i="24"/>
  <c r="G51" i="24"/>
  <c r="G33" i="18"/>
  <c r="O51" i="24"/>
  <c r="W51" i="24"/>
  <c r="W42" i="18"/>
  <c r="AE51" i="24"/>
  <c r="AE42" i="18"/>
  <c r="AM51" i="24"/>
  <c r="BF3" i="13"/>
  <c r="BF6" i="13"/>
  <c r="BG9" i="13"/>
  <c r="BE13" i="13"/>
  <c r="BE16" i="13"/>
  <c r="BF19" i="13"/>
  <c r="BF22" i="13"/>
  <c r="BG25" i="13"/>
  <c r="BE29" i="13"/>
  <c r="BE31" i="13"/>
  <c r="BD36" i="13"/>
  <c r="BD38" i="13"/>
  <c r="BE40" i="13"/>
  <c r="O41" i="18"/>
  <c r="AN41" i="18"/>
  <c r="BF41" i="13"/>
  <c r="Y41" i="16" s="1"/>
  <c r="BG42" i="13"/>
  <c r="E30" i="14"/>
  <c r="S30" i="14"/>
  <c r="AE30" i="14"/>
  <c r="AR30" i="14"/>
  <c r="E41" i="15"/>
  <c r="AK41" i="15"/>
  <c r="I42" i="17"/>
  <c r="Y41" i="17"/>
  <c r="AO42" i="17"/>
  <c r="H41" i="18"/>
  <c r="AK42" i="18"/>
  <c r="BG26" i="24"/>
  <c r="AK26" i="28" s="1"/>
  <c r="BG26" i="13"/>
  <c r="K38" i="25"/>
  <c r="K29" i="25"/>
  <c r="K32" i="25"/>
  <c r="K45" i="25"/>
  <c r="K41" i="25"/>
  <c r="K40" i="25"/>
  <c r="K8" i="25"/>
  <c r="K5" i="25"/>
  <c r="E43" i="26"/>
  <c r="E39" i="26"/>
  <c r="E35" i="26"/>
  <c r="E44" i="26"/>
  <c r="E40" i="26"/>
  <c r="E46" i="26"/>
  <c r="E41" i="26"/>
  <c r="E42" i="26"/>
  <c r="E31" i="26"/>
  <c r="E27" i="26"/>
  <c r="E23" i="26"/>
  <c r="E34" i="26"/>
  <c r="E32" i="26"/>
  <c r="E28" i="26"/>
  <c r="E24" i="26"/>
  <c r="E20" i="26"/>
  <c r="E33" i="26"/>
  <c r="E29" i="26"/>
  <c r="E25" i="26"/>
  <c r="E21" i="26"/>
  <c r="E17" i="26"/>
  <c r="E13" i="26"/>
  <c r="E9" i="26"/>
  <c r="E18" i="26"/>
  <c r="E14" i="26"/>
  <c r="E10" i="26"/>
  <c r="E6" i="26"/>
  <c r="E22" i="26"/>
  <c r="E38" i="26"/>
  <c r="E26" i="26"/>
  <c r="E19" i="26"/>
  <c r="E15" i="26"/>
  <c r="E11" i="26"/>
  <c r="E7" i="26"/>
  <c r="E30" i="26"/>
  <c r="E37" i="26"/>
  <c r="E16" i="26"/>
  <c r="E12" i="26"/>
  <c r="E8" i="26"/>
  <c r="E5" i="26"/>
  <c r="E3" i="26"/>
  <c r="E4" i="26"/>
  <c r="E2" i="26"/>
  <c r="AK43" i="26"/>
  <c r="AK39" i="26"/>
  <c r="AK35" i="26"/>
  <c r="AK44" i="26"/>
  <c r="AK40" i="26"/>
  <c r="AK46" i="26"/>
  <c r="AK42" i="26"/>
  <c r="AK31" i="26"/>
  <c r="AK27" i="26"/>
  <c r="AK23" i="26"/>
  <c r="AK19" i="26"/>
  <c r="AK32" i="26"/>
  <c r="AK28" i="26"/>
  <c r="AK24" i="26"/>
  <c r="AK20" i="26"/>
  <c r="AK41" i="26"/>
  <c r="AK29" i="26"/>
  <c r="AK25" i="26"/>
  <c r="AK21" i="26"/>
  <c r="AK37" i="26"/>
  <c r="AK26" i="26"/>
  <c r="AK17" i="26"/>
  <c r="AK13" i="26"/>
  <c r="AK9" i="26"/>
  <c r="AK5" i="26"/>
  <c r="AK30" i="26"/>
  <c r="AK34" i="26"/>
  <c r="AK18" i="26"/>
  <c r="AK14" i="26"/>
  <c r="AK10" i="26"/>
  <c r="AK6" i="26"/>
  <c r="AK33" i="26"/>
  <c r="AK15" i="26"/>
  <c r="AK11" i="26"/>
  <c r="AK7" i="26"/>
  <c r="AK38" i="26"/>
  <c r="AK16" i="26"/>
  <c r="AK12" i="26"/>
  <c r="AK8" i="26"/>
  <c r="AK22" i="26"/>
  <c r="AK3" i="26"/>
  <c r="AK4" i="26"/>
  <c r="AK2" i="26"/>
  <c r="AM41" i="27"/>
  <c r="AM21" i="27"/>
  <c r="Y19" i="28"/>
  <c r="AO45" i="28"/>
  <c r="AO41" i="28"/>
  <c r="AO37" i="28"/>
  <c r="AO46" i="28"/>
  <c r="AO42" i="28"/>
  <c r="AO34" i="28"/>
  <c r="AO35" i="28"/>
  <c r="AO33" i="28"/>
  <c r="AO29" i="28"/>
  <c r="AO40" i="28"/>
  <c r="AO39" i="28"/>
  <c r="AO31" i="28"/>
  <c r="AO36" i="28"/>
  <c r="AO25" i="28"/>
  <c r="AO21" i="28"/>
  <c r="AO32" i="28"/>
  <c r="AO27" i="28"/>
  <c r="AO23" i="28"/>
  <c r="AO44" i="28"/>
  <c r="AO26" i="28"/>
  <c r="AO17" i="28"/>
  <c r="AO13" i="28"/>
  <c r="AO9" i="28"/>
  <c r="AO19" i="28"/>
  <c r="AO15" i="28"/>
  <c r="AO11" i="28"/>
  <c r="AO20" i="28"/>
  <c r="AO28" i="28"/>
  <c r="AO7" i="28"/>
  <c r="AO14" i="28"/>
  <c r="AO12" i="28"/>
  <c r="AO3" i="28"/>
  <c r="AO5" i="28"/>
  <c r="AA51" i="24"/>
  <c r="AA41" i="18"/>
  <c r="BA46" i="18"/>
  <c r="BA42" i="18"/>
  <c r="BA38" i="18"/>
  <c r="BA30" i="18"/>
  <c r="BA22" i="18"/>
  <c r="BA43" i="18"/>
  <c r="BA27" i="18"/>
  <c r="BA44" i="18"/>
  <c r="BA40" i="18"/>
  <c r="BA36" i="18"/>
  <c r="BA32" i="18"/>
  <c r="BA24" i="18"/>
  <c r="BA45" i="18"/>
  <c r="BA41" i="18"/>
  <c r="BA37" i="18"/>
  <c r="BA11" i="18"/>
  <c r="BA16" i="18"/>
  <c r="BA8" i="18"/>
  <c r="BA4" i="18"/>
  <c r="BA19" i="18"/>
  <c r="BA33" i="18"/>
  <c r="BA17" i="18"/>
  <c r="BA9" i="18"/>
  <c r="BA5" i="18"/>
  <c r="BA18" i="18"/>
  <c r="BA14" i="18"/>
  <c r="BA6" i="18"/>
  <c r="BA29" i="18"/>
  <c r="BD2" i="24"/>
  <c r="D2" i="25" s="1"/>
  <c r="BD2" i="13"/>
  <c r="BD42" i="24"/>
  <c r="BD42" i="13"/>
  <c r="BG43" i="24"/>
  <c r="C43" i="28" s="1"/>
  <c r="BG43" i="13"/>
  <c r="BE45" i="24"/>
  <c r="AU45" i="26" s="1"/>
  <c r="BE45" i="13"/>
  <c r="H43" i="25"/>
  <c r="H39" i="25"/>
  <c r="H35" i="25"/>
  <c r="H45" i="25"/>
  <c r="H41" i="25"/>
  <c r="H37" i="25"/>
  <c r="H33" i="25"/>
  <c r="H40" i="25"/>
  <c r="H24" i="25"/>
  <c r="H38" i="25"/>
  <c r="H36" i="25"/>
  <c r="H29" i="25"/>
  <c r="H17" i="25"/>
  <c r="H9" i="25"/>
  <c r="H5" i="25"/>
  <c r="H34" i="25"/>
  <c r="H32" i="25"/>
  <c r="H30" i="25"/>
  <c r="H46" i="25"/>
  <c r="H44" i="25"/>
  <c r="H31" i="25"/>
  <c r="H27" i="25"/>
  <c r="H19" i="25"/>
  <c r="H11" i="25"/>
  <c r="H16" i="25"/>
  <c r="H14" i="25"/>
  <c r="H2" i="25"/>
  <c r="H8" i="25"/>
  <c r="H6" i="25"/>
  <c r="H26" i="25"/>
  <c r="P43" i="25"/>
  <c r="P39" i="25"/>
  <c r="P35" i="25"/>
  <c r="P31" i="25"/>
  <c r="P45" i="25"/>
  <c r="P41" i="25"/>
  <c r="P37" i="25"/>
  <c r="P33" i="25"/>
  <c r="P46" i="25"/>
  <c r="P44" i="25"/>
  <c r="P24" i="25"/>
  <c r="P40" i="25"/>
  <c r="P29" i="25"/>
  <c r="P17" i="25"/>
  <c r="P9" i="25"/>
  <c r="P5" i="25"/>
  <c r="P38" i="25"/>
  <c r="P36" i="25"/>
  <c r="P30" i="25"/>
  <c r="P34" i="25"/>
  <c r="P32" i="25"/>
  <c r="P27" i="25"/>
  <c r="P19" i="25"/>
  <c r="P15" i="25"/>
  <c r="P11" i="25"/>
  <c r="P6" i="25"/>
  <c r="P20" i="25"/>
  <c r="P16" i="25"/>
  <c r="P14" i="25"/>
  <c r="P8" i="25"/>
  <c r="X33" i="25"/>
  <c r="AN43" i="25"/>
  <c r="AN39" i="25"/>
  <c r="AN35" i="25"/>
  <c r="AN31" i="25"/>
  <c r="AN45" i="25"/>
  <c r="AN41" i="25"/>
  <c r="AN37" i="25"/>
  <c r="AN33" i="25"/>
  <c r="AN40" i="25"/>
  <c r="AN24" i="25"/>
  <c r="AN38" i="25"/>
  <c r="AN36" i="25"/>
  <c r="AN29" i="25"/>
  <c r="AN17" i="25"/>
  <c r="AN9" i="25"/>
  <c r="AN5" i="25"/>
  <c r="AN34" i="25"/>
  <c r="AN32" i="25"/>
  <c r="AN30" i="25"/>
  <c r="AN46" i="25"/>
  <c r="AN44" i="25"/>
  <c r="AN27" i="25"/>
  <c r="AN23" i="25"/>
  <c r="AN19" i="25"/>
  <c r="AN11" i="25"/>
  <c r="AN2" i="25"/>
  <c r="AN20" i="25"/>
  <c r="AN16" i="25"/>
  <c r="AN14" i="25"/>
  <c r="AN8" i="25"/>
  <c r="AN6" i="25"/>
  <c r="AV43" i="25"/>
  <c r="AV39" i="25"/>
  <c r="AV35" i="25"/>
  <c r="AV31" i="25"/>
  <c r="AV45" i="25"/>
  <c r="AV41" i="25"/>
  <c r="AV37" i="25"/>
  <c r="AV33" i="25"/>
  <c r="AV46" i="25"/>
  <c r="AV44" i="25"/>
  <c r="AV24" i="25"/>
  <c r="AV40" i="25"/>
  <c r="AV29" i="25"/>
  <c r="AV17" i="25"/>
  <c r="AV9" i="25"/>
  <c r="AV5" i="25"/>
  <c r="AV38" i="25"/>
  <c r="AV36" i="25"/>
  <c r="AV30" i="25"/>
  <c r="AV34" i="25"/>
  <c r="AV32" i="25"/>
  <c r="AV27" i="25"/>
  <c r="AV19" i="25"/>
  <c r="AV11" i="25"/>
  <c r="AV6" i="25"/>
  <c r="AV2" i="25"/>
  <c r="AV22" i="25"/>
  <c r="AV16" i="25"/>
  <c r="AV14" i="25"/>
  <c r="AV8" i="25"/>
  <c r="B43" i="26"/>
  <c r="B44" i="26"/>
  <c r="B46" i="26"/>
  <c r="B39" i="26"/>
  <c r="B38" i="26"/>
  <c r="B37" i="26"/>
  <c r="B42" i="26"/>
  <c r="B41" i="26"/>
  <c r="B45" i="26"/>
  <c r="B40" i="26"/>
  <c r="B31" i="26"/>
  <c r="B34" i="26"/>
  <c r="B25" i="26"/>
  <c r="B20" i="26"/>
  <c r="B33" i="26"/>
  <c r="B29" i="26"/>
  <c r="B24" i="26"/>
  <c r="B16" i="26"/>
  <c r="B12" i="26"/>
  <c r="B8" i="26"/>
  <c r="B28" i="26"/>
  <c r="B35" i="26"/>
  <c r="B23" i="26"/>
  <c r="B17" i="26"/>
  <c r="B13" i="26"/>
  <c r="B9" i="26"/>
  <c r="B32" i="26"/>
  <c r="B27" i="26"/>
  <c r="B26" i="26"/>
  <c r="B10" i="26"/>
  <c r="B30" i="26"/>
  <c r="B7" i="26"/>
  <c r="B14" i="26"/>
  <c r="B11" i="26"/>
  <c r="B22" i="26"/>
  <c r="B18" i="26"/>
  <c r="B4" i="26"/>
  <c r="B21" i="26"/>
  <c r="B15" i="26"/>
  <c r="B19" i="26"/>
  <c r="B3" i="26"/>
  <c r="B2" i="26"/>
  <c r="B6" i="26"/>
  <c r="B5" i="26"/>
  <c r="J16" i="26"/>
  <c r="R46" i="26"/>
  <c r="R43" i="26"/>
  <c r="R44" i="26"/>
  <c r="R41" i="26"/>
  <c r="R40" i="26"/>
  <c r="R42" i="26"/>
  <c r="R39" i="26"/>
  <c r="R31" i="26"/>
  <c r="R38" i="26"/>
  <c r="R34" i="26"/>
  <c r="R28" i="26"/>
  <c r="R23" i="26"/>
  <c r="R16" i="26"/>
  <c r="R12" i="26"/>
  <c r="R8" i="26"/>
  <c r="R27" i="26"/>
  <c r="R19" i="26"/>
  <c r="R37" i="26"/>
  <c r="R33" i="26"/>
  <c r="R22" i="26"/>
  <c r="R17" i="26"/>
  <c r="R13" i="26"/>
  <c r="R9" i="26"/>
  <c r="R26" i="26"/>
  <c r="R30" i="26"/>
  <c r="R32" i="26"/>
  <c r="R25" i="26"/>
  <c r="R20" i="26"/>
  <c r="R18" i="26"/>
  <c r="R24" i="26"/>
  <c r="R15" i="26"/>
  <c r="R35" i="26"/>
  <c r="R21" i="26"/>
  <c r="R10" i="26"/>
  <c r="R4" i="26"/>
  <c r="R14" i="26"/>
  <c r="R45" i="26"/>
  <c r="R29" i="26"/>
  <c r="R11" i="26"/>
  <c r="R6" i="26"/>
  <c r="R7" i="26"/>
  <c r="R3" i="26"/>
  <c r="R2" i="26"/>
  <c r="R5" i="26"/>
  <c r="AH46" i="26"/>
  <c r="AH43" i="26"/>
  <c r="AH39" i="26"/>
  <c r="AH44" i="26"/>
  <c r="AH45" i="26"/>
  <c r="AH40" i="26"/>
  <c r="AH38" i="26"/>
  <c r="AH34" i="26"/>
  <c r="AH33" i="26"/>
  <c r="AH37" i="26"/>
  <c r="AH35" i="26"/>
  <c r="AH31" i="26"/>
  <c r="AH42" i="26"/>
  <c r="AH32" i="26"/>
  <c r="AH27" i="26"/>
  <c r="AH22" i="26"/>
  <c r="AH16" i="26"/>
  <c r="AH12" i="26"/>
  <c r="AH8" i="26"/>
  <c r="AH26" i="26"/>
  <c r="AH30" i="26"/>
  <c r="AH21" i="26"/>
  <c r="AH17" i="26"/>
  <c r="AH13" i="26"/>
  <c r="AH9" i="26"/>
  <c r="AH41" i="26"/>
  <c r="AH25" i="26"/>
  <c r="AH20" i="26"/>
  <c r="AH28" i="26"/>
  <c r="AH19" i="26"/>
  <c r="AH10" i="26"/>
  <c r="AH7" i="26"/>
  <c r="AH14" i="26"/>
  <c r="AH11" i="26"/>
  <c r="AH29" i="26"/>
  <c r="AH18" i="26"/>
  <c r="AH4" i="26"/>
  <c r="AH15" i="26"/>
  <c r="AH24" i="26"/>
  <c r="AH23" i="26"/>
  <c r="AH5" i="26"/>
  <c r="AH3" i="26"/>
  <c r="AH2" i="26"/>
  <c r="AH6" i="26"/>
  <c r="AP46" i="26"/>
  <c r="AP43" i="26"/>
  <c r="AP39" i="26"/>
  <c r="AP44" i="26"/>
  <c r="AP42" i="26"/>
  <c r="AP41" i="26"/>
  <c r="AP34" i="26"/>
  <c r="AP33" i="26"/>
  <c r="AP40" i="26"/>
  <c r="AP38" i="26"/>
  <c r="AP35" i="26"/>
  <c r="AP37" i="26"/>
  <c r="AP31" i="26"/>
  <c r="AP45" i="26"/>
  <c r="AP29" i="26"/>
  <c r="AP24" i="26"/>
  <c r="AP28" i="26"/>
  <c r="AP19" i="26"/>
  <c r="AP16" i="26"/>
  <c r="AP12" i="26"/>
  <c r="AP8" i="26"/>
  <c r="AP23" i="26"/>
  <c r="AP27" i="26"/>
  <c r="AP17" i="26"/>
  <c r="AP13" i="26"/>
  <c r="AP9" i="26"/>
  <c r="AP22" i="26"/>
  <c r="AP32" i="26"/>
  <c r="AP30" i="26"/>
  <c r="AP21" i="26"/>
  <c r="AP14" i="26"/>
  <c r="AP11" i="26"/>
  <c r="AP18" i="26"/>
  <c r="AP15" i="26"/>
  <c r="AP26" i="26"/>
  <c r="AP4" i="26"/>
  <c r="AP25" i="26"/>
  <c r="AP10" i="26"/>
  <c r="AP6" i="26"/>
  <c r="AP20" i="26"/>
  <c r="AP7" i="26"/>
  <c r="AP3" i="26"/>
  <c r="AP2" i="26"/>
  <c r="AP5" i="26"/>
  <c r="AX46" i="26"/>
  <c r="AX43" i="26"/>
  <c r="AX39" i="26"/>
  <c r="AX44" i="26"/>
  <c r="AX45" i="26"/>
  <c r="AX34" i="26"/>
  <c r="AX33" i="26"/>
  <c r="AX35" i="26"/>
  <c r="AX31" i="26"/>
  <c r="AX38" i="26"/>
  <c r="AX26" i="26"/>
  <c r="AX41" i="26"/>
  <c r="AX40" i="26"/>
  <c r="AX21" i="26"/>
  <c r="AX16" i="26"/>
  <c r="AX12" i="26"/>
  <c r="AX8" i="26"/>
  <c r="AX32" i="26"/>
  <c r="AX30" i="26"/>
  <c r="AX25" i="26"/>
  <c r="AX20" i="26"/>
  <c r="AX29" i="26"/>
  <c r="AX24" i="26"/>
  <c r="AX17" i="26"/>
  <c r="AX13" i="26"/>
  <c r="AX9" i="26"/>
  <c r="AX5" i="26"/>
  <c r="AX42" i="26"/>
  <c r="AX28" i="26"/>
  <c r="AX19" i="26"/>
  <c r="AX37" i="26"/>
  <c r="AX27" i="26"/>
  <c r="AX18" i="26"/>
  <c r="AX15" i="26"/>
  <c r="AX6" i="26"/>
  <c r="AX23" i="26"/>
  <c r="AX10" i="26"/>
  <c r="AX4" i="26"/>
  <c r="AX22" i="26"/>
  <c r="AX14" i="26"/>
  <c r="AX11" i="26"/>
  <c r="AX7" i="26"/>
  <c r="AX2" i="26"/>
  <c r="AX3" i="26"/>
  <c r="D43" i="27"/>
  <c r="D39" i="27"/>
  <c r="D35" i="27"/>
  <c r="D44" i="27"/>
  <c r="D40" i="27"/>
  <c r="D36" i="27"/>
  <c r="D46" i="27"/>
  <c r="D42" i="27"/>
  <c r="D38" i="27"/>
  <c r="D34" i="27"/>
  <c r="D30" i="27"/>
  <c r="D37" i="27"/>
  <c r="D29" i="27"/>
  <c r="D25" i="27"/>
  <c r="D21" i="27"/>
  <c r="D33" i="27"/>
  <c r="D32" i="27"/>
  <c r="D41" i="27"/>
  <c r="D28" i="27"/>
  <c r="D22" i="27"/>
  <c r="D18" i="27"/>
  <c r="D17" i="27"/>
  <c r="D14" i="27"/>
  <c r="D10" i="27"/>
  <c r="D27" i="27"/>
  <c r="D16" i="27"/>
  <c r="D31" i="27"/>
  <c r="D26" i="27"/>
  <c r="D20" i="27"/>
  <c r="D12" i="27"/>
  <c r="D8" i="27"/>
  <c r="D15" i="27"/>
  <c r="D2" i="27"/>
  <c r="D9" i="27"/>
  <c r="D24" i="27"/>
  <c r="D3" i="27"/>
  <c r="D45" i="27"/>
  <c r="D23" i="27"/>
  <c r="D11" i="27"/>
  <c r="D13" i="27"/>
  <c r="D6" i="27"/>
  <c r="D19" i="27"/>
  <c r="D5" i="27"/>
  <c r="D4" i="27"/>
  <c r="D7" i="27"/>
  <c r="L27" i="27"/>
  <c r="AB43" i="27"/>
  <c r="AB39" i="27"/>
  <c r="AB35" i="27"/>
  <c r="AB44" i="27"/>
  <c r="AB40" i="27"/>
  <c r="AB36" i="27"/>
  <c r="AB46" i="27"/>
  <c r="AB42" i="27"/>
  <c r="AB38" i="27"/>
  <c r="AB34" i="27"/>
  <c r="AB30" i="27"/>
  <c r="AB32" i="27"/>
  <c r="AB31" i="27"/>
  <c r="AB29" i="27"/>
  <c r="AB25" i="27"/>
  <c r="AB21" i="27"/>
  <c r="AB24" i="27"/>
  <c r="AB23" i="27"/>
  <c r="AB16" i="27"/>
  <c r="AB26" i="27"/>
  <c r="AB18" i="27"/>
  <c r="AB14" i="27"/>
  <c r="AB10" i="27"/>
  <c r="AB6" i="27"/>
  <c r="AB45" i="27"/>
  <c r="AB22" i="27"/>
  <c r="AB41" i="27"/>
  <c r="AB15" i="27"/>
  <c r="AB37" i="27"/>
  <c r="AB28" i="27"/>
  <c r="AB12" i="27"/>
  <c r="AB8" i="27"/>
  <c r="AB4" i="27"/>
  <c r="AB20" i="27"/>
  <c r="AB2" i="27"/>
  <c r="AB33" i="27"/>
  <c r="AB19" i="27"/>
  <c r="AB13" i="27"/>
  <c r="AB27" i="27"/>
  <c r="AB3" i="27"/>
  <c r="AB17" i="27"/>
  <c r="AB7" i="27"/>
  <c r="AB9" i="27"/>
  <c r="AB5" i="27"/>
  <c r="AB11" i="27"/>
  <c r="AJ43" i="27"/>
  <c r="AJ39" i="27"/>
  <c r="AJ35" i="27"/>
  <c r="AJ44" i="27"/>
  <c r="AJ40" i="27"/>
  <c r="AJ36" i="27"/>
  <c r="AJ46" i="27"/>
  <c r="AJ42" i="27"/>
  <c r="AJ38" i="27"/>
  <c r="AJ34" i="27"/>
  <c r="AJ30" i="27"/>
  <c r="AJ29" i="27"/>
  <c r="AJ25" i="27"/>
  <c r="AJ21" i="27"/>
  <c r="AJ45" i="27"/>
  <c r="AJ33" i="27"/>
  <c r="AJ32" i="27"/>
  <c r="AJ37" i="27"/>
  <c r="AJ28" i="27"/>
  <c r="AJ41" i="27"/>
  <c r="AJ31" i="27"/>
  <c r="AJ20" i="27"/>
  <c r="AJ17" i="27"/>
  <c r="AJ14" i="27"/>
  <c r="AJ10" i="27"/>
  <c r="AJ6" i="27"/>
  <c r="AJ27" i="27"/>
  <c r="AJ19" i="27"/>
  <c r="AJ16" i="27"/>
  <c r="AJ23" i="27"/>
  <c r="AJ15" i="27"/>
  <c r="AJ24" i="27"/>
  <c r="AJ18" i="27"/>
  <c r="AJ26" i="27"/>
  <c r="AJ22" i="27"/>
  <c r="AJ12" i="27"/>
  <c r="AJ8" i="27"/>
  <c r="AJ4" i="27"/>
  <c r="AJ2" i="27"/>
  <c r="AJ9" i="27"/>
  <c r="AJ3" i="27"/>
  <c r="AJ11" i="27"/>
  <c r="AJ13" i="27"/>
  <c r="AJ7" i="27"/>
  <c r="AJ5" i="27"/>
  <c r="AR13" i="27"/>
  <c r="F46" i="28"/>
  <c r="F42" i="28"/>
  <c r="F44" i="28"/>
  <c r="F40" i="28"/>
  <c r="F36" i="28"/>
  <c r="F41" i="28"/>
  <c r="F31" i="28"/>
  <c r="F32" i="28"/>
  <c r="F45" i="28"/>
  <c r="F37" i="28"/>
  <c r="F33" i="28"/>
  <c r="F29" i="28"/>
  <c r="F43" i="28"/>
  <c r="F27" i="28"/>
  <c r="F23" i="28"/>
  <c r="F39" i="28"/>
  <c r="F35" i="28"/>
  <c r="F28" i="28"/>
  <c r="F24" i="28"/>
  <c r="F25" i="28"/>
  <c r="F21" i="28"/>
  <c r="F19" i="28"/>
  <c r="F15" i="28"/>
  <c r="F16" i="28"/>
  <c r="F12" i="28"/>
  <c r="F20" i="28"/>
  <c r="F11" i="28"/>
  <c r="F13" i="28"/>
  <c r="F9" i="28"/>
  <c r="F7" i="28"/>
  <c r="F5" i="28"/>
  <c r="F17" i="28"/>
  <c r="F3" i="28"/>
  <c r="F2" i="28"/>
  <c r="F26" i="28"/>
  <c r="N41" i="28"/>
  <c r="V42" i="28"/>
  <c r="AD46" i="28"/>
  <c r="AD42" i="28"/>
  <c r="AD44" i="28"/>
  <c r="AD40" i="28"/>
  <c r="AD36" i="28"/>
  <c r="AD45" i="28"/>
  <c r="AD37" i="28"/>
  <c r="AD31" i="28"/>
  <c r="AD32" i="28"/>
  <c r="AD28" i="28"/>
  <c r="AD41" i="28"/>
  <c r="AD33" i="28"/>
  <c r="AD29" i="28"/>
  <c r="AD27" i="28"/>
  <c r="AD23" i="28"/>
  <c r="AD43" i="28"/>
  <c r="AD39" i="28"/>
  <c r="AD25" i="28"/>
  <c r="AD21" i="28"/>
  <c r="AD35" i="28"/>
  <c r="AD19" i="28"/>
  <c r="AD15" i="28"/>
  <c r="AD26" i="28"/>
  <c r="AD11" i="28"/>
  <c r="AD10" i="28"/>
  <c r="AD9" i="28"/>
  <c r="AD20" i="28"/>
  <c r="AD13" i="28"/>
  <c r="AD12" i="28"/>
  <c r="AD17" i="28"/>
  <c r="AD7" i="28"/>
  <c r="AD5" i="28"/>
  <c r="AD3" i="28"/>
  <c r="AD2" i="28"/>
  <c r="AL40" i="28"/>
  <c r="AL31" i="28"/>
  <c r="AL33" i="28"/>
  <c r="AL23" i="28"/>
  <c r="AL19" i="28"/>
  <c r="AL26" i="28"/>
  <c r="AL17" i="28"/>
  <c r="AL13" i="28"/>
  <c r="AT46" i="28"/>
  <c r="AT42" i="28"/>
  <c r="AT38" i="28"/>
  <c r="AT44" i="28"/>
  <c r="AT40" i="28"/>
  <c r="AT36" i="28"/>
  <c r="AT45" i="28"/>
  <c r="AT37" i="28"/>
  <c r="AT31" i="28"/>
  <c r="AT32" i="28"/>
  <c r="AT28" i="28"/>
  <c r="AT41" i="28"/>
  <c r="AT33" i="28"/>
  <c r="AT29" i="28"/>
  <c r="AT27" i="28"/>
  <c r="AT23" i="28"/>
  <c r="AT43" i="28"/>
  <c r="AT39" i="28"/>
  <c r="AT35" i="28"/>
  <c r="AT25" i="28"/>
  <c r="AT21" i="28"/>
  <c r="AT26" i="28"/>
  <c r="AT19" i="28"/>
  <c r="AT15" i="28"/>
  <c r="AT20" i="28"/>
  <c r="AT12" i="28"/>
  <c r="AT17" i="28"/>
  <c r="AT13" i="28"/>
  <c r="AT11" i="28"/>
  <c r="AT9" i="28"/>
  <c r="AT5" i="28"/>
  <c r="AT3" i="28"/>
  <c r="AT7" i="28"/>
  <c r="BB46" i="28"/>
  <c r="BB42" i="28"/>
  <c r="BB44" i="28"/>
  <c r="BB40" i="28"/>
  <c r="BB36" i="28"/>
  <c r="BB41" i="28"/>
  <c r="BB31" i="28"/>
  <c r="BB32" i="28"/>
  <c r="BB28" i="28"/>
  <c r="BB45" i="28"/>
  <c r="BB37" i="28"/>
  <c r="BB33" i="28"/>
  <c r="BB29" i="28"/>
  <c r="BB39" i="28"/>
  <c r="BB35" i="28"/>
  <c r="BB27" i="28"/>
  <c r="BB23" i="28"/>
  <c r="BB19" i="28"/>
  <c r="BB20" i="28"/>
  <c r="BB25" i="28"/>
  <c r="BB21" i="28"/>
  <c r="BB15" i="28"/>
  <c r="BB12" i="28"/>
  <c r="BB18" i="28"/>
  <c r="BB43" i="28"/>
  <c r="BB9" i="28"/>
  <c r="BB7" i="28"/>
  <c r="BB11" i="28"/>
  <c r="BB26" i="28"/>
  <c r="BB13" i="28"/>
  <c r="BB5" i="28"/>
  <c r="BB17" i="28"/>
  <c r="BB3" i="28"/>
  <c r="BG3" i="13"/>
  <c r="BE7" i="13"/>
  <c r="BE10" i="13"/>
  <c r="BF13" i="13"/>
  <c r="BF16" i="13"/>
  <c r="BG19" i="13"/>
  <c r="BE23" i="13"/>
  <c r="BE26" i="13"/>
  <c r="BF29" i="13"/>
  <c r="BG31" i="13"/>
  <c r="BD34" i="13"/>
  <c r="AN34" i="18" s="1"/>
  <c r="BF36" i="13"/>
  <c r="BE38" i="13"/>
  <c r="BF40" i="13"/>
  <c r="H41" i="15"/>
  <c r="X41" i="16"/>
  <c r="BG41" i="13"/>
  <c r="C41" i="17" s="1"/>
  <c r="Y42" i="16"/>
  <c r="AG42" i="15"/>
  <c r="AX42" i="16"/>
  <c r="BF45" i="13"/>
  <c r="G30" i="14"/>
  <c r="T30" i="14"/>
  <c r="AF30" i="14"/>
  <c r="AS30" i="14"/>
  <c r="G31" i="15"/>
  <c r="BC42" i="15"/>
  <c r="Q42" i="16"/>
  <c r="AG42" i="16"/>
  <c r="AW41" i="16"/>
  <c r="K41" i="17"/>
  <c r="AA41" i="17"/>
  <c r="AQ41" i="17"/>
  <c r="K42" i="18"/>
  <c r="AN39" i="18"/>
  <c r="AN27" i="18"/>
  <c r="AN44" i="18"/>
  <c r="AN40" i="18"/>
  <c r="AN36" i="18"/>
  <c r="AN32" i="18"/>
  <c r="AN24" i="18"/>
  <c r="AN45" i="18"/>
  <c r="AN37" i="18"/>
  <c r="AN33" i="18"/>
  <c r="AN29" i="18"/>
  <c r="AN25" i="18"/>
  <c r="AN46" i="18"/>
  <c r="AN38" i="18"/>
  <c r="AN30" i="18"/>
  <c r="AN22" i="18"/>
  <c r="AN17" i="18"/>
  <c r="AN13" i="18"/>
  <c r="AN9" i="18"/>
  <c r="AN5" i="18"/>
  <c r="AN14" i="18"/>
  <c r="AN10" i="18"/>
  <c r="AN6" i="18"/>
  <c r="AN2" i="18"/>
  <c r="AN21" i="18"/>
  <c r="AN19" i="18"/>
  <c r="AN16" i="18"/>
  <c r="AN8" i="18"/>
  <c r="G45" i="27"/>
  <c r="G41" i="27"/>
  <c r="G37" i="27"/>
  <c r="G33" i="27"/>
  <c r="G46" i="27"/>
  <c r="G42" i="27"/>
  <c r="G38" i="27"/>
  <c r="G34" i="27"/>
  <c r="G35" i="27"/>
  <c r="G32" i="27"/>
  <c r="G26" i="27"/>
  <c r="G22" i="27"/>
  <c r="G18" i="27"/>
  <c r="G31" i="27"/>
  <c r="G30" i="27"/>
  <c r="G44" i="27"/>
  <c r="G27" i="27"/>
  <c r="G36" i="27"/>
  <c r="G28" i="27"/>
  <c r="G24" i="27"/>
  <c r="G20" i="27"/>
  <c r="G16" i="27"/>
  <c r="G15" i="27"/>
  <c r="G11" i="27"/>
  <c r="G7" i="27"/>
  <c r="G40" i="27"/>
  <c r="G21" i="27"/>
  <c r="G43" i="27"/>
  <c r="G29" i="27"/>
  <c r="G39" i="27"/>
  <c r="G19" i="27"/>
  <c r="G13" i="27"/>
  <c r="G9" i="27"/>
  <c r="G23" i="27"/>
  <c r="G4" i="27"/>
  <c r="G8" i="27"/>
  <c r="G25" i="27"/>
  <c r="G14" i="27"/>
  <c r="G5" i="27"/>
  <c r="G2" i="27"/>
  <c r="G12" i="27"/>
  <c r="G3" i="27"/>
  <c r="G10" i="27"/>
  <c r="G17" i="27"/>
  <c r="G6" i="27"/>
  <c r="AU3" i="27"/>
  <c r="Q45" i="28"/>
  <c r="Q41" i="28"/>
  <c r="Q37" i="28"/>
  <c r="Q46" i="28"/>
  <c r="Q42" i="28"/>
  <c r="Q39" i="28"/>
  <c r="Q33" i="28"/>
  <c r="Q29" i="28"/>
  <c r="Q44" i="28"/>
  <c r="Q36" i="28"/>
  <c r="Q43" i="28"/>
  <c r="Q35" i="28"/>
  <c r="Q31" i="28"/>
  <c r="Q28" i="28"/>
  <c r="Q25" i="28"/>
  <c r="Q21" i="28"/>
  <c r="Q40" i="28"/>
  <c r="Q27" i="28"/>
  <c r="Q23" i="28"/>
  <c r="Q32" i="28"/>
  <c r="Q17" i="28"/>
  <c r="Q13" i="28"/>
  <c r="Q9" i="28"/>
  <c r="Q26" i="28"/>
  <c r="Q20" i="28"/>
  <c r="Q19" i="28"/>
  <c r="Q15" i="28"/>
  <c r="Q11" i="28"/>
  <c r="Q12" i="28"/>
  <c r="Q24" i="28"/>
  <c r="Q7" i="28"/>
  <c r="Q5" i="28"/>
  <c r="Q18" i="28"/>
  <c r="Q14" i="28"/>
  <c r="Q3" i="28"/>
  <c r="G44" i="16"/>
  <c r="AC42" i="15"/>
  <c r="G31" i="16"/>
  <c r="BG22" i="24"/>
  <c r="AD22" i="28" s="1"/>
  <c r="BG22" i="13"/>
  <c r="BD10" i="24"/>
  <c r="BA10" i="25" s="1"/>
  <c r="BD10" i="13"/>
  <c r="BD18" i="24"/>
  <c r="AJ18" i="25" s="1"/>
  <c r="BD18" i="13"/>
  <c r="BD26" i="24"/>
  <c r="BD26" i="13"/>
  <c r="AF41" i="25"/>
  <c r="AF29" i="25"/>
  <c r="AF30" i="25"/>
  <c r="AF14" i="25"/>
  <c r="BD7" i="24"/>
  <c r="BD7" i="13"/>
  <c r="BG8" i="24"/>
  <c r="AI8" i="28" s="1"/>
  <c r="BG8" i="13"/>
  <c r="BD15" i="24"/>
  <c r="AR15" i="25" s="1"/>
  <c r="BD15" i="13"/>
  <c r="BA15" i="18" s="1"/>
  <c r="BG16" i="24"/>
  <c r="C16" i="28" s="1"/>
  <c r="BG16" i="13"/>
  <c r="BD23" i="24"/>
  <c r="BD23" i="13"/>
  <c r="BG24" i="24"/>
  <c r="S24" i="28" s="1"/>
  <c r="BG24" i="13"/>
  <c r="I47" i="24"/>
  <c r="I30" i="14"/>
  <c r="Q47" i="24"/>
  <c r="Q30" i="14"/>
  <c r="Y47" i="24"/>
  <c r="Y30" i="14"/>
  <c r="AG47" i="24"/>
  <c r="AG30" i="14"/>
  <c r="AO47" i="24"/>
  <c r="AO30" i="14"/>
  <c r="AW47" i="24"/>
  <c r="AW30" i="14"/>
  <c r="C48" i="24"/>
  <c r="C48" i="13"/>
  <c r="C42" i="15" s="1"/>
  <c r="K48" i="24"/>
  <c r="K42" i="15"/>
  <c r="S48" i="24"/>
  <c r="AA48" i="24"/>
  <c r="AA42" i="15"/>
  <c r="AI48" i="24"/>
  <c r="AI41" i="15"/>
  <c r="AQ48" i="24"/>
  <c r="AY48" i="24"/>
  <c r="AY41" i="15"/>
  <c r="E49" i="24"/>
  <c r="E42" i="16"/>
  <c r="M49" i="24"/>
  <c r="M42" i="16"/>
  <c r="U49" i="24"/>
  <c r="AC49" i="24"/>
  <c r="AC42" i="16"/>
  <c r="AK49" i="24"/>
  <c r="AK42" i="16"/>
  <c r="AS49" i="24"/>
  <c r="AS42" i="16"/>
  <c r="BA49" i="24"/>
  <c r="G50" i="24"/>
  <c r="G31" i="17"/>
  <c r="O50" i="24"/>
  <c r="O41" i="17"/>
  <c r="W50" i="24"/>
  <c r="W42" i="17"/>
  <c r="AE50" i="24"/>
  <c r="AE42" i="17"/>
  <c r="AM50" i="24"/>
  <c r="AU50" i="24"/>
  <c r="AU42" i="17"/>
  <c r="BC50" i="24"/>
  <c r="BC41" i="17"/>
  <c r="I51" i="24"/>
  <c r="I42" i="18"/>
  <c r="Q51" i="24"/>
  <c r="Q42" i="18"/>
  <c r="Y51" i="24"/>
  <c r="Y42" i="18"/>
  <c r="AG51" i="24"/>
  <c r="AO51" i="24"/>
  <c r="AO41" i="18"/>
  <c r="AW51" i="24"/>
  <c r="AW42" i="18"/>
  <c r="BE4" i="13"/>
  <c r="BF7" i="13"/>
  <c r="BF10" i="13"/>
  <c r="BG13" i="13"/>
  <c r="BE17" i="13"/>
  <c r="BE20" i="13"/>
  <c r="BF23" i="13"/>
  <c r="BF26" i="13"/>
  <c r="BG29" i="13"/>
  <c r="BE34" i="13"/>
  <c r="BG36" i="13"/>
  <c r="G39" i="16"/>
  <c r="BG40" i="13"/>
  <c r="AG41" i="15"/>
  <c r="BD43" i="13"/>
  <c r="BG45" i="13"/>
  <c r="H30" i="14"/>
  <c r="U30" i="14"/>
  <c r="AI30" i="14"/>
  <c r="AU30" i="14"/>
  <c r="Y41" i="15"/>
  <c r="C49" i="13"/>
  <c r="C41" i="16" s="1"/>
  <c r="S41" i="16"/>
  <c r="AI42" i="16"/>
  <c r="AY41" i="16"/>
  <c r="M42" i="17"/>
  <c r="AC42" i="17"/>
  <c r="AT41" i="17"/>
  <c r="M42" i="18"/>
  <c r="AS42" i="18"/>
  <c r="BG18" i="24"/>
  <c r="AO18" i="28" s="1"/>
  <c r="BG18" i="13"/>
  <c r="BD25" i="24"/>
  <c r="BD25" i="13"/>
  <c r="BE36" i="24"/>
  <c r="W36" i="26" s="1"/>
  <c r="BE36" i="13"/>
  <c r="C45" i="25"/>
  <c r="C19" i="25"/>
  <c r="C9" i="25"/>
  <c r="C15" i="25"/>
  <c r="U43" i="26"/>
  <c r="U39" i="26"/>
  <c r="U35" i="26"/>
  <c r="U44" i="26"/>
  <c r="U40" i="26"/>
  <c r="U46" i="26"/>
  <c r="U42" i="26"/>
  <c r="U31" i="26"/>
  <c r="U27" i="26"/>
  <c r="U23" i="26"/>
  <c r="U19" i="26"/>
  <c r="U38" i="26"/>
  <c r="U37" i="26"/>
  <c r="U32" i="26"/>
  <c r="U28" i="26"/>
  <c r="U24" i="26"/>
  <c r="U20" i="26"/>
  <c r="U45" i="26"/>
  <c r="U34" i="26"/>
  <c r="U33" i="26"/>
  <c r="U29" i="26"/>
  <c r="U25" i="26"/>
  <c r="U21" i="26"/>
  <c r="U17" i="26"/>
  <c r="U13" i="26"/>
  <c r="U9" i="26"/>
  <c r="U22" i="26"/>
  <c r="U26" i="26"/>
  <c r="U18" i="26"/>
  <c r="U14" i="26"/>
  <c r="U10" i="26"/>
  <c r="U6" i="26"/>
  <c r="U30" i="26"/>
  <c r="U15" i="26"/>
  <c r="U11" i="26"/>
  <c r="U7" i="26"/>
  <c r="U41" i="26"/>
  <c r="U16" i="26"/>
  <c r="U12" i="26"/>
  <c r="U8" i="26"/>
  <c r="U5" i="26"/>
  <c r="U3" i="26"/>
  <c r="U4" i="26"/>
  <c r="U2" i="26"/>
  <c r="BA31" i="26"/>
  <c r="BA15" i="26"/>
  <c r="AE45" i="27"/>
  <c r="AE41" i="27"/>
  <c r="AE37" i="27"/>
  <c r="AE33" i="27"/>
  <c r="AE46" i="27"/>
  <c r="AE42" i="27"/>
  <c r="AE38" i="27"/>
  <c r="AE34" i="27"/>
  <c r="AE26" i="27"/>
  <c r="AE22" i="27"/>
  <c r="AE18" i="27"/>
  <c r="AE44" i="27"/>
  <c r="AE40" i="27"/>
  <c r="AE27" i="27"/>
  <c r="AE28" i="27"/>
  <c r="AE24" i="27"/>
  <c r="AE20" i="27"/>
  <c r="AE16" i="27"/>
  <c r="AE35" i="27"/>
  <c r="AE30" i="27"/>
  <c r="AE15" i="27"/>
  <c r="AE11" i="27"/>
  <c r="AE7" i="27"/>
  <c r="AE21" i="27"/>
  <c r="AE25" i="27"/>
  <c r="AE31" i="27"/>
  <c r="AE13" i="27"/>
  <c r="AE9" i="27"/>
  <c r="AE36" i="27"/>
  <c r="AE19" i="27"/>
  <c r="AE17" i="27"/>
  <c r="AE10" i="27"/>
  <c r="AE39" i="27"/>
  <c r="AE14" i="27"/>
  <c r="AE12" i="27"/>
  <c r="AE5" i="27"/>
  <c r="AE4" i="27"/>
  <c r="AE32" i="27"/>
  <c r="AE29" i="27"/>
  <c r="AE2" i="27"/>
  <c r="AE43" i="27"/>
  <c r="AE23" i="27"/>
  <c r="AE8" i="27"/>
  <c r="AE6" i="27"/>
  <c r="AE3" i="27"/>
  <c r="I45" i="28"/>
  <c r="I41" i="28"/>
  <c r="I37" i="28"/>
  <c r="I46" i="28"/>
  <c r="I42" i="28"/>
  <c r="I43" i="28"/>
  <c r="I35" i="28"/>
  <c r="I33" i="28"/>
  <c r="I29" i="28"/>
  <c r="I40" i="28"/>
  <c r="I39" i="28"/>
  <c r="I31" i="28"/>
  <c r="I28" i="28"/>
  <c r="I25" i="28"/>
  <c r="I21" i="28"/>
  <c r="I44" i="28"/>
  <c r="I27" i="28"/>
  <c r="I23" i="28"/>
  <c r="I16" i="28"/>
  <c r="I36" i="28"/>
  <c r="I32" i="28"/>
  <c r="I20" i="28"/>
  <c r="I17" i="28"/>
  <c r="I13" i="28"/>
  <c r="I9" i="28"/>
  <c r="I26" i="28"/>
  <c r="I19" i="28"/>
  <c r="I15" i="28"/>
  <c r="I11" i="28"/>
  <c r="I10" i="28"/>
  <c r="I18" i="28"/>
  <c r="I24" i="28"/>
  <c r="I7" i="28"/>
  <c r="I8" i="28"/>
  <c r="I12" i="28"/>
  <c r="I5" i="28"/>
  <c r="I3" i="28"/>
  <c r="M41" i="15"/>
  <c r="AY30" i="17"/>
  <c r="BD3" i="24"/>
  <c r="BA3" i="25" s="1"/>
  <c r="BD3" i="13"/>
  <c r="BG6" i="24"/>
  <c r="AQ6" i="28" s="1"/>
  <c r="BG6" i="13"/>
  <c r="BD13" i="24"/>
  <c r="AJ13" i="25" s="1"/>
  <c r="BD13" i="13"/>
  <c r="BA13" i="18" s="1"/>
  <c r="BG14" i="24"/>
  <c r="M14" i="28" s="1"/>
  <c r="BG14" i="13"/>
  <c r="BD21" i="24"/>
  <c r="BA21" i="25" s="1"/>
  <c r="BD21" i="13"/>
  <c r="BD4" i="24"/>
  <c r="AN4" i="25" s="1"/>
  <c r="BD4" i="13"/>
  <c r="BD12" i="24"/>
  <c r="D12" i="25" s="1"/>
  <c r="BD12" i="13"/>
  <c r="BA12" i="18" s="1"/>
  <c r="BD20" i="24"/>
  <c r="BD20" i="13"/>
  <c r="BD28" i="24"/>
  <c r="BD28" i="13"/>
  <c r="B47" i="24"/>
  <c r="B47" i="13"/>
  <c r="B30" i="14" s="1"/>
  <c r="J47" i="24"/>
  <c r="J30" i="14"/>
  <c r="R47" i="24"/>
  <c r="R30" i="14"/>
  <c r="AH47" i="24"/>
  <c r="AH30" i="14"/>
  <c r="AP47" i="24"/>
  <c r="AX47" i="24"/>
  <c r="AX30" i="14"/>
  <c r="D48" i="24"/>
  <c r="D41" i="15"/>
  <c r="L48" i="24"/>
  <c r="T48" i="24"/>
  <c r="T41" i="15"/>
  <c r="AB48" i="24"/>
  <c r="AB42" i="15"/>
  <c r="AJ48" i="24"/>
  <c r="AJ41" i="15"/>
  <c r="AR48" i="24"/>
  <c r="AR41" i="15"/>
  <c r="AZ48" i="24"/>
  <c r="AZ41" i="15"/>
  <c r="F49" i="24"/>
  <c r="F42" i="16"/>
  <c r="N49" i="24"/>
  <c r="V49" i="24"/>
  <c r="V42" i="16"/>
  <c r="AD49" i="24"/>
  <c r="AD42" i="16"/>
  <c r="AL49" i="24"/>
  <c r="AL42" i="16"/>
  <c r="AT49" i="24"/>
  <c r="BB49" i="24"/>
  <c r="H50" i="24"/>
  <c r="H42" i="17"/>
  <c r="P50" i="24"/>
  <c r="P42" i="17"/>
  <c r="X50" i="24"/>
  <c r="X41" i="17"/>
  <c r="AF50" i="24"/>
  <c r="AN50" i="24"/>
  <c r="AN42" i="17"/>
  <c r="AV50" i="24"/>
  <c r="AV42" i="17"/>
  <c r="B51" i="24"/>
  <c r="B51" i="13"/>
  <c r="B41" i="18" s="1"/>
  <c r="J51" i="24"/>
  <c r="J42" i="18"/>
  <c r="R51" i="24"/>
  <c r="R42" i="18"/>
  <c r="Z51" i="24"/>
  <c r="Z41" i="18"/>
  <c r="AH51" i="24"/>
  <c r="AH41" i="18"/>
  <c r="AP51" i="24"/>
  <c r="AX51" i="24"/>
  <c r="AX42" i="18"/>
  <c r="BF4" i="13"/>
  <c r="BG7" i="13"/>
  <c r="BE11" i="13"/>
  <c r="BE14" i="13"/>
  <c r="BF17" i="13"/>
  <c r="BF20" i="13"/>
  <c r="BG23" i="13"/>
  <c r="BE27" i="13"/>
  <c r="BF32" i="13"/>
  <c r="G32" i="16" s="1"/>
  <c r="BF34" i="13"/>
  <c r="BD39" i="13"/>
  <c r="C42" i="18"/>
  <c r="S42" i="15"/>
  <c r="AR42" i="18"/>
  <c r="AR42" i="17"/>
  <c r="BE43" i="13"/>
  <c r="K30" i="14"/>
  <c r="W30" i="14"/>
  <c r="AJ30" i="14"/>
  <c r="AV30" i="14"/>
  <c r="J41" i="15"/>
  <c r="Z42" i="15"/>
  <c r="AZ42" i="16"/>
  <c r="N4" i="17"/>
  <c r="AD42" i="17"/>
  <c r="AW42" i="17"/>
  <c r="P42" i="18"/>
  <c r="G30" i="16"/>
  <c r="G38" i="17"/>
  <c r="G38" i="15"/>
  <c r="B41" i="17"/>
  <c r="R41" i="17"/>
  <c r="R41" i="16"/>
  <c r="B42" i="17"/>
  <c r="B42" i="16"/>
  <c r="R42" i="17"/>
  <c r="R42" i="16"/>
  <c r="AQ42" i="17"/>
  <c r="G43" i="16"/>
  <c r="AU42" i="18"/>
  <c r="BC41" i="18"/>
  <c r="AV27" i="18"/>
  <c r="AV23" i="18"/>
  <c r="AV44" i="18"/>
  <c r="AV20" i="18"/>
  <c r="AV45" i="18"/>
  <c r="AV37" i="18"/>
  <c r="AV34" i="18"/>
  <c r="AV30" i="18"/>
  <c r="AV26" i="18"/>
  <c r="AV18" i="18"/>
  <c r="AV14" i="18"/>
  <c r="AV10" i="18"/>
  <c r="AV19" i="18"/>
  <c r="AV16" i="18"/>
  <c r="AV12" i="18"/>
  <c r="G37" i="16"/>
  <c r="G40" i="17"/>
  <c r="G40" i="16"/>
  <c r="U41" i="15"/>
  <c r="AK41" i="17"/>
  <c r="U42" i="15"/>
  <c r="AK42" i="17"/>
  <c r="BC42" i="16"/>
  <c r="G34" i="18"/>
  <c r="G34" i="16"/>
  <c r="F41" i="18"/>
  <c r="F41" i="17"/>
  <c r="AL41" i="18"/>
  <c r="AL41" i="17"/>
  <c r="AU41" i="18"/>
  <c r="F42" i="18"/>
  <c r="F42" i="17"/>
  <c r="V42" i="15"/>
  <c r="AL42" i="18"/>
  <c r="AZ42" i="18"/>
  <c r="AC41" i="17" l="1"/>
  <c r="AF3" i="25"/>
  <c r="AF44" i="25"/>
  <c r="AF32" i="25"/>
  <c r="AF45" i="25"/>
  <c r="T18" i="27"/>
  <c r="BC14" i="25"/>
  <c r="BC11" i="25"/>
  <c r="BC43" i="25"/>
  <c r="BC34" i="25"/>
  <c r="AK10" i="25"/>
  <c r="AK35" i="25"/>
  <c r="AK31" i="25"/>
  <c r="U13" i="25"/>
  <c r="U35" i="25"/>
  <c r="AQ8" i="25"/>
  <c r="C17" i="25"/>
  <c r="C36" i="25"/>
  <c r="C31" i="25"/>
  <c r="C32" i="25"/>
  <c r="AF11" i="25"/>
  <c r="AF46" i="25"/>
  <c r="AF34" i="25"/>
  <c r="AF31" i="25"/>
  <c r="T44" i="27"/>
  <c r="BC15" i="25"/>
  <c r="BC37" i="25"/>
  <c r="BC44" i="25"/>
  <c r="BC19" i="25"/>
  <c r="AK11" i="25"/>
  <c r="AK36" i="25"/>
  <c r="AK46" i="25"/>
  <c r="U14" i="25"/>
  <c r="U36" i="25"/>
  <c r="AQ41" i="25"/>
  <c r="C5" i="25"/>
  <c r="C24" i="25"/>
  <c r="C41" i="25"/>
  <c r="C25" i="25"/>
  <c r="AF16" i="25"/>
  <c r="AF15" i="25"/>
  <c r="AF5" i="25"/>
  <c r="AF24" i="25"/>
  <c r="AF35" i="25"/>
  <c r="BC16" i="25"/>
  <c r="BC38" i="25"/>
  <c r="BC45" i="25"/>
  <c r="BC27" i="25"/>
  <c r="AK14" i="25"/>
  <c r="AK38" i="25"/>
  <c r="U2" i="25"/>
  <c r="U41" i="25"/>
  <c r="U22" i="25"/>
  <c r="AQ15" i="25"/>
  <c r="C16" i="25"/>
  <c r="C35" i="25"/>
  <c r="C27" i="25"/>
  <c r="C46" i="25"/>
  <c r="AQ46" i="25"/>
  <c r="C6" i="25"/>
  <c r="C37" i="25"/>
  <c r="C43" i="25"/>
  <c r="C29" i="25"/>
  <c r="AF2" i="25"/>
  <c r="AF19" i="25"/>
  <c r="AF9" i="25"/>
  <c r="AF36" i="25"/>
  <c r="AF39" i="25"/>
  <c r="AZ2" i="27"/>
  <c r="AW12" i="26"/>
  <c r="BC17" i="25"/>
  <c r="BC30" i="25"/>
  <c r="BC46" i="25"/>
  <c r="BC35" i="25"/>
  <c r="AK19" i="25"/>
  <c r="AK39" i="25"/>
  <c r="U17" i="25"/>
  <c r="U43" i="25"/>
  <c r="U30" i="25"/>
  <c r="AQ36" i="25"/>
  <c r="C2" i="25"/>
  <c r="C38" i="25"/>
  <c r="C44" i="25"/>
  <c r="C33" i="25"/>
  <c r="AF6" i="25"/>
  <c r="AF27" i="25"/>
  <c r="AF17" i="25"/>
  <c r="AF38" i="25"/>
  <c r="AF43" i="25"/>
  <c r="AZ39" i="27"/>
  <c r="Z10" i="26"/>
  <c r="BC5" i="25"/>
  <c r="BC39" i="25"/>
  <c r="BC24" i="25"/>
  <c r="BC36" i="25"/>
  <c r="AK17" i="25"/>
  <c r="AK41" i="25"/>
  <c r="U6" i="25"/>
  <c r="U44" i="25"/>
  <c r="U38" i="25"/>
  <c r="C11" i="25"/>
  <c r="C7" i="25"/>
  <c r="C39" i="25"/>
  <c r="C26" i="25"/>
  <c r="C34" i="25"/>
  <c r="AF26" i="25"/>
  <c r="AF40" i="25"/>
  <c r="AF21" i="25"/>
  <c r="AF33" i="25"/>
  <c r="BC6" i="25"/>
  <c r="BC40" i="25"/>
  <c r="BC31" i="25"/>
  <c r="AG41" i="28"/>
  <c r="BC33" i="26"/>
  <c r="AK6" i="25"/>
  <c r="AK43" i="25"/>
  <c r="U7" i="25"/>
  <c r="U31" i="25"/>
  <c r="U39" i="25"/>
  <c r="C14" i="25"/>
  <c r="C8" i="25"/>
  <c r="C40" i="25"/>
  <c r="AF8" i="25"/>
  <c r="AF42" i="25"/>
  <c r="AF25" i="25"/>
  <c r="BC8" i="25"/>
  <c r="BC41" i="25"/>
  <c r="BC44" i="26"/>
  <c r="AK23" i="25"/>
  <c r="U19" i="25"/>
  <c r="K30" i="27"/>
  <c r="K14" i="27"/>
  <c r="K24" i="27"/>
  <c r="K21" i="28"/>
  <c r="K42" i="28"/>
  <c r="K4" i="27"/>
  <c r="K8" i="27"/>
  <c r="K19" i="27"/>
  <c r="K45" i="27"/>
  <c r="K28" i="27"/>
  <c r="K43" i="27"/>
  <c r="K9" i="28"/>
  <c r="K23" i="28"/>
  <c r="K36" i="28"/>
  <c r="K32" i="27"/>
  <c r="K34" i="27"/>
  <c r="K39" i="27"/>
  <c r="K15" i="28"/>
  <c r="K32" i="28"/>
  <c r="K27" i="27"/>
  <c r="K7" i="27"/>
  <c r="K5" i="27"/>
  <c r="K25" i="27"/>
  <c r="K46" i="27"/>
  <c r="K28" i="28"/>
  <c r="K25" i="28"/>
  <c r="K44" i="28"/>
  <c r="K3" i="27"/>
  <c r="K11" i="27"/>
  <c r="K9" i="27"/>
  <c r="K29" i="27"/>
  <c r="K36" i="27"/>
  <c r="K33" i="28"/>
  <c r="K3" i="28"/>
  <c r="K27" i="28"/>
  <c r="K37" i="28"/>
  <c r="K10" i="27"/>
  <c r="K15" i="27"/>
  <c r="K13" i="27"/>
  <c r="K38" i="27"/>
  <c r="K40" i="27"/>
  <c r="K19" i="28"/>
  <c r="K17" i="28"/>
  <c r="K45" i="28"/>
  <c r="K37" i="27"/>
  <c r="K21" i="27"/>
  <c r="K17" i="27"/>
  <c r="K18" i="27"/>
  <c r="K42" i="27"/>
  <c r="K7" i="28"/>
  <c r="K20" i="28"/>
  <c r="G43" i="15"/>
  <c r="AY17" i="17"/>
  <c r="AM6" i="25"/>
  <c r="G46" i="18"/>
  <c r="U42" i="17"/>
  <c r="G40" i="18"/>
  <c r="J41" i="18"/>
  <c r="AY19" i="17"/>
  <c r="AY39" i="17"/>
  <c r="BA22" i="26"/>
  <c r="BA28" i="26"/>
  <c r="AL3" i="28"/>
  <c r="AL39" i="28"/>
  <c r="AL25" i="28"/>
  <c r="AL28" i="28"/>
  <c r="AL46" i="28"/>
  <c r="AR46" i="27"/>
  <c r="L30" i="27"/>
  <c r="J17" i="26"/>
  <c r="AU13" i="25"/>
  <c r="AU34" i="25"/>
  <c r="AU39" i="25"/>
  <c r="AU19" i="25"/>
  <c r="AM11" i="25"/>
  <c r="AM30" i="25"/>
  <c r="AM37" i="25"/>
  <c r="AM43" i="25"/>
  <c r="AM35" i="26"/>
  <c r="M17" i="25"/>
  <c r="M36" i="25"/>
  <c r="M31" i="25"/>
  <c r="AC11" i="25"/>
  <c r="AC46" i="25"/>
  <c r="AC30" i="25"/>
  <c r="E37" i="25"/>
  <c r="T41" i="25"/>
  <c r="AC34" i="25"/>
  <c r="G40" i="15"/>
  <c r="AY28" i="17"/>
  <c r="BA17" i="26"/>
  <c r="AM29" i="25"/>
  <c r="AM33" i="26"/>
  <c r="AC44" i="25"/>
  <c r="AC38" i="25"/>
  <c r="G43" i="18"/>
  <c r="G37" i="15"/>
  <c r="AY2" i="17"/>
  <c r="AY43" i="17"/>
  <c r="BA11" i="26"/>
  <c r="BA32" i="26"/>
  <c r="AL7" i="28"/>
  <c r="AL12" i="28"/>
  <c r="AL43" i="28"/>
  <c r="AL32" i="28"/>
  <c r="L38" i="27"/>
  <c r="J25" i="26"/>
  <c r="AM17" i="27"/>
  <c r="AU14" i="25"/>
  <c r="AU26" i="25"/>
  <c r="AU40" i="25"/>
  <c r="AU27" i="25"/>
  <c r="AM13" i="25"/>
  <c r="AM31" i="25"/>
  <c r="AM38" i="25"/>
  <c r="AM44" i="25"/>
  <c r="M3" i="25"/>
  <c r="M38" i="25"/>
  <c r="M46" i="25"/>
  <c r="AC14" i="25"/>
  <c r="AC24" i="25"/>
  <c r="AC43" i="25"/>
  <c r="E38" i="25"/>
  <c r="T9" i="25"/>
  <c r="G37" i="18"/>
  <c r="AY34" i="17"/>
  <c r="BA6" i="26"/>
  <c r="BA34" i="26"/>
  <c r="G39" i="15"/>
  <c r="AY24" i="17"/>
  <c r="AY8" i="17"/>
  <c r="E26" i="25"/>
  <c r="AU2" i="27"/>
  <c r="AL5" i="28"/>
  <c r="AL35" i="28"/>
  <c r="AL27" i="28"/>
  <c r="AL41" i="28"/>
  <c r="V45" i="28"/>
  <c r="AM44" i="27"/>
  <c r="AU17" i="25"/>
  <c r="AU35" i="25"/>
  <c r="AU24" i="25"/>
  <c r="AU32" i="25"/>
  <c r="AM16" i="25"/>
  <c r="AM33" i="25"/>
  <c r="AM39" i="25"/>
  <c r="M8" i="25"/>
  <c r="M40" i="25"/>
  <c r="M22" i="25"/>
  <c r="AM14" i="26"/>
  <c r="AC17" i="25"/>
  <c r="AC35" i="25"/>
  <c r="E46" i="25"/>
  <c r="T38" i="25"/>
  <c r="AU41" i="15"/>
  <c r="BC42" i="18"/>
  <c r="G38" i="18"/>
  <c r="AY13" i="17"/>
  <c r="AY38" i="17"/>
  <c r="BA13" i="26"/>
  <c r="BA45" i="26"/>
  <c r="AU27" i="27"/>
  <c r="AW41" i="15"/>
  <c r="AL9" i="28"/>
  <c r="AL15" i="28"/>
  <c r="AL29" i="28"/>
  <c r="AL36" i="28"/>
  <c r="V32" i="28"/>
  <c r="AR23" i="27"/>
  <c r="AM33" i="27"/>
  <c r="AY26" i="17"/>
  <c r="AU5" i="25"/>
  <c r="AU36" i="25"/>
  <c r="AU43" i="25"/>
  <c r="AM5" i="25"/>
  <c r="AM17" i="25"/>
  <c r="AM34" i="25"/>
  <c r="AM40" i="25"/>
  <c r="T8" i="25"/>
  <c r="M9" i="25"/>
  <c r="M41" i="25"/>
  <c r="M30" i="25"/>
  <c r="AM22" i="26"/>
  <c r="AC19" i="25"/>
  <c r="AC36" i="25"/>
  <c r="T40" i="25"/>
  <c r="AC45" i="25"/>
  <c r="BA39" i="26"/>
  <c r="AM41" i="25"/>
  <c r="G30" i="18"/>
  <c r="G46" i="15"/>
  <c r="AY4" i="17"/>
  <c r="AY32" i="17"/>
  <c r="BA3" i="26"/>
  <c r="BA30" i="26"/>
  <c r="BA43" i="26"/>
  <c r="E23" i="25"/>
  <c r="G44" i="18"/>
  <c r="AU38" i="27"/>
  <c r="AL10" i="28"/>
  <c r="AL20" i="28"/>
  <c r="AL37" i="28"/>
  <c r="AL44" i="28"/>
  <c r="AR25" i="27"/>
  <c r="L9" i="27"/>
  <c r="AG26" i="26"/>
  <c r="AU9" i="25"/>
  <c r="AU8" i="25"/>
  <c r="AU38" i="25"/>
  <c r="AU45" i="25"/>
  <c r="AM8" i="25"/>
  <c r="AM45" i="25"/>
  <c r="AM35" i="25"/>
  <c r="AM19" i="25"/>
  <c r="M14" i="25"/>
  <c r="M11" i="25"/>
  <c r="M44" i="25"/>
  <c r="M35" i="25"/>
  <c r="AC6" i="25"/>
  <c r="AC21" i="25"/>
  <c r="AC39" i="25"/>
  <c r="E14" i="25"/>
  <c r="AC16" i="25"/>
  <c r="AC20" i="25"/>
  <c r="AU35" i="27"/>
  <c r="AG15" i="26"/>
  <c r="AM3" i="25"/>
  <c r="AY15" i="17"/>
  <c r="AY36" i="17"/>
  <c r="BA33" i="26"/>
  <c r="BA24" i="26"/>
  <c r="G32" i="18"/>
  <c r="AL11" i="28"/>
  <c r="AL21" i="28"/>
  <c r="AL45" i="28"/>
  <c r="AR37" i="27"/>
  <c r="L20" i="27"/>
  <c r="AG35" i="26"/>
  <c r="AU11" i="25"/>
  <c r="AU33" i="25"/>
  <c r="AU29" i="25"/>
  <c r="AM9" i="25"/>
  <c r="AM46" i="25"/>
  <c r="AM36" i="25"/>
  <c r="M16" i="25"/>
  <c r="M19" i="25"/>
  <c r="AC9" i="25"/>
  <c r="AC31" i="25"/>
  <c r="E19" i="25"/>
  <c r="AC42" i="28"/>
  <c r="AI45" i="27"/>
  <c r="C37" i="27"/>
  <c r="BC24" i="27"/>
  <c r="N42" i="18"/>
  <c r="P41" i="15"/>
  <c r="AC16" i="28"/>
  <c r="AC15" i="28"/>
  <c r="AC27" i="28"/>
  <c r="AC36" i="28"/>
  <c r="AI12" i="27"/>
  <c r="AI27" i="27"/>
  <c r="AI46" i="27"/>
  <c r="AI34" i="27"/>
  <c r="AI40" i="27"/>
  <c r="C10" i="27"/>
  <c r="C7" i="27"/>
  <c r="C5" i="27"/>
  <c r="C30" i="27"/>
  <c r="C28" i="27"/>
  <c r="C39" i="27"/>
  <c r="Q20" i="26"/>
  <c r="Q17" i="26"/>
  <c r="Q11" i="26"/>
  <c r="Q22" i="26"/>
  <c r="Q35" i="26"/>
  <c r="BC12" i="27"/>
  <c r="BC6" i="27"/>
  <c r="BC7" i="27"/>
  <c r="BC27" i="27"/>
  <c r="BC46" i="27"/>
  <c r="AI24" i="27"/>
  <c r="C45" i="27"/>
  <c r="BC8" i="27"/>
  <c r="AC41" i="18"/>
  <c r="Z42" i="18"/>
  <c r="AC12" i="28"/>
  <c r="AC19" i="28"/>
  <c r="AC29" i="28"/>
  <c r="AC40" i="28"/>
  <c r="AI8" i="27"/>
  <c r="AI32" i="27"/>
  <c r="AI14" i="27"/>
  <c r="AI18" i="27"/>
  <c r="AI38" i="27"/>
  <c r="AI44" i="27"/>
  <c r="C4" i="27"/>
  <c r="C11" i="27"/>
  <c r="C9" i="27"/>
  <c r="C42" i="27"/>
  <c r="C34" i="27"/>
  <c r="C43" i="27"/>
  <c r="Q32" i="26"/>
  <c r="Q8" i="26"/>
  <c r="Q15" i="26"/>
  <c r="Q26" i="26"/>
  <c r="Q44" i="26"/>
  <c r="BC2" i="27"/>
  <c r="BC9" i="27"/>
  <c r="BC11" i="27"/>
  <c r="BC36" i="27"/>
  <c r="BC33" i="27"/>
  <c r="W2" i="27"/>
  <c r="W6" i="27"/>
  <c r="W11" i="27"/>
  <c r="W39" i="27"/>
  <c r="W37" i="27"/>
  <c r="AC39" i="28"/>
  <c r="AI30" i="27"/>
  <c r="BC22" i="27"/>
  <c r="Y42" i="17"/>
  <c r="AO42" i="16"/>
  <c r="AC9" i="28"/>
  <c r="AC20" i="28"/>
  <c r="AC33" i="28"/>
  <c r="AC44" i="28"/>
  <c r="AI21" i="27"/>
  <c r="AI33" i="27"/>
  <c r="AI17" i="27"/>
  <c r="AI22" i="27"/>
  <c r="AI16" i="27"/>
  <c r="AI31" i="27"/>
  <c r="C19" i="27"/>
  <c r="C15" i="27"/>
  <c r="C13" i="27"/>
  <c r="C25" i="27"/>
  <c r="C41" i="27"/>
  <c r="Q6" i="26"/>
  <c r="Q12" i="26"/>
  <c r="Q24" i="26"/>
  <c r="Q30" i="26"/>
  <c r="Q38" i="26"/>
  <c r="BC25" i="27"/>
  <c r="BC13" i="27"/>
  <c r="BC16" i="27"/>
  <c r="BC40" i="27"/>
  <c r="BC37" i="27"/>
  <c r="W14" i="27"/>
  <c r="W9" i="27"/>
  <c r="W15" i="27"/>
  <c r="W18" i="27"/>
  <c r="AC17" i="28"/>
  <c r="AI3" i="27"/>
  <c r="C2" i="27"/>
  <c r="E42" i="18"/>
  <c r="AC3" i="28"/>
  <c r="AC30" i="28"/>
  <c r="AC25" i="28"/>
  <c r="AC31" i="28"/>
  <c r="AI6" i="27"/>
  <c r="AI15" i="27"/>
  <c r="AI5" i="27"/>
  <c r="AI41" i="27"/>
  <c r="AI28" i="27"/>
  <c r="AI43" i="27"/>
  <c r="C6" i="27"/>
  <c r="C12" i="27"/>
  <c r="C14" i="27"/>
  <c r="C18" i="27"/>
  <c r="C16" i="27"/>
  <c r="C44" i="27"/>
  <c r="Q4" i="26"/>
  <c r="Q18" i="26"/>
  <c r="Q28" i="26"/>
  <c r="Q27" i="26"/>
  <c r="Q25" i="26"/>
  <c r="Q37" i="26"/>
  <c r="BC19" i="27"/>
  <c r="BC4" i="27"/>
  <c r="BC21" i="27"/>
  <c r="BC28" i="27"/>
  <c r="BC26" i="27"/>
  <c r="AC21" i="28"/>
  <c r="AI39" i="27"/>
  <c r="C40" i="27"/>
  <c r="AC5" i="28"/>
  <c r="AC32" i="28"/>
  <c r="AC46" i="28"/>
  <c r="AC37" i="28"/>
  <c r="AI2" i="27"/>
  <c r="AI23" i="27"/>
  <c r="AI9" i="27"/>
  <c r="AI25" i="27"/>
  <c r="AI42" i="27"/>
  <c r="C38" i="27"/>
  <c r="C33" i="27"/>
  <c r="C17" i="27"/>
  <c r="C22" i="27"/>
  <c r="C20" i="27"/>
  <c r="C31" i="27"/>
  <c r="Q5" i="26"/>
  <c r="Q9" i="26"/>
  <c r="Q34" i="26"/>
  <c r="Q31" i="26"/>
  <c r="Q29" i="26"/>
  <c r="Q41" i="26"/>
  <c r="BC3" i="27"/>
  <c r="BC5" i="27"/>
  <c r="BC29" i="27"/>
  <c r="BC32" i="27"/>
  <c r="BC34" i="27"/>
  <c r="AI11" i="27"/>
  <c r="C27" i="27"/>
  <c r="BC17" i="27"/>
  <c r="BC45" i="27"/>
  <c r="N42" i="17"/>
  <c r="AD41" i="17"/>
  <c r="AT41" i="18"/>
  <c r="N41" i="17"/>
  <c r="S42" i="16"/>
  <c r="AV41" i="15"/>
  <c r="AC7" i="28"/>
  <c r="AC11" i="28"/>
  <c r="AC23" i="28"/>
  <c r="AI4" i="27"/>
  <c r="AI19" i="27"/>
  <c r="AI13" i="27"/>
  <c r="AI29" i="27"/>
  <c r="C8" i="27"/>
  <c r="C46" i="27"/>
  <c r="C32" i="27"/>
  <c r="C26" i="27"/>
  <c r="C24" i="27"/>
  <c r="Q3" i="26"/>
  <c r="Q13" i="26"/>
  <c r="Q7" i="26"/>
  <c r="Q39" i="26"/>
  <c r="Q33" i="26"/>
  <c r="BC44" i="27"/>
  <c r="BC10" i="27"/>
  <c r="BC14" i="27"/>
  <c r="BC39" i="27"/>
  <c r="BC43" i="27"/>
  <c r="X17" i="25"/>
  <c r="E11" i="25"/>
  <c r="E36" i="25"/>
  <c r="E44" i="25"/>
  <c r="T19" i="25"/>
  <c r="T14" i="25"/>
  <c r="T30" i="25"/>
  <c r="E17" i="25"/>
  <c r="E39" i="25"/>
  <c r="T28" i="25"/>
  <c r="T31" i="25"/>
  <c r="AB7" i="25"/>
  <c r="O17" i="25"/>
  <c r="E6" i="25"/>
  <c r="E41" i="25"/>
  <c r="AB46" i="25"/>
  <c r="T46" i="25"/>
  <c r="T35" i="25"/>
  <c r="O37" i="25"/>
  <c r="E32" i="25"/>
  <c r="E27" i="25"/>
  <c r="AB31" i="25"/>
  <c r="T23" i="25"/>
  <c r="T39" i="25"/>
  <c r="AP30" i="14"/>
  <c r="AP2" i="14"/>
  <c r="X14" i="25"/>
  <c r="O44" i="25"/>
  <c r="E9" i="25"/>
  <c r="E34" i="25"/>
  <c r="E31" i="25"/>
  <c r="AY2" i="25"/>
  <c r="T6" i="25"/>
  <c r="T34" i="25"/>
  <c r="T43" i="25"/>
  <c r="X19" i="25"/>
  <c r="E10" i="25"/>
  <c r="E35" i="25"/>
  <c r="AY35" i="25"/>
  <c r="T10" i="25"/>
  <c r="T36" i="25"/>
  <c r="AN30" i="14"/>
  <c r="AN2" i="14"/>
  <c r="AQ16" i="25"/>
  <c r="AQ9" i="25"/>
  <c r="AQ42" i="25"/>
  <c r="AQ31" i="25"/>
  <c r="AQ21" i="25"/>
  <c r="AQ2" i="25"/>
  <c r="AQ11" i="25"/>
  <c r="AQ43" i="25"/>
  <c r="AQ32" i="25"/>
  <c r="AQ25" i="25"/>
  <c r="AQ17" i="25"/>
  <c r="AQ13" i="25"/>
  <c r="AQ44" i="25"/>
  <c r="AQ26" i="25"/>
  <c r="AQ29" i="25"/>
  <c r="AQ18" i="25"/>
  <c r="AQ14" i="25"/>
  <c r="AQ19" i="25"/>
  <c r="AQ30" i="25"/>
  <c r="AQ37" i="25"/>
  <c r="AQ5" i="25"/>
  <c r="AQ39" i="25"/>
  <c r="AQ23" i="25"/>
  <c r="AQ33" i="25"/>
  <c r="AQ38" i="25"/>
  <c r="AQ6" i="25"/>
  <c r="AQ40" i="25"/>
  <c r="AQ27" i="25"/>
  <c r="AQ34" i="25"/>
  <c r="AQ7" i="25"/>
  <c r="AQ24" i="25"/>
  <c r="AQ45" i="25"/>
  <c r="U40" i="18"/>
  <c r="U44" i="18"/>
  <c r="U19" i="18"/>
  <c r="U14" i="18"/>
  <c r="BA37" i="26"/>
  <c r="AY45" i="17"/>
  <c r="U23" i="18"/>
  <c r="AU12" i="27"/>
  <c r="AU46" i="27"/>
  <c r="V7" i="28"/>
  <c r="N3" i="28"/>
  <c r="AZ18" i="27"/>
  <c r="AR2" i="27"/>
  <c r="AR40" i="27"/>
  <c r="L2" i="27"/>
  <c r="L35" i="27"/>
  <c r="J32" i="26"/>
  <c r="Y25" i="28"/>
  <c r="AM23" i="27"/>
  <c r="AG28" i="26"/>
  <c r="AG40" i="26"/>
  <c r="AG11" i="28"/>
  <c r="BC19" i="26"/>
  <c r="AM25" i="26"/>
  <c r="AW46" i="26"/>
  <c r="AW43" i="26"/>
  <c r="AW23" i="26"/>
  <c r="AW8" i="26"/>
  <c r="AW14" i="26"/>
  <c r="AW42" i="26"/>
  <c r="AW30" i="26"/>
  <c r="AW19" i="26"/>
  <c r="AW32" i="26"/>
  <c r="AW10" i="26"/>
  <c r="AW38" i="26"/>
  <c r="AW26" i="26"/>
  <c r="AW15" i="26"/>
  <c r="AW20" i="26"/>
  <c r="AW6" i="26"/>
  <c r="AW44" i="26"/>
  <c r="AW22" i="26"/>
  <c r="AW11" i="26"/>
  <c r="AW24" i="26"/>
  <c r="AW28" i="26"/>
  <c r="AW39" i="26"/>
  <c r="AW34" i="26"/>
  <c r="AW7" i="26"/>
  <c r="AW17" i="26"/>
  <c r="AW3" i="26"/>
  <c r="AW37" i="26"/>
  <c r="AW25" i="26"/>
  <c r="AW31" i="26"/>
  <c r="AW16" i="26"/>
  <c r="AW9" i="26"/>
  <c r="AW4" i="26"/>
  <c r="T46" i="27"/>
  <c r="T25" i="27"/>
  <c r="T27" i="27"/>
  <c r="T12" i="27"/>
  <c r="T3" i="27"/>
  <c r="T42" i="27"/>
  <c r="T21" i="27"/>
  <c r="T32" i="27"/>
  <c r="T8" i="27"/>
  <c r="T11" i="27"/>
  <c r="T43" i="27"/>
  <c r="T38" i="27"/>
  <c r="T37" i="27"/>
  <c r="T20" i="27"/>
  <c r="T2" i="27"/>
  <c r="T5" i="27"/>
  <c r="T39" i="27"/>
  <c r="T34" i="27"/>
  <c r="T33" i="27"/>
  <c r="T24" i="27"/>
  <c r="T22" i="27"/>
  <c r="T13" i="27"/>
  <c r="T35" i="27"/>
  <c r="T30" i="27"/>
  <c r="T31" i="27"/>
  <c r="T19" i="27"/>
  <c r="T9" i="27"/>
  <c r="T16" i="27"/>
  <c r="T40" i="27"/>
  <c r="T41" i="27"/>
  <c r="T14" i="27"/>
  <c r="T23" i="27"/>
  <c r="T15" i="27"/>
  <c r="T7" i="27"/>
  <c r="Z46" i="26"/>
  <c r="Z41" i="26"/>
  <c r="Z20" i="26"/>
  <c r="Z17" i="26"/>
  <c r="Z7" i="26"/>
  <c r="Z15" i="26"/>
  <c r="Z43" i="26"/>
  <c r="Z31" i="26"/>
  <c r="Z16" i="26"/>
  <c r="Z13" i="26"/>
  <c r="Z14" i="26"/>
  <c r="Z5" i="26"/>
  <c r="Z39" i="26"/>
  <c r="Z40" i="26"/>
  <c r="Z12" i="26"/>
  <c r="Z9" i="26"/>
  <c r="Z6" i="26"/>
  <c r="Z3" i="26"/>
  <c r="Z44" i="26"/>
  <c r="Z38" i="26"/>
  <c r="Z8" i="26"/>
  <c r="Z23" i="26"/>
  <c r="Z4" i="26"/>
  <c r="Z2" i="26"/>
  <c r="Z42" i="26"/>
  <c r="Z33" i="26"/>
  <c r="Z29" i="26"/>
  <c r="Z19" i="26"/>
  <c r="Z11" i="26"/>
  <c r="Z35" i="26"/>
  <c r="Z21" i="26"/>
  <c r="Z32" i="26"/>
  <c r="Z22" i="26"/>
  <c r="Z18" i="26"/>
  <c r="V13" i="28"/>
  <c r="N43" i="28"/>
  <c r="AZ19" i="27"/>
  <c r="AR19" i="27"/>
  <c r="T28" i="27"/>
  <c r="L8" i="27"/>
  <c r="Z25" i="26"/>
  <c r="J7" i="26"/>
  <c r="J46" i="26"/>
  <c r="Y33" i="28"/>
  <c r="AM24" i="27"/>
  <c r="AW2" i="26"/>
  <c r="AW21" i="26"/>
  <c r="AG5" i="26"/>
  <c r="AG44" i="26"/>
  <c r="AG23" i="28"/>
  <c r="BC26" i="26"/>
  <c r="AM5" i="26"/>
  <c r="AM32" i="26"/>
  <c r="Z34" i="26"/>
  <c r="AW40" i="26"/>
  <c r="Z28" i="26"/>
  <c r="AW27" i="26"/>
  <c r="AG20" i="28"/>
  <c r="BC15" i="26"/>
  <c r="L44" i="27"/>
  <c r="L29" i="27"/>
  <c r="L19" i="27"/>
  <c r="L28" i="27"/>
  <c r="L13" i="27"/>
  <c r="L4" i="27"/>
  <c r="L40" i="27"/>
  <c r="L25" i="27"/>
  <c r="L14" i="27"/>
  <c r="L22" i="27"/>
  <c r="L5" i="27"/>
  <c r="L11" i="27"/>
  <c r="L36" i="27"/>
  <c r="L21" i="27"/>
  <c r="L10" i="27"/>
  <c r="L16" i="27"/>
  <c r="L3" i="27"/>
  <c r="L46" i="27"/>
  <c r="L41" i="27"/>
  <c r="L31" i="27"/>
  <c r="L45" i="27"/>
  <c r="L7" i="27"/>
  <c r="L42" i="27"/>
  <c r="L32" i="27"/>
  <c r="L23" i="27"/>
  <c r="L12" i="27"/>
  <c r="L15" i="27"/>
  <c r="L39" i="27"/>
  <c r="L34" i="27"/>
  <c r="L26" i="27"/>
  <c r="L18" i="27"/>
  <c r="L6" i="27"/>
  <c r="L37" i="27"/>
  <c r="S42" i="17"/>
  <c r="AY12" i="17"/>
  <c r="BA21" i="26"/>
  <c r="AY44" i="17"/>
  <c r="BA12" i="26"/>
  <c r="BA14" i="26"/>
  <c r="BA25" i="26"/>
  <c r="BA38" i="26"/>
  <c r="BA46" i="26"/>
  <c r="AU43" i="27"/>
  <c r="AH42" i="15"/>
  <c r="AR42" i="15"/>
  <c r="AY21" i="17"/>
  <c r="AY25" i="17"/>
  <c r="AY33" i="17"/>
  <c r="AY27" i="17"/>
  <c r="BA16" i="26"/>
  <c r="BA18" i="26"/>
  <c r="BA29" i="26"/>
  <c r="BA19" i="26"/>
  <c r="BA40" i="26"/>
  <c r="AX41" i="17"/>
  <c r="V35" i="28"/>
  <c r="N17" i="28"/>
  <c r="AR16" i="27"/>
  <c r="T29" i="27"/>
  <c r="L17" i="27"/>
  <c r="Z30" i="26"/>
  <c r="J4" i="26"/>
  <c r="J37" i="26"/>
  <c r="AM35" i="27"/>
  <c r="AW5" i="26"/>
  <c r="AW29" i="26"/>
  <c r="AG24" i="26"/>
  <c r="AG28" i="28"/>
  <c r="BC39" i="26"/>
  <c r="AM13" i="26"/>
  <c r="AM37" i="26"/>
  <c r="AZ35" i="27"/>
  <c r="AZ30" i="27"/>
  <c r="AZ23" i="27"/>
  <c r="AZ24" i="27"/>
  <c r="AZ9" i="27"/>
  <c r="AZ20" i="27"/>
  <c r="AZ44" i="27"/>
  <c r="AZ29" i="27"/>
  <c r="AZ14" i="27"/>
  <c r="AZ26" i="27"/>
  <c r="AZ41" i="27"/>
  <c r="AZ13" i="27"/>
  <c r="AZ40" i="27"/>
  <c r="AZ25" i="27"/>
  <c r="AZ10" i="27"/>
  <c r="AZ17" i="27"/>
  <c r="AZ15" i="27"/>
  <c r="AZ7" i="27"/>
  <c r="AZ36" i="27"/>
  <c r="AZ21" i="27"/>
  <c r="AZ6" i="27"/>
  <c r="AZ12" i="27"/>
  <c r="AZ3" i="27"/>
  <c r="AZ46" i="27"/>
  <c r="AZ33" i="27"/>
  <c r="AZ27" i="27"/>
  <c r="AZ8" i="27"/>
  <c r="AZ32" i="27"/>
  <c r="AZ43" i="27"/>
  <c r="AZ38" i="27"/>
  <c r="AZ28" i="27"/>
  <c r="AZ22" i="27"/>
  <c r="AZ16" i="27"/>
  <c r="AZ5" i="27"/>
  <c r="Y29" i="28"/>
  <c r="Y27" i="28"/>
  <c r="Y15" i="28"/>
  <c r="Y45" i="28"/>
  <c r="Y40" i="28"/>
  <c r="Y23" i="28"/>
  <c r="Y11" i="28"/>
  <c r="Y41" i="28"/>
  <c r="Y39" i="28"/>
  <c r="Y36" i="28"/>
  <c r="Y12" i="28"/>
  <c r="Y37" i="28"/>
  <c r="Y31" i="28"/>
  <c r="Y28" i="28"/>
  <c r="Y7" i="28"/>
  <c r="Y46" i="28"/>
  <c r="Y32" i="28"/>
  <c r="Y17" i="28"/>
  <c r="Y20" i="28"/>
  <c r="Y35" i="28"/>
  <c r="Y21" i="28"/>
  <c r="Y9" i="28"/>
  <c r="Y8" i="28"/>
  <c r="N31" i="28"/>
  <c r="AZ4" i="27"/>
  <c r="N42" i="28"/>
  <c r="AG37" i="26"/>
  <c r="AG29" i="26"/>
  <c r="AG22" i="26"/>
  <c r="AG32" i="26"/>
  <c r="AG18" i="26"/>
  <c r="AG4" i="26"/>
  <c r="AG33" i="26"/>
  <c r="AG25" i="26"/>
  <c r="AG31" i="26"/>
  <c r="AG16" i="26"/>
  <c r="AG14" i="26"/>
  <c r="AG2" i="26"/>
  <c r="AG46" i="26"/>
  <c r="AG21" i="26"/>
  <c r="AG27" i="26"/>
  <c r="AG12" i="26"/>
  <c r="AG10" i="26"/>
  <c r="AG42" i="26"/>
  <c r="AG39" i="26"/>
  <c r="AG23" i="26"/>
  <c r="AG8" i="26"/>
  <c r="AG6" i="26"/>
  <c r="AG38" i="26"/>
  <c r="AG34" i="26"/>
  <c r="AG19" i="26"/>
  <c r="AG17" i="26"/>
  <c r="AG20" i="26"/>
  <c r="AG43" i="26"/>
  <c r="AG30" i="26"/>
  <c r="AG11" i="26"/>
  <c r="AG9" i="26"/>
  <c r="AG3" i="26"/>
  <c r="AU34" i="27"/>
  <c r="AU40" i="27"/>
  <c r="AU44" i="27"/>
  <c r="AU23" i="27"/>
  <c r="AU8" i="27"/>
  <c r="AU45" i="27"/>
  <c r="AU39" i="27"/>
  <c r="AU28" i="27"/>
  <c r="AU30" i="27"/>
  <c r="AU13" i="27"/>
  <c r="AU6" i="27"/>
  <c r="AU41" i="27"/>
  <c r="AU26" i="27"/>
  <c r="AU24" i="27"/>
  <c r="AU17" i="27"/>
  <c r="AU9" i="27"/>
  <c r="AU5" i="27"/>
  <c r="AU37" i="27"/>
  <c r="AU22" i="27"/>
  <c r="AU20" i="27"/>
  <c r="AU36" i="27"/>
  <c r="AU31" i="27"/>
  <c r="AU4" i="27"/>
  <c r="AU33" i="27"/>
  <c r="AU18" i="27"/>
  <c r="AU16" i="27"/>
  <c r="AU15" i="27"/>
  <c r="AU10" i="27"/>
  <c r="AU14" i="27"/>
  <c r="AU42" i="27"/>
  <c r="AU32" i="27"/>
  <c r="AU11" i="27"/>
  <c r="AU19" i="27"/>
  <c r="AU29" i="27"/>
  <c r="AD42" i="15"/>
  <c r="AY6" i="17"/>
  <c r="AY10" i="17"/>
  <c r="AY41" i="17"/>
  <c r="AY14" i="17"/>
  <c r="AY18" i="17"/>
  <c r="AY31" i="17"/>
  <c r="BA5" i="26"/>
  <c r="BA23" i="26"/>
  <c r="AU7" i="27"/>
  <c r="AZ37" i="27"/>
  <c r="AZ34" i="27"/>
  <c r="T4" i="27"/>
  <c r="T45" i="27"/>
  <c r="L33" i="27"/>
  <c r="Z26" i="26"/>
  <c r="Z45" i="26"/>
  <c r="Y3" i="28"/>
  <c r="AM14" i="27"/>
  <c r="AW18" i="26"/>
  <c r="AW33" i="26"/>
  <c r="AG13" i="26"/>
  <c r="BC3" i="26"/>
  <c r="AG37" i="28"/>
  <c r="AG31" i="28"/>
  <c r="AG17" i="28"/>
  <c r="AG7" i="28"/>
  <c r="AG42" i="28"/>
  <c r="AG40" i="28"/>
  <c r="AG13" i="28"/>
  <c r="AG5" i="28"/>
  <c r="AG39" i="28"/>
  <c r="AG25" i="28"/>
  <c r="AG9" i="28"/>
  <c r="AG3" i="28"/>
  <c r="AG33" i="28"/>
  <c r="AG21" i="28"/>
  <c r="AG19" i="28"/>
  <c r="AG29" i="28"/>
  <c r="AG32" i="28"/>
  <c r="AG15" i="28"/>
  <c r="AG45" i="28"/>
  <c r="AG36" i="28"/>
  <c r="AG27" i="28"/>
  <c r="AG14" i="28"/>
  <c r="BC40" i="26"/>
  <c r="BC20" i="26"/>
  <c r="BC22" i="26"/>
  <c r="BC11" i="26"/>
  <c r="BC31" i="26"/>
  <c r="BC41" i="26"/>
  <c r="BC29" i="26"/>
  <c r="BC18" i="26"/>
  <c r="BC7" i="26"/>
  <c r="BC17" i="26"/>
  <c r="BC37" i="26"/>
  <c r="BC25" i="26"/>
  <c r="BC14" i="26"/>
  <c r="BC27" i="26"/>
  <c r="BC13" i="26"/>
  <c r="BC43" i="26"/>
  <c r="BC21" i="26"/>
  <c r="BC10" i="26"/>
  <c r="BC34" i="26"/>
  <c r="BC9" i="26"/>
  <c r="BC46" i="26"/>
  <c r="BC42" i="26"/>
  <c r="BC6" i="26"/>
  <c r="BC16" i="26"/>
  <c r="BC5" i="26"/>
  <c r="BC28" i="26"/>
  <c r="BC30" i="26"/>
  <c r="BC23" i="26"/>
  <c r="BC8" i="26"/>
  <c r="BC4" i="26"/>
  <c r="N44" i="28"/>
  <c r="N33" i="28"/>
  <c r="N15" i="28"/>
  <c r="N9" i="28"/>
  <c r="N40" i="28"/>
  <c r="N29" i="28"/>
  <c r="N39" i="28"/>
  <c r="N7" i="28"/>
  <c r="N36" i="28"/>
  <c r="N35" i="28"/>
  <c r="N20" i="28"/>
  <c r="N5" i="28"/>
  <c r="N45" i="28"/>
  <c r="N27" i="28"/>
  <c r="N12" i="28"/>
  <c r="N13" i="28"/>
  <c r="N37" i="28"/>
  <c r="N23" i="28"/>
  <c r="N26" i="28"/>
  <c r="N28" i="28"/>
  <c r="N46" i="28"/>
  <c r="N32" i="28"/>
  <c r="N21" i="28"/>
  <c r="N11" i="28"/>
  <c r="T17" i="27"/>
  <c r="Y13" i="28"/>
  <c r="BC12" i="26"/>
  <c r="AZ31" i="27"/>
  <c r="T26" i="27"/>
  <c r="Y44" i="28"/>
  <c r="H41" i="16"/>
  <c r="H42" i="16"/>
  <c r="AM28" i="26"/>
  <c r="AM46" i="26"/>
  <c r="AM10" i="26"/>
  <c r="AM23" i="26"/>
  <c r="AM2" i="26"/>
  <c r="AM24" i="26"/>
  <c r="AM38" i="26"/>
  <c r="AM6" i="26"/>
  <c r="AM16" i="26"/>
  <c r="AM27" i="26"/>
  <c r="AM44" i="26"/>
  <c r="AM20" i="26"/>
  <c r="AM34" i="26"/>
  <c r="AM15" i="26"/>
  <c r="AM12" i="26"/>
  <c r="AM4" i="26"/>
  <c r="AM40" i="26"/>
  <c r="AM42" i="26"/>
  <c r="AM30" i="26"/>
  <c r="AM11" i="26"/>
  <c r="AM8" i="26"/>
  <c r="AM3" i="26"/>
  <c r="AM41" i="26"/>
  <c r="AM29" i="26"/>
  <c r="AM26" i="26"/>
  <c r="AM7" i="26"/>
  <c r="AM17" i="26"/>
  <c r="AM43" i="26"/>
  <c r="AM21" i="26"/>
  <c r="AM18" i="26"/>
  <c r="AM39" i="26"/>
  <c r="AM9" i="26"/>
  <c r="V44" i="28"/>
  <c r="V37" i="28"/>
  <c r="V43" i="28"/>
  <c r="V39" i="28"/>
  <c r="V40" i="28"/>
  <c r="V33" i="28"/>
  <c r="V26" i="28"/>
  <c r="V9" i="28"/>
  <c r="V36" i="28"/>
  <c r="V29" i="28"/>
  <c r="V19" i="28"/>
  <c r="V12" i="28"/>
  <c r="V41" i="28"/>
  <c r="V27" i="28"/>
  <c r="V15" i="28"/>
  <c r="V11" i="28"/>
  <c r="V31" i="28"/>
  <c r="V23" i="28"/>
  <c r="V20" i="28"/>
  <c r="V5" i="28"/>
  <c r="V46" i="28"/>
  <c r="V28" i="28"/>
  <c r="V25" i="28"/>
  <c r="V17" i="28"/>
  <c r="V3" i="28"/>
  <c r="AR42" i="27"/>
  <c r="AR21" i="27"/>
  <c r="AR6" i="27"/>
  <c r="AR12" i="27"/>
  <c r="AR3" i="27"/>
  <c r="AR43" i="27"/>
  <c r="AR38" i="27"/>
  <c r="AR32" i="27"/>
  <c r="AR33" i="27"/>
  <c r="AR8" i="27"/>
  <c r="AR7" i="27"/>
  <c r="AR39" i="27"/>
  <c r="AR34" i="27"/>
  <c r="AR45" i="27"/>
  <c r="AR17" i="27"/>
  <c r="AR4" i="27"/>
  <c r="AR9" i="27"/>
  <c r="AR35" i="27"/>
  <c r="AR30" i="27"/>
  <c r="AR24" i="27"/>
  <c r="AR28" i="27"/>
  <c r="AR31" i="27"/>
  <c r="AR18" i="27"/>
  <c r="AR44" i="27"/>
  <c r="AR41" i="27"/>
  <c r="AR22" i="27"/>
  <c r="AR20" i="27"/>
  <c r="AR27" i="27"/>
  <c r="AR11" i="27"/>
  <c r="AR36" i="27"/>
  <c r="AR29" i="27"/>
  <c r="AR14" i="27"/>
  <c r="AR15" i="27"/>
  <c r="AR5" i="27"/>
  <c r="J43" i="26"/>
  <c r="J42" i="26"/>
  <c r="J12" i="26"/>
  <c r="J13" i="26"/>
  <c r="J27" i="26"/>
  <c r="J6" i="26"/>
  <c r="J44" i="26"/>
  <c r="J40" i="26"/>
  <c r="J8" i="26"/>
  <c r="J9" i="26"/>
  <c r="J11" i="26"/>
  <c r="J5" i="26"/>
  <c r="J45" i="26"/>
  <c r="J22" i="26"/>
  <c r="J34" i="26"/>
  <c r="J29" i="26"/>
  <c r="J41" i="26"/>
  <c r="J3" i="26"/>
  <c r="J39" i="26"/>
  <c r="J19" i="26"/>
  <c r="J30" i="26"/>
  <c r="J24" i="26"/>
  <c r="J18" i="26"/>
  <c r="J2" i="26"/>
  <c r="J38" i="26"/>
  <c r="J35" i="26"/>
  <c r="J21" i="26"/>
  <c r="J33" i="26"/>
  <c r="J15" i="26"/>
  <c r="J31" i="26"/>
  <c r="J26" i="26"/>
  <c r="J20" i="26"/>
  <c r="J28" i="26"/>
  <c r="J10" i="26"/>
  <c r="AM46" i="27"/>
  <c r="AM18" i="27"/>
  <c r="AM20" i="27"/>
  <c r="AM29" i="27"/>
  <c r="AM8" i="27"/>
  <c r="AM10" i="27"/>
  <c r="AM42" i="27"/>
  <c r="AM31" i="27"/>
  <c r="AM16" i="27"/>
  <c r="AM40" i="27"/>
  <c r="AM5" i="27"/>
  <c r="AM38" i="27"/>
  <c r="AM30" i="27"/>
  <c r="AM19" i="27"/>
  <c r="AM13" i="27"/>
  <c r="AM4" i="27"/>
  <c r="AM34" i="27"/>
  <c r="AM43" i="27"/>
  <c r="AM11" i="27"/>
  <c r="AM9" i="27"/>
  <c r="AM2" i="27"/>
  <c r="AM45" i="27"/>
  <c r="AM36" i="27"/>
  <c r="AM27" i="27"/>
  <c r="AM7" i="27"/>
  <c r="AM39" i="27"/>
  <c r="AM12" i="27"/>
  <c r="AM37" i="27"/>
  <c r="AM26" i="27"/>
  <c r="AM28" i="27"/>
  <c r="AM15" i="27"/>
  <c r="AM6" i="27"/>
  <c r="AM25" i="27"/>
  <c r="AY42" i="17"/>
  <c r="AY23" i="17"/>
  <c r="AY46" i="17"/>
  <c r="AY40" i="17"/>
  <c r="BA8" i="26"/>
  <c r="BA10" i="26"/>
  <c r="BA42" i="26"/>
  <c r="AY16" i="17"/>
  <c r="AY29" i="17"/>
  <c r="AY5" i="17"/>
  <c r="AY7" i="17"/>
  <c r="AY37" i="17"/>
  <c r="BA2" i="26"/>
  <c r="BA26" i="26"/>
  <c r="BA41" i="26"/>
  <c r="BA44" i="26"/>
  <c r="M42" i="15"/>
  <c r="Z42" i="17"/>
  <c r="AY9" i="17"/>
  <c r="AY11" i="17"/>
  <c r="AY22" i="17"/>
  <c r="AY20" i="17"/>
  <c r="BA4" i="26"/>
  <c r="BA7" i="26"/>
  <c r="BA9" i="26"/>
  <c r="BA20" i="26"/>
  <c r="BA27" i="26"/>
  <c r="I41" i="17"/>
  <c r="AU21" i="27"/>
  <c r="V30" i="28"/>
  <c r="N25" i="28"/>
  <c r="AZ11" i="27"/>
  <c r="AZ42" i="27"/>
  <c r="AR26" i="27"/>
  <c r="T6" i="27"/>
  <c r="T36" i="27"/>
  <c r="L24" i="27"/>
  <c r="Z27" i="26"/>
  <c r="Z37" i="26"/>
  <c r="J23" i="26"/>
  <c r="Y5" i="28"/>
  <c r="AM3" i="27"/>
  <c r="AM32" i="27"/>
  <c r="AW13" i="26"/>
  <c r="AW41" i="26"/>
  <c r="AG7" i="26"/>
  <c r="AG44" i="28"/>
  <c r="BC2" i="26"/>
  <c r="BC38" i="26"/>
  <c r="AM19" i="26"/>
  <c r="AI41" i="17"/>
  <c r="AI7" i="17"/>
  <c r="AY3" i="17"/>
  <c r="BA35" i="18"/>
  <c r="G45" i="18"/>
  <c r="AY28" i="25"/>
  <c r="X16" i="25"/>
  <c r="X27" i="25"/>
  <c r="X21" i="25"/>
  <c r="X37" i="25"/>
  <c r="AS42" i="25"/>
  <c r="K6" i="25"/>
  <c r="K24" i="25"/>
  <c r="K46" i="25"/>
  <c r="K37" i="25"/>
  <c r="O6" i="25"/>
  <c r="O38" i="25"/>
  <c r="O46" i="25"/>
  <c r="G8" i="25"/>
  <c r="G22" i="25"/>
  <c r="G37" i="25"/>
  <c r="G43" i="25"/>
  <c r="AS9" i="25"/>
  <c r="AS43" i="25"/>
  <c r="AY17" i="25"/>
  <c r="AY36" i="25"/>
  <c r="AB34" i="25"/>
  <c r="AB35" i="25"/>
  <c r="X26" i="25"/>
  <c r="X29" i="25"/>
  <c r="X41" i="25"/>
  <c r="O9" i="25"/>
  <c r="O8" i="25"/>
  <c r="O29" i="25"/>
  <c r="O19" i="25"/>
  <c r="AY43" i="25"/>
  <c r="AY30" i="25"/>
  <c r="AB36" i="25"/>
  <c r="AB39" i="25"/>
  <c r="X2" i="25"/>
  <c r="X38" i="25"/>
  <c r="X44" i="25"/>
  <c r="X45" i="25"/>
  <c r="K9" i="25"/>
  <c r="K43" i="25"/>
  <c r="K30" i="25"/>
  <c r="O10" i="25"/>
  <c r="O33" i="25"/>
  <c r="O39" i="25"/>
  <c r="O23" i="25"/>
  <c r="G9" i="25"/>
  <c r="G32" i="25"/>
  <c r="G39" i="25"/>
  <c r="AS11" i="25"/>
  <c r="AS31" i="25"/>
  <c r="AY44" i="25"/>
  <c r="AY38" i="25"/>
  <c r="AY9" i="25"/>
  <c r="AB6" i="25"/>
  <c r="AB11" i="25"/>
  <c r="AB43" i="25"/>
  <c r="AB25" i="25"/>
  <c r="X6" i="25"/>
  <c r="X30" i="25"/>
  <c r="X46" i="25"/>
  <c r="X31" i="25"/>
  <c r="K10" i="25"/>
  <c r="K44" i="25"/>
  <c r="K33" i="25"/>
  <c r="O11" i="25"/>
  <c r="O34" i="25"/>
  <c r="O40" i="25"/>
  <c r="O27" i="25"/>
  <c r="G11" i="25"/>
  <c r="G33" i="25"/>
  <c r="G40" i="25"/>
  <c r="AS19" i="25"/>
  <c r="AS46" i="25"/>
  <c r="AY45" i="25"/>
  <c r="AY39" i="25"/>
  <c r="AB8" i="25"/>
  <c r="AB38" i="25"/>
  <c r="AB33" i="25"/>
  <c r="X36" i="25"/>
  <c r="X8" i="25"/>
  <c r="X40" i="25"/>
  <c r="X24" i="25"/>
  <c r="X35" i="25"/>
  <c r="K16" i="25"/>
  <c r="K11" i="25"/>
  <c r="K19" i="25"/>
  <c r="K34" i="25"/>
  <c r="O14" i="25"/>
  <c r="O30" i="25"/>
  <c r="O41" i="25"/>
  <c r="O31" i="25"/>
  <c r="G14" i="25"/>
  <c r="G34" i="25"/>
  <c r="G41" i="25"/>
  <c r="AS32" i="25"/>
  <c r="AS14" i="25"/>
  <c r="AS36" i="25"/>
  <c r="AS33" i="25"/>
  <c r="AY6" i="25"/>
  <c r="AY46" i="25"/>
  <c r="AY40" i="25"/>
  <c r="AB14" i="25"/>
  <c r="AB26" i="25"/>
  <c r="X3" i="25"/>
  <c r="X5" i="25"/>
  <c r="X32" i="25"/>
  <c r="X39" i="25"/>
  <c r="K17" i="25"/>
  <c r="K14" i="25"/>
  <c r="K27" i="25"/>
  <c r="K35" i="25"/>
  <c r="O16" i="25"/>
  <c r="O35" i="25"/>
  <c r="O24" i="25"/>
  <c r="O32" i="25"/>
  <c r="G16" i="25"/>
  <c r="G29" i="25"/>
  <c r="G19" i="25"/>
  <c r="AS17" i="25"/>
  <c r="AS38" i="25"/>
  <c r="AS30" i="25"/>
  <c r="AY10" i="25"/>
  <c r="AY31" i="25"/>
  <c r="AY41" i="25"/>
  <c r="AB18" i="25"/>
  <c r="AB30" i="25"/>
  <c r="X11" i="25"/>
  <c r="X9" i="25"/>
  <c r="X34" i="25"/>
  <c r="K3" i="25"/>
  <c r="K39" i="25"/>
  <c r="K31" i="25"/>
  <c r="O20" i="25"/>
  <c r="O36" i="25"/>
  <c r="G5" i="25"/>
  <c r="G17" i="25"/>
  <c r="G35" i="25"/>
  <c r="AS3" i="25"/>
  <c r="AS39" i="25"/>
  <c r="AY14" i="25"/>
  <c r="AB29" i="25"/>
  <c r="U5" i="18"/>
  <c r="BC42" i="17"/>
  <c r="R42" i="15"/>
  <c r="R41" i="18"/>
  <c r="AI42" i="15"/>
  <c r="U9" i="18"/>
  <c r="U37" i="18"/>
  <c r="U30" i="18"/>
  <c r="AE42" i="15"/>
  <c r="U41" i="18"/>
  <c r="AQ41" i="18"/>
  <c r="Q41" i="17"/>
  <c r="U17" i="18"/>
  <c r="U45" i="18"/>
  <c r="U34" i="18"/>
  <c r="AJ42" i="18"/>
  <c r="O42" i="15"/>
  <c r="U4" i="18"/>
  <c r="U27" i="18"/>
  <c r="F41" i="15"/>
  <c r="U42" i="18"/>
  <c r="AI42" i="17"/>
  <c r="T42" i="15"/>
  <c r="U29" i="18"/>
  <c r="U24" i="18"/>
  <c r="U38" i="18"/>
  <c r="AL42" i="15"/>
  <c r="AH41" i="16"/>
  <c r="AI42" i="18"/>
  <c r="U2" i="18"/>
  <c r="U8" i="18"/>
  <c r="U32" i="18"/>
  <c r="U46" i="18"/>
  <c r="W41" i="18"/>
  <c r="U33" i="18"/>
  <c r="L42" i="17"/>
  <c r="AK41" i="18"/>
  <c r="M41" i="18"/>
  <c r="AC41" i="15"/>
  <c r="AZ42" i="15"/>
  <c r="U6" i="18"/>
  <c r="U16" i="18"/>
  <c r="U36" i="18"/>
  <c r="G38" i="16"/>
  <c r="G46" i="16"/>
  <c r="B42" i="15"/>
  <c r="U10" i="18"/>
  <c r="U22" i="18"/>
  <c r="G35" i="16"/>
  <c r="K42" i="17"/>
  <c r="BC41" i="15"/>
  <c r="M41" i="17"/>
  <c r="G43" i="17"/>
  <c r="G46" i="17"/>
  <c r="AP41" i="17"/>
  <c r="B40" i="17"/>
  <c r="Q42" i="15"/>
  <c r="AV3" i="18"/>
  <c r="S42" i="18"/>
  <c r="L41" i="18"/>
  <c r="N42" i="15"/>
  <c r="AU41" i="17"/>
  <c r="V41" i="17"/>
  <c r="AT42" i="17"/>
  <c r="AT41" i="15"/>
  <c r="E41" i="17"/>
  <c r="G37" i="17"/>
  <c r="AV7" i="18"/>
  <c r="AV9" i="18"/>
  <c r="AV46" i="18"/>
  <c r="AV28" i="18"/>
  <c r="AV43" i="18"/>
  <c r="AY42" i="16"/>
  <c r="AH42" i="17"/>
  <c r="Z41" i="15"/>
  <c r="J41" i="17"/>
  <c r="G30" i="15"/>
  <c r="AF42" i="15"/>
  <c r="AV38" i="18"/>
  <c r="AY42" i="15"/>
  <c r="AG41" i="17"/>
  <c r="G34" i="17"/>
  <c r="E42" i="15"/>
  <c r="AV15" i="18"/>
  <c r="AV13" i="18"/>
  <c r="AV25" i="18"/>
  <c r="AV32" i="18"/>
  <c r="G34" i="15"/>
  <c r="G41" i="18"/>
  <c r="G42" i="17"/>
  <c r="V42" i="18"/>
  <c r="AV5" i="18"/>
  <c r="AV24" i="18"/>
  <c r="AK42" i="15"/>
  <c r="AV4" i="18"/>
  <c r="AV2" i="18"/>
  <c r="AV17" i="18"/>
  <c r="AV29" i="18"/>
  <c r="AV36" i="18"/>
  <c r="AY42" i="18"/>
  <c r="G32" i="15"/>
  <c r="G35" i="15"/>
  <c r="AT30" i="14"/>
  <c r="X42" i="15"/>
  <c r="AV41" i="18"/>
  <c r="AV39" i="18"/>
  <c r="AV8" i="18"/>
  <c r="AV6" i="18"/>
  <c r="AV22" i="18"/>
  <c r="AV33" i="18"/>
  <c r="G30" i="17"/>
  <c r="AR42" i="16"/>
  <c r="AA42" i="17"/>
  <c r="G32" i="17"/>
  <c r="V22" i="28"/>
  <c r="AC22" i="28"/>
  <c r="O42" i="25"/>
  <c r="J46" i="16"/>
  <c r="J38" i="16"/>
  <c r="J34" i="16"/>
  <c r="J30" i="16"/>
  <c r="J26" i="16"/>
  <c r="J22" i="16"/>
  <c r="J43" i="16"/>
  <c r="J39" i="16"/>
  <c r="J35" i="16"/>
  <c r="J31" i="16"/>
  <c r="J27" i="16"/>
  <c r="J23" i="16"/>
  <c r="J19" i="16"/>
  <c r="J15" i="16"/>
  <c r="J11" i="16"/>
  <c r="J44" i="16"/>
  <c r="J40" i="16"/>
  <c r="J36" i="16"/>
  <c r="J32" i="16"/>
  <c r="J28" i="16"/>
  <c r="J24" i="16"/>
  <c r="J45" i="16"/>
  <c r="J37" i="16"/>
  <c r="J33" i="16"/>
  <c r="J29" i="16"/>
  <c r="J25" i="16"/>
  <c r="J21" i="16"/>
  <c r="J17" i="16"/>
  <c r="J13" i="16"/>
  <c r="J20" i="16"/>
  <c r="J16" i="16"/>
  <c r="J5" i="16"/>
  <c r="J18" i="16"/>
  <c r="J10" i="16"/>
  <c r="J6" i="16"/>
  <c r="J2" i="16"/>
  <c r="J12" i="16"/>
  <c r="J3" i="16"/>
  <c r="J9" i="16"/>
  <c r="J14" i="16"/>
  <c r="J8" i="16"/>
  <c r="J7" i="16"/>
  <c r="J4" i="16"/>
  <c r="S4" i="28"/>
  <c r="C38" i="28"/>
  <c r="U42" i="25"/>
  <c r="N45" i="26"/>
  <c r="N41" i="26"/>
  <c r="N46" i="26"/>
  <c r="N42" i="26"/>
  <c r="N43" i="26"/>
  <c r="N39" i="26"/>
  <c r="N38" i="26"/>
  <c r="N37" i="26"/>
  <c r="N32" i="26"/>
  <c r="N34" i="26"/>
  <c r="N44" i="26"/>
  <c r="N36" i="26"/>
  <c r="N35" i="26"/>
  <c r="N33" i="26"/>
  <c r="N40" i="26"/>
  <c r="N25" i="26"/>
  <c r="N31" i="26"/>
  <c r="N29" i="26"/>
  <c r="N20" i="26"/>
  <c r="N18" i="26"/>
  <c r="N14" i="26"/>
  <c r="N10" i="26"/>
  <c r="N6" i="26"/>
  <c r="N24" i="26"/>
  <c r="N28" i="26"/>
  <c r="N15" i="26"/>
  <c r="N11" i="26"/>
  <c r="N7" i="26"/>
  <c r="N23" i="26"/>
  <c r="N26" i="26"/>
  <c r="N30" i="26"/>
  <c r="N27" i="26"/>
  <c r="N8" i="26"/>
  <c r="N4" i="26"/>
  <c r="N22" i="26"/>
  <c r="N12" i="26"/>
  <c r="N21" i="26"/>
  <c r="N9" i="26"/>
  <c r="N19" i="26"/>
  <c r="N16" i="26"/>
  <c r="N13" i="26"/>
  <c r="N17" i="26"/>
  <c r="N3" i="26"/>
  <c r="N2" i="26"/>
  <c r="N5" i="26"/>
  <c r="AD42" i="18"/>
  <c r="AV31" i="18"/>
  <c r="AJ43" i="16"/>
  <c r="AJ39" i="16"/>
  <c r="AJ35" i="16"/>
  <c r="AJ31" i="16"/>
  <c r="AJ27" i="16"/>
  <c r="AJ23" i="16"/>
  <c r="AJ44" i="16"/>
  <c r="AJ40" i="16"/>
  <c r="AJ36" i="16"/>
  <c r="AJ32" i="16"/>
  <c r="AJ28" i="16"/>
  <c r="AJ24" i="16"/>
  <c r="AJ20" i="16"/>
  <c r="AJ16" i="16"/>
  <c r="AJ12" i="16"/>
  <c r="AJ45" i="16"/>
  <c r="AJ37" i="16"/>
  <c r="AJ33" i="16"/>
  <c r="AJ29" i="16"/>
  <c r="AJ25" i="16"/>
  <c r="AJ21" i="16"/>
  <c r="AJ46" i="16"/>
  <c r="AJ38" i="16"/>
  <c r="AJ34" i="16"/>
  <c r="AJ30" i="16"/>
  <c r="AJ26" i="16"/>
  <c r="AJ22" i="16"/>
  <c r="AJ18" i="16"/>
  <c r="AJ14" i="16"/>
  <c r="AJ10" i="16"/>
  <c r="AJ17" i="16"/>
  <c r="AJ2" i="16"/>
  <c r="AJ11" i="16"/>
  <c r="AJ9" i="16"/>
  <c r="AJ8" i="16"/>
  <c r="AJ3" i="16"/>
  <c r="AJ7" i="16"/>
  <c r="AJ6" i="16"/>
  <c r="AJ13" i="16"/>
  <c r="AJ4" i="16"/>
  <c r="AJ15" i="16"/>
  <c r="AJ5" i="16"/>
  <c r="AJ19" i="16"/>
  <c r="C42" i="16"/>
  <c r="AP44" i="18"/>
  <c r="AP40" i="18"/>
  <c r="AP36" i="18"/>
  <c r="AP32" i="18"/>
  <c r="AP28" i="18"/>
  <c r="AP24" i="18"/>
  <c r="AP45" i="18"/>
  <c r="AP37" i="18"/>
  <c r="AP33" i="18"/>
  <c r="AP29" i="18"/>
  <c r="AP25" i="18"/>
  <c r="AP21" i="18"/>
  <c r="AP46" i="18"/>
  <c r="AP38" i="18"/>
  <c r="AP34" i="18"/>
  <c r="AP30" i="18"/>
  <c r="AP26" i="18"/>
  <c r="AP22" i="18"/>
  <c r="AP43" i="18"/>
  <c r="AP39" i="18"/>
  <c r="AP35" i="18"/>
  <c r="AP31" i="18"/>
  <c r="AP27" i="18"/>
  <c r="AP23" i="18"/>
  <c r="AP19" i="18"/>
  <c r="AP18" i="18"/>
  <c r="AP14" i="18"/>
  <c r="AP10" i="18"/>
  <c r="AP6" i="18"/>
  <c r="AP2" i="18"/>
  <c r="AP20" i="18"/>
  <c r="AP15" i="18"/>
  <c r="AP11" i="18"/>
  <c r="AP7" i="18"/>
  <c r="AP3" i="18"/>
  <c r="AP16" i="18"/>
  <c r="AP12" i="18"/>
  <c r="AP8" i="18"/>
  <c r="AP4" i="18"/>
  <c r="AP17" i="18"/>
  <c r="AP13" i="18"/>
  <c r="AP9" i="18"/>
  <c r="AP5" i="18"/>
  <c r="J44" i="18"/>
  <c r="J40" i="18"/>
  <c r="J36" i="18"/>
  <c r="J32" i="18"/>
  <c r="J28" i="18"/>
  <c r="J24" i="18"/>
  <c r="J45" i="18"/>
  <c r="J37" i="18"/>
  <c r="J33" i="18"/>
  <c r="J29" i="18"/>
  <c r="J25" i="18"/>
  <c r="J21" i="18"/>
  <c r="J46" i="18"/>
  <c r="J38" i="18"/>
  <c r="J34" i="18"/>
  <c r="J30" i="18"/>
  <c r="J26" i="18"/>
  <c r="J43" i="18"/>
  <c r="J39" i="18"/>
  <c r="J35" i="18"/>
  <c r="J31" i="18"/>
  <c r="J27" i="18"/>
  <c r="J23" i="18"/>
  <c r="J18" i="18"/>
  <c r="J14" i="18"/>
  <c r="J10" i="18"/>
  <c r="J6" i="18"/>
  <c r="J2" i="18"/>
  <c r="J22" i="18"/>
  <c r="J20" i="18"/>
  <c r="J19" i="18"/>
  <c r="J15" i="18"/>
  <c r="J11" i="18"/>
  <c r="J7" i="18"/>
  <c r="J3" i="18"/>
  <c r="J16" i="18"/>
  <c r="J12" i="18"/>
  <c r="J8" i="18"/>
  <c r="J4" i="18"/>
  <c r="J17" i="18"/>
  <c r="J13" i="18"/>
  <c r="J9" i="18"/>
  <c r="J5" i="18"/>
  <c r="AF45" i="17"/>
  <c r="AF37" i="17"/>
  <c r="AF33" i="17"/>
  <c r="AF29" i="17"/>
  <c r="AF25" i="17"/>
  <c r="AF21" i="17"/>
  <c r="AF46" i="17"/>
  <c r="AF38" i="17"/>
  <c r="AF34" i="17"/>
  <c r="AF43" i="17"/>
  <c r="AF39" i="17"/>
  <c r="AF35" i="17"/>
  <c r="AF31" i="17"/>
  <c r="AF27" i="17"/>
  <c r="AF23" i="17"/>
  <c r="AF19" i="17"/>
  <c r="AF44" i="17"/>
  <c r="AF40" i="17"/>
  <c r="AF36" i="17"/>
  <c r="AF32" i="17"/>
  <c r="AF26" i="17"/>
  <c r="AF16" i="17"/>
  <c r="AF12" i="17"/>
  <c r="AF8" i="17"/>
  <c r="AF4" i="17"/>
  <c r="AF30" i="17"/>
  <c r="AF20" i="17"/>
  <c r="AF17" i="17"/>
  <c r="AF13" i="17"/>
  <c r="AF9" i="17"/>
  <c r="AF5" i="17"/>
  <c r="AF28" i="17"/>
  <c r="AF22" i="17"/>
  <c r="AF14" i="17"/>
  <c r="AF10" i="17"/>
  <c r="AF6" i="17"/>
  <c r="AF2" i="17"/>
  <c r="AF18" i="17"/>
  <c r="AF24" i="17"/>
  <c r="AF15" i="17"/>
  <c r="AF11" i="17"/>
  <c r="AF7" i="17"/>
  <c r="AF3" i="17"/>
  <c r="BB44" i="16"/>
  <c r="BB40" i="16"/>
  <c r="BB36" i="16"/>
  <c r="BB32" i="16"/>
  <c r="BB28" i="16"/>
  <c r="BB24" i="16"/>
  <c r="BB20" i="16"/>
  <c r="BB45" i="16"/>
  <c r="BB37" i="16"/>
  <c r="BB33" i="16"/>
  <c r="BB29" i="16"/>
  <c r="BB25" i="16"/>
  <c r="BB21" i="16"/>
  <c r="BB17" i="16"/>
  <c r="BB13" i="16"/>
  <c r="BB9" i="16"/>
  <c r="BB46" i="16"/>
  <c r="BB38" i="16"/>
  <c r="BB34" i="16"/>
  <c r="BB30" i="16"/>
  <c r="BB26" i="16"/>
  <c r="BB22" i="16"/>
  <c r="BB43" i="16"/>
  <c r="BB39" i="16"/>
  <c r="BB35" i="16"/>
  <c r="BB31" i="16"/>
  <c r="BB27" i="16"/>
  <c r="BB23" i="16"/>
  <c r="BB19" i="16"/>
  <c r="BB15" i="16"/>
  <c r="BB11" i="16"/>
  <c r="BB18" i="16"/>
  <c r="BB14" i="16"/>
  <c r="BB3" i="16"/>
  <c r="BB16" i="16"/>
  <c r="BB4" i="16"/>
  <c r="BB10" i="16"/>
  <c r="BB5" i="16"/>
  <c r="BB8" i="16"/>
  <c r="BB7" i="16"/>
  <c r="BB12" i="16"/>
  <c r="BB6" i="16"/>
  <c r="BB2" i="16"/>
  <c r="V44" i="16"/>
  <c r="V40" i="16"/>
  <c r="V36" i="16"/>
  <c r="V32" i="16"/>
  <c r="V28" i="16"/>
  <c r="V24" i="16"/>
  <c r="V45" i="16"/>
  <c r="V37" i="16"/>
  <c r="V33" i="16"/>
  <c r="V29" i="16"/>
  <c r="V25" i="16"/>
  <c r="V21" i="16"/>
  <c r="V17" i="16"/>
  <c r="V13" i="16"/>
  <c r="V46" i="16"/>
  <c r="V38" i="16"/>
  <c r="V34" i="16"/>
  <c r="V30" i="16"/>
  <c r="V26" i="16"/>
  <c r="V22" i="16"/>
  <c r="V43" i="16"/>
  <c r="V39" i="16"/>
  <c r="V35" i="16"/>
  <c r="V31" i="16"/>
  <c r="V27" i="16"/>
  <c r="V23" i="16"/>
  <c r="V19" i="16"/>
  <c r="V15" i="16"/>
  <c r="V11" i="16"/>
  <c r="V14" i="16"/>
  <c r="V3" i="16"/>
  <c r="V16" i="16"/>
  <c r="V4" i="16"/>
  <c r="V18" i="16"/>
  <c r="V10" i="16"/>
  <c r="V9" i="16"/>
  <c r="V5" i="16"/>
  <c r="V20" i="16"/>
  <c r="V8" i="16"/>
  <c r="V7" i="16"/>
  <c r="V12" i="16"/>
  <c r="V6" i="16"/>
  <c r="V2" i="16"/>
  <c r="AR43" i="15"/>
  <c r="AR39" i="15"/>
  <c r="AR35" i="15"/>
  <c r="AR31" i="15"/>
  <c r="AR27" i="15"/>
  <c r="AR23" i="15"/>
  <c r="AR19" i="15"/>
  <c r="AR15" i="15"/>
  <c r="AR11" i="15"/>
  <c r="AR44" i="15"/>
  <c r="AR40" i="15"/>
  <c r="AR36" i="15"/>
  <c r="AR32" i="15"/>
  <c r="AR28" i="15"/>
  <c r="AR24" i="15"/>
  <c r="AR20" i="15"/>
  <c r="AR16" i="15"/>
  <c r="AR12" i="15"/>
  <c r="AR8" i="15"/>
  <c r="AR4" i="15"/>
  <c r="AR45" i="15"/>
  <c r="AR37" i="15"/>
  <c r="AR33" i="15"/>
  <c r="AR29" i="15"/>
  <c r="AR25" i="15"/>
  <c r="AR21" i="15"/>
  <c r="AR17" i="15"/>
  <c r="AR13" i="15"/>
  <c r="AR9" i="15"/>
  <c r="AR46" i="15"/>
  <c r="AR38" i="15"/>
  <c r="AR34" i="15"/>
  <c r="AR30" i="15"/>
  <c r="AR26" i="15"/>
  <c r="AR22" i="15"/>
  <c r="AR18" i="15"/>
  <c r="AR14" i="15"/>
  <c r="AR10" i="15"/>
  <c r="AR6" i="15"/>
  <c r="AR2" i="15"/>
  <c r="AR7" i="15"/>
  <c r="AR5" i="15"/>
  <c r="AR3" i="15"/>
  <c r="L43" i="15"/>
  <c r="L39" i="15"/>
  <c r="L35" i="15"/>
  <c r="L31" i="15"/>
  <c r="L27" i="15"/>
  <c r="L23" i="15"/>
  <c r="L19" i="15"/>
  <c r="L15" i="15"/>
  <c r="L11" i="15"/>
  <c r="L44" i="15"/>
  <c r="L40" i="15"/>
  <c r="L36" i="15"/>
  <c r="L32" i="15"/>
  <c r="L28" i="15"/>
  <c r="L24" i="15"/>
  <c r="L20" i="15"/>
  <c r="L16" i="15"/>
  <c r="L12" i="15"/>
  <c r="L8" i="15"/>
  <c r="L4" i="15"/>
  <c r="L45" i="15"/>
  <c r="L37" i="15"/>
  <c r="L33" i="15"/>
  <c r="L29" i="15"/>
  <c r="L25" i="15"/>
  <c r="L21" i="15"/>
  <c r="L17" i="15"/>
  <c r="L13" i="15"/>
  <c r="L9" i="15"/>
  <c r="L46" i="15"/>
  <c r="L38" i="15"/>
  <c r="L34" i="15"/>
  <c r="L30" i="15"/>
  <c r="L26" i="15"/>
  <c r="L22" i="15"/>
  <c r="L18" i="15"/>
  <c r="L14" i="15"/>
  <c r="L10" i="15"/>
  <c r="L6" i="15"/>
  <c r="L2" i="15"/>
  <c r="L7" i="15"/>
  <c r="L5" i="15"/>
  <c r="L3" i="15"/>
  <c r="AW28" i="14"/>
  <c r="AO28" i="14"/>
  <c r="AG28" i="14"/>
  <c r="Y28" i="14"/>
  <c r="Q28" i="14"/>
  <c r="I28" i="14"/>
  <c r="AV28" i="14"/>
  <c r="AN28" i="14"/>
  <c r="AF28" i="14"/>
  <c r="X28" i="14"/>
  <c r="P28" i="14"/>
  <c r="H28" i="14"/>
  <c r="BC28" i="14"/>
  <c r="AU28" i="14"/>
  <c r="AM28" i="14"/>
  <c r="AE28" i="14"/>
  <c r="W28" i="14"/>
  <c r="O28" i="14"/>
  <c r="G28" i="14"/>
  <c r="BB28" i="14"/>
  <c r="AT28" i="14"/>
  <c r="AL28" i="14"/>
  <c r="AD28" i="14"/>
  <c r="V28" i="14"/>
  <c r="N28" i="14"/>
  <c r="F28" i="14"/>
  <c r="BA28" i="14"/>
  <c r="AS28" i="14"/>
  <c r="AK28" i="14"/>
  <c r="AC28" i="14"/>
  <c r="U28" i="14"/>
  <c r="M28" i="14"/>
  <c r="E28" i="14"/>
  <c r="AZ28" i="14"/>
  <c r="AR28" i="14"/>
  <c r="AJ28" i="14"/>
  <c r="AB28" i="14"/>
  <c r="T28" i="14"/>
  <c r="L28" i="14"/>
  <c r="D28" i="14"/>
  <c r="AY28" i="14"/>
  <c r="AQ28" i="14"/>
  <c r="AI28" i="14"/>
  <c r="AA28" i="14"/>
  <c r="S28" i="14"/>
  <c r="K28" i="14"/>
  <c r="C28" i="14"/>
  <c r="AX28" i="14"/>
  <c r="AP28" i="14"/>
  <c r="AH28" i="14"/>
  <c r="Z28" i="14"/>
  <c r="R28" i="14"/>
  <c r="J28" i="14"/>
  <c r="B28" i="14"/>
  <c r="AY21" i="14"/>
  <c r="AQ21" i="14"/>
  <c r="AI21" i="14"/>
  <c r="AA21" i="14"/>
  <c r="S21" i="14"/>
  <c r="K21" i="14"/>
  <c r="C21" i="14"/>
  <c r="AX21" i="14"/>
  <c r="AP21" i="14"/>
  <c r="AH21" i="14"/>
  <c r="Z21" i="14"/>
  <c r="R21" i="14"/>
  <c r="J21" i="14"/>
  <c r="B21" i="14"/>
  <c r="AW21" i="14"/>
  <c r="AO21" i="14"/>
  <c r="AG21" i="14"/>
  <c r="Y21" i="14"/>
  <c r="Q21" i="14"/>
  <c r="I21" i="14"/>
  <c r="AV21" i="14"/>
  <c r="AN21" i="14"/>
  <c r="AF21" i="14"/>
  <c r="X21" i="14"/>
  <c r="P21" i="14"/>
  <c r="H21" i="14"/>
  <c r="BC21" i="14"/>
  <c r="AU21" i="14"/>
  <c r="AM21" i="14"/>
  <c r="AE21" i="14"/>
  <c r="W21" i="14"/>
  <c r="O21" i="14"/>
  <c r="G21" i="14"/>
  <c r="BB21" i="14"/>
  <c r="AT21" i="14"/>
  <c r="AL21" i="14"/>
  <c r="AD21" i="14"/>
  <c r="V21" i="14"/>
  <c r="N21" i="14"/>
  <c r="F21" i="14"/>
  <c r="BA21" i="14"/>
  <c r="AS21" i="14"/>
  <c r="AK21" i="14"/>
  <c r="AC21" i="14"/>
  <c r="U21" i="14"/>
  <c r="M21" i="14"/>
  <c r="E21" i="14"/>
  <c r="AR21" i="14"/>
  <c r="AJ21" i="14"/>
  <c r="AB21" i="14"/>
  <c r="T21" i="14"/>
  <c r="L21" i="14"/>
  <c r="D21" i="14"/>
  <c r="AZ21" i="14"/>
  <c r="BC3" i="14"/>
  <c r="AU3" i="14"/>
  <c r="AM3" i="14"/>
  <c r="AE3" i="14"/>
  <c r="W3" i="14"/>
  <c r="O3" i="14"/>
  <c r="G3" i="14"/>
  <c r="BB3" i="14"/>
  <c r="AT3" i="14"/>
  <c r="AL3" i="14"/>
  <c r="AD3" i="14"/>
  <c r="V3" i="14"/>
  <c r="N3" i="14"/>
  <c r="F3" i="14"/>
  <c r="BA3" i="14"/>
  <c r="AS3" i="14"/>
  <c r="AK3" i="14"/>
  <c r="AC3" i="14"/>
  <c r="U3" i="14"/>
  <c r="M3" i="14"/>
  <c r="E3" i="14"/>
  <c r="AZ3" i="14"/>
  <c r="AR3" i="14"/>
  <c r="AJ3" i="14"/>
  <c r="AB3" i="14"/>
  <c r="T3" i="14"/>
  <c r="L3" i="14"/>
  <c r="D3" i="14"/>
  <c r="AY3" i="14"/>
  <c r="AQ3" i="14"/>
  <c r="AI3" i="14"/>
  <c r="AA3" i="14"/>
  <c r="S3" i="14"/>
  <c r="K3" i="14"/>
  <c r="C3" i="14"/>
  <c r="AX3" i="14"/>
  <c r="AP3" i="14"/>
  <c r="AH3" i="14"/>
  <c r="Z3" i="14"/>
  <c r="R3" i="14"/>
  <c r="J3" i="14"/>
  <c r="B3" i="14"/>
  <c r="AW3" i="14"/>
  <c r="AO3" i="14"/>
  <c r="AG3" i="14"/>
  <c r="Y3" i="14"/>
  <c r="Q3" i="14"/>
  <c r="I3" i="14"/>
  <c r="AV3" i="14"/>
  <c r="AN3" i="14"/>
  <c r="AF3" i="14"/>
  <c r="X3" i="14"/>
  <c r="P3" i="14"/>
  <c r="H3" i="14"/>
  <c r="BB42" i="16"/>
  <c r="AI41" i="16"/>
  <c r="AQ22" i="25"/>
  <c r="C22" i="25"/>
  <c r="C23" i="25"/>
  <c r="M46" i="18"/>
  <c r="M38" i="18"/>
  <c r="M34" i="18"/>
  <c r="M30" i="18"/>
  <c r="M26" i="18"/>
  <c r="M43" i="18"/>
  <c r="M39" i="18"/>
  <c r="M35" i="18"/>
  <c r="M31" i="18"/>
  <c r="M27" i="18"/>
  <c r="M23" i="18"/>
  <c r="M44" i="18"/>
  <c r="M40" i="18"/>
  <c r="M36" i="18"/>
  <c r="M32" i="18"/>
  <c r="M28" i="18"/>
  <c r="M24" i="18"/>
  <c r="M45" i="18"/>
  <c r="M37" i="18"/>
  <c r="M22" i="18"/>
  <c r="M21" i="18"/>
  <c r="M19" i="18"/>
  <c r="M15" i="18"/>
  <c r="M11" i="18"/>
  <c r="M7" i="18"/>
  <c r="M3" i="18"/>
  <c r="M33" i="18"/>
  <c r="M20" i="18"/>
  <c r="M16" i="18"/>
  <c r="M12" i="18"/>
  <c r="M8" i="18"/>
  <c r="M4" i="18"/>
  <c r="M29" i="18"/>
  <c r="M17" i="18"/>
  <c r="M13" i="18"/>
  <c r="M9" i="18"/>
  <c r="M5" i="18"/>
  <c r="M18" i="18"/>
  <c r="M14" i="18"/>
  <c r="M10" i="18"/>
  <c r="M6" i="18"/>
  <c r="M2" i="18"/>
  <c r="M25" i="18"/>
  <c r="AO45" i="15"/>
  <c r="AO37" i="15"/>
  <c r="AO33" i="15"/>
  <c r="AO29" i="15"/>
  <c r="AO25" i="15"/>
  <c r="AO21" i="15"/>
  <c r="AO17" i="15"/>
  <c r="AO46" i="15"/>
  <c r="AO38" i="15"/>
  <c r="AO34" i="15"/>
  <c r="AO30" i="15"/>
  <c r="AO26" i="15"/>
  <c r="AO22" i="15"/>
  <c r="AO18" i="15"/>
  <c r="AO14" i="15"/>
  <c r="AO10" i="15"/>
  <c r="AO43" i="15"/>
  <c r="AO39" i="15"/>
  <c r="AO35" i="15"/>
  <c r="AO31" i="15"/>
  <c r="AO27" i="15"/>
  <c r="AO23" i="15"/>
  <c r="AO19" i="15"/>
  <c r="AO15" i="15"/>
  <c r="AO11" i="15"/>
  <c r="AO44" i="15"/>
  <c r="AO40" i="15"/>
  <c r="AO36" i="15"/>
  <c r="AO32" i="15"/>
  <c r="AO28" i="15"/>
  <c r="AO24" i="15"/>
  <c r="AO20" i="15"/>
  <c r="AO16" i="15"/>
  <c r="AO12" i="15"/>
  <c r="AO8" i="15"/>
  <c r="AO7" i="15"/>
  <c r="AO6" i="15"/>
  <c r="AO5" i="15"/>
  <c r="AO13" i="15"/>
  <c r="AO4" i="15"/>
  <c r="AO3" i="15"/>
  <c r="AO2" i="15"/>
  <c r="AO9" i="15"/>
  <c r="AW43" i="14"/>
  <c r="AO43" i="14"/>
  <c r="AG43" i="14"/>
  <c r="Y43" i="14"/>
  <c r="Q43" i="14"/>
  <c r="I43" i="14"/>
  <c r="BA43" i="14"/>
  <c r="AS43" i="14"/>
  <c r="AK43" i="14"/>
  <c r="AC43" i="14"/>
  <c r="U43" i="14"/>
  <c r="M43" i="14"/>
  <c r="E43" i="14"/>
  <c r="AY43" i="14"/>
  <c r="AN43" i="14"/>
  <c r="AD43" i="14"/>
  <c r="S43" i="14"/>
  <c r="H43" i="14"/>
  <c r="AX43" i="14"/>
  <c r="AM43" i="14"/>
  <c r="AB43" i="14"/>
  <c r="R43" i="14"/>
  <c r="G43" i="14"/>
  <c r="AV43" i="14"/>
  <c r="AL43" i="14"/>
  <c r="AA43" i="14"/>
  <c r="P43" i="14"/>
  <c r="F43" i="14"/>
  <c r="AU43" i="14"/>
  <c r="AJ43" i="14"/>
  <c r="Z43" i="14"/>
  <c r="O43" i="14"/>
  <c r="D43" i="14"/>
  <c r="AT43" i="14"/>
  <c r="AI43" i="14"/>
  <c r="X43" i="14"/>
  <c r="N43" i="14"/>
  <c r="C43" i="14"/>
  <c r="BC43" i="14"/>
  <c r="AR43" i="14"/>
  <c r="AH43" i="14"/>
  <c r="W43" i="14"/>
  <c r="L43" i="14"/>
  <c r="B43" i="14"/>
  <c r="BB43" i="14"/>
  <c r="AQ43" i="14"/>
  <c r="AF43" i="14"/>
  <c r="V43" i="14"/>
  <c r="K43" i="14"/>
  <c r="AZ43" i="14"/>
  <c r="AP43" i="14"/>
  <c r="AE43" i="14"/>
  <c r="T43" i="14"/>
  <c r="J43" i="14"/>
  <c r="AP41" i="18"/>
  <c r="Y41" i="18"/>
  <c r="I41" i="18"/>
  <c r="AE44" i="28"/>
  <c r="AE40" i="28"/>
  <c r="AE36" i="28"/>
  <c r="AE45" i="28"/>
  <c r="AE41" i="28"/>
  <c r="AE37" i="28"/>
  <c r="AE42" i="28"/>
  <c r="AE34" i="28"/>
  <c r="AE32" i="28"/>
  <c r="AE39" i="28"/>
  <c r="AE46" i="28"/>
  <c r="AE38" i="28"/>
  <c r="AE30" i="28"/>
  <c r="AE33" i="28"/>
  <c r="AE24" i="28"/>
  <c r="AE31" i="28"/>
  <c r="AE29" i="28"/>
  <c r="AE35" i="28"/>
  <c r="AE26" i="28"/>
  <c r="AE22" i="28"/>
  <c r="AE19" i="28"/>
  <c r="AE15" i="28"/>
  <c r="AE27" i="28"/>
  <c r="AE25" i="28"/>
  <c r="AE16" i="28"/>
  <c r="AE12" i="28"/>
  <c r="AE8" i="28"/>
  <c r="AE23" i="28"/>
  <c r="AE21" i="28"/>
  <c r="AE20" i="28"/>
  <c r="AE18" i="28"/>
  <c r="AE14" i="28"/>
  <c r="AE10" i="28"/>
  <c r="AE9" i="28"/>
  <c r="AE5" i="28"/>
  <c r="AE13" i="28"/>
  <c r="AE28" i="28"/>
  <c r="AE11" i="28"/>
  <c r="AE43" i="28"/>
  <c r="AE17" i="28"/>
  <c r="AE7" i="28"/>
  <c r="AE6" i="28"/>
  <c r="AE3" i="28"/>
  <c r="AE2" i="28"/>
  <c r="AE4" i="28"/>
  <c r="BA44" i="27"/>
  <c r="BA40" i="27"/>
  <c r="BA36" i="27"/>
  <c r="BA32" i="27"/>
  <c r="BA45" i="27"/>
  <c r="BA41" i="27"/>
  <c r="BA37" i="27"/>
  <c r="BA33" i="27"/>
  <c r="BA46" i="27"/>
  <c r="BA29" i="27"/>
  <c r="BA25" i="27"/>
  <c r="BA21" i="27"/>
  <c r="BA17" i="27"/>
  <c r="BA42" i="27"/>
  <c r="BA38" i="27"/>
  <c r="BA26" i="27"/>
  <c r="BA27" i="27"/>
  <c r="BA23" i="27"/>
  <c r="BA19" i="27"/>
  <c r="BA15" i="27"/>
  <c r="BA30" i="27"/>
  <c r="BA14" i="27"/>
  <c r="BA10" i="27"/>
  <c r="BA6" i="27"/>
  <c r="BA18" i="27"/>
  <c r="BA43" i="27"/>
  <c r="BA22" i="27"/>
  <c r="BA39" i="27"/>
  <c r="BA31" i="27"/>
  <c r="BA24" i="27"/>
  <c r="BA35" i="27"/>
  <c r="BA12" i="27"/>
  <c r="BA8" i="27"/>
  <c r="BA34" i="27"/>
  <c r="BA16" i="27"/>
  <c r="BA9" i="27"/>
  <c r="BA28" i="27"/>
  <c r="BA3" i="27"/>
  <c r="BA11" i="27"/>
  <c r="BA5" i="27"/>
  <c r="BA4" i="27"/>
  <c r="BA13" i="27"/>
  <c r="BA7" i="27"/>
  <c r="BA2" i="27"/>
  <c r="BA20" i="27"/>
  <c r="U44" i="27"/>
  <c r="U40" i="27"/>
  <c r="U36" i="27"/>
  <c r="U32" i="27"/>
  <c r="U45" i="27"/>
  <c r="U41" i="27"/>
  <c r="U37" i="27"/>
  <c r="U33" i="27"/>
  <c r="U29" i="27"/>
  <c r="U25" i="27"/>
  <c r="U21" i="27"/>
  <c r="U17" i="27"/>
  <c r="U43" i="27"/>
  <c r="U39" i="27"/>
  <c r="U26" i="27"/>
  <c r="U46" i="27"/>
  <c r="U27" i="27"/>
  <c r="U23" i="27"/>
  <c r="U19" i="27"/>
  <c r="U14" i="27"/>
  <c r="U10" i="27"/>
  <c r="U6" i="27"/>
  <c r="U35" i="27"/>
  <c r="U42" i="27"/>
  <c r="U20" i="27"/>
  <c r="U15" i="27"/>
  <c r="U38" i="27"/>
  <c r="U24" i="27"/>
  <c r="U34" i="27"/>
  <c r="U30" i="27"/>
  <c r="U12" i="27"/>
  <c r="U8" i="27"/>
  <c r="U18" i="27"/>
  <c r="U16" i="27"/>
  <c r="U22" i="27"/>
  <c r="U9" i="27"/>
  <c r="U3" i="27"/>
  <c r="U11" i="27"/>
  <c r="U5" i="27"/>
  <c r="U31" i="27"/>
  <c r="U4" i="27"/>
  <c r="U28" i="27"/>
  <c r="U7" i="27"/>
  <c r="U2" i="27"/>
  <c r="U13" i="27"/>
  <c r="AQ46" i="26"/>
  <c r="AQ42" i="26"/>
  <c r="AQ38" i="26"/>
  <c r="AQ34" i="26"/>
  <c r="AQ43" i="26"/>
  <c r="AQ39" i="26"/>
  <c r="AQ45" i="26"/>
  <c r="AQ44" i="26"/>
  <c r="AQ41" i="26"/>
  <c r="AQ33" i="26"/>
  <c r="AQ30" i="26"/>
  <c r="AQ26" i="26"/>
  <c r="AQ22" i="26"/>
  <c r="AQ40" i="26"/>
  <c r="AQ35" i="26"/>
  <c r="AQ37" i="26"/>
  <c r="AQ36" i="26"/>
  <c r="AQ31" i="26"/>
  <c r="AQ27" i="26"/>
  <c r="AQ23" i="26"/>
  <c r="AQ19" i="26"/>
  <c r="AQ32" i="26"/>
  <c r="AQ28" i="26"/>
  <c r="AQ24" i="26"/>
  <c r="AQ20" i="26"/>
  <c r="AQ16" i="26"/>
  <c r="AQ12" i="26"/>
  <c r="AQ8" i="26"/>
  <c r="AQ17" i="26"/>
  <c r="AQ13" i="26"/>
  <c r="AQ9" i="26"/>
  <c r="AQ5" i="26"/>
  <c r="AQ18" i="26"/>
  <c r="AQ14" i="26"/>
  <c r="AQ10" i="26"/>
  <c r="AQ25" i="26"/>
  <c r="AQ15" i="26"/>
  <c r="AQ11" i="26"/>
  <c r="AQ7" i="26"/>
  <c r="AQ29" i="26"/>
  <c r="AQ4" i="26"/>
  <c r="AQ21" i="26"/>
  <c r="AQ2" i="26"/>
  <c r="AQ3" i="26"/>
  <c r="AQ6" i="26"/>
  <c r="K46" i="26"/>
  <c r="K42" i="26"/>
  <c r="K38" i="26"/>
  <c r="K34" i="26"/>
  <c r="K43" i="26"/>
  <c r="K39" i="26"/>
  <c r="K45" i="26"/>
  <c r="K30" i="26"/>
  <c r="K26" i="26"/>
  <c r="K22" i="26"/>
  <c r="K37" i="26"/>
  <c r="K31" i="26"/>
  <c r="K27" i="26"/>
  <c r="K23" i="26"/>
  <c r="K44" i="26"/>
  <c r="K41" i="26"/>
  <c r="K32" i="26"/>
  <c r="K28" i="26"/>
  <c r="K24" i="26"/>
  <c r="K20" i="26"/>
  <c r="K36" i="26"/>
  <c r="K35" i="26"/>
  <c r="K16" i="26"/>
  <c r="K12" i="26"/>
  <c r="K8" i="26"/>
  <c r="K21" i="26"/>
  <c r="K25" i="26"/>
  <c r="K17" i="26"/>
  <c r="K13" i="26"/>
  <c r="K9" i="26"/>
  <c r="K29" i="26"/>
  <c r="K18" i="26"/>
  <c r="K14" i="26"/>
  <c r="K10" i="26"/>
  <c r="K33" i="26"/>
  <c r="K15" i="26"/>
  <c r="K11" i="26"/>
  <c r="K7" i="26"/>
  <c r="K40" i="26"/>
  <c r="K4" i="26"/>
  <c r="K19" i="26"/>
  <c r="K2" i="26"/>
  <c r="K6" i="26"/>
  <c r="K5" i="26"/>
  <c r="K3" i="26"/>
  <c r="AG37" i="25"/>
  <c r="AG36" i="25"/>
  <c r="AG28" i="25"/>
  <c r="AG24" i="25"/>
  <c r="AG20" i="25"/>
  <c r="AG35" i="25"/>
  <c r="AG34" i="25"/>
  <c r="AG33" i="25"/>
  <c r="AG32" i="25"/>
  <c r="AG29" i="25"/>
  <c r="AG25" i="25"/>
  <c r="AG46" i="25"/>
  <c r="AG31" i="25"/>
  <c r="AG45" i="25"/>
  <c r="AG44" i="25"/>
  <c r="AG30" i="25"/>
  <c r="AG26" i="25"/>
  <c r="AG22" i="25"/>
  <c r="AG43" i="25"/>
  <c r="AG42" i="25"/>
  <c r="AG41" i="25"/>
  <c r="AG40" i="25"/>
  <c r="AG27" i="25"/>
  <c r="AG23" i="25"/>
  <c r="AG39" i="25"/>
  <c r="AG38" i="25"/>
  <c r="AG13" i="25"/>
  <c r="AG12" i="25"/>
  <c r="AG11" i="25"/>
  <c r="AG10" i="25"/>
  <c r="AG9" i="25"/>
  <c r="AG8" i="25"/>
  <c r="AG7" i="25"/>
  <c r="AG6" i="25"/>
  <c r="AG21" i="25"/>
  <c r="AG5" i="25"/>
  <c r="AG4" i="25"/>
  <c r="AG18" i="25"/>
  <c r="AG3" i="25"/>
  <c r="AG2" i="25"/>
  <c r="AG19" i="25"/>
  <c r="AG17" i="25"/>
  <c r="AG16" i="25"/>
  <c r="AG15" i="25"/>
  <c r="AG14" i="25"/>
  <c r="AF7" i="25"/>
  <c r="BA26" i="14"/>
  <c r="AS26" i="14"/>
  <c r="AK26" i="14"/>
  <c r="AC26" i="14"/>
  <c r="U26" i="14"/>
  <c r="M26" i="14"/>
  <c r="E26" i="14"/>
  <c r="AZ26" i="14"/>
  <c r="AR26" i="14"/>
  <c r="AJ26" i="14"/>
  <c r="AB26" i="14"/>
  <c r="T26" i="14"/>
  <c r="L26" i="14"/>
  <c r="D26" i="14"/>
  <c r="AY26" i="14"/>
  <c r="AQ26" i="14"/>
  <c r="AI26" i="14"/>
  <c r="AA26" i="14"/>
  <c r="S26" i="14"/>
  <c r="K26" i="14"/>
  <c r="C26" i="14"/>
  <c r="AX26" i="14"/>
  <c r="AP26" i="14"/>
  <c r="AH26" i="14"/>
  <c r="Z26" i="14"/>
  <c r="R26" i="14"/>
  <c r="J26" i="14"/>
  <c r="B26" i="14"/>
  <c r="AW26" i="14"/>
  <c r="AO26" i="14"/>
  <c r="AG26" i="14"/>
  <c r="Y26" i="14"/>
  <c r="Q26" i="14"/>
  <c r="I26" i="14"/>
  <c r="AV26" i="14"/>
  <c r="AN26" i="14"/>
  <c r="AF26" i="14"/>
  <c r="X26" i="14"/>
  <c r="P26" i="14"/>
  <c r="H26" i="14"/>
  <c r="BC26" i="14"/>
  <c r="AU26" i="14"/>
  <c r="AM26" i="14"/>
  <c r="AE26" i="14"/>
  <c r="W26" i="14"/>
  <c r="O26" i="14"/>
  <c r="G26" i="14"/>
  <c r="AD26" i="14"/>
  <c r="V26" i="14"/>
  <c r="N26" i="14"/>
  <c r="F26" i="14"/>
  <c r="BB26" i="14"/>
  <c r="AT26" i="14"/>
  <c r="AL26" i="14"/>
  <c r="U13" i="18"/>
  <c r="U21" i="18"/>
  <c r="G44" i="17"/>
  <c r="Q10" i="28"/>
  <c r="AN12" i="18"/>
  <c r="AN43" i="18"/>
  <c r="BC44" i="15"/>
  <c r="BC40" i="15"/>
  <c r="BC36" i="15"/>
  <c r="BC32" i="15"/>
  <c r="BC28" i="15"/>
  <c r="BC24" i="15"/>
  <c r="BC20" i="15"/>
  <c r="BC16" i="15"/>
  <c r="BC45" i="15"/>
  <c r="BC37" i="15"/>
  <c r="BC33" i="15"/>
  <c r="BC29" i="15"/>
  <c r="BC25" i="15"/>
  <c r="BC21" i="15"/>
  <c r="BC17" i="15"/>
  <c r="BC13" i="15"/>
  <c r="BC9" i="15"/>
  <c r="BC46" i="15"/>
  <c r="BC38" i="15"/>
  <c r="BC34" i="15"/>
  <c r="BC30" i="15"/>
  <c r="BC26" i="15"/>
  <c r="BC22" i="15"/>
  <c r="BC18" i="15"/>
  <c r="BC14" i="15"/>
  <c r="BC10" i="15"/>
  <c r="BC43" i="15"/>
  <c r="BC39" i="15"/>
  <c r="BC35" i="15"/>
  <c r="BC31" i="15"/>
  <c r="BC27" i="15"/>
  <c r="BC23" i="15"/>
  <c r="BC19" i="15"/>
  <c r="BC15" i="15"/>
  <c r="BC11" i="15"/>
  <c r="BC7" i="15"/>
  <c r="BC6" i="15"/>
  <c r="BC12" i="15"/>
  <c r="BC5" i="15"/>
  <c r="BC4" i="15"/>
  <c r="BC3" i="15"/>
  <c r="BC2" i="15"/>
  <c r="BC8" i="15"/>
  <c r="AP42" i="18"/>
  <c r="AO41" i="17"/>
  <c r="H41" i="17"/>
  <c r="BB22" i="28"/>
  <c r="BB24" i="28"/>
  <c r="AT18" i="28"/>
  <c r="AT22" i="28"/>
  <c r="AD34" i="28"/>
  <c r="N22" i="28"/>
  <c r="F34" i="28"/>
  <c r="F38" i="28"/>
  <c r="AV15" i="25"/>
  <c r="AN13" i="25"/>
  <c r="AN28" i="25"/>
  <c r="X7" i="25"/>
  <c r="X25" i="25"/>
  <c r="P22" i="25"/>
  <c r="P42" i="25"/>
  <c r="H18" i="25"/>
  <c r="H13" i="25"/>
  <c r="H28" i="25"/>
  <c r="BA2" i="14"/>
  <c r="AS2" i="14"/>
  <c r="AK2" i="14"/>
  <c r="AC2" i="14"/>
  <c r="U2" i="14"/>
  <c r="M2" i="14"/>
  <c r="E2" i="14"/>
  <c r="AZ2" i="14"/>
  <c r="AR2" i="14"/>
  <c r="AJ2" i="14"/>
  <c r="AB2" i="14"/>
  <c r="T2" i="14"/>
  <c r="L2" i="14"/>
  <c r="D2" i="14"/>
  <c r="AY2" i="14"/>
  <c r="AQ2" i="14"/>
  <c r="AI2" i="14"/>
  <c r="AA2" i="14"/>
  <c r="S2" i="14"/>
  <c r="K2" i="14"/>
  <c r="C2" i="14"/>
  <c r="AX2" i="14"/>
  <c r="AH2" i="14"/>
  <c r="Z2" i="14"/>
  <c r="R2" i="14"/>
  <c r="J2" i="14"/>
  <c r="B2" i="14"/>
  <c r="AW2" i="14"/>
  <c r="AO2" i="14"/>
  <c r="AG2" i="14"/>
  <c r="Y2" i="14"/>
  <c r="Q2" i="14"/>
  <c r="I2" i="14"/>
  <c r="AV2" i="14"/>
  <c r="AF2" i="14"/>
  <c r="X2" i="14"/>
  <c r="P2" i="14"/>
  <c r="H2" i="14"/>
  <c r="BC2" i="14"/>
  <c r="AU2" i="14"/>
  <c r="AM2" i="14"/>
  <c r="AE2" i="14"/>
  <c r="W2" i="14"/>
  <c r="O2" i="14"/>
  <c r="G2" i="14"/>
  <c r="AL2" i="14"/>
  <c r="AD2" i="14"/>
  <c r="V2" i="14"/>
  <c r="N2" i="14"/>
  <c r="F2" i="14"/>
  <c r="BB2" i="14"/>
  <c r="AO16" i="28"/>
  <c r="AO38" i="28"/>
  <c r="Y4" i="28"/>
  <c r="Y18" i="28"/>
  <c r="Y22" i="28"/>
  <c r="AK45" i="26"/>
  <c r="E36" i="26"/>
  <c r="K4" i="25"/>
  <c r="K2" i="25"/>
  <c r="K28" i="25"/>
  <c r="AE44" i="16"/>
  <c r="AE40" i="16"/>
  <c r="AE36" i="16"/>
  <c r="AE32" i="16"/>
  <c r="AE28" i="16"/>
  <c r="AE24" i="16"/>
  <c r="AE20" i="16"/>
  <c r="AE45" i="16"/>
  <c r="AE37" i="16"/>
  <c r="AE33" i="16"/>
  <c r="AE29" i="16"/>
  <c r="AE25" i="16"/>
  <c r="AE21" i="16"/>
  <c r="AE17" i="16"/>
  <c r="AE13" i="16"/>
  <c r="AE9" i="16"/>
  <c r="AE46" i="16"/>
  <c r="AE38" i="16"/>
  <c r="AE34" i="16"/>
  <c r="AE30" i="16"/>
  <c r="AE26" i="16"/>
  <c r="AE22" i="16"/>
  <c r="AE43" i="16"/>
  <c r="AE39" i="16"/>
  <c r="AE35" i="16"/>
  <c r="AE31" i="16"/>
  <c r="AE27" i="16"/>
  <c r="AE23" i="16"/>
  <c r="AE19" i="16"/>
  <c r="AE15" i="16"/>
  <c r="AE11" i="16"/>
  <c r="AE7" i="16"/>
  <c r="AE12" i="16"/>
  <c r="AE4" i="16"/>
  <c r="AE14" i="16"/>
  <c r="AE5" i="16"/>
  <c r="AE16" i="16"/>
  <c r="AE2" i="16"/>
  <c r="AE8" i="16"/>
  <c r="AE18" i="16"/>
  <c r="AE10" i="16"/>
  <c r="AE6" i="16"/>
  <c r="AE3" i="16"/>
  <c r="AW42" i="16"/>
  <c r="BA43" i="28"/>
  <c r="BA39" i="28"/>
  <c r="BA35" i="28"/>
  <c r="BA44" i="28"/>
  <c r="BA40" i="28"/>
  <c r="BA36" i="28"/>
  <c r="BA41" i="28"/>
  <c r="BA31" i="28"/>
  <c r="BA46" i="28"/>
  <c r="BA38" i="28"/>
  <c r="BA45" i="28"/>
  <c r="BA37" i="28"/>
  <c r="BA33" i="28"/>
  <c r="BA29" i="28"/>
  <c r="BA42" i="28"/>
  <c r="BA27" i="28"/>
  <c r="BA23" i="28"/>
  <c r="BA34" i="28"/>
  <c r="BA32" i="28"/>
  <c r="BA25" i="28"/>
  <c r="BA21" i="28"/>
  <c r="BA18" i="28"/>
  <c r="BA14" i="28"/>
  <c r="BA30" i="28"/>
  <c r="BA28" i="28"/>
  <c r="BA19" i="28"/>
  <c r="BA15" i="28"/>
  <c r="BA11" i="28"/>
  <c r="BA26" i="28"/>
  <c r="BA24" i="28"/>
  <c r="BA17" i="28"/>
  <c r="BA13" i="28"/>
  <c r="BA9" i="28"/>
  <c r="BA8" i="28"/>
  <c r="BA16" i="28"/>
  <c r="BA4" i="28"/>
  <c r="BA3" i="28"/>
  <c r="BA10" i="28"/>
  <c r="BA7" i="28"/>
  <c r="BA20" i="28"/>
  <c r="BA12" i="28"/>
  <c r="BA5" i="28"/>
  <c r="BA2" i="28"/>
  <c r="BA6" i="28"/>
  <c r="BA22" i="28"/>
  <c r="AK24" i="28"/>
  <c r="AK14" i="28"/>
  <c r="AC6" i="28"/>
  <c r="AC24" i="28"/>
  <c r="U26" i="28"/>
  <c r="U38" i="28"/>
  <c r="M38" i="28"/>
  <c r="E2" i="28"/>
  <c r="AO45" i="26"/>
  <c r="BC21" i="25"/>
  <c r="BC28" i="25"/>
  <c r="AM4" i="25"/>
  <c r="AM23" i="25"/>
  <c r="AE4" i="25"/>
  <c r="AE22" i="25"/>
  <c r="AE25" i="25"/>
  <c r="W3" i="25"/>
  <c r="G26" i="25"/>
  <c r="AY37" i="14"/>
  <c r="AQ37" i="14"/>
  <c r="AI37" i="14"/>
  <c r="AA37" i="14"/>
  <c r="S37" i="14"/>
  <c r="K37" i="14"/>
  <c r="C37" i="14"/>
  <c r="AX37" i="14"/>
  <c r="AP37" i="14"/>
  <c r="AH37" i="14"/>
  <c r="Z37" i="14"/>
  <c r="R37" i="14"/>
  <c r="J37" i="14"/>
  <c r="B37" i="14"/>
  <c r="AW37" i="14"/>
  <c r="AO37" i="14"/>
  <c r="AG37" i="14"/>
  <c r="Y37" i="14"/>
  <c r="Q37" i="14"/>
  <c r="I37" i="14"/>
  <c r="AV37" i="14"/>
  <c r="AN37" i="14"/>
  <c r="AF37" i="14"/>
  <c r="X37" i="14"/>
  <c r="P37" i="14"/>
  <c r="H37" i="14"/>
  <c r="BC37" i="14"/>
  <c r="AU37" i="14"/>
  <c r="AM37" i="14"/>
  <c r="AE37" i="14"/>
  <c r="W37" i="14"/>
  <c r="O37" i="14"/>
  <c r="G37" i="14"/>
  <c r="BB37" i="14"/>
  <c r="AT37" i="14"/>
  <c r="AL37" i="14"/>
  <c r="AD37" i="14"/>
  <c r="V37" i="14"/>
  <c r="N37" i="14"/>
  <c r="F37" i="14"/>
  <c r="BA37" i="14"/>
  <c r="AS37" i="14"/>
  <c r="AK37" i="14"/>
  <c r="AC37" i="14"/>
  <c r="U37" i="14"/>
  <c r="M37" i="14"/>
  <c r="E37" i="14"/>
  <c r="L37" i="14"/>
  <c r="D37" i="14"/>
  <c r="AZ37" i="14"/>
  <c r="AR37" i="14"/>
  <c r="AJ37" i="14"/>
  <c r="AB37" i="14"/>
  <c r="T37" i="14"/>
  <c r="AY29" i="14"/>
  <c r="AQ29" i="14"/>
  <c r="AI29" i="14"/>
  <c r="AA29" i="14"/>
  <c r="S29" i="14"/>
  <c r="K29" i="14"/>
  <c r="C29" i="14"/>
  <c r="AX29" i="14"/>
  <c r="AP29" i="14"/>
  <c r="AH29" i="14"/>
  <c r="Z29" i="14"/>
  <c r="R29" i="14"/>
  <c r="J29" i="14"/>
  <c r="B29" i="14"/>
  <c r="AW29" i="14"/>
  <c r="AO29" i="14"/>
  <c r="AG29" i="14"/>
  <c r="Y29" i="14"/>
  <c r="Q29" i="14"/>
  <c r="I29" i="14"/>
  <c r="AV29" i="14"/>
  <c r="AN29" i="14"/>
  <c r="AF29" i="14"/>
  <c r="X29" i="14"/>
  <c r="P29" i="14"/>
  <c r="H29" i="14"/>
  <c r="BC29" i="14"/>
  <c r="AU29" i="14"/>
  <c r="AM29" i="14"/>
  <c r="AE29" i="14"/>
  <c r="W29" i="14"/>
  <c r="O29" i="14"/>
  <c r="G29" i="14"/>
  <c r="BB29" i="14"/>
  <c r="AT29" i="14"/>
  <c r="AL29" i="14"/>
  <c r="AD29" i="14"/>
  <c r="V29" i="14"/>
  <c r="N29" i="14"/>
  <c r="F29" i="14"/>
  <c r="BA29" i="14"/>
  <c r="AS29" i="14"/>
  <c r="AK29" i="14"/>
  <c r="AC29" i="14"/>
  <c r="U29" i="14"/>
  <c r="M29" i="14"/>
  <c r="E29" i="14"/>
  <c r="AZ29" i="14"/>
  <c r="AR29" i="14"/>
  <c r="AJ29" i="14"/>
  <c r="AB29" i="14"/>
  <c r="T29" i="14"/>
  <c r="L29" i="14"/>
  <c r="D29" i="14"/>
  <c r="AG4" i="28"/>
  <c r="AG18" i="28"/>
  <c r="S10" i="25"/>
  <c r="S15" i="25"/>
  <c r="S45" i="25"/>
  <c r="E46" i="18"/>
  <c r="E38" i="18"/>
  <c r="E34" i="18"/>
  <c r="E30" i="18"/>
  <c r="E26" i="18"/>
  <c r="E43" i="18"/>
  <c r="E39" i="18"/>
  <c r="E35" i="18"/>
  <c r="E31" i="18"/>
  <c r="E27" i="18"/>
  <c r="E23" i="18"/>
  <c r="E44" i="18"/>
  <c r="E40" i="18"/>
  <c r="E36" i="18"/>
  <c r="E32" i="18"/>
  <c r="E28" i="18"/>
  <c r="E24" i="18"/>
  <c r="E45" i="18"/>
  <c r="E37" i="18"/>
  <c r="E25" i="18"/>
  <c r="E19" i="18"/>
  <c r="E15" i="18"/>
  <c r="E11" i="18"/>
  <c r="E7" i="18"/>
  <c r="E3" i="18"/>
  <c r="E33" i="18"/>
  <c r="E16" i="18"/>
  <c r="E12" i="18"/>
  <c r="E8" i="18"/>
  <c r="E4" i="18"/>
  <c r="E17" i="18"/>
  <c r="E13" i="18"/>
  <c r="E9" i="18"/>
  <c r="E5" i="18"/>
  <c r="E29" i="18"/>
  <c r="E22" i="18"/>
  <c r="E21" i="18"/>
  <c r="E18" i="18"/>
  <c r="E14" i="18"/>
  <c r="E10" i="18"/>
  <c r="E6" i="18"/>
  <c r="E2" i="18"/>
  <c r="E20" i="18"/>
  <c r="AH46" i="15"/>
  <c r="AH38" i="15"/>
  <c r="AH34" i="15"/>
  <c r="AH30" i="15"/>
  <c r="AH26" i="15"/>
  <c r="AH22" i="15"/>
  <c r="AH18" i="15"/>
  <c r="AH14" i="15"/>
  <c r="AH10" i="15"/>
  <c r="AH43" i="15"/>
  <c r="AH39" i="15"/>
  <c r="AH35" i="15"/>
  <c r="AH31" i="15"/>
  <c r="AH27" i="15"/>
  <c r="AH23" i="15"/>
  <c r="AH19" i="15"/>
  <c r="AH15" i="15"/>
  <c r="AH11" i="15"/>
  <c r="AH7" i="15"/>
  <c r="AH3" i="15"/>
  <c r="AH44" i="15"/>
  <c r="AH40" i="15"/>
  <c r="AH36" i="15"/>
  <c r="AH32" i="15"/>
  <c r="AH28" i="15"/>
  <c r="AH24" i="15"/>
  <c r="AH20" i="15"/>
  <c r="AH16" i="15"/>
  <c r="AH12" i="15"/>
  <c r="AH45" i="15"/>
  <c r="AH37" i="15"/>
  <c r="AH33" i="15"/>
  <c r="AH29" i="15"/>
  <c r="AH25" i="15"/>
  <c r="AH21" i="15"/>
  <c r="AH17" i="15"/>
  <c r="AH13" i="15"/>
  <c r="AH9" i="15"/>
  <c r="AH5" i="15"/>
  <c r="AH6" i="15"/>
  <c r="AH4" i="15"/>
  <c r="AH2" i="15"/>
  <c r="AH8" i="15"/>
  <c r="AN42" i="18"/>
  <c r="G42" i="18"/>
  <c r="AZ45" i="28"/>
  <c r="AZ41" i="28"/>
  <c r="AZ37" i="28"/>
  <c r="AZ43" i="28"/>
  <c r="AZ39" i="28"/>
  <c r="AZ35" i="28"/>
  <c r="AZ44" i="28"/>
  <c r="AZ36" i="28"/>
  <c r="AZ30" i="28"/>
  <c r="AZ31" i="28"/>
  <c r="AZ40" i="28"/>
  <c r="AZ32" i="28"/>
  <c r="AZ28" i="28"/>
  <c r="AZ26" i="28"/>
  <c r="AZ22" i="28"/>
  <c r="AZ46" i="28"/>
  <c r="AZ33" i="28"/>
  <c r="AZ42" i="28"/>
  <c r="AZ38" i="28"/>
  <c r="AZ29" i="28"/>
  <c r="AZ27" i="28"/>
  <c r="AZ23" i="28"/>
  <c r="AZ24" i="28"/>
  <c r="AZ20" i="28"/>
  <c r="AZ18" i="28"/>
  <c r="AZ14" i="28"/>
  <c r="AZ25" i="28"/>
  <c r="AZ21" i="28"/>
  <c r="AZ19" i="28"/>
  <c r="AZ15" i="28"/>
  <c r="AZ34" i="28"/>
  <c r="AZ12" i="28"/>
  <c r="AZ10" i="28"/>
  <c r="AZ9" i="28"/>
  <c r="AZ8" i="28"/>
  <c r="AZ16" i="28"/>
  <c r="AZ5" i="28"/>
  <c r="AZ17" i="28"/>
  <c r="AZ3" i="28"/>
  <c r="AZ11" i="28"/>
  <c r="AZ7" i="28"/>
  <c r="AZ6" i="28"/>
  <c r="AZ13" i="28"/>
  <c r="AZ4" i="28"/>
  <c r="AZ2" i="28"/>
  <c r="T45" i="28"/>
  <c r="T41" i="28"/>
  <c r="T37" i="28"/>
  <c r="T43" i="28"/>
  <c r="T39" i="28"/>
  <c r="T35" i="28"/>
  <c r="T44" i="28"/>
  <c r="T36" i="28"/>
  <c r="T34" i="28"/>
  <c r="T30" i="28"/>
  <c r="T31" i="28"/>
  <c r="T40" i="28"/>
  <c r="T32" i="28"/>
  <c r="T42" i="28"/>
  <c r="T38" i="28"/>
  <c r="T26" i="28"/>
  <c r="T22" i="28"/>
  <c r="T27" i="28"/>
  <c r="T23" i="28"/>
  <c r="T24" i="28"/>
  <c r="T33" i="28"/>
  <c r="T20" i="28"/>
  <c r="T18" i="28"/>
  <c r="T14" i="28"/>
  <c r="T28" i="28"/>
  <c r="T46" i="28"/>
  <c r="T19" i="28"/>
  <c r="T15" i="28"/>
  <c r="T29" i="28"/>
  <c r="T25" i="28"/>
  <c r="T10" i="28"/>
  <c r="T9" i="28"/>
  <c r="T21" i="28"/>
  <c r="T17" i="28"/>
  <c r="T13" i="28"/>
  <c r="T8" i="28"/>
  <c r="T5" i="28"/>
  <c r="T3" i="28"/>
  <c r="T11" i="28"/>
  <c r="T7" i="28"/>
  <c r="T6" i="28"/>
  <c r="T12" i="28"/>
  <c r="T4" i="28"/>
  <c r="T16" i="28"/>
  <c r="T2" i="28"/>
  <c r="AP46" i="27"/>
  <c r="AP42" i="27"/>
  <c r="AP38" i="27"/>
  <c r="AP34" i="27"/>
  <c r="AP43" i="27"/>
  <c r="AP39" i="27"/>
  <c r="AP35" i="27"/>
  <c r="AP45" i="27"/>
  <c r="AP41" i="27"/>
  <c r="AP37" i="27"/>
  <c r="AP33" i="27"/>
  <c r="AP28" i="27"/>
  <c r="AP24" i="27"/>
  <c r="AP20" i="27"/>
  <c r="AP44" i="27"/>
  <c r="AP27" i="27"/>
  <c r="AP23" i="27"/>
  <c r="AP18" i="27"/>
  <c r="AP29" i="27"/>
  <c r="AP22" i="27"/>
  <c r="AP13" i="27"/>
  <c r="AP9" i="27"/>
  <c r="AP40" i="27"/>
  <c r="AP26" i="27"/>
  <c r="AP36" i="27"/>
  <c r="AP32" i="27"/>
  <c r="AP21" i="27"/>
  <c r="AP30" i="27"/>
  <c r="AP25" i="27"/>
  <c r="AP17" i="27"/>
  <c r="AP16" i="27"/>
  <c r="AP11" i="27"/>
  <c r="AP7" i="27"/>
  <c r="AP31" i="27"/>
  <c r="AP8" i="27"/>
  <c r="AP5" i="27"/>
  <c r="AP2" i="27"/>
  <c r="AP10" i="27"/>
  <c r="AP4" i="27"/>
  <c r="AP12" i="27"/>
  <c r="AP14" i="27"/>
  <c r="AP15" i="27"/>
  <c r="AP3" i="27"/>
  <c r="AP6" i="27"/>
  <c r="AP19" i="27"/>
  <c r="J46" i="27"/>
  <c r="J42" i="27"/>
  <c r="J38" i="27"/>
  <c r="J34" i="27"/>
  <c r="J43" i="27"/>
  <c r="J39" i="27"/>
  <c r="J35" i="27"/>
  <c r="J45" i="27"/>
  <c r="J41" i="27"/>
  <c r="J37" i="27"/>
  <c r="J33" i="27"/>
  <c r="J44" i="27"/>
  <c r="J40" i="27"/>
  <c r="J28" i="27"/>
  <c r="J24" i="27"/>
  <c r="J20" i="27"/>
  <c r="J36" i="27"/>
  <c r="J30" i="27"/>
  <c r="J27" i="27"/>
  <c r="J29" i="27"/>
  <c r="J13" i="27"/>
  <c r="J9" i="27"/>
  <c r="J26" i="27"/>
  <c r="J31" i="27"/>
  <c r="J19" i="27"/>
  <c r="J23" i="27"/>
  <c r="J18" i="27"/>
  <c r="J25" i="27"/>
  <c r="J22" i="27"/>
  <c r="J17" i="27"/>
  <c r="J16" i="27"/>
  <c r="J15" i="27"/>
  <c r="J11" i="27"/>
  <c r="J7" i="27"/>
  <c r="J8" i="27"/>
  <c r="J14" i="27"/>
  <c r="J6" i="27"/>
  <c r="J5" i="27"/>
  <c r="J2" i="27"/>
  <c r="J21" i="27"/>
  <c r="J10" i="27"/>
  <c r="J12" i="27"/>
  <c r="J4" i="27"/>
  <c r="J3" i="27"/>
  <c r="J32" i="27"/>
  <c r="AF46" i="26"/>
  <c r="AF42" i="26"/>
  <c r="AF43" i="26"/>
  <c r="AF41" i="26"/>
  <c r="AF45" i="26"/>
  <c r="AF40" i="26"/>
  <c r="AF38" i="26"/>
  <c r="AF33" i="26"/>
  <c r="AF39" i="26"/>
  <c r="AF37" i="26"/>
  <c r="AF34" i="26"/>
  <c r="AF35" i="26"/>
  <c r="AF44" i="26"/>
  <c r="AF36" i="26"/>
  <c r="AF28" i="26"/>
  <c r="AF23" i="26"/>
  <c r="AF27" i="26"/>
  <c r="AF15" i="26"/>
  <c r="AF11" i="26"/>
  <c r="AF7" i="26"/>
  <c r="AF32" i="26"/>
  <c r="AF22" i="26"/>
  <c r="AF26" i="26"/>
  <c r="AF16" i="26"/>
  <c r="AF12" i="26"/>
  <c r="AF8" i="26"/>
  <c r="AF30" i="26"/>
  <c r="AF21" i="26"/>
  <c r="AF29" i="26"/>
  <c r="AF20" i="26"/>
  <c r="AF13" i="26"/>
  <c r="AF19" i="26"/>
  <c r="AF10" i="26"/>
  <c r="AF17" i="26"/>
  <c r="AF6" i="26"/>
  <c r="AF31" i="26"/>
  <c r="AF14" i="26"/>
  <c r="AF18" i="26"/>
  <c r="AF25" i="26"/>
  <c r="AF9" i="26"/>
  <c r="AF24" i="26"/>
  <c r="AF5" i="26"/>
  <c r="AF3" i="26"/>
  <c r="AF4" i="26"/>
  <c r="AF2" i="26"/>
  <c r="BB46" i="25"/>
  <c r="BB42" i="25"/>
  <c r="BB38" i="25"/>
  <c r="BB34" i="25"/>
  <c r="BB44" i="25"/>
  <c r="BB40" i="25"/>
  <c r="BB36" i="25"/>
  <c r="BB32" i="25"/>
  <c r="BB37" i="25"/>
  <c r="BB35" i="25"/>
  <c r="BB27" i="25"/>
  <c r="BB23" i="25"/>
  <c r="BB33" i="25"/>
  <c r="BB31" i="25"/>
  <c r="BB28" i="25"/>
  <c r="BB24" i="25"/>
  <c r="BB20" i="25"/>
  <c r="BB16" i="25"/>
  <c r="BB12" i="25"/>
  <c r="BB8" i="25"/>
  <c r="BB4" i="25"/>
  <c r="BB45" i="25"/>
  <c r="BB43" i="25"/>
  <c r="BB29" i="25"/>
  <c r="BB41" i="25"/>
  <c r="BB39" i="25"/>
  <c r="BB30" i="25"/>
  <c r="BB26" i="25"/>
  <c r="BB22" i="25"/>
  <c r="BB18" i="25"/>
  <c r="BB14" i="25"/>
  <c r="BB10" i="25"/>
  <c r="BB6" i="25"/>
  <c r="BB2" i="25"/>
  <c r="BB25" i="25"/>
  <c r="BB13" i="25"/>
  <c r="BB11" i="25"/>
  <c r="BB9" i="25"/>
  <c r="BB19" i="25"/>
  <c r="BB7" i="25"/>
  <c r="BB5" i="25"/>
  <c r="BB3" i="25"/>
  <c r="BB17" i="25"/>
  <c r="BB21" i="25"/>
  <c r="BB15" i="25"/>
  <c r="V46" i="25"/>
  <c r="V42" i="25"/>
  <c r="V38" i="25"/>
  <c r="V34" i="25"/>
  <c r="V44" i="25"/>
  <c r="V40" i="25"/>
  <c r="V36" i="25"/>
  <c r="V32" i="25"/>
  <c r="V37" i="25"/>
  <c r="V35" i="25"/>
  <c r="V27" i="25"/>
  <c r="V23" i="25"/>
  <c r="V33" i="25"/>
  <c r="V31" i="25"/>
  <c r="V28" i="25"/>
  <c r="V24" i="25"/>
  <c r="V20" i="25"/>
  <c r="V16" i="25"/>
  <c r="V12" i="25"/>
  <c r="V8" i="25"/>
  <c r="V4" i="25"/>
  <c r="V45" i="25"/>
  <c r="V43" i="25"/>
  <c r="V29" i="25"/>
  <c r="V41" i="25"/>
  <c r="V39" i="25"/>
  <c r="V30" i="25"/>
  <c r="V26" i="25"/>
  <c r="V22" i="25"/>
  <c r="V18" i="25"/>
  <c r="V14" i="25"/>
  <c r="V10" i="25"/>
  <c r="V6" i="25"/>
  <c r="V13" i="25"/>
  <c r="V11" i="25"/>
  <c r="V9" i="25"/>
  <c r="V19" i="25"/>
  <c r="V7" i="25"/>
  <c r="V25" i="25"/>
  <c r="V5" i="25"/>
  <c r="V3" i="25"/>
  <c r="V17" i="25"/>
  <c r="V2" i="25"/>
  <c r="V21" i="25"/>
  <c r="V15" i="25"/>
  <c r="M12" i="25"/>
  <c r="M18" i="25"/>
  <c r="M26" i="25"/>
  <c r="BC44" i="16"/>
  <c r="BC40" i="16"/>
  <c r="BC36" i="16"/>
  <c r="BC32" i="16"/>
  <c r="BC28" i="16"/>
  <c r="BC24" i="16"/>
  <c r="BC20" i="16"/>
  <c r="BC45" i="16"/>
  <c r="BC37" i="16"/>
  <c r="BC33" i="16"/>
  <c r="BC29" i="16"/>
  <c r="BC25" i="16"/>
  <c r="BC21" i="16"/>
  <c r="BC17" i="16"/>
  <c r="BC13" i="16"/>
  <c r="BC9" i="16"/>
  <c r="BC46" i="16"/>
  <c r="BC38" i="16"/>
  <c r="BC34" i="16"/>
  <c r="BC30" i="16"/>
  <c r="BC26" i="16"/>
  <c r="BC22" i="16"/>
  <c r="BC18" i="16"/>
  <c r="BC43" i="16"/>
  <c r="BC39" i="16"/>
  <c r="BC35" i="16"/>
  <c r="BC31" i="16"/>
  <c r="BC27" i="16"/>
  <c r="BC23" i="16"/>
  <c r="BC19" i="16"/>
  <c r="BC15" i="16"/>
  <c r="BC11" i="16"/>
  <c r="BC7" i="16"/>
  <c r="BC16" i="16"/>
  <c r="BC4" i="16"/>
  <c r="BC10" i="16"/>
  <c r="BC5" i="16"/>
  <c r="BC8" i="16"/>
  <c r="BC12" i="16"/>
  <c r="BC6" i="16"/>
  <c r="BC2" i="16"/>
  <c r="BC14" i="16"/>
  <c r="BC3" i="16"/>
  <c r="O30" i="27"/>
  <c r="O43" i="27"/>
  <c r="AI12" i="25"/>
  <c r="AI18" i="25"/>
  <c r="AI10" i="25"/>
  <c r="AI25" i="25"/>
  <c r="K46" i="16"/>
  <c r="K38" i="16"/>
  <c r="K34" i="16"/>
  <c r="K30" i="16"/>
  <c r="K26" i="16"/>
  <c r="K22" i="16"/>
  <c r="K43" i="16"/>
  <c r="K39" i="16"/>
  <c r="K35" i="16"/>
  <c r="K31" i="16"/>
  <c r="K27" i="16"/>
  <c r="K23" i="16"/>
  <c r="K19" i="16"/>
  <c r="K15" i="16"/>
  <c r="K11" i="16"/>
  <c r="K7" i="16"/>
  <c r="K44" i="16"/>
  <c r="K40" i="16"/>
  <c r="K36" i="16"/>
  <c r="K32" i="16"/>
  <c r="K28" i="16"/>
  <c r="K24" i="16"/>
  <c r="K20" i="16"/>
  <c r="K45" i="16"/>
  <c r="K37" i="16"/>
  <c r="K33" i="16"/>
  <c r="K29" i="16"/>
  <c r="K25" i="16"/>
  <c r="K21" i="16"/>
  <c r="K17" i="16"/>
  <c r="K13" i="16"/>
  <c r="K9" i="16"/>
  <c r="K18" i="16"/>
  <c r="K10" i="16"/>
  <c r="K6" i="16"/>
  <c r="K2" i="16"/>
  <c r="K12" i="16"/>
  <c r="K3" i="16"/>
  <c r="K14" i="16"/>
  <c r="K8" i="16"/>
  <c r="K4" i="16"/>
  <c r="K16" i="16"/>
  <c r="K5" i="16"/>
  <c r="AY24" i="28"/>
  <c r="AY34" i="28"/>
  <c r="AQ4" i="28"/>
  <c r="AQ10" i="28"/>
  <c r="AQ30" i="28"/>
  <c r="AQ46" i="28"/>
  <c r="AI16" i="28"/>
  <c r="AI33" i="28"/>
  <c r="AA38" i="28"/>
  <c r="S14" i="28"/>
  <c r="S22" i="28"/>
  <c r="K2" i="28"/>
  <c r="C10" i="28"/>
  <c r="C30" i="28"/>
  <c r="Y43" i="27"/>
  <c r="Q38" i="27"/>
  <c r="I35" i="27"/>
  <c r="AE45" i="26"/>
  <c r="O35" i="26"/>
  <c r="G36" i="26"/>
  <c r="BA5" i="25"/>
  <c r="BA12" i="25"/>
  <c r="BA29" i="25"/>
  <c r="AS12" i="25"/>
  <c r="AS18" i="25"/>
  <c r="AS22" i="25"/>
  <c r="AK2" i="25"/>
  <c r="AK32" i="25"/>
  <c r="AK37" i="25"/>
  <c r="AK27" i="25"/>
  <c r="AC10" i="25"/>
  <c r="AC25" i="25"/>
  <c r="AC28" i="25"/>
  <c r="AC40" i="25"/>
  <c r="U16" i="25"/>
  <c r="U32" i="25"/>
  <c r="U26" i="25"/>
  <c r="E3" i="25"/>
  <c r="E33" i="25"/>
  <c r="E20" i="25"/>
  <c r="AS35" i="26"/>
  <c r="AY3" i="25"/>
  <c r="AY11" i="25"/>
  <c r="AY21" i="25"/>
  <c r="AA10" i="25"/>
  <c r="AA32" i="25"/>
  <c r="AA19" i="25"/>
  <c r="AA45" i="25"/>
  <c r="X43" i="18"/>
  <c r="X39" i="18"/>
  <c r="X35" i="18"/>
  <c r="X31" i="18"/>
  <c r="X27" i="18"/>
  <c r="X23" i="18"/>
  <c r="X44" i="18"/>
  <c r="X40" i="18"/>
  <c r="X36" i="18"/>
  <c r="X32" i="18"/>
  <c r="X28" i="18"/>
  <c r="X24" i="18"/>
  <c r="X20" i="18"/>
  <c r="X45" i="18"/>
  <c r="X37" i="18"/>
  <c r="X33" i="18"/>
  <c r="X29" i="18"/>
  <c r="X25" i="18"/>
  <c r="X46" i="18"/>
  <c r="X38" i="18"/>
  <c r="X34" i="18"/>
  <c r="X30" i="18"/>
  <c r="X26" i="18"/>
  <c r="X22" i="18"/>
  <c r="X21" i="18"/>
  <c r="X17" i="18"/>
  <c r="X13" i="18"/>
  <c r="X9" i="18"/>
  <c r="X5" i="18"/>
  <c r="X18" i="18"/>
  <c r="X14" i="18"/>
  <c r="X10" i="18"/>
  <c r="X6" i="18"/>
  <c r="X2" i="18"/>
  <c r="X19" i="18"/>
  <c r="X15" i="18"/>
  <c r="X11" i="18"/>
  <c r="X7" i="18"/>
  <c r="X3" i="18"/>
  <c r="X16" i="18"/>
  <c r="X12" i="18"/>
  <c r="X8" i="18"/>
  <c r="X4" i="18"/>
  <c r="AU44" i="15"/>
  <c r="AU40" i="15"/>
  <c r="AU36" i="15"/>
  <c r="AU32" i="15"/>
  <c r="AU28" i="15"/>
  <c r="AU24" i="15"/>
  <c r="AU20" i="15"/>
  <c r="AU16" i="15"/>
  <c r="AU45" i="15"/>
  <c r="AU37" i="15"/>
  <c r="AU33" i="15"/>
  <c r="AU29" i="15"/>
  <c r="AU25" i="15"/>
  <c r="AU21" i="15"/>
  <c r="AU17" i="15"/>
  <c r="AU13" i="15"/>
  <c r="AU9" i="15"/>
  <c r="AU46" i="15"/>
  <c r="AU38" i="15"/>
  <c r="AU34" i="15"/>
  <c r="AU30" i="15"/>
  <c r="AU26" i="15"/>
  <c r="AU22" i="15"/>
  <c r="AU18" i="15"/>
  <c r="AU14" i="15"/>
  <c r="AU10" i="15"/>
  <c r="AU43" i="15"/>
  <c r="AU39" i="15"/>
  <c r="AU35" i="15"/>
  <c r="AU31" i="15"/>
  <c r="AU27" i="15"/>
  <c r="AU23" i="15"/>
  <c r="AU19" i="15"/>
  <c r="AU15" i="15"/>
  <c r="AU11" i="15"/>
  <c r="AU3" i="15"/>
  <c r="AU2" i="15"/>
  <c r="AU12" i="15"/>
  <c r="AU8" i="15"/>
  <c r="AU7" i="15"/>
  <c r="AU6" i="15"/>
  <c r="AU4" i="15"/>
  <c r="AU5" i="15"/>
  <c r="AY44" i="14"/>
  <c r="AQ44" i="14"/>
  <c r="AI44" i="14"/>
  <c r="AA44" i="14"/>
  <c r="S44" i="14"/>
  <c r="K44" i="14"/>
  <c r="C44" i="14"/>
  <c r="BC44" i="14"/>
  <c r="AU44" i="14"/>
  <c r="AM44" i="14"/>
  <c r="AE44" i="14"/>
  <c r="W44" i="14"/>
  <c r="O44" i="14"/>
  <c r="G44" i="14"/>
  <c r="AX44" i="14"/>
  <c r="AN44" i="14"/>
  <c r="AC44" i="14"/>
  <c r="R44" i="14"/>
  <c r="H44" i="14"/>
  <c r="AW44" i="14"/>
  <c r="AL44" i="14"/>
  <c r="AB44" i="14"/>
  <c r="Q44" i="14"/>
  <c r="F44" i="14"/>
  <c r="AV44" i="14"/>
  <c r="AK44" i="14"/>
  <c r="Z44" i="14"/>
  <c r="P44" i="14"/>
  <c r="E44" i="14"/>
  <c r="AT44" i="14"/>
  <c r="AJ44" i="14"/>
  <c r="Y44" i="14"/>
  <c r="N44" i="14"/>
  <c r="D44" i="14"/>
  <c r="AS44" i="14"/>
  <c r="AH44" i="14"/>
  <c r="X44" i="14"/>
  <c r="M44" i="14"/>
  <c r="B44" i="14"/>
  <c r="BB44" i="14"/>
  <c r="AR44" i="14"/>
  <c r="AG44" i="14"/>
  <c r="V44" i="14"/>
  <c r="L44" i="14"/>
  <c r="BA44" i="14"/>
  <c r="AP44" i="14"/>
  <c r="AF44" i="14"/>
  <c r="U44" i="14"/>
  <c r="J44" i="14"/>
  <c r="AZ44" i="14"/>
  <c r="AO44" i="14"/>
  <c r="AD44" i="14"/>
  <c r="T44" i="14"/>
  <c r="I44" i="14"/>
  <c r="AS41" i="18"/>
  <c r="AB41" i="18"/>
  <c r="G33" i="15"/>
  <c r="AJ45" i="18"/>
  <c r="AJ37" i="18"/>
  <c r="AJ33" i="18"/>
  <c r="AJ29" i="18"/>
  <c r="AJ25" i="18"/>
  <c r="AJ46" i="18"/>
  <c r="AJ38" i="18"/>
  <c r="AJ34" i="18"/>
  <c r="AJ30" i="18"/>
  <c r="AJ26" i="18"/>
  <c r="AJ22" i="18"/>
  <c r="AJ43" i="18"/>
  <c r="AJ39" i="18"/>
  <c r="AJ35" i="18"/>
  <c r="AJ31" i="18"/>
  <c r="AJ27" i="18"/>
  <c r="AJ23" i="18"/>
  <c r="AJ44" i="18"/>
  <c r="AJ40" i="18"/>
  <c r="AJ36" i="18"/>
  <c r="AJ32" i="18"/>
  <c r="AJ28" i="18"/>
  <c r="AJ24" i="18"/>
  <c r="AJ20" i="18"/>
  <c r="AJ19" i="18"/>
  <c r="AJ15" i="18"/>
  <c r="AJ11" i="18"/>
  <c r="AJ7" i="18"/>
  <c r="AJ3" i="18"/>
  <c r="AJ16" i="18"/>
  <c r="AJ12" i="18"/>
  <c r="AJ8" i="18"/>
  <c r="AJ4" i="18"/>
  <c r="AJ17" i="18"/>
  <c r="AJ13" i="18"/>
  <c r="AJ9" i="18"/>
  <c r="AJ5" i="18"/>
  <c r="AJ21" i="18"/>
  <c r="AJ18" i="18"/>
  <c r="AJ14" i="18"/>
  <c r="AJ10" i="18"/>
  <c r="AJ6" i="18"/>
  <c r="AJ2" i="18"/>
  <c r="D45" i="18"/>
  <c r="D37" i="18"/>
  <c r="D33" i="18"/>
  <c r="D29" i="18"/>
  <c r="D25" i="18"/>
  <c r="D46" i="18"/>
  <c r="D38" i="18"/>
  <c r="D34" i="18"/>
  <c r="D30" i="18"/>
  <c r="D26" i="18"/>
  <c r="D22" i="18"/>
  <c r="D43" i="18"/>
  <c r="D39" i="18"/>
  <c r="D35" i="18"/>
  <c r="D31" i="18"/>
  <c r="D27" i="18"/>
  <c r="D23" i="18"/>
  <c r="D44" i="18"/>
  <c r="D40" i="18"/>
  <c r="D36" i="18"/>
  <c r="D32" i="18"/>
  <c r="D28" i="18"/>
  <c r="D24" i="18"/>
  <c r="D20" i="18"/>
  <c r="D19" i="18"/>
  <c r="D15" i="18"/>
  <c r="D11" i="18"/>
  <c r="D7" i="18"/>
  <c r="D3" i="18"/>
  <c r="D16" i="18"/>
  <c r="D12" i="18"/>
  <c r="D8" i="18"/>
  <c r="D4" i="18"/>
  <c r="D17" i="18"/>
  <c r="D13" i="18"/>
  <c r="D9" i="18"/>
  <c r="D5" i="18"/>
  <c r="D21" i="18"/>
  <c r="D18" i="18"/>
  <c r="D14" i="18"/>
  <c r="D10" i="18"/>
  <c r="D6" i="18"/>
  <c r="D2" i="18"/>
  <c r="Z46" i="17"/>
  <c r="Z38" i="17"/>
  <c r="Z34" i="17"/>
  <c r="Z30" i="17"/>
  <c r="Z26" i="17"/>
  <c r="Z22" i="17"/>
  <c r="Z43" i="17"/>
  <c r="Z39" i="17"/>
  <c r="Z35" i="17"/>
  <c r="Z44" i="17"/>
  <c r="Z40" i="17"/>
  <c r="Z36" i="17"/>
  <c r="Z32" i="17"/>
  <c r="Z28" i="17"/>
  <c r="Z24" i="17"/>
  <c r="Z20" i="17"/>
  <c r="Z45" i="17"/>
  <c r="Z37" i="17"/>
  <c r="Z33" i="17"/>
  <c r="Z31" i="17"/>
  <c r="Z29" i="17"/>
  <c r="Z27" i="17"/>
  <c r="Z19" i="17"/>
  <c r="Z17" i="17"/>
  <c r="Z13" i="17"/>
  <c r="Z9" i="17"/>
  <c r="Z5" i="17"/>
  <c r="Z18" i="17"/>
  <c r="Z21" i="17"/>
  <c r="Z14" i="17"/>
  <c r="Z10" i="17"/>
  <c r="Z6" i="17"/>
  <c r="Z2" i="17"/>
  <c r="Z23" i="17"/>
  <c r="Z15" i="17"/>
  <c r="Z11" i="17"/>
  <c r="Z7" i="17"/>
  <c r="Z3" i="17"/>
  <c r="Z25" i="17"/>
  <c r="Z16" i="17"/>
  <c r="Z12" i="17"/>
  <c r="Z8" i="17"/>
  <c r="Z4" i="17"/>
  <c r="AV45" i="16"/>
  <c r="AV37" i="16"/>
  <c r="AV33" i="16"/>
  <c r="AV29" i="16"/>
  <c r="AV25" i="16"/>
  <c r="AV21" i="16"/>
  <c r="AV46" i="16"/>
  <c r="AV38" i="16"/>
  <c r="AV34" i="16"/>
  <c r="AV30" i="16"/>
  <c r="AV26" i="16"/>
  <c r="AV22" i="16"/>
  <c r="AV18" i="16"/>
  <c r="AV14" i="16"/>
  <c r="AV10" i="16"/>
  <c r="AV43" i="16"/>
  <c r="AV39" i="16"/>
  <c r="AV35" i="16"/>
  <c r="AV31" i="16"/>
  <c r="AV27" i="16"/>
  <c r="AV23" i="16"/>
  <c r="AV44" i="16"/>
  <c r="AV40" i="16"/>
  <c r="AV36" i="16"/>
  <c r="AV32" i="16"/>
  <c r="AV28" i="16"/>
  <c r="AV24" i="16"/>
  <c r="AV20" i="16"/>
  <c r="AV16" i="16"/>
  <c r="AV12" i="16"/>
  <c r="AV15" i="16"/>
  <c r="AV4" i="16"/>
  <c r="AV8" i="16"/>
  <c r="AV17" i="16"/>
  <c r="AV9" i="16"/>
  <c r="AV7" i="16"/>
  <c r="AV6" i="16"/>
  <c r="AV5" i="16"/>
  <c r="AV19" i="16"/>
  <c r="AV11" i="16"/>
  <c r="AV2" i="16"/>
  <c r="AV13" i="16"/>
  <c r="AV3" i="16"/>
  <c r="P45" i="16"/>
  <c r="P37" i="16"/>
  <c r="P33" i="16"/>
  <c r="P29" i="16"/>
  <c r="P25" i="16"/>
  <c r="P21" i="16"/>
  <c r="P46" i="16"/>
  <c r="P38" i="16"/>
  <c r="P34" i="16"/>
  <c r="P30" i="16"/>
  <c r="P26" i="16"/>
  <c r="P22" i="16"/>
  <c r="P18" i="16"/>
  <c r="P14" i="16"/>
  <c r="P10" i="16"/>
  <c r="P43" i="16"/>
  <c r="P39" i="16"/>
  <c r="P35" i="16"/>
  <c r="P31" i="16"/>
  <c r="P27" i="16"/>
  <c r="P23" i="16"/>
  <c r="P44" i="16"/>
  <c r="P40" i="16"/>
  <c r="P36" i="16"/>
  <c r="P32" i="16"/>
  <c r="P28" i="16"/>
  <c r="P24" i="16"/>
  <c r="P20" i="16"/>
  <c r="P16" i="16"/>
  <c r="P12" i="16"/>
  <c r="P15" i="16"/>
  <c r="P4" i="16"/>
  <c r="P9" i="16"/>
  <c r="P8" i="16"/>
  <c r="P17" i="16"/>
  <c r="P7" i="16"/>
  <c r="P5" i="16"/>
  <c r="P19" i="16"/>
  <c r="P11" i="16"/>
  <c r="P6" i="16"/>
  <c r="P2" i="16"/>
  <c r="P13" i="16"/>
  <c r="P3" i="16"/>
  <c r="AL44" i="15"/>
  <c r="AL40" i="15"/>
  <c r="AL36" i="15"/>
  <c r="AL32" i="15"/>
  <c r="AL28" i="15"/>
  <c r="AL24" i="15"/>
  <c r="AL20" i="15"/>
  <c r="AL16" i="15"/>
  <c r="AL12" i="15"/>
  <c r="AL45" i="15"/>
  <c r="AL37" i="15"/>
  <c r="AL33" i="15"/>
  <c r="AL29" i="15"/>
  <c r="AL25" i="15"/>
  <c r="AL21" i="15"/>
  <c r="AL17" i="15"/>
  <c r="AL13" i="15"/>
  <c r="AL9" i="15"/>
  <c r="AL5" i="15"/>
  <c r="AL46" i="15"/>
  <c r="AL38" i="15"/>
  <c r="AL34" i="15"/>
  <c r="AL30" i="15"/>
  <c r="AL26" i="15"/>
  <c r="AL22" i="15"/>
  <c r="AL18" i="15"/>
  <c r="AL14" i="15"/>
  <c r="AL10" i="15"/>
  <c r="AL43" i="15"/>
  <c r="AL39" i="15"/>
  <c r="AL35" i="15"/>
  <c r="AL31" i="15"/>
  <c r="AL27" i="15"/>
  <c r="AL23" i="15"/>
  <c r="AL19" i="15"/>
  <c r="AL15" i="15"/>
  <c r="AL11" i="15"/>
  <c r="AL7" i="15"/>
  <c r="AL3" i="15"/>
  <c r="AL8" i="15"/>
  <c r="AL6" i="15"/>
  <c r="AL4" i="15"/>
  <c r="AL2" i="15"/>
  <c r="F44" i="15"/>
  <c r="F40" i="15"/>
  <c r="F36" i="15"/>
  <c r="F32" i="15"/>
  <c r="F28" i="15"/>
  <c r="F24" i="15"/>
  <c r="F20" i="15"/>
  <c r="F16" i="15"/>
  <c r="F12" i="15"/>
  <c r="F45" i="15"/>
  <c r="F37" i="15"/>
  <c r="F33" i="15"/>
  <c r="F29" i="15"/>
  <c r="F25" i="15"/>
  <c r="F21" i="15"/>
  <c r="F17" i="15"/>
  <c r="F13" i="15"/>
  <c r="F9" i="15"/>
  <c r="F5" i="15"/>
  <c r="F46" i="15"/>
  <c r="F38" i="15"/>
  <c r="F34" i="15"/>
  <c r="F30" i="15"/>
  <c r="F26" i="15"/>
  <c r="F22" i="15"/>
  <c r="F18" i="15"/>
  <c r="F14" i="15"/>
  <c r="F10" i="15"/>
  <c r="F43" i="15"/>
  <c r="F39" i="15"/>
  <c r="F35" i="15"/>
  <c r="F31" i="15"/>
  <c r="F27" i="15"/>
  <c r="F23" i="15"/>
  <c r="F19" i="15"/>
  <c r="F15" i="15"/>
  <c r="F11" i="15"/>
  <c r="F7" i="15"/>
  <c r="F3" i="15"/>
  <c r="F8" i="15"/>
  <c r="F6" i="15"/>
  <c r="F4" i="15"/>
  <c r="F2" i="15"/>
  <c r="AR4" i="25"/>
  <c r="AR9" i="25"/>
  <c r="AR28" i="25"/>
  <c r="AR23" i="25"/>
  <c r="AR45" i="25"/>
  <c r="AJ4" i="25"/>
  <c r="AJ21" i="25"/>
  <c r="AJ3" i="25"/>
  <c r="AB20" i="25"/>
  <c r="AB4" i="25"/>
  <c r="AB15" i="25"/>
  <c r="AB37" i="25"/>
  <c r="T24" i="25"/>
  <c r="T13" i="25"/>
  <c r="T27" i="25"/>
  <c r="L10" i="25"/>
  <c r="L25" i="25"/>
  <c r="L7" i="25"/>
  <c r="L32" i="25"/>
  <c r="D24" i="25"/>
  <c r="D5" i="25"/>
  <c r="D19" i="25"/>
  <c r="D41" i="25"/>
  <c r="BA14" i="14"/>
  <c r="AS14" i="14"/>
  <c r="AK14" i="14"/>
  <c r="AC14" i="14"/>
  <c r="U14" i="14"/>
  <c r="M14" i="14"/>
  <c r="E14" i="14"/>
  <c r="AZ14" i="14"/>
  <c r="AR14" i="14"/>
  <c r="AJ14" i="14"/>
  <c r="AB14" i="14"/>
  <c r="T14" i="14"/>
  <c r="L14" i="14"/>
  <c r="D14" i="14"/>
  <c r="AY14" i="14"/>
  <c r="AQ14" i="14"/>
  <c r="AI14" i="14"/>
  <c r="AA14" i="14"/>
  <c r="S14" i="14"/>
  <c r="K14" i="14"/>
  <c r="C14" i="14"/>
  <c r="AX14" i="14"/>
  <c r="AP14" i="14"/>
  <c r="AH14" i="14"/>
  <c r="Z14" i="14"/>
  <c r="R14" i="14"/>
  <c r="J14" i="14"/>
  <c r="B14" i="14"/>
  <c r="AW14" i="14"/>
  <c r="AO14" i="14"/>
  <c r="AG14" i="14"/>
  <c r="Y14" i="14"/>
  <c r="Q14" i="14"/>
  <c r="I14" i="14"/>
  <c r="AV14" i="14"/>
  <c r="AN14" i="14"/>
  <c r="AF14" i="14"/>
  <c r="X14" i="14"/>
  <c r="P14" i="14"/>
  <c r="H14" i="14"/>
  <c r="BC14" i="14"/>
  <c r="AU14" i="14"/>
  <c r="AM14" i="14"/>
  <c r="AE14" i="14"/>
  <c r="W14" i="14"/>
  <c r="O14" i="14"/>
  <c r="G14" i="14"/>
  <c r="AL14" i="14"/>
  <c r="AD14" i="14"/>
  <c r="V14" i="14"/>
  <c r="N14" i="14"/>
  <c r="F14" i="14"/>
  <c r="BB14" i="14"/>
  <c r="AT14" i="14"/>
  <c r="K41" i="16"/>
  <c r="AW6" i="28"/>
  <c r="BC38" i="27"/>
  <c r="H43" i="28"/>
  <c r="H39" i="28"/>
  <c r="H35" i="28"/>
  <c r="H45" i="28"/>
  <c r="H41" i="28"/>
  <c r="H37" i="28"/>
  <c r="H46" i="28"/>
  <c r="H38" i="28"/>
  <c r="H32" i="28"/>
  <c r="H28" i="28"/>
  <c r="H33" i="28"/>
  <c r="H29" i="28"/>
  <c r="H42" i="28"/>
  <c r="H34" i="28"/>
  <c r="H30" i="28"/>
  <c r="H24" i="28"/>
  <c r="H20" i="28"/>
  <c r="H31" i="28"/>
  <c r="H25" i="28"/>
  <c r="H21" i="28"/>
  <c r="H26" i="28"/>
  <c r="H22" i="28"/>
  <c r="H16" i="28"/>
  <c r="H40" i="28"/>
  <c r="H36" i="28"/>
  <c r="H27" i="28"/>
  <c r="H44" i="28"/>
  <c r="H23" i="28"/>
  <c r="H17" i="28"/>
  <c r="H13" i="28"/>
  <c r="H12" i="28"/>
  <c r="H11" i="28"/>
  <c r="H10" i="28"/>
  <c r="H9" i="28"/>
  <c r="H18" i="28"/>
  <c r="H14" i="28"/>
  <c r="H7" i="28"/>
  <c r="H5" i="28"/>
  <c r="H4" i="28"/>
  <c r="H2" i="28"/>
  <c r="H15" i="28"/>
  <c r="H8" i="28"/>
  <c r="H19" i="28"/>
  <c r="H3" i="28"/>
  <c r="H6" i="28"/>
  <c r="I44" i="18"/>
  <c r="I40" i="18"/>
  <c r="I36" i="18"/>
  <c r="I32" i="18"/>
  <c r="I28" i="18"/>
  <c r="I24" i="18"/>
  <c r="I45" i="18"/>
  <c r="I37" i="18"/>
  <c r="I33" i="18"/>
  <c r="I29" i="18"/>
  <c r="I25" i="18"/>
  <c r="I46" i="18"/>
  <c r="I38" i="18"/>
  <c r="I34" i="18"/>
  <c r="I30" i="18"/>
  <c r="I26" i="18"/>
  <c r="I43" i="18"/>
  <c r="I39" i="18"/>
  <c r="I35" i="18"/>
  <c r="I17" i="18"/>
  <c r="I13" i="18"/>
  <c r="I9" i="18"/>
  <c r="I5" i="18"/>
  <c r="I27" i="18"/>
  <c r="I18" i="18"/>
  <c r="I14" i="18"/>
  <c r="I10" i="18"/>
  <c r="I6" i="18"/>
  <c r="I2" i="18"/>
  <c r="I22" i="18"/>
  <c r="I21" i="18"/>
  <c r="I20" i="18"/>
  <c r="I19" i="18"/>
  <c r="I15" i="18"/>
  <c r="I11" i="18"/>
  <c r="I7" i="18"/>
  <c r="I3" i="18"/>
  <c r="I23" i="18"/>
  <c r="I16" i="18"/>
  <c r="I12" i="18"/>
  <c r="I8" i="18"/>
  <c r="I4" i="18"/>
  <c r="I31" i="18"/>
  <c r="AQ46" i="15"/>
  <c r="AQ38" i="15"/>
  <c r="AQ34" i="15"/>
  <c r="AQ30" i="15"/>
  <c r="AQ26" i="15"/>
  <c r="AQ22" i="15"/>
  <c r="AQ18" i="15"/>
  <c r="AQ43" i="15"/>
  <c r="AQ39" i="15"/>
  <c r="AQ35" i="15"/>
  <c r="AQ31" i="15"/>
  <c r="AQ27" i="15"/>
  <c r="AQ23" i="15"/>
  <c r="AQ19" i="15"/>
  <c r="AQ15" i="15"/>
  <c r="AQ11" i="15"/>
  <c r="AQ44" i="15"/>
  <c r="AQ40" i="15"/>
  <c r="AQ36" i="15"/>
  <c r="AQ32" i="15"/>
  <c r="AQ28" i="15"/>
  <c r="AQ24" i="15"/>
  <c r="AQ20" i="15"/>
  <c r="AQ16" i="15"/>
  <c r="AQ12" i="15"/>
  <c r="AQ8" i="15"/>
  <c r="AQ45" i="15"/>
  <c r="AQ37" i="15"/>
  <c r="AQ33" i="15"/>
  <c r="AQ29" i="15"/>
  <c r="AQ25" i="15"/>
  <c r="AQ21" i="15"/>
  <c r="AQ17" i="15"/>
  <c r="AQ13" i="15"/>
  <c r="AQ9" i="15"/>
  <c r="AQ10" i="15"/>
  <c r="AQ7" i="15"/>
  <c r="AQ6" i="15"/>
  <c r="AQ5" i="15"/>
  <c r="AQ4" i="15"/>
  <c r="AQ3" i="15"/>
  <c r="AQ2" i="15"/>
  <c r="AQ14" i="15"/>
  <c r="AK6" i="28"/>
  <c r="T43" i="17"/>
  <c r="T39" i="17"/>
  <c r="T35" i="17"/>
  <c r="T31" i="17"/>
  <c r="T27" i="17"/>
  <c r="T23" i="17"/>
  <c r="T19" i="17"/>
  <c r="T44" i="17"/>
  <c r="T40" i="17"/>
  <c r="T36" i="17"/>
  <c r="T45" i="17"/>
  <c r="T37" i="17"/>
  <c r="T33" i="17"/>
  <c r="T29" i="17"/>
  <c r="T25" i="17"/>
  <c r="T21" i="17"/>
  <c r="T46" i="17"/>
  <c r="T38" i="17"/>
  <c r="T34" i="17"/>
  <c r="T20" i="17"/>
  <c r="T14" i="17"/>
  <c r="T10" i="17"/>
  <c r="T6" i="17"/>
  <c r="T2" i="17"/>
  <c r="T32" i="17"/>
  <c r="T22" i="17"/>
  <c r="T15" i="17"/>
  <c r="T11" i="17"/>
  <c r="T7" i="17"/>
  <c r="T3" i="17"/>
  <c r="T30" i="17"/>
  <c r="T24" i="17"/>
  <c r="T16" i="17"/>
  <c r="T12" i="17"/>
  <c r="T8" i="17"/>
  <c r="T4" i="17"/>
  <c r="T26" i="17"/>
  <c r="T18" i="17"/>
  <c r="T17" i="17"/>
  <c r="T13" i="17"/>
  <c r="T9" i="17"/>
  <c r="T5" i="17"/>
  <c r="T28" i="17"/>
  <c r="X45" i="27"/>
  <c r="X41" i="27"/>
  <c r="X37" i="27"/>
  <c r="X33" i="27"/>
  <c r="X46" i="27"/>
  <c r="X42" i="27"/>
  <c r="X38" i="27"/>
  <c r="X34" i="27"/>
  <c r="X44" i="27"/>
  <c r="X40" i="27"/>
  <c r="X36" i="27"/>
  <c r="X32" i="27"/>
  <c r="X39" i="27"/>
  <c r="X35" i="27"/>
  <c r="X27" i="27"/>
  <c r="X23" i="27"/>
  <c r="X19" i="27"/>
  <c r="X31" i="27"/>
  <c r="X30" i="27"/>
  <c r="X43" i="27"/>
  <c r="X20" i="27"/>
  <c r="X24" i="27"/>
  <c r="X12" i="27"/>
  <c r="X8" i="27"/>
  <c r="X29" i="27"/>
  <c r="X17" i="27"/>
  <c r="X16" i="27"/>
  <c r="X26" i="27"/>
  <c r="X18" i="27"/>
  <c r="X28" i="27"/>
  <c r="X22" i="27"/>
  <c r="X14" i="27"/>
  <c r="X10" i="27"/>
  <c r="X6" i="27"/>
  <c r="X25" i="27"/>
  <c r="X21" i="27"/>
  <c r="X5" i="27"/>
  <c r="X4" i="27"/>
  <c r="X15" i="27"/>
  <c r="X11" i="27"/>
  <c r="X13" i="27"/>
  <c r="X7" i="27"/>
  <c r="X3" i="27"/>
  <c r="X2" i="27"/>
  <c r="X9" i="27"/>
  <c r="AV11" i="18"/>
  <c r="AV35" i="18"/>
  <c r="T43" i="16"/>
  <c r="T39" i="16"/>
  <c r="T35" i="16"/>
  <c r="T31" i="16"/>
  <c r="T27" i="16"/>
  <c r="T23" i="16"/>
  <c r="T44" i="16"/>
  <c r="T40" i="16"/>
  <c r="T36" i="16"/>
  <c r="T32" i="16"/>
  <c r="T28" i="16"/>
  <c r="T24" i="16"/>
  <c r="T20" i="16"/>
  <c r="T16" i="16"/>
  <c r="T12" i="16"/>
  <c r="T45" i="16"/>
  <c r="T37" i="16"/>
  <c r="T33" i="16"/>
  <c r="T29" i="16"/>
  <c r="T25" i="16"/>
  <c r="T21" i="16"/>
  <c r="T46" i="16"/>
  <c r="T38" i="16"/>
  <c r="T34" i="16"/>
  <c r="T30" i="16"/>
  <c r="T26" i="16"/>
  <c r="T22" i="16"/>
  <c r="T18" i="16"/>
  <c r="T14" i="16"/>
  <c r="T10" i="16"/>
  <c r="T17" i="16"/>
  <c r="T6" i="16"/>
  <c r="T2" i="16"/>
  <c r="T11" i="16"/>
  <c r="T3" i="16"/>
  <c r="T19" i="16"/>
  <c r="T13" i="16"/>
  <c r="T4" i="16"/>
  <c r="T15" i="16"/>
  <c r="T9" i="16"/>
  <c r="T8" i="16"/>
  <c r="T5" i="16"/>
  <c r="T7" i="16"/>
  <c r="AZ42" i="17"/>
  <c r="AF43" i="28"/>
  <c r="AF39" i="28"/>
  <c r="AF35" i="28"/>
  <c r="AF45" i="28"/>
  <c r="AF41" i="28"/>
  <c r="AF37" i="28"/>
  <c r="AF42" i="28"/>
  <c r="AF34" i="28"/>
  <c r="AF32" i="28"/>
  <c r="AF28" i="28"/>
  <c r="AF33" i="28"/>
  <c r="AF29" i="28"/>
  <c r="AF46" i="28"/>
  <c r="AF38" i="28"/>
  <c r="AF30" i="28"/>
  <c r="AF24" i="28"/>
  <c r="AF20" i="28"/>
  <c r="AF44" i="28"/>
  <c r="AF31" i="28"/>
  <c r="AF40" i="28"/>
  <c r="AF36" i="28"/>
  <c r="AF25" i="28"/>
  <c r="AF21" i="28"/>
  <c r="AF26" i="28"/>
  <c r="AF22" i="28"/>
  <c r="AF27" i="28"/>
  <c r="AF16" i="28"/>
  <c r="AF23" i="28"/>
  <c r="AF17" i="28"/>
  <c r="AF13" i="28"/>
  <c r="AF8" i="28"/>
  <c r="AF18" i="28"/>
  <c r="AF14" i="28"/>
  <c r="AF7" i="28"/>
  <c r="AF12" i="28"/>
  <c r="AF15" i="28"/>
  <c r="AF19" i="28"/>
  <c r="AF2" i="28"/>
  <c r="AF9" i="28"/>
  <c r="AF5" i="28"/>
  <c r="AF4" i="28"/>
  <c r="AF10" i="28"/>
  <c r="AF6" i="28"/>
  <c r="AF3" i="28"/>
  <c r="AF11" i="28"/>
  <c r="BB44" i="27"/>
  <c r="BB40" i="27"/>
  <c r="BB36" i="27"/>
  <c r="BB45" i="27"/>
  <c r="BB41" i="27"/>
  <c r="BB37" i="27"/>
  <c r="BB43" i="27"/>
  <c r="BB39" i="27"/>
  <c r="BB35" i="27"/>
  <c r="BB31" i="27"/>
  <c r="BB42" i="27"/>
  <c r="BB38" i="27"/>
  <c r="BB33" i="27"/>
  <c r="BB26" i="27"/>
  <c r="BB22" i="27"/>
  <c r="BB18" i="27"/>
  <c r="BB34" i="27"/>
  <c r="BB25" i="27"/>
  <c r="BB23" i="27"/>
  <c r="BB27" i="27"/>
  <c r="BB11" i="27"/>
  <c r="BB7" i="27"/>
  <c r="BB24" i="27"/>
  <c r="BB46" i="27"/>
  <c r="BB29" i="27"/>
  <c r="BB21" i="27"/>
  <c r="BB17" i="27"/>
  <c r="BB16" i="27"/>
  <c r="BB20" i="27"/>
  <c r="BB15" i="27"/>
  <c r="BB13" i="27"/>
  <c r="BB9" i="27"/>
  <c r="BB5" i="27"/>
  <c r="BB28" i="27"/>
  <c r="BB3" i="27"/>
  <c r="BB6" i="27"/>
  <c r="BB32" i="27"/>
  <c r="BB14" i="27"/>
  <c r="BB4" i="27"/>
  <c r="BB8" i="27"/>
  <c r="BB30" i="27"/>
  <c r="BB19" i="27"/>
  <c r="BB10" i="27"/>
  <c r="BB2" i="27"/>
  <c r="BB12" i="27"/>
  <c r="V44" i="27"/>
  <c r="V40" i="27"/>
  <c r="V36" i="27"/>
  <c r="V45" i="27"/>
  <c r="V41" i="27"/>
  <c r="V37" i="27"/>
  <c r="V43" i="27"/>
  <c r="V39" i="27"/>
  <c r="V35" i="27"/>
  <c r="V31" i="27"/>
  <c r="V33" i="27"/>
  <c r="V26" i="27"/>
  <c r="V22" i="27"/>
  <c r="V18" i="27"/>
  <c r="V42" i="27"/>
  <c r="V25" i="27"/>
  <c r="V21" i="27"/>
  <c r="V46" i="27"/>
  <c r="V27" i="27"/>
  <c r="V20" i="27"/>
  <c r="V15" i="27"/>
  <c r="V11" i="27"/>
  <c r="V7" i="27"/>
  <c r="V38" i="27"/>
  <c r="V32" i="27"/>
  <c r="V24" i="27"/>
  <c r="V34" i="27"/>
  <c r="V30" i="27"/>
  <c r="V19" i="27"/>
  <c r="V29" i="27"/>
  <c r="V23" i="27"/>
  <c r="V17" i="27"/>
  <c r="V16" i="27"/>
  <c r="V13" i="27"/>
  <c r="V9" i="27"/>
  <c r="V5" i="27"/>
  <c r="V3" i="27"/>
  <c r="V6" i="27"/>
  <c r="V4" i="27"/>
  <c r="V8" i="27"/>
  <c r="V10" i="27"/>
  <c r="V14" i="27"/>
  <c r="V2" i="27"/>
  <c r="V12" i="27"/>
  <c r="V28" i="27"/>
  <c r="AR44" i="26"/>
  <c r="AR40" i="26"/>
  <c r="AR45" i="26"/>
  <c r="AR41" i="26"/>
  <c r="AR42" i="26"/>
  <c r="AR35" i="26"/>
  <c r="AR34" i="26"/>
  <c r="AR38" i="26"/>
  <c r="AR37" i="26"/>
  <c r="AR36" i="26"/>
  <c r="AR46" i="26"/>
  <c r="AR39" i="26"/>
  <c r="AR32" i="26"/>
  <c r="AR43" i="26"/>
  <c r="AR28" i="26"/>
  <c r="AR19" i="26"/>
  <c r="AR23" i="26"/>
  <c r="AR17" i="26"/>
  <c r="AR13" i="26"/>
  <c r="AR9" i="26"/>
  <c r="AR5" i="26"/>
  <c r="AR33" i="26"/>
  <c r="AR31" i="26"/>
  <c r="AR27" i="26"/>
  <c r="AR22" i="26"/>
  <c r="AR18" i="26"/>
  <c r="AR14" i="26"/>
  <c r="AR10" i="26"/>
  <c r="AR6" i="26"/>
  <c r="AR26" i="26"/>
  <c r="AR21" i="26"/>
  <c r="AR30" i="26"/>
  <c r="AR29" i="26"/>
  <c r="AR20" i="26"/>
  <c r="AR11" i="26"/>
  <c r="AR8" i="26"/>
  <c r="AR15" i="26"/>
  <c r="AR12" i="26"/>
  <c r="AR25" i="26"/>
  <c r="AR24" i="26"/>
  <c r="AR16" i="26"/>
  <c r="AR7" i="26"/>
  <c r="AR3" i="26"/>
  <c r="AR2" i="26"/>
  <c r="AR4" i="26"/>
  <c r="L44" i="26"/>
  <c r="L40" i="26"/>
  <c r="L45" i="26"/>
  <c r="L43" i="26"/>
  <c r="L39" i="26"/>
  <c r="L38" i="26"/>
  <c r="L37" i="26"/>
  <c r="L46" i="26"/>
  <c r="L41" i="26"/>
  <c r="L32" i="26"/>
  <c r="L35" i="26"/>
  <c r="L34" i="26"/>
  <c r="L26" i="26"/>
  <c r="L21" i="26"/>
  <c r="L30" i="26"/>
  <c r="L25" i="26"/>
  <c r="L17" i="26"/>
  <c r="L13" i="26"/>
  <c r="L9" i="26"/>
  <c r="L31" i="26"/>
  <c r="L29" i="26"/>
  <c r="L20" i="26"/>
  <c r="L24" i="26"/>
  <c r="L18" i="26"/>
  <c r="L14" i="26"/>
  <c r="L10" i="26"/>
  <c r="L6" i="26"/>
  <c r="L33" i="26"/>
  <c r="L28" i="26"/>
  <c r="L27" i="26"/>
  <c r="L19" i="26"/>
  <c r="L36" i="26"/>
  <c r="L11" i="26"/>
  <c r="L42" i="26"/>
  <c r="L8" i="26"/>
  <c r="L23" i="26"/>
  <c r="L15" i="26"/>
  <c r="L22" i="26"/>
  <c r="L12" i="26"/>
  <c r="L5" i="26"/>
  <c r="L16" i="26"/>
  <c r="L7" i="26"/>
  <c r="L3" i="26"/>
  <c r="L2" i="26"/>
  <c r="L4" i="26"/>
  <c r="AH44" i="25"/>
  <c r="AH40" i="25"/>
  <c r="AH36" i="25"/>
  <c r="AH32" i="25"/>
  <c r="AH46" i="25"/>
  <c r="AH42" i="25"/>
  <c r="AH38" i="25"/>
  <c r="AH34" i="25"/>
  <c r="AH35" i="25"/>
  <c r="AH33" i="25"/>
  <c r="AH29" i="25"/>
  <c r="AH25" i="25"/>
  <c r="AH21" i="25"/>
  <c r="AH31" i="25"/>
  <c r="AH45" i="25"/>
  <c r="AH30" i="25"/>
  <c r="AH26" i="25"/>
  <c r="AH22" i="25"/>
  <c r="AH18" i="25"/>
  <c r="AH14" i="25"/>
  <c r="AH10" i="25"/>
  <c r="AH6" i="25"/>
  <c r="AH2" i="25"/>
  <c r="AH43" i="25"/>
  <c r="AH41" i="25"/>
  <c r="AH39" i="25"/>
  <c r="AH37" i="25"/>
  <c r="AH28" i="25"/>
  <c r="AH24" i="25"/>
  <c r="AH20" i="25"/>
  <c r="AH16" i="25"/>
  <c r="AH12" i="25"/>
  <c r="AH8" i="25"/>
  <c r="AH4" i="25"/>
  <c r="AH11" i="25"/>
  <c r="AH23" i="25"/>
  <c r="AH9" i="25"/>
  <c r="AH7" i="25"/>
  <c r="AH5" i="25"/>
  <c r="AH3" i="25"/>
  <c r="AH27" i="25"/>
  <c r="AH19" i="25"/>
  <c r="AH17" i="25"/>
  <c r="AH15" i="25"/>
  <c r="AH13" i="25"/>
  <c r="I2" i="28"/>
  <c r="U36" i="26"/>
  <c r="C20" i="25"/>
  <c r="AT44" i="17"/>
  <c r="AT40" i="17"/>
  <c r="AT36" i="17"/>
  <c r="AT32" i="17"/>
  <c r="AT28" i="17"/>
  <c r="AT24" i="17"/>
  <c r="AT20" i="17"/>
  <c r="AT45" i="17"/>
  <c r="AT37" i="17"/>
  <c r="AT33" i="17"/>
  <c r="AT46" i="17"/>
  <c r="AT38" i="17"/>
  <c r="AT34" i="17"/>
  <c r="AT30" i="17"/>
  <c r="AT26" i="17"/>
  <c r="AT22" i="17"/>
  <c r="AT43" i="17"/>
  <c r="AT39" i="17"/>
  <c r="AT35" i="17"/>
  <c r="AT31" i="17"/>
  <c r="AT21" i="17"/>
  <c r="AT15" i="17"/>
  <c r="AT11" i="17"/>
  <c r="AT7" i="17"/>
  <c r="AT3" i="17"/>
  <c r="AT23" i="17"/>
  <c r="AT18" i="17"/>
  <c r="AT16" i="17"/>
  <c r="AT12" i="17"/>
  <c r="AT8" i="17"/>
  <c r="AT4" i="17"/>
  <c r="AT29" i="17"/>
  <c r="AT25" i="17"/>
  <c r="AT17" i="17"/>
  <c r="AT13" i="17"/>
  <c r="AT9" i="17"/>
  <c r="AT5" i="17"/>
  <c r="AT27" i="17"/>
  <c r="AT19" i="17"/>
  <c r="AT14" i="17"/>
  <c r="AT10" i="17"/>
  <c r="AT6" i="17"/>
  <c r="AT2" i="17"/>
  <c r="Y45" i="15"/>
  <c r="Y37" i="15"/>
  <c r="Y33" i="15"/>
  <c r="Y29" i="15"/>
  <c r="Y25" i="15"/>
  <c r="Y21" i="15"/>
  <c r="Y17" i="15"/>
  <c r="Y46" i="15"/>
  <c r="Y38" i="15"/>
  <c r="Y34" i="15"/>
  <c r="Y30" i="15"/>
  <c r="Y26" i="15"/>
  <c r="Y22" i="15"/>
  <c r="Y18" i="15"/>
  <c r="Y14" i="15"/>
  <c r="Y10" i="15"/>
  <c r="Y43" i="15"/>
  <c r="Y39" i="15"/>
  <c r="Y35" i="15"/>
  <c r="Y31" i="15"/>
  <c r="Y27" i="15"/>
  <c r="Y23" i="15"/>
  <c r="Y19" i="15"/>
  <c r="Y15" i="15"/>
  <c r="Y11" i="15"/>
  <c r="Y44" i="15"/>
  <c r="Y40" i="15"/>
  <c r="Y36" i="15"/>
  <c r="Y32" i="15"/>
  <c r="Y28" i="15"/>
  <c r="Y24" i="15"/>
  <c r="Y20" i="15"/>
  <c r="Y16" i="15"/>
  <c r="Y12" i="15"/>
  <c r="Y8" i="15"/>
  <c r="Y4" i="15"/>
  <c r="Y3" i="15"/>
  <c r="Y9" i="15"/>
  <c r="Y2" i="15"/>
  <c r="Y13" i="15"/>
  <c r="Y7" i="15"/>
  <c r="Y6" i="15"/>
  <c r="Y5" i="15"/>
  <c r="AX41" i="15"/>
  <c r="AG44" i="18"/>
  <c r="AG40" i="18"/>
  <c r="AG36" i="18"/>
  <c r="AG32" i="18"/>
  <c r="AG28" i="18"/>
  <c r="AG24" i="18"/>
  <c r="AG45" i="18"/>
  <c r="AG37" i="18"/>
  <c r="AG33" i="18"/>
  <c r="AG29" i="18"/>
  <c r="AG25" i="18"/>
  <c r="AG46" i="18"/>
  <c r="AG38" i="18"/>
  <c r="AG34" i="18"/>
  <c r="AG30" i="18"/>
  <c r="AG26" i="18"/>
  <c r="AG22" i="18"/>
  <c r="AG43" i="18"/>
  <c r="AG39" i="18"/>
  <c r="AG35" i="18"/>
  <c r="AG17" i="18"/>
  <c r="AG13" i="18"/>
  <c r="AG9" i="18"/>
  <c r="AG5" i="18"/>
  <c r="AG21" i="18"/>
  <c r="AG23" i="18"/>
  <c r="AG20" i="18"/>
  <c r="AG18" i="18"/>
  <c r="AG14" i="18"/>
  <c r="AG10" i="18"/>
  <c r="AG6" i="18"/>
  <c r="AG2" i="18"/>
  <c r="AG31" i="18"/>
  <c r="AG19" i="18"/>
  <c r="AG15" i="18"/>
  <c r="AG11" i="18"/>
  <c r="AG7" i="18"/>
  <c r="AG3" i="18"/>
  <c r="AG16" i="18"/>
  <c r="AG12" i="18"/>
  <c r="AG8" i="18"/>
  <c r="AG4" i="18"/>
  <c r="AG27" i="18"/>
  <c r="BC45" i="17"/>
  <c r="BC37" i="17"/>
  <c r="BC33" i="17"/>
  <c r="BC29" i="17"/>
  <c r="BC46" i="17"/>
  <c r="BC38" i="17"/>
  <c r="BC34" i="17"/>
  <c r="BC30" i="17"/>
  <c r="BC26" i="17"/>
  <c r="BC22" i="17"/>
  <c r="BC18" i="17"/>
  <c r="BC43" i="17"/>
  <c r="BC39" i="17"/>
  <c r="BC35" i="17"/>
  <c r="BC31" i="17"/>
  <c r="BC27" i="17"/>
  <c r="BC44" i="17"/>
  <c r="BC40" i="17"/>
  <c r="BC36" i="17"/>
  <c r="BC32" i="17"/>
  <c r="BC28" i="17"/>
  <c r="BC24" i="17"/>
  <c r="BC20" i="17"/>
  <c r="BC19" i="17"/>
  <c r="BC16" i="17"/>
  <c r="BC12" i="17"/>
  <c r="BC8" i="17"/>
  <c r="BC4" i="17"/>
  <c r="BC21" i="17"/>
  <c r="BC13" i="17"/>
  <c r="BC9" i="17"/>
  <c r="BC5" i="17"/>
  <c r="BC17" i="17"/>
  <c r="BC23" i="17"/>
  <c r="BC14" i="17"/>
  <c r="BC10" i="17"/>
  <c r="BC6" i="17"/>
  <c r="BC2" i="17"/>
  <c r="BC25" i="17"/>
  <c r="BC15" i="17"/>
  <c r="BC11" i="17"/>
  <c r="BC7" i="17"/>
  <c r="BC3" i="17"/>
  <c r="W45" i="17"/>
  <c r="W37" i="17"/>
  <c r="W33" i="17"/>
  <c r="W29" i="17"/>
  <c r="W46" i="17"/>
  <c r="W38" i="17"/>
  <c r="W34" i="17"/>
  <c r="W30" i="17"/>
  <c r="W26" i="17"/>
  <c r="W22" i="17"/>
  <c r="W18" i="17"/>
  <c r="W43" i="17"/>
  <c r="W39" i="17"/>
  <c r="W35" i="17"/>
  <c r="W31" i="17"/>
  <c r="W44" i="17"/>
  <c r="W40" i="17"/>
  <c r="W36" i="17"/>
  <c r="W32" i="17"/>
  <c r="W28" i="17"/>
  <c r="W24" i="17"/>
  <c r="W20" i="17"/>
  <c r="W27" i="17"/>
  <c r="W19" i="17"/>
  <c r="W16" i="17"/>
  <c r="W12" i="17"/>
  <c r="W8" i="17"/>
  <c r="W4" i="17"/>
  <c r="W21" i="17"/>
  <c r="W17" i="17"/>
  <c r="W13" i="17"/>
  <c r="W9" i="17"/>
  <c r="W5" i="17"/>
  <c r="W23" i="17"/>
  <c r="W14" i="17"/>
  <c r="W10" i="17"/>
  <c r="W6" i="17"/>
  <c r="W2" i="17"/>
  <c r="W25" i="17"/>
  <c r="W15" i="17"/>
  <c r="W11" i="17"/>
  <c r="W7" i="17"/>
  <c r="W3" i="17"/>
  <c r="AS43" i="16"/>
  <c r="AS39" i="16"/>
  <c r="AS35" i="16"/>
  <c r="AS31" i="16"/>
  <c r="AS27" i="16"/>
  <c r="AS23" i="16"/>
  <c r="AS19" i="16"/>
  <c r="AS44" i="16"/>
  <c r="AS40" i="16"/>
  <c r="AS36" i="16"/>
  <c r="AS32" i="16"/>
  <c r="AS28" i="16"/>
  <c r="AS24" i="16"/>
  <c r="AS20" i="16"/>
  <c r="AS16" i="16"/>
  <c r="AS12" i="16"/>
  <c r="AS8" i="16"/>
  <c r="AS45" i="16"/>
  <c r="AS37" i="16"/>
  <c r="AS33" i="16"/>
  <c r="AS29" i="16"/>
  <c r="AS25" i="16"/>
  <c r="AS21" i="16"/>
  <c r="AS46" i="16"/>
  <c r="AS38" i="16"/>
  <c r="AS34" i="16"/>
  <c r="AS30" i="16"/>
  <c r="AS26" i="16"/>
  <c r="AS22" i="16"/>
  <c r="AS18" i="16"/>
  <c r="AS14" i="16"/>
  <c r="AS10" i="16"/>
  <c r="AS6" i="16"/>
  <c r="AS15" i="16"/>
  <c r="AS3" i="16"/>
  <c r="AS17" i="16"/>
  <c r="AS9" i="16"/>
  <c r="AS4" i="16"/>
  <c r="AS7" i="16"/>
  <c r="AS11" i="16"/>
  <c r="AS5" i="16"/>
  <c r="AS13" i="16"/>
  <c r="AS2" i="16"/>
  <c r="M43" i="16"/>
  <c r="M39" i="16"/>
  <c r="M35" i="16"/>
  <c r="M31" i="16"/>
  <c r="M27" i="16"/>
  <c r="M23" i="16"/>
  <c r="M19" i="16"/>
  <c r="M44" i="16"/>
  <c r="M40" i="16"/>
  <c r="M36" i="16"/>
  <c r="M32" i="16"/>
  <c r="M28" i="16"/>
  <c r="M24" i="16"/>
  <c r="M20" i="16"/>
  <c r="M16" i="16"/>
  <c r="M12" i="16"/>
  <c r="M8" i="16"/>
  <c r="M45" i="16"/>
  <c r="M37" i="16"/>
  <c r="M33" i="16"/>
  <c r="M29" i="16"/>
  <c r="M25" i="16"/>
  <c r="M21" i="16"/>
  <c r="M46" i="16"/>
  <c r="M38" i="16"/>
  <c r="M34" i="16"/>
  <c r="M30" i="16"/>
  <c r="M26" i="16"/>
  <c r="M22" i="16"/>
  <c r="M18" i="16"/>
  <c r="M14" i="16"/>
  <c r="M10" i="16"/>
  <c r="M15" i="16"/>
  <c r="M3" i="16"/>
  <c r="M17" i="16"/>
  <c r="M9" i="16"/>
  <c r="M4" i="16"/>
  <c r="M7" i="16"/>
  <c r="M11" i="16"/>
  <c r="M5" i="16"/>
  <c r="M13" i="16"/>
  <c r="M6" i="16"/>
  <c r="M2" i="16"/>
  <c r="AI46" i="15"/>
  <c r="AI38" i="15"/>
  <c r="AI34" i="15"/>
  <c r="AI30" i="15"/>
  <c r="AI26" i="15"/>
  <c r="AI22" i="15"/>
  <c r="AI18" i="15"/>
  <c r="AI43" i="15"/>
  <c r="AI39" i="15"/>
  <c r="AI35" i="15"/>
  <c r="AI31" i="15"/>
  <c r="AI27" i="15"/>
  <c r="AI23" i="15"/>
  <c r="AI19" i="15"/>
  <c r="AI15" i="15"/>
  <c r="AI11" i="15"/>
  <c r="AI44" i="15"/>
  <c r="AI40" i="15"/>
  <c r="AI36" i="15"/>
  <c r="AI32" i="15"/>
  <c r="AI28" i="15"/>
  <c r="AI24" i="15"/>
  <c r="AI20" i="15"/>
  <c r="AI16" i="15"/>
  <c r="AI12" i="15"/>
  <c r="AI8" i="15"/>
  <c r="AI45" i="15"/>
  <c r="AI37" i="15"/>
  <c r="AI33" i="15"/>
  <c r="AI29" i="15"/>
  <c r="AI25" i="15"/>
  <c r="AI21" i="15"/>
  <c r="AI17" i="15"/>
  <c r="AI13" i="15"/>
  <c r="AI9" i="15"/>
  <c r="AI5" i="15"/>
  <c r="AI4" i="15"/>
  <c r="AI10" i="15"/>
  <c r="AI3" i="15"/>
  <c r="AI2" i="15"/>
  <c r="AI14" i="15"/>
  <c r="AI6" i="15"/>
  <c r="AI7" i="15"/>
  <c r="C46" i="15"/>
  <c r="C38" i="15"/>
  <c r="C34" i="15"/>
  <c r="C30" i="15"/>
  <c r="C26" i="15"/>
  <c r="C22" i="15"/>
  <c r="C18" i="15"/>
  <c r="C43" i="15"/>
  <c r="C39" i="15"/>
  <c r="C35" i="15"/>
  <c r="C31" i="15"/>
  <c r="C27" i="15"/>
  <c r="C23" i="15"/>
  <c r="C19" i="15"/>
  <c r="C15" i="15"/>
  <c r="C11" i="15"/>
  <c r="C44" i="15"/>
  <c r="C40" i="15"/>
  <c r="C36" i="15"/>
  <c r="C32" i="15"/>
  <c r="C28" i="15"/>
  <c r="C24" i="15"/>
  <c r="C20" i="15"/>
  <c r="C16" i="15"/>
  <c r="C12" i="15"/>
  <c r="C45" i="15"/>
  <c r="C37" i="15"/>
  <c r="C33" i="15"/>
  <c r="C29" i="15"/>
  <c r="C25" i="15"/>
  <c r="C21" i="15"/>
  <c r="C17" i="15"/>
  <c r="C13" i="15"/>
  <c r="C9" i="15"/>
  <c r="C5" i="15"/>
  <c r="C4" i="15"/>
  <c r="C3" i="15"/>
  <c r="C2" i="15"/>
  <c r="C14" i="15"/>
  <c r="C10" i="15"/>
  <c r="C8" i="15"/>
  <c r="C6" i="15"/>
  <c r="C7" i="15"/>
  <c r="BC23" i="14"/>
  <c r="AU23" i="14"/>
  <c r="AM23" i="14"/>
  <c r="AE23" i="14"/>
  <c r="W23" i="14"/>
  <c r="O23" i="14"/>
  <c r="G23" i="14"/>
  <c r="BB23" i="14"/>
  <c r="AT23" i="14"/>
  <c r="AL23" i="14"/>
  <c r="AD23" i="14"/>
  <c r="V23" i="14"/>
  <c r="N23" i="14"/>
  <c r="F23" i="14"/>
  <c r="BA23" i="14"/>
  <c r="AS23" i="14"/>
  <c r="AK23" i="14"/>
  <c r="AC23" i="14"/>
  <c r="U23" i="14"/>
  <c r="M23" i="14"/>
  <c r="E23" i="14"/>
  <c r="AZ23" i="14"/>
  <c r="AR23" i="14"/>
  <c r="AJ23" i="14"/>
  <c r="AB23" i="14"/>
  <c r="T23" i="14"/>
  <c r="L23" i="14"/>
  <c r="D23" i="14"/>
  <c r="AY23" i="14"/>
  <c r="AQ23" i="14"/>
  <c r="AI23" i="14"/>
  <c r="AA23" i="14"/>
  <c r="S23" i="14"/>
  <c r="K23" i="14"/>
  <c r="C23" i="14"/>
  <c r="AX23" i="14"/>
  <c r="AP23" i="14"/>
  <c r="AH23" i="14"/>
  <c r="Z23" i="14"/>
  <c r="R23" i="14"/>
  <c r="J23" i="14"/>
  <c r="B23" i="14"/>
  <c r="AW23" i="14"/>
  <c r="AO23" i="14"/>
  <c r="AG23" i="14"/>
  <c r="Y23" i="14"/>
  <c r="Q23" i="14"/>
  <c r="I23" i="14"/>
  <c r="AV23" i="14"/>
  <c r="AN23" i="14"/>
  <c r="AF23" i="14"/>
  <c r="X23" i="14"/>
  <c r="P23" i="14"/>
  <c r="H23" i="14"/>
  <c r="BC7" i="14"/>
  <c r="AU7" i="14"/>
  <c r="AM7" i="14"/>
  <c r="AE7" i="14"/>
  <c r="W7" i="14"/>
  <c r="O7" i="14"/>
  <c r="G7" i="14"/>
  <c r="BB7" i="14"/>
  <c r="AT7" i="14"/>
  <c r="AL7" i="14"/>
  <c r="AD7" i="14"/>
  <c r="V7" i="14"/>
  <c r="N7" i="14"/>
  <c r="F7" i="14"/>
  <c r="BA7" i="14"/>
  <c r="AS7" i="14"/>
  <c r="AK7" i="14"/>
  <c r="AC7" i="14"/>
  <c r="U7" i="14"/>
  <c r="M7" i="14"/>
  <c r="E7" i="14"/>
  <c r="AZ7" i="14"/>
  <c r="AR7" i="14"/>
  <c r="AJ7" i="14"/>
  <c r="AB7" i="14"/>
  <c r="T7" i="14"/>
  <c r="L7" i="14"/>
  <c r="D7" i="14"/>
  <c r="AY7" i="14"/>
  <c r="AQ7" i="14"/>
  <c r="AI7" i="14"/>
  <c r="AA7" i="14"/>
  <c r="S7" i="14"/>
  <c r="K7" i="14"/>
  <c r="C7" i="14"/>
  <c r="AX7" i="14"/>
  <c r="AP7" i="14"/>
  <c r="AH7" i="14"/>
  <c r="Z7" i="14"/>
  <c r="R7" i="14"/>
  <c r="J7" i="14"/>
  <c r="B7" i="14"/>
  <c r="AW7" i="14"/>
  <c r="AO7" i="14"/>
  <c r="AG7" i="14"/>
  <c r="Y7" i="14"/>
  <c r="Q7" i="14"/>
  <c r="I7" i="14"/>
  <c r="AF7" i="14"/>
  <c r="X7" i="14"/>
  <c r="P7" i="14"/>
  <c r="H7" i="14"/>
  <c r="AN7" i="14"/>
  <c r="AV7" i="14"/>
  <c r="AF20" i="25"/>
  <c r="Q30" i="28"/>
  <c r="Q22" i="28"/>
  <c r="Q34" i="28"/>
  <c r="K45" i="18"/>
  <c r="K37" i="18"/>
  <c r="K33" i="18"/>
  <c r="K29" i="18"/>
  <c r="K25" i="18"/>
  <c r="K46" i="18"/>
  <c r="K38" i="18"/>
  <c r="K34" i="18"/>
  <c r="K30" i="18"/>
  <c r="K26" i="18"/>
  <c r="K43" i="18"/>
  <c r="K39" i="18"/>
  <c r="K35" i="18"/>
  <c r="K31" i="18"/>
  <c r="K27" i="18"/>
  <c r="K23" i="18"/>
  <c r="K44" i="18"/>
  <c r="K40" i="18"/>
  <c r="K36" i="18"/>
  <c r="K32" i="18"/>
  <c r="K18" i="18"/>
  <c r="K14" i="18"/>
  <c r="K10" i="18"/>
  <c r="K6" i="18"/>
  <c r="K2" i="18"/>
  <c r="K22" i="18"/>
  <c r="K21" i="18"/>
  <c r="K20" i="18"/>
  <c r="K19" i="18"/>
  <c r="K15" i="18"/>
  <c r="K11" i="18"/>
  <c r="K7" i="18"/>
  <c r="K3" i="18"/>
  <c r="K28" i="18"/>
  <c r="K16" i="18"/>
  <c r="K12" i="18"/>
  <c r="K8" i="18"/>
  <c r="K4" i="18"/>
  <c r="K24" i="18"/>
  <c r="K17" i="18"/>
  <c r="K13" i="18"/>
  <c r="K9" i="18"/>
  <c r="K5" i="18"/>
  <c r="AM44" i="15"/>
  <c r="AM40" i="15"/>
  <c r="AM36" i="15"/>
  <c r="AM32" i="15"/>
  <c r="AM28" i="15"/>
  <c r="AM24" i="15"/>
  <c r="AM20" i="15"/>
  <c r="AM16" i="15"/>
  <c r="AM45" i="15"/>
  <c r="AM41" i="15"/>
  <c r="AM37" i="15"/>
  <c r="AM33" i="15"/>
  <c r="AM29" i="15"/>
  <c r="AM25" i="15"/>
  <c r="AM21" i="15"/>
  <c r="AM17" i="15"/>
  <c r="AM13" i="15"/>
  <c r="AM9" i="15"/>
  <c r="AM46" i="15"/>
  <c r="AM42" i="15"/>
  <c r="AM38" i="15"/>
  <c r="AM34" i="15"/>
  <c r="AM30" i="15"/>
  <c r="AM26" i="15"/>
  <c r="AM22" i="15"/>
  <c r="AM18" i="15"/>
  <c r="AM14" i="15"/>
  <c r="AM10" i="15"/>
  <c r="AM43" i="15"/>
  <c r="AM39" i="15"/>
  <c r="AM35" i="15"/>
  <c r="AM31" i="15"/>
  <c r="AM27" i="15"/>
  <c r="AM23" i="15"/>
  <c r="AM19" i="15"/>
  <c r="AM15" i="15"/>
  <c r="AM11" i="15"/>
  <c r="AM8" i="15"/>
  <c r="AM12" i="15"/>
  <c r="AM7" i="15"/>
  <c r="AM6" i="15"/>
  <c r="AM5" i="15"/>
  <c r="AM4" i="15"/>
  <c r="AM3" i="15"/>
  <c r="AM2" i="15"/>
  <c r="BB34" i="28"/>
  <c r="AT4" i="28"/>
  <c r="AD14" i="28"/>
  <c r="AD38" i="28"/>
  <c r="V4" i="28"/>
  <c r="N14" i="28"/>
  <c r="N34" i="28"/>
  <c r="F18" i="28"/>
  <c r="AH36" i="26"/>
  <c r="J36" i="26"/>
  <c r="AV18" i="25"/>
  <c r="AV42" i="25"/>
  <c r="AN22" i="25"/>
  <c r="AN18" i="25"/>
  <c r="X18" i="25"/>
  <c r="P10" i="25"/>
  <c r="P18" i="25"/>
  <c r="P23" i="25"/>
  <c r="H3" i="25"/>
  <c r="BA26" i="18"/>
  <c r="AO22" i="28"/>
  <c r="Y6" i="28"/>
  <c r="Y24" i="28"/>
  <c r="O44" i="16"/>
  <c r="O40" i="16"/>
  <c r="O36" i="16"/>
  <c r="O32" i="16"/>
  <c r="O28" i="16"/>
  <c r="O24" i="16"/>
  <c r="O20" i="16"/>
  <c r="O45" i="16"/>
  <c r="O37" i="16"/>
  <c r="O33" i="16"/>
  <c r="O29" i="16"/>
  <c r="O25" i="16"/>
  <c r="O21" i="16"/>
  <c r="O17" i="16"/>
  <c r="O13" i="16"/>
  <c r="O9" i="16"/>
  <c r="O46" i="16"/>
  <c r="O38" i="16"/>
  <c r="O34" i="16"/>
  <c r="O30" i="16"/>
  <c r="O26" i="16"/>
  <c r="O22" i="16"/>
  <c r="O43" i="16"/>
  <c r="O39" i="16"/>
  <c r="O35" i="16"/>
  <c r="O31" i="16"/>
  <c r="O27" i="16"/>
  <c r="O23" i="16"/>
  <c r="O19" i="16"/>
  <c r="O15" i="16"/>
  <c r="O11" i="16"/>
  <c r="O7" i="16"/>
  <c r="O12" i="16"/>
  <c r="O4" i="16"/>
  <c r="O8" i="16"/>
  <c r="O14" i="16"/>
  <c r="O5" i="16"/>
  <c r="O16" i="16"/>
  <c r="O6" i="16"/>
  <c r="O2" i="16"/>
  <c r="O18" i="16"/>
  <c r="O10" i="16"/>
  <c r="O3" i="16"/>
  <c r="AF42" i="17"/>
  <c r="AV41" i="16"/>
  <c r="AE41" i="16"/>
  <c r="O41" i="16"/>
  <c r="BA38" i="14"/>
  <c r="AS38" i="14"/>
  <c r="AK38" i="14"/>
  <c r="AC38" i="14"/>
  <c r="U38" i="14"/>
  <c r="M38" i="14"/>
  <c r="E38" i="14"/>
  <c r="AZ38" i="14"/>
  <c r="AR38" i="14"/>
  <c r="AJ38" i="14"/>
  <c r="AB38" i="14"/>
  <c r="T38" i="14"/>
  <c r="L38" i="14"/>
  <c r="D38" i="14"/>
  <c r="AY38" i="14"/>
  <c r="AQ38" i="14"/>
  <c r="AI38" i="14"/>
  <c r="AA38" i="14"/>
  <c r="S38" i="14"/>
  <c r="K38" i="14"/>
  <c r="C38" i="14"/>
  <c r="AX38" i="14"/>
  <c r="AP38" i="14"/>
  <c r="AH38" i="14"/>
  <c r="Z38" i="14"/>
  <c r="R38" i="14"/>
  <c r="J38" i="14"/>
  <c r="B38" i="14"/>
  <c r="AW38" i="14"/>
  <c r="AO38" i="14"/>
  <c r="AG38" i="14"/>
  <c r="Y38" i="14"/>
  <c r="Q38" i="14"/>
  <c r="I38" i="14"/>
  <c r="AV38" i="14"/>
  <c r="AN38" i="14"/>
  <c r="AF38" i="14"/>
  <c r="X38" i="14"/>
  <c r="P38" i="14"/>
  <c r="H38" i="14"/>
  <c r="BC38" i="14"/>
  <c r="AU38" i="14"/>
  <c r="AM38" i="14"/>
  <c r="AE38" i="14"/>
  <c r="W38" i="14"/>
  <c r="O38" i="14"/>
  <c r="G38" i="14"/>
  <c r="V38" i="14"/>
  <c r="N38" i="14"/>
  <c r="F38" i="14"/>
  <c r="BB38" i="14"/>
  <c r="AT38" i="14"/>
  <c r="AL38" i="14"/>
  <c r="AD38" i="14"/>
  <c r="W43" i="18"/>
  <c r="W39" i="18"/>
  <c r="W35" i="18"/>
  <c r="W31" i="18"/>
  <c r="W27" i="18"/>
  <c r="W23" i="18"/>
  <c r="W44" i="18"/>
  <c r="W40" i="18"/>
  <c r="W36" i="18"/>
  <c r="W32" i="18"/>
  <c r="W28" i="18"/>
  <c r="W24" i="18"/>
  <c r="W45" i="18"/>
  <c r="W37" i="18"/>
  <c r="W33" i="18"/>
  <c r="W29" i="18"/>
  <c r="W25" i="18"/>
  <c r="W46" i="18"/>
  <c r="W38" i="18"/>
  <c r="W22" i="18"/>
  <c r="W16" i="18"/>
  <c r="W12" i="18"/>
  <c r="W8" i="18"/>
  <c r="W4" i="18"/>
  <c r="W34" i="18"/>
  <c r="W21" i="18"/>
  <c r="W20" i="18"/>
  <c r="W17" i="18"/>
  <c r="W13" i="18"/>
  <c r="W9" i="18"/>
  <c r="W5" i="18"/>
  <c r="W30" i="18"/>
  <c r="W18" i="18"/>
  <c r="W14" i="18"/>
  <c r="W10" i="18"/>
  <c r="W6" i="18"/>
  <c r="W2" i="18"/>
  <c r="W19" i="18"/>
  <c r="W15" i="18"/>
  <c r="W11" i="18"/>
  <c r="W7" i="18"/>
  <c r="W3" i="18"/>
  <c r="W26" i="18"/>
  <c r="AS44" i="17"/>
  <c r="AS40" i="17"/>
  <c r="AS36" i="17"/>
  <c r="AS32" i="17"/>
  <c r="AS28" i="17"/>
  <c r="AS45" i="17"/>
  <c r="AS37" i="17"/>
  <c r="AS33" i="17"/>
  <c r="AS29" i="17"/>
  <c r="AS25" i="17"/>
  <c r="AS21" i="17"/>
  <c r="AS46" i="17"/>
  <c r="AS38" i="17"/>
  <c r="AS34" i="17"/>
  <c r="AS30" i="17"/>
  <c r="AS43" i="17"/>
  <c r="AS39" i="17"/>
  <c r="AS35" i="17"/>
  <c r="AS31" i="17"/>
  <c r="AS27" i="17"/>
  <c r="AS23" i="17"/>
  <c r="AS19" i="17"/>
  <c r="AS26" i="17"/>
  <c r="AS15" i="17"/>
  <c r="AS11" i="17"/>
  <c r="AS7" i="17"/>
  <c r="AS3" i="17"/>
  <c r="AS20" i="17"/>
  <c r="AS18" i="17"/>
  <c r="AS16" i="17"/>
  <c r="AS12" i="17"/>
  <c r="AS8" i="17"/>
  <c r="AS4" i="17"/>
  <c r="AS22" i="17"/>
  <c r="AS17" i="17"/>
  <c r="AS13" i="17"/>
  <c r="AS9" i="17"/>
  <c r="AS5" i="17"/>
  <c r="AS24" i="17"/>
  <c r="AS14" i="17"/>
  <c r="AS10" i="17"/>
  <c r="AS6" i="17"/>
  <c r="AS2" i="17"/>
  <c r="AK18" i="28"/>
  <c r="AC2" i="28"/>
  <c r="AC4" i="28"/>
  <c r="AC38" i="28"/>
  <c r="U43" i="28"/>
  <c r="E4" i="28"/>
  <c r="BC18" i="25"/>
  <c r="BC7" i="25"/>
  <c r="BC22" i="25"/>
  <c r="BC25" i="25"/>
  <c r="AU15" i="25"/>
  <c r="AM7" i="25"/>
  <c r="AM15" i="25"/>
  <c r="AE12" i="25"/>
  <c r="AE26" i="25"/>
  <c r="W13" i="25"/>
  <c r="W4" i="25"/>
  <c r="W12" i="25"/>
  <c r="O12" i="25"/>
  <c r="O18" i="25"/>
  <c r="O21" i="25"/>
  <c r="O28" i="25"/>
  <c r="G10" i="25"/>
  <c r="G18" i="25"/>
  <c r="G42" i="25"/>
  <c r="L42" i="18"/>
  <c r="AG10" i="28"/>
  <c r="AG16" i="28"/>
  <c r="S3" i="25"/>
  <c r="S21" i="25"/>
  <c r="AL44" i="17"/>
  <c r="AL40" i="17"/>
  <c r="AL36" i="17"/>
  <c r="AL32" i="17"/>
  <c r="AL28" i="17"/>
  <c r="AL24" i="17"/>
  <c r="AL20" i="17"/>
  <c r="AL45" i="17"/>
  <c r="AL37" i="17"/>
  <c r="AL33" i="17"/>
  <c r="AL46" i="17"/>
  <c r="AL38" i="17"/>
  <c r="AL34" i="17"/>
  <c r="AL30" i="17"/>
  <c r="AL26" i="17"/>
  <c r="AL22" i="17"/>
  <c r="AL43" i="17"/>
  <c r="AL39" i="17"/>
  <c r="AL35" i="17"/>
  <c r="AL31" i="17"/>
  <c r="AL25" i="17"/>
  <c r="AL18" i="17"/>
  <c r="AL15" i="17"/>
  <c r="AL11" i="17"/>
  <c r="AL7" i="17"/>
  <c r="AL3" i="17"/>
  <c r="AL27" i="17"/>
  <c r="AL19" i="17"/>
  <c r="AL16" i="17"/>
  <c r="AL12" i="17"/>
  <c r="AL8" i="17"/>
  <c r="AL4" i="17"/>
  <c r="AL21" i="17"/>
  <c r="AL17" i="17"/>
  <c r="AL13" i="17"/>
  <c r="AL9" i="17"/>
  <c r="AL5" i="17"/>
  <c r="AL29" i="17"/>
  <c r="AL23" i="17"/>
  <c r="AL14" i="17"/>
  <c r="AL10" i="17"/>
  <c r="AL6" i="17"/>
  <c r="AL2" i="17"/>
  <c r="R46" i="15"/>
  <c r="R38" i="15"/>
  <c r="R34" i="15"/>
  <c r="R30" i="15"/>
  <c r="R26" i="15"/>
  <c r="R22" i="15"/>
  <c r="R18" i="15"/>
  <c r="R14" i="15"/>
  <c r="R10" i="15"/>
  <c r="R43" i="15"/>
  <c r="R39" i="15"/>
  <c r="R35" i="15"/>
  <c r="R31" i="15"/>
  <c r="R27" i="15"/>
  <c r="R23" i="15"/>
  <c r="R19" i="15"/>
  <c r="R15" i="15"/>
  <c r="R11" i="15"/>
  <c r="R7" i="15"/>
  <c r="R3" i="15"/>
  <c r="R44" i="15"/>
  <c r="R40" i="15"/>
  <c r="R36" i="15"/>
  <c r="R32" i="15"/>
  <c r="R28" i="15"/>
  <c r="R24" i="15"/>
  <c r="R20" i="15"/>
  <c r="R16" i="15"/>
  <c r="R12" i="15"/>
  <c r="R45" i="15"/>
  <c r="R37" i="15"/>
  <c r="R33" i="15"/>
  <c r="R29" i="15"/>
  <c r="R25" i="15"/>
  <c r="R21" i="15"/>
  <c r="R17" i="15"/>
  <c r="R13" i="15"/>
  <c r="R9" i="15"/>
  <c r="R5" i="15"/>
  <c r="R8" i="15"/>
  <c r="R6" i="15"/>
  <c r="R4" i="15"/>
  <c r="R2" i="15"/>
  <c r="BB46" i="18"/>
  <c r="BB38" i="18"/>
  <c r="BB34" i="18"/>
  <c r="BB30" i="18"/>
  <c r="BB26" i="18"/>
  <c r="BB22" i="18"/>
  <c r="BB43" i="18"/>
  <c r="BB39" i="18"/>
  <c r="BB35" i="18"/>
  <c r="BB31" i="18"/>
  <c r="BB27" i="18"/>
  <c r="BB23" i="18"/>
  <c r="BB19" i="18"/>
  <c r="BB44" i="18"/>
  <c r="BB40" i="18"/>
  <c r="BB36" i="18"/>
  <c r="BB32" i="18"/>
  <c r="BB28" i="18"/>
  <c r="BB24" i="18"/>
  <c r="BB45" i="18"/>
  <c r="BB37" i="18"/>
  <c r="BB33" i="18"/>
  <c r="BB29" i="18"/>
  <c r="BB25" i="18"/>
  <c r="BB21" i="18"/>
  <c r="BB16" i="18"/>
  <c r="BB12" i="18"/>
  <c r="BB8" i="18"/>
  <c r="BB4" i="18"/>
  <c r="BB20" i="18"/>
  <c r="BB17" i="18"/>
  <c r="BB13" i="18"/>
  <c r="BB9" i="18"/>
  <c r="BB5" i="18"/>
  <c r="BB18" i="18"/>
  <c r="BB14" i="18"/>
  <c r="BB10" i="18"/>
  <c r="BB6" i="18"/>
  <c r="BB2" i="18"/>
  <c r="BB15" i="18"/>
  <c r="BB11" i="18"/>
  <c r="BB7" i="18"/>
  <c r="BB3" i="18"/>
  <c r="V46" i="18"/>
  <c r="V38" i="18"/>
  <c r="V34" i="18"/>
  <c r="V30" i="18"/>
  <c r="V26" i="18"/>
  <c r="V43" i="18"/>
  <c r="V39" i="18"/>
  <c r="V35" i="18"/>
  <c r="V31" i="18"/>
  <c r="V27" i="18"/>
  <c r="V23" i="18"/>
  <c r="V44" i="18"/>
  <c r="V40" i="18"/>
  <c r="V36" i="18"/>
  <c r="V32" i="18"/>
  <c r="V28" i="18"/>
  <c r="V24" i="18"/>
  <c r="V45" i="18"/>
  <c r="V37" i="18"/>
  <c r="V33" i="18"/>
  <c r="V29" i="18"/>
  <c r="V25" i="18"/>
  <c r="V21" i="18"/>
  <c r="V22" i="18"/>
  <c r="V16" i="18"/>
  <c r="V12" i="18"/>
  <c r="V8" i="18"/>
  <c r="V4" i="18"/>
  <c r="V20" i="18"/>
  <c r="V17" i="18"/>
  <c r="V13" i="18"/>
  <c r="V9" i="18"/>
  <c r="V5" i="18"/>
  <c r="V18" i="18"/>
  <c r="V14" i="18"/>
  <c r="V10" i="18"/>
  <c r="V6" i="18"/>
  <c r="V2" i="18"/>
  <c r="V19" i="18"/>
  <c r="V15" i="18"/>
  <c r="V11" i="18"/>
  <c r="V7" i="18"/>
  <c r="V3" i="18"/>
  <c r="AR43" i="17"/>
  <c r="AR39" i="17"/>
  <c r="AR35" i="17"/>
  <c r="AR31" i="17"/>
  <c r="AR27" i="17"/>
  <c r="AR23" i="17"/>
  <c r="AR19" i="17"/>
  <c r="AR44" i="17"/>
  <c r="AR40" i="17"/>
  <c r="AR36" i="17"/>
  <c r="AR45" i="17"/>
  <c r="AR37" i="17"/>
  <c r="AR33" i="17"/>
  <c r="AR29" i="17"/>
  <c r="AR25" i="17"/>
  <c r="AR21" i="17"/>
  <c r="AR46" i="17"/>
  <c r="AR38" i="17"/>
  <c r="AR34" i="17"/>
  <c r="AR24" i="17"/>
  <c r="AR14" i="17"/>
  <c r="AR10" i="17"/>
  <c r="AR6" i="17"/>
  <c r="AR2" i="17"/>
  <c r="AR28" i="17"/>
  <c r="AR26" i="17"/>
  <c r="AR15" i="17"/>
  <c r="AR11" i="17"/>
  <c r="AR7" i="17"/>
  <c r="AR3" i="17"/>
  <c r="AR20" i="17"/>
  <c r="AR18" i="17"/>
  <c r="AR16" i="17"/>
  <c r="AR12" i="17"/>
  <c r="AR8" i="17"/>
  <c r="AR4" i="17"/>
  <c r="AR30" i="17"/>
  <c r="AR22" i="17"/>
  <c r="AR17" i="17"/>
  <c r="AR13" i="17"/>
  <c r="AR9" i="17"/>
  <c r="AR5" i="17"/>
  <c r="AR32" i="17"/>
  <c r="L43" i="17"/>
  <c r="L39" i="17"/>
  <c r="L35" i="17"/>
  <c r="L31" i="17"/>
  <c r="L27" i="17"/>
  <c r="L23" i="17"/>
  <c r="L19" i="17"/>
  <c r="L44" i="17"/>
  <c r="L40" i="17"/>
  <c r="L36" i="17"/>
  <c r="L45" i="17"/>
  <c r="L37" i="17"/>
  <c r="L33" i="17"/>
  <c r="L29" i="17"/>
  <c r="L25" i="17"/>
  <c r="L21" i="17"/>
  <c r="L46" i="17"/>
  <c r="L38" i="17"/>
  <c r="L34" i="17"/>
  <c r="L24" i="17"/>
  <c r="L14" i="17"/>
  <c r="L10" i="17"/>
  <c r="L6" i="17"/>
  <c r="L2" i="17"/>
  <c r="L28" i="17"/>
  <c r="L26" i="17"/>
  <c r="L15" i="17"/>
  <c r="L11" i="17"/>
  <c r="L7" i="17"/>
  <c r="L3" i="17"/>
  <c r="L32" i="17"/>
  <c r="L20" i="17"/>
  <c r="L18" i="17"/>
  <c r="L16" i="17"/>
  <c r="L12" i="17"/>
  <c r="L8" i="17"/>
  <c r="L4" i="17"/>
  <c r="L30" i="17"/>
  <c r="L22" i="17"/>
  <c r="L17" i="17"/>
  <c r="L13" i="17"/>
  <c r="L9" i="17"/>
  <c r="L5" i="17"/>
  <c r="AH46" i="16"/>
  <c r="AH38" i="16"/>
  <c r="AH34" i="16"/>
  <c r="AH30" i="16"/>
  <c r="AH26" i="16"/>
  <c r="AH22" i="16"/>
  <c r="AH43" i="16"/>
  <c r="AH39" i="16"/>
  <c r="AH35" i="16"/>
  <c r="AH31" i="16"/>
  <c r="AH27" i="16"/>
  <c r="AH23" i="16"/>
  <c r="AH19" i="16"/>
  <c r="AH15" i="16"/>
  <c r="AH11" i="16"/>
  <c r="AH44" i="16"/>
  <c r="AH40" i="16"/>
  <c r="AH36" i="16"/>
  <c r="AH32" i="16"/>
  <c r="AH28" i="16"/>
  <c r="AH24" i="16"/>
  <c r="AH45" i="16"/>
  <c r="AH37" i="16"/>
  <c r="AH33" i="16"/>
  <c r="AH29" i="16"/>
  <c r="AH25" i="16"/>
  <c r="AH21" i="16"/>
  <c r="AH17" i="16"/>
  <c r="AH13" i="16"/>
  <c r="AH12" i="16"/>
  <c r="AH5" i="16"/>
  <c r="AH20" i="16"/>
  <c r="AH14" i="16"/>
  <c r="AH2" i="16"/>
  <c r="AH9" i="16"/>
  <c r="AH16" i="16"/>
  <c r="AH8" i="16"/>
  <c r="AH7" i="16"/>
  <c r="AH3" i="16"/>
  <c r="AH6" i="16"/>
  <c r="AH18" i="16"/>
  <c r="AH10" i="16"/>
  <c r="AH4" i="16"/>
  <c r="B46" i="16"/>
  <c r="B38" i="16"/>
  <c r="B34" i="16"/>
  <c r="B30" i="16"/>
  <c r="B26" i="16"/>
  <c r="B22" i="16"/>
  <c r="B43" i="16"/>
  <c r="B39" i="16"/>
  <c r="B35" i="16"/>
  <c r="B31" i="16"/>
  <c r="B27" i="16"/>
  <c r="B23" i="16"/>
  <c r="B19" i="16"/>
  <c r="B15" i="16"/>
  <c r="B11" i="16"/>
  <c r="B44" i="16"/>
  <c r="B36" i="16"/>
  <c r="B32" i="16"/>
  <c r="B28" i="16"/>
  <c r="B24" i="16"/>
  <c r="B45" i="16"/>
  <c r="B37" i="16"/>
  <c r="B33" i="16"/>
  <c r="B29" i="16"/>
  <c r="B25" i="16"/>
  <c r="B21" i="16"/>
  <c r="B17" i="16"/>
  <c r="B13" i="16"/>
  <c r="B12" i="16"/>
  <c r="B5" i="16"/>
  <c r="B20" i="16"/>
  <c r="B14" i="16"/>
  <c r="B6" i="16"/>
  <c r="B2" i="16"/>
  <c r="B9" i="16"/>
  <c r="B16" i="16"/>
  <c r="B8" i="16"/>
  <c r="B7" i="16"/>
  <c r="B3" i="16"/>
  <c r="B18" i="16"/>
  <c r="B10" i="16"/>
  <c r="B4" i="16"/>
  <c r="X45" i="15"/>
  <c r="X37" i="15"/>
  <c r="X33" i="15"/>
  <c r="X29" i="15"/>
  <c r="X25" i="15"/>
  <c r="X21" i="15"/>
  <c r="X17" i="15"/>
  <c r="X13" i="15"/>
  <c r="X9" i="15"/>
  <c r="X46" i="15"/>
  <c r="X38" i="15"/>
  <c r="X34" i="15"/>
  <c r="X30" i="15"/>
  <c r="X26" i="15"/>
  <c r="X22" i="15"/>
  <c r="X18" i="15"/>
  <c r="X14" i="15"/>
  <c r="X10" i="15"/>
  <c r="X6" i="15"/>
  <c r="X2" i="15"/>
  <c r="X43" i="15"/>
  <c r="X39" i="15"/>
  <c r="X35" i="15"/>
  <c r="X31" i="15"/>
  <c r="X27" i="15"/>
  <c r="X23" i="15"/>
  <c r="X19" i="15"/>
  <c r="X15" i="15"/>
  <c r="X11" i="15"/>
  <c r="X44" i="15"/>
  <c r="X40" i="15"/>
  <c r="X36" i="15"/>
  <c r="X32" i="15"/>
  <c r="X28" i="15"/>
  <c r="X24" i="15"/>
  <c r="X20" i="15"/>
  <c r="X16" i="15"/>
  <c r="X12" i="15"/>
  <c r="X8" i="15"/>
  <c r="X4" i="15"/>
  <c r="X5" i="15"/>
  <c r="X3" i="15"/>
  <c r="X7" i="15"/>
  <c r="AW24" i="14"/>
  <c r="AO24" i="14"/>
  <c r="AG24" i="14"/>
  <c r="Y24" i="14"/>
  <c r="Q24" i="14"/>
  <c r="I24" i="14"/>
  <c r="AV24" i="14"/>
  <c r="AN24" i="14"/>
  <c r="AF24" i="14"/>
  <c r="X24" i="14"/>
  <c r="P24" i="14"/>
  <c r="H24" i="14"/>
  <c r="BC24" i="14"/>
  <c r="AU24" i="14"/>
  <c r="AM24" i="14"/>
  <c r="AE24" i="14"/>
  <c r="W24" i="14"/>
  <c r="O24" i="14"/>
  <c r="G24" i="14"/>
  <c r="BB24" i="14"/>
  <c r="AT24" i="14"/>
  <c r="AL24" i="14"/>
  <c r="AD24" i="14"/>
  <c r="V24" i="14"/>
  <c r="N24" i="14"/>
  <c r="F24" i="14"/>
  <c r="BA24" i="14"/>
  <c r="AS24" i="14"/>
  <c r="AK24" i="14"/>
  <c r="AC24" i="14"/>
  <c r="U24" i="14"/>
  <c r="M24" i="14"/>
  <c r="E24" i="14"/>
  <c r="AZ24" i="14"/>
  <c r="AR24" i="14"/>
  <c r="AJ24" i="14"/>
  <c r="AB24" i="14"/>
  <c r="T24" i="14"/>
  <c r="L24" i="14"/>
  <c r="D24" i="14"/>
  <c r="AY24" i="14"/>
  <c r="AQ24" i="14"/>
  <c r="AI24" i="14"/>
  <c r="AA24" i="14"/>
  <c r="S24" i="14"/>
  <c r="K24" i="14"/>
  <c r="C24" i="14"/>
  <c r="J24" i="14"/>
  <c r="B24" i="14"/>
  <c r="AX24" i="14"/>
  <c r="AP24" i="14"/>
  <c r="AH24" i="14"/>
  <c r="Z24" i="14"/>
  <c r="R24" i="14"/>
  <c r="M13" i="25"/>
  <c r="M4" i="25"/>
  <c r="M45" i="25"/>
  <c r="AJ42" i="15"/>
  <c r="AY45" i="18"/>
  <c r="AY37" i="18"/>
  <c r="AY33" i="18"/>
  <c r="AY29" i="18"/>
  <c r="AY25" i="18"/>
  <c r="AY46" i="18"/>
  <c r="AY38" i="18"/>
  <c r="AY34" i="18"/>
  <c r="AY30" i="18"/>
  <c r="AY26" i="18"/>
  <c r="AY22" i="18"/>
  <c r="AY43" i="18"/>
  <c r="AY39" i="18"/>
  <c r="AY35" i="18"/>
  <c r="AY31" i="18"/>
  <c r="AY27" i="18"/>
  <c r="AY23" i="18"/>
  <c r="AY44" i="18"/>
  <c r="AY40" i="18"/>
  <c r="AY36" i="18"/>
  <c r="AY18" i="18"/>
  <c r="AY14" i="18"/>
  <c r="AY10" i="18"/>
  <c r="AY6" i="18"/>
  <c r="AY2" i="18"/>
  <c r="AY24" i="18"/>
  <c r="AY15" i="18"/>
  <c r="AY11" i="18"/>
  <c r="AY7" i="18"/>
  <c r="AY3" i="18"/>
  <c r="AY32" i="18"/>
  <c r="AY21" i="18"/>
  <c r="AY20" i="18"/>
  <c r="AY16" i="18"/>
  <c r="AY12" i="18"/>
  <c r="AY8" i="18"/>
  <c r="AY4" i="18"/>
  <c r="AY19" i="18"/>
  <c r="AY28" i="18"/>
  <c r="AY17" i="18"/>
  <c r="AY13" i="18"/>
  <c r="AY9" i="18"/>
  <c r="AY5" i="18"/>
  <c r="AC32" i="26"/>
  <c r="AI13" i="25"/>
  <c r="AI3" i="25"/>
  <c r="AI40" i="25"/>
  <c r="AI26" i="25"/>
  <c r="AI29" i="25"/>
  <c r="AC46" i="18"/>
  <c r="AC38" i="18"/>
  <c r="AC34" i="18"/>
  <c r="AC30" i="18"/>
  <c r="AC26" i="18"/>
  <c r="AC43" i="18"/>
  <c r="AC39" i="18"/>
  <c r="AC35" i="18"/>
  <c r="AC31" i="18"/>
  <c r="AC27" i="18"/>
  <c r="AC23" i="18"/>
  <c r="AC44" i="18"/>
  <c r="AC40" i="18"/>
  <c r="AC36" i="18"/>
  <c r="AC32" i="18"/>
  <c r="AC28" i="18"/>
  <c r="AC24" i="18"/>
  <c r="AC45" i="18"/>
  <c r="AC37" i="18"/>
  <c r="AC19" i="18"/>
  <c r="AC15" i="18"/>
  <c r="AC11" i="18"/>
  <c r="AC7" i="18"/>
  <c r="AC3" i="18"/>
  <c r="AC29" i="18"/>
  <c r="AC16" i="18"/>
  <c r="AC12" i="18"/>
  <c r="AC8" i="18"/>
  <c r="AC4" i="18"/>
  <c r="AC21" i="18"/>
  <c r="AC17" i="18"/>
  <c r="AC13" i="18"/>
  <c r="AC9" i="18"/>
  <c r="AC5" i="18"/>
  <c r="AC25" i="18"/>
  <c r="AC22" i="18"/>
  <c r="AC20" i="18"/>
  <c r="AC18" i="18"/>
  <c r="AC14" i="18"/>
  <c r="AC10" i="18"/>
  <c r="AC6" i="18"/>
  <c r="AC2" i="18"/>
  <c r="AC33" i="18"/>
  <c r="AW45" i="15"/>
  <c r="AW37" i="15"/>
  <c r="AW33" i="15"/>
  <c r="AW29" i="15"/>
  <c r="AW25" i="15"/>
  <c r="AW21" i="15"/>
  <c r="AW17" i="15"/>
  <c r="AW46" i="15"/>
  <c r="AW38" i="15"/>
  <c r="AW34" i="15"/>
  <c r="AW30" i="15"/>
  <c r="AW26" i="15"/>
  <c r="AW22" i="15"/>
  <c r="AW18" i="15"/>
  <c r="AW14" i="15"/>
  <c r="AW10" i="15"/>
  <c r="AW43" i="15"/>
  <c r="AW39" i="15"/>
  <c r="AW35" i="15"/>
  <c r="AW31" i="15"/>
  <c r="AW27" i="15"/>
  <c r="AW23" i="15"/>
  <c r="AW19" i="15"/>
  <c r="AW15" i="15"/>
  <c r="AW11" i="15"/>
  <c r="AW44" i="15"/>
  <c r="AW40" i="15"/>
  <c r="AW36" i="15"/>
  <c r="AW32" i="15"/>
  <c r="AW28" i="15"/>
  <c r="AW24" i="15"/>
  <c r="AW20" i="15"/>
  <c r="AW16" i="15"/>
  <c r="AW12" i="15"/>
  <c r="AW8" i="15"/>
  <c r="AW13" i="15"/>
  <c r="AW7" i="15"/>
  <c r="AW6" i="15"/>
  <c r="AW5" i="15"/>
  <c r="AW9" i="15"/>
  <c r="AW4" i="15"/>
  <c r="AW3" i="15"/>
  <c r="AW2" i="15"/>
  <c r="AY6" i="28"/>
  <c r="AY10" i="28"/>
  <c r="AY38" i="28"/>
  <c r="AQ14" i="28"/>
  <c r="AQ22" i="28"/>
  <c r="AI43" i="28"/>
  <c r="AA22" i="28"/>
  <c r="S8" i="28"/>
  <c r="S18" i="28"/>
  <c r="S26" i="28"/>
  <c r="K10" i="28"/>
  <c r="K24" i="28"/>
  <c r="K43" i="28"/>
  <c r="C14" i="28"/>
  <c r="C33" i="28"/>
  <c r="C34" i="28"/>
  <c r="C46" i="28"/>
  <c r="AW43" i="27"/>
  <c r="AO38" i="27"/>
  <c r="AG35" i="27"/>
  <c r="Y30" i="27"/>
  <c r="BC45" i="26"/>
  <c r="AU32" i="26"/>
  <c r="AE35" i="26"/>
  <c r="AE36" i="26"/>
  <c r="G32" i="26"/>
  <c r="BA13" i="25"/>
  <c r="BA42" i="25"/>
  <c r="BA37" i="25"/>
  <c r="AS13" i="25"/>
  <c r="AS4" i="25"/>
  <c r="AS40" i="25"/>
  <c r="AS45" i="25"/>
  <c r="AS26" i="25"/>
  <c r="AK12" i="25"/>
  <c r="AK3" i="25"/>
  <c r="AK33" i="25"/>
  <c r="AK20" i="25"/>
  <c r="AK42" i="25"/>
  <c r="AC2" i="25"/>
  <c r="AC29" i="25"/>
  <c r="U23" i="25"/>
  <c r="U15" i="25"/>
  <c r="U33" i="25"/>
  <c r="E12" i="25"/>
  <c r="E18" i="25"/>
  <c r="E21" i="25"/>
  <c r="E24" i="25"/>
  <c r="E42" i="25"/>
  <c r="Q46" i="17"/>
  <c r="Q38" i="17"/>
  <c r="Q34" i="17"/>
  <c r="Q30" i="17"/>
  <c r="Q43" i="17"/>
  <c r="Q39" i="17"/>
  <c r="Q35" i="17"/>
  <c r="Q31" i="17"/>
  <c r="Q27" i="17"/>
  <c r="Q23" i="17"/>
  <c r="Q19" i="17"/>
  <c r="Q44" i="17"/>
  <c r="Q40" i="17"/>
  <c r="Q36" i="17"/>
  <c r="Q32" i="17"/>
  <c r="Q28" i="17"/>
  <c r="Q45" i="17"/>
  <c r="Q37" i="17"/>
  <c r="Q33" i="17"/>
  <c r="Q29" i="17"/>
  <c r="Q25" i="17"/>
  <c r="Q21" i="17"/>
  <c r="Q18" i="17"/>
  <c r="Q20" i="17"/>
  <c r="Q17" i="17"/>
  <c r="Q13" i="17"/>
  <c r="Q9" i="17"/>
  <c r="Q5" i="17"/>
  <c r="Q22" i="17"/>
  <c r="Q14" i="17"/>
  <c r="Q10" i="17"/>
  <c r="Q6" i="17"/>
  <c r="Q2" i="17"/>
  <c r="Q24" i="17"/>
  <c r="Q15" i="17"/>
  <c r="Q11" i="17"/>
  <c r="Q7" i="17"/>
  <c r="Q3" i="17"/>
  <c r="Q26" i="17"/>
  <c r="Q16" i="17"/>
  <c r="Q12" i="17"/>
  <c r="Q8" i="17"/>
  <c r="Q4" i="17"/>
  <c r="AR41" i="17"/>
  <c r="M32" i="26"/>
  <c r="M45" i="26"/>
  <c r="AY4" i="25"/>
  <c r="AY12" i="25"/>
  <c r="AY18" i="25"/>
  <c r="AY25" i="25"/>
  <c r="AA11" i="25"/>
  <c r="AA18" i="25"/>
  <c r="AA20" i="25"/>
  <c r="AA23" i="25"/>
  <c r="AA41" i="25"/>
  <c r="BB44" i="17"/>
  <c r="BB40" i="17"/>
  <c r="BB36" i="17"/>
  <c r="BB32" i="17"/>
  <c r="BB28" i="17"/>
  <c r="BB24" i="17"/>
  <c r="BB20" i="17"/>
  <c r="BB45" i="17"/>
  <c r="BB37" i="17"/>
  <c r="BB33" i="17"/>
  <c r="BB46" i="17"/>
  <c r="BB38" i="17"/>
  <c r="BB34" i="17"/>
  <c r="BB30" i="17"/>
  <c r="BB26" i="17"/>
  <c r="BB22" i="17"/>
  <c r="BB18" i="17"/>
  <c r="BB43" i="17"/>
  <c r="BB39" i="17"/>
  <c r="BB35" i="17"/>
  <c r="BB31" i="17"/>
  <c r="BB25" i="17"/>
  <c r="BB15" i="17"/>
  <c r="BB11" i="17"/>
  <c r="BB7" i="17"/>
  <c r="BB3" i="17"/>
  <c r="BB29" i="17"/>
  <c r="BB19" i="17"/>
  <c r="BB16" i="17"/>
  <c r="BB12" i="17"/>
  <c r="BB8" i="17"/>
  <c r="BB4" i="17"/>
  <c r="BB27" i="17"/>
  <c r="BB21" i="17"/>
  <c r="BB13" i="17"/>
  <c r="BB9" i="17"/>
  <c r="BB5" i="17"/>
  <c r="BB17" i="17"/>
  <c r="BB23" i="17"/>
  <c r="BB14" i="17"/>
  <c r="BB10" i="17"/>
  <c r="BB6" i="17"/>
  <c r="BB2" i="17"/>
  <c r="AE44" i="15"/>
  <c r="AE40" i="15"/>
  <c r="AE36" i="15"/>
  <c r="AE32" i="15"/>
  <c r="AE28" i="15"/>
  <c r="AE24" i="15"/>
  <c r="AE20" i="15"/>
  <c r="AE16" i="15"/>
  <c r="AE45" i="15"/>
  <c r="AE37" i="15"/>
  <c r="AE33" i="15"/>
  <c r="AE29" i="15"/>
  <c r="AE25" i="15"/>
  <c r="AE21" i="15"/>
  <c r="AE17" i="15"/>
  <c r="AE13" i="15"/>
  <c r="AE9" i="15"/>
  <c r="AE46" i="15"/>
  <c r="AE38" i="15"/>
  <c r="AE34" i="15"/>
  <c r="AE30" i="15"/>
  <c r="AE26" i="15"/>
  <c r="AE22" i="15"/>
  <c r="AE18" i="15"/>
  <c r="AE14" i="15"/>
  <c r="AE10" i="15"/>
  <c r="AE43" i="15"/>
  <c r="AE39" i="15"/>
  <c r="AE35" i="15"/>
  <c r="AE31" i="15"/>
  <c r="AE27" i="15"/>
  <c r="AE23" i="15"/>
  <c r="AE19" i="15"/>
  <c r="AE15" i="15"/>
  <c r="AE11" i="15"/>
  <c r="AE7" i="15"/>
  <c r="AE6" i="15"/>
  <c r="AE5" i="15"/>
  <c r="AE4" i="15"/>
  <c r="AE12" i="15"/>
  <c r="AE8" i="15"/>
  <c r="AE3" i="15"/>
  <c r="AE2" i="15"/>
  <c r="BB41" i="15"/>
  <c r="G33" i="16"/>
  <c r="Z44" i="28"/>
  <c r="Z40" i="28"/>
  <c r="Z36" i="28"/>
  <c r="Z46" i="28"/>
  <c r="Z42" i="28"/>
  <c r="Z38" i="28"/>
  <c r="Z34" i="28"/>
  <c r="Z43" i="28"/>
  <c r="Z35" i="28"/>
  <c r="Z33" i="28"/>
  <c r="Z29" i="28"/>
  <c r="Z30" i="28"/>
  <c r="Z39" i="28"/>
  <c r="Z31" i="28"/>
  <c r="Z45" i="28"/>
  <c r="Z25" i="28"/>
  <c r="Z21" i="28"/>
  <c r="Z41" i="28"/>
  <c r="Z37" i="28"/>
  <c r="Z28" i="28"/>
  <c r="Z26" i="28"/>
  <c r="Z22" i="28"/>
  <c r="Z27" i="28"/>
  <c r="Z23" i="28"/>
  <c r="Z24" i="28"/>
  <c r="Z17" i="28"/>
  <c r="Z20" i="28"/>
  <c r="Z18" i="28"/>
  <c r="Z14" i="28"/>
  <c r="Z32" i="28"/>
  <c r="Z15" i="28"/>
  <c r="Z12" i="28"/>
  <c r="Z11" i="28"/>
  <c r="Z10" i="28"/>
  <c r="Z16" i="28"/>
  <c r="Z9" i="28"/>
  <c r="Z8" i="28"/>
  <c r="Z4" i="28"/>
  <c r="Z2" i="28"/>
  <c r="Z7" i="28"/>
  <c r="Z6" i="28"/>
  <c r="Z5" i="28"/>
  <c r="Z3" i="28"/>
  <c r="Z19" i="28"/>
  <c r="Z13" i="28"/>
  <c r="AV45" i="27"/>
  <c r="AV41" i="27"/>
  <c r="AV37" i="27"/>
  <c r="AV33" i="27"/>
  <c r="AV46" i="27"/>
  <c r="AV42" i="27"/>
  <c r="AV38" i="27"/>
  <c r="AV34" i="27"/>
  <c r="AV44" i="27"/>
  <c r="AV40" i="27"/>
  <c r="AV36" i="27"/>
  <c r="AV32" i="27"/>
  <c r="AV35" i="27"/>
  <c r="AV27" i="27"/>
  <c r="AV23" i="27"/>
  <c r="AV19" i="27"/>
  <c r="AV31" i="27"/>
  <c r="AV30" i="27"/>
  <c r="AV26" i="27"/>
  <c r="AV17" i="27"/>
  <c r="AV28" i="27"/>
  <c r="AV20" i="27"/>
  <c r="AV16" i="27"/>
  <c r="AV15" i="27"/>
  <c r="AV12" i="27"/>
  <c r="AV8" i="27"/>
  <c r="AV25" i="27"/>
  <c r="AV43" i="27"/>
  <c r="AV39" i="27"/>
  <c r="AV24" i="27"/>
  <c r="AV18" i="27"/>
  <c r="AV14" i="27"/>
  <c r="AV10" i="27"/>
  <c r="AV6" i="27"/>
  <c r="AV13" i="27"/>
  <c r="AV7" i="27"/>
  <c r="AV29" i="27"/>
  <c r="AV9" i="27"/>
  <c r="AV21" i="27"/>
  <c r="AV11" i="27"/>
  <c r="AV5" i="27"/>
  <c r="AV4" i="27"/>
  <c r="AV3" i="27"/>
  <c r="AV22" i="27"/>
  <c r="AV2" i="27"/>
  <c r="P45" i="27"/>
  <c r="P41" i="27"/>
  <c r="P37" i="27"/>
  <c r="P33" i="27"/>
  <c r="P46" i="27"/>
  <c r="P42" i="27"/>
  <c r="P38" i="27"/>
  <c r="P44" i="27"/>
  <c r="P40" i="27"/>
  <c r="P36" i="27"/>
  <c r="P32" i="27"/>
  <c r="P34" i="27"/>
  <c r="P27" i="27"/>
  <c r="P23" i="27"/>
  <c r="P19" i="27"/>
  <c r="P43" i="27"/>
  <c r="P31" i="27"/>
  <c r="P30" i="27"/>
  <c r="P35" i="27"/>
  <c r="P26" i="27"/>
  <c r="P17" i="27"/>
  <c r="P39" i="27"/>
  <c r="P28" i="27"/>
  <c r="P18" i="27"/>
  <c r="P16" i="27"/>
  <c r="P12" i="27"/>
  <c r="P8" i="27"/>
  <c r="P25" i="27"/>
  <c r="P22" i="27"/>
  <c r="P21" i="27"/>
  <c r="P20" i="27"/>
  <c r="P14" i="27"/>
  <c r="P10" i="27"/>
  <c r="P6" i="27"/>
  <c r="P24" i="27"/>
  <c r="P4" i="27"/>
  <c r="P7" i="27"/>
  <c r="P9" i="27"/>
  <c r="P11" i="27"/>
  <c r="P29" i="27"/>
  <c r="P5" i="27"/>
  <c r="P3" i="27"/>
  <c r="P15" i="27"/>
  <c r="P2" i="27"/>
  <c r="P13" i="27"/>
  <c r="AL45" i="26"/>
  <c r="AL41" i="26"/>
  <c r="AL46" i="26"/>
  <c r="AL42" i="26"/>
  <c r="AL39" i="26"/>
  <c r="AL32" i="26"/>
  <c r="AL44" i="26"/>
  <c r="AL33" i="26"/>
  <c r="AL43" i="26"/>
  <c r="AL35" i="26"/>
  <c r="AL30" i="26"/>
  <c r="AL21" i="26"/>
  <c r="AL34" i="26"/>
  <c r="AL25" i="26"/>
  <c r="AL18" i="26"/>
  <c r="AL14" i="26"/>
  <c r="AL10" i="26"/>
  <c r="AL6" i="26"/>
  <c r="AL36" i="26"/>
  <c r="AL29" i="26"/>
  <c r="AL20" i="26"/>
  <c r="AL40" i="26"/>
  <c r="AL24" i="26"/>
  <c r="AL15" i="26"/>
  <c r="AL11" i="26"/>
  <c r="AL7" i="26"/>
  <c r="AL28" i="26"/>
  <c r="AL19" i="26"/>
  <c r="AL38" i="26"/>
  <c r="AL31" i="26"/>
  <c r="AL27" i="26"/>
  <c r="AL22" i="26"/>
  <c r="AL4" i="26"/>
  <c r="AL17" i="26"/>
  <c r="AL8" i="26"/>
  <c r="AL12" i="26"/>
  <c r="AL26" i="26"/>
  <c r="AL9" i="26"/>
  <c r="AL37" i="26"/>
  <c r="AL23" i="26"/>
  <c r="AL16" i="26"/>
  <c r="AL13" i="26"/>
  <c r="AL5" i="26"/>
  <c r="AL3" i="26"/>
  <c r="AL2" i="26"/>
  <c r="F45" i="26"/>
  <c r="F41" i="26"/>
  <c r="F46" i="26"/>
  <c r="F42" i="26"/>
  <c r="F40" i="26"/>
  <c r="F34" i="26"/>
  <c r="F32" i="26"/>
  <c r="F43" i="26"/>
  <c r="F36" i="26"/>
  <c r="F35" i="26"/>
  <c r="F33" i="26"/>
  <c r="F28" i="26"/>
  <c r="F39" i="26"/>
  <c r="F23" i="26"/>
  <c r="F18" i="26"/>
  <c r="F14" i="26"/>
  <c r="F10" i="26"/>
  <c r="F6" i="26"/>
  <c r="F27" i="26"/>
  <c r="F22" i="26"/>
  <c r="F38" i="26"/>
  <c r="F26" i="26"/>
  <c r="F19" i="26"/>
  <c r="F15" i="26"/>
  <c r="F11" i="26"/>
  <c r="F7" i="26"/>
  <c r="F30" i="26"/>
  <c r="F21" i="26"/>
  <c r="F37" i="26"/>
  <c r="F31" i="26"/>
  <c r="F44" i="26"/>
  <c r="F29" i="26"/>
  <c r="F20" i="26"/>
  <c r="F4" i="26"/>
  <c r="F17" i="26"/>
  <c r="F25" i="26"/>
  <c r="F8" i="26"/>
  <c r="F24" i="26"/>
  <c r="F12" i="26"/>
  <c r="F9" i="26"/>
  <c r="F16" i="26"/>
  <c r="F13" i="26"/>
  <c r="F5" i="26"/>
  <c r="F3" i="26"/>
  <c r="F2" i="26"/>
  <c r="AR13" i="25"/>
  <c r="AR42" i="25"/>
  <c r="AR27" i="25"/>
  <c r="AJ10" i="25"/>
  <c r="AJ25" i="25"/>
  <c r="AJ7" i="25"/>
  <c r="AJ22" i="25"/>
  <c r="AB10" i="25"/>
  <c r="AB5" i="25"/>
  <c r="AB32" i="25"/>
  <c r="AB19" i="25"/>
  <c r="AB42" i="25"/>
  <c r="AB41" i="25"/>
  <c r="T12" i="25"/>
  <c r="T17" i="25"/>
  <c r="T32" i="25"/>
  <c r="L16" i="25"/>
  <c r="L2" i="25"/>
  <c r="L29" i="25"/>
  <c r="L11" i="25"/>
  <c r="L22" i="25"/>
  <c r="L33" i="25"/>
  <c r="D16" i="25"/>
  <c r="D9" i="25"/>
  <c r="D28" i="25"/>
  <c r="D23" i="25"/>
  <c r="D45" i="25"/>
  <c r="AS42" i="17"/>
  <c r="AW33" i="28"/>
  <c r="AZ43" i="16"/>
  <c r="AZ39" i="16"/>
  <c r="AZ35" i="16"/>
  <c r="AZ31" i="16"/>
  <c r="AZ27" i="16"/>
  <c r="AZ23" i="16"/>
  <c r="AZ44" i="16"/>
  <c r="AZ40" i="16"/>
  <c r="AZ36" i="16"/>
  <c r="AZ32" i="16"/>
  <c r="AZ28" i="16"/>
  <c r="AZ24" i="16"/>
  <c r="AZ20" i="16"/>
  <c r="AZ16" i="16"/>
  <c r="AZ12" i="16"/>
  <c r="AZ45" i="16"/>
  <c r="AZ37" i="16"/>
  <c r="AZ33" i="16"/>
  <c r="AZ29" i="16"/>
  <c r="AZ25" i="16"/>
  <c r="AZ21" i="16"/>
  <c r="AZ46" i="16"/>
  <c r="AZ38" i="16"/>
  <c r="AZ34" i="16"/>
  <c r="AZ30" i="16"/>
  <c r="AZ26" i="16"/>
  <c r="AZ22" i="16"/>
  <c r="AZ18" i="16"/>
  <c r="AZ14" i="16"/>
  <c r="AZ10" i="16"/>
  <c r="AZ17" i="16"/>
  <c r="AZ9" i="16"/>
  <c r="AZ2" i="16"/>
  <c r="AZ11" i="16"/>
  <c r="AZ3" i="16"/>
  <c r="AZ19" i="16"/>
  <c r="AZ13" i="16"/>
  <c r="AZ4" i="16"/>
  <c r="AZ15" i="16"/>
  <c r="AZ8" i="16"/>
  <c r="AZ5" i="16"/>
  <c r="AZ7" i="16"/>
  <c r="AZ6" i="16"/>
  <c r="T44" i="26"/>
  <c r="T40" i="26"/>
  <c r="T45" i="26"/>
  <c r="T46" i="26"/>
  <c r="T42" i="26"/>
  <c r="T39" i="26"/>
  <c r="T38" i="26"/>
  <c r="T37" i="26"/>
  <c r="T32" i="26"/>
  <c r="T23" i="26"/>
  <c r="T19" i="26"/>
  <c r="T43" i="26"/>
  <c r="T33" i="26"/>
  <c r="T27" i="26"/>
  <c r="T17" i="26"/>
  <c r="T13" i="26"/>
  <c r="T9" i="26"/>
  <c r="T22" i="26"/>
  <c r="T26" i="26"/>
  <c r="T21" i="26"/>
  <c r="T18" i="26"/>
  <c r="T14" i="26"/>
  <c r="T10" i="26"/>
  <c r="T6" i="26"/>
  <c r="T30" i="26"/>
  <c r="T25" i="26"/>
  <c r="T35" i="26"/>
  <c r="T41" i="26"/>
  <c r="T36" i="26"/>
  <c r="T31" i="26"/>
  <c r="T24" i="26"/>
  <c r="T15" i="26"/>
  <c r="T12" i="26"/>
  <c r="T20" i="26"/>
  <c r="T16" i="26"/>
  <c r="T34" i="26"/>
  <c r="T7" i="26"/>
  <c r="T5" i="26"/>
  <c r="T29" i="26"/>
  <c r="T11" i="26"/>
  <c r="T28" i="26"/>
  <c r="T8" i="26"/>
  <c r="T4" i="26"/>
  <c r="T3" i="26"/>
  <c r="T2" i="26"/>
  <c r="AF4" i="25"/>
  <c r="BA44" i="17"/>
  <c r="BA40" i="17"/>
  <c r="BA36" i="17"/>
  <c r="BA32" i="17"/>
  <c r="BA28" i="17"/>
  <c r="BA45" i="17"/>
  <c r="BA41" i="17"/>
  <c r="BA37" i="17"/>
  <c r="BA33" i="17"/>
  <c r="BA29" i="17"/>
  <c r="BA25" i="17"/>
  <c r="BA21" i="17"/>
  <c r="BA17" i="17"/>
  <c r="BA46" i="17"/>
  <c r="BA42" i="17"/>
  <c r="BA38" i="17"/>
  <c r="BA34" i="17"/>
  <c r="BA30" i="17"/>
  <c r="BA43" i="17"/>
  <c r="BA39" i="17"/>
  <c r="BA35" i="17"/>
  <c r="BA31" i="17"/>
  <c r="BA27" i="17"/>
  <c r="BA23" i="17"/>
  <c r="BA19" i="17"/>
  <c r="BA22" i="17"/>
  <c r="BA15" i="17"/>
  <c r="BA11" i="17"/>
  <c r="BA7" i="17"/>
  <c r="BA3" i="17"/>
  <c r="BA24" i="17"/>
  <c r="BA16" i="17"/>
  <c r="BA12" i="17"/>
  <c r="BA8" i="17"/>
  <c r="BA4" i="17"/>
  <c r="BA26" i="17"/>
  <c r="BA18" i="17"/>
  <c r="BA13" i="17"/>
  <c r="BA9" i="17"/>
  <c r="BA5" i="17"/>
  <c r="BA20" i="17"/>
  <c r="BA14" i="17"/>
  <c r="BA10" i="17"/>
  <c r="BA6" i="17"/>
  <c r="BA2" i="17"/>
  <c r="D43" i="16"/>
  <c r="D39" i="16"/>
  <c r="D35" i="16"/>
  <c r="D31" i="16"/>
  <c r="D27" i="16"/>
  <c r="D23" i="16"/>
  <c r="D44" i="16"/>
  <c r="D40" i="16"/>
  <c r="D36" i="16"/>
  <c r="D32" i="16"/>
  <c r="D28" i="16"/>
  <c r="D24" i="16"/>
  <c r="D20" i="16"/>
  <c r="D16" i="16"/>
  <c r="D12" i="16"/>
  <c r="D45" i="16"/>
  <c r="D37" i="16"/>
  <c r="D33" i="16"/>
  <c r="D29" i="16"/>
  <c r="D25" i="16"/>
  <c r="D21" i="16"/>
  <c r="D46" i="16"/>
  <c r="D38" i="16"/>
  <c r="D34" i="16"/>
  <c r="D30" i="16"/>
  <c r="D26" i="16"/>
  <c r="D22" i="16"/>
  <c r="D18" i="16"/>
  <c r="D14" i="16"/>
  <c r="D10" i="16"/>
  <c r="D17" i="16"/>
  <c r="D6" i="16"/>
  <c r="D2" i="16"/>
  <c r="D11" i="16"/>
  <c r="D9" i="16"/>
  <c r="D8" i="16"/>
  <c r="D3" i="16"/>
  <c r="D7" i="16"/>
  <c r="D13" i="16"/>
  <c r="D4" i="16"/>
  <c r="D15" i="16"/>
  <c r="D5" i="16"/>
  <c r="D19" i="16"/>
  <c r="B44" i="18"/>
  <c r="B36" i="18"/>
  <c r="B32" i="18"/>
  <c r="B28" i="18"/>
  <c r="B24" i="18"/>
  <c r="B45" i="18"/>
  <c r="B37" i="18"/>
  <c r="B33" i="18"/>
  <c r="B29" i="18"/>
  <c r="B25" i="18"/>
  <c r="B21" i="18"/>
  <c r="B46" i="18"/>
  <c r="B38" i="18"/>
  <c r="B34" i="18"/>
  <c r="B30" i="18"/>
  <c r="B26" i="18"/>
  <c r="B43" i="18"/>
  <c r="B39" i="18"/>
  <c r="B35" i="18"/>
  <c r="B31" i="18"/>
  <c r="B27" i="18"/>
  <c r="B23" i="18"/>
  <c r="B22" i="18"/>
  <c r="B20" i="18"/>
  <c r="B18" i="18"/>
  <c r="B14" i="18"/>
  <c r="B10" i="18"/>
  <c r="B6" i="18"/>
  <c r="B2" i="18"/>
  <c r="B19" i="18"/>
  <c r="B15" i="18"/>
  <c r="B11" i="18"/>
  <c r="B7" i="18"/>
  <c r="B3" i="18"/>
  <c r="B16" i="18"/>
  <c r="B12" i="18"/>
  <c r="B8" i="18"/>
  <c r="B4" i="18"/>
  <c r="B17" i="18"/>
  <c r="B13" i="18"/>
  <c r="B9" i="18"/>
  <c r="B5" i="18"/>
  <c r="AT44" i="16"/>
  <c r="AT40" i="16"/>
  <c r="AT36" i="16"/>
  <c r="AT32" i="16"/>
  <c r="AT28" i="16"/>
  <c r="AT24" i="16"/>
  <c r="AT45" i="16"/>
  <c r="AT37" i="16"/>
  <c r="AT33" i="16"/>
  <c r="AT29" i="16"/>
  <c r="AT25" i="16"/>
  <c r="AT21" i="16"/>
  <c r="AT17" i="16"/>
  <c r="AT13" i="16"/>
  <c r="AT9" i="16"/>
  <c r="AT46" i="16"/>
  <c r="AT38" i="16"/>
  <c r="AT34" i="16"/>
  <c r="AT30" i="16"/>
  <c r="AT26" i="16"/>
  <c r="AT22" i="16"/>
  <c r="AT43" i="16"/>
  <c r="AT39" i="16"/>
  <c r="AT35" i="16"/>
  <c r="AT31" i="16"/>
  <c r="AT27" i="16"/>
  <c r="AT23" i="16"/>
  <c r="AT19" i="16"/>
  <c r="AT15" i="16"/>
  <c r="AT11" i="16"/>
  <c r="AT20" i="16"/>
  <c r="AT10" i="16"/>
  <c r="AT3" i="16"/>
  <c r="AT18" i="16"/>
  <c r="AT12" i="16"/>
  <c r="AT4" i="16"/>
  <c r="AT8" i="16"/>
  <c r="AT7" i="16"/>
  <c r="AT14" i="16"/>
  <c r="AT6" i="16"/>
  <c r="AT5" i="16"/>
  <c r="AT16" i="16"/>
  <c r="AT2" i="16"/>
  <c r="AJ43" i="15"/>
  <c r="AJ39" i="15"/>
  <c r="AJ35" i="15"/>
  <c r="AJ31" i="15"/>
  <c r="AJ27" i="15"/>
  <c r="AJ23" i="15"/>
  <c r="AJ19" i="15"/>
  <c r="AJ15" i="15"/>
  <c r="AJ11" i="15"/>
  <c r="AJ44" i="15"/>
  <c r="AJ40" i="15"/>
  <c r="AJ36" i="15"/>
  <c r="AJ32" i="15"/>
  <c r="AJ28" i="15"/>
  <c r="AJ24" i="15"/>
  <c r="AJ20" i="15"/>
  <c r="AJ16" i="15"/>
  <c r="AJ12" i="15"/>
  <c r="AJ8" i="15"/>
  <c r="AJ4" i="15"/>
  <c r="AJ45" i="15"/>
  <c r="AJ37" i="15"/>
  <c r="AJ33" i="15"/>
  <c r="AJ29" i="15"/>
  <c r="AJ25" i="15"/>
  <c r="AJ21" i="15"/>
  <c r="AJ17" i="15"/>
  <c r="AJ13" i="15"/>
  <c r="AJ9" i="15"/>
  <c r="AJ46" i="15"/>
  <c r="AJ38" i="15"/>
  <c r="AJ34" i="15"/>
  <c r="AJ30" i="15"/>
  <c r="AJ26" i="15"/>
  <c r="AJ22" i="15"/>
  <c r="AJ18" i="15"/>
  <c r="AJ14" i="15"/>
  <c r="AJ10" i="15"/>
  <c r="AJ6" i="15"/>
  <c r="AJ2" i="15"/>
  <c r="AJ3" i="15"/>
  <c r="AJ7" i="15"/>
  <c r="AJ5" i="15"/>
  <c r="D43" i="15"/>
  <c r="D39" i="15"/>
  <c r="D35" i="15"/>
  <c r="D31" i="15"/>
  <c r="D27" i="15"/>
  <c r="D23" i="15"/>
  <c r="D19" i="15"/>
  <c r="D15" i="15"/>
  <c r="D11" i="15"/>
  <c r="D44" i="15"/>
  <c r="D40" i="15"/>
  <c r="D36" i="15"/>
  <c r="D32" i="15"/>
  <c r="D28" i="15"/>
  <c r="D24" i="15"/>
  <c r="D20" i="15"/>
  <c r="D16" i="15"/>
  <c r="D12" i="15"/>
  <c r="D8" i="15"/>
  <c r="D4" i="15"/>
  <c r="D45" i="15"/>
  <c r="D37" i="15"/>
  <c r="D33" i="15"/>
  <c r="D29" i="15"/>
  <c r="D25" i="15"/>
  <c r="D21" i="15"/>
  <c r="D17" i="15"/>
  <c r="D13" i="15"/>
  <c r="D9" i="15"/>
  <c r="D46" i="15"/>
  <c r="D38" i="15"/>
  <c r="D34" i="15"/>
  <c r="D30" i="15"/>
  <c r="D26" i="15"/>
  <c r="D22" i="15"/>
  <c r="D18" i="15"/>
  <c r="D14" i="15"/>
  <c r="D10" i="15"/>
  <c r="D6" i="15"/>
  <c r="D2" i="15"/>
  <c r="D3" i="15"/>
  <c r="D7" i="15"/>
  <c r="D5" i="15"/>
  <c r="AW20" i="14"/>
  <c r="AO20" i="14"/>
  <c r="AG20" i="14"/>
  <c r="Y20" i="14"/>
  <c r="Q20" i="14"/>
  <c r="I20" i="14"/>
  <c r="AV20" i="14"/>
  <c r="AN20" i="14"/>
  <c r="AF20" i="14"/>
  <c r="X20" i="14"/>
  <c r="P20" i="14"/>
  <c r="H20" i="14"/>
  <c r="BC20" i="14"/>
  <c r="AU20" i="14"/>
  <c r="AM20" i="14"/>
  <c r="AE20" i="14"/>
  <c r="W20" i="14"/>
  <c r="O20" i="14"/>
  <c r="G20" i="14"/>
  <c r="BB20" i="14"/>
  <c r="AT20" i="14"/>
  <c r="AL20" i="14"/>
  <c r="AD20" i="14"/>
  <c r="V20" i="14"/>
  <c r="N20" i="14"/>
  <c r="F20" i="14"/>
  <c r="BA20" i="14"/>
  <c r="AS20" i="14"/>
  <c r="AK20" i="14"/>
  <c r="AC20" i="14"/>
  <c r="U20" i="14"/>
  <c r="M20" i="14"/>
  <c r="E20" i="14"/>
  <c r="AZ20" i="14"/>
  <c r="AR20" i="14"/>
  <c r="AJ20" i="14"/>
  <c r="AB20" i="14"/>
  <c r="T20" i="14"/>
  <c r="L20" i="14"/>
  <c r="D20" i="14"/>
  <c r="AY20" i="14"/>
  <c r="AQ20" i="14"/>
  <c r="AI20" i="14"/>
  <c r="AA20" i="14"/>
  <c r="S20" i="14"/>
  <c r="K20" i="14"/>
  <c r="C20" i="14"/>
  <c r="AH20" i="14"/>
  <c r="Z20" i="14"/>
  <c r="R20" i="14"/>
  <c r="J20" i="14"/>
  <c r="B20" i="14"/>
  <c r="AP20" i="14"/>
  <c r="AX20" i="14"/>
  <c r="I38" i="28"/>
  <c r="C28" i="25"/>
  <c r="AC44" i="17"/>
  <c r="AC40" i="17"/>
  <c r="AC36" i="17"/>
  <c r="AC32" i="17"/>
  <c r="AC28" i="17"/>
  <c r="AC45" i="17"/>
  <c r="AC37" i="17"/>
  <c r="AC33" i="17"/>
  <c r="AC29" i="17"/>
  <c r="AC25" i="17"/>
  <c r="AC21" i="17"/>
  <c r="AC46" i="17"/>
  <c r="AC38" i="17"/>
  <c r="AC34" i="17"/>
  <c r="AC30" i="17"/>
  <c r="AC43" i="17"/>
  <c r="AC39" i="17"/>
  <c r="AC35" i="17"/>
  <c r="AC31" i="17"/>
  <c r="AC27" i="17"/>
  <c r="AC23" i="17"/>
  <c r="AC19" i="17"/>
  <c r="AC26" i="17"/>
  <c r="AC15" i="17"/>
  <c r="AC11" i="17"/>
  <c r="AC7" i="17"/>
  <c r="AC3" i="17"/>
  <c r="AC20" i="17"/>
  <c r="AC16" i="17"/>
  <c r="AC12" i="17"/>
  <c r="AC8" i="17"/>
  <c r="AC4" i="17"/>
  <c r="AC22" i="17"/>
  <c r="AC17" i="17"/>
  <c r="AC13" i="17"/>
  <c r="AC9" i="17"/>
  <c r="AC5" i="17"/>
  <c r="AC24" i="17"/>
  <c r="AC18" i="17"/>
  <c r="AC14" i="17"/>
  <c r="AC10" i="17"/>
  <c r="AC6" i="17"/>
  <c r="AC2" i="17"/>
  <c r="I45" i="15"/>
  <c r="I37" i="15"/>
  <c r="I33" i="15"/>
  <c r="I29" i="15"/>
  <c r="I25" i="15"/>
  <c r="I21" i="15"/>
  <c r="I17" i="15"/>
  <c r="I46" i="15"/>
  <c r="I38" i="15"/>
  <c r="I34" i="15"/>
  <c r="I30" i="15"/>
  <c r="I26" i="15"/>
  <c r="I22" i="15"/>
  <c r="I18" i="15"/>
  <c r="I14" i="15"/>
  <c r="I10" i="15"/>
  <c r="I43" i="15"/>
  <c r="I39" i="15"/>
  <c r="I35" i="15"/>
  <c r="I31" i="15"/>
  <c r="I27" i="15"/>
  <c r="I23" i="15"/>
  <c r="I19" i="15"/>
  <c r="I15" i="15"/>
  <c r="I11" i="15"/>
  <c r="I44" i="15"/>
  <c r="I40" i="15"/>
  <c r="I36" i="15"/>
  <c r="I32" i="15"/>
  <c r="I28" i="15"/>
  <c r="I24" i="15"/>
  <c r="I20" i="15"/>
  <c r="I16" i="15"/>
  <c r="I12" i="15"/>
  <c r="I13" i="15"/>
  <c r="I8" i="15"/>
  <c r="I7" i="15"/>
  <c r="I9" i="15"/>
  <c r="I6" i="15"/>
  <c r="I5" i="15"/>
  <c r="I4" i="15"/>
  <c r="I3" i="15"/>
  <c r="I2" i="15"/>
  <c r="AX41" i="16"/>
  <c r="AG41" i="16"/>
  <c r="Q41" i="16"/>
  <c r="BC44" i="28"/>
  <c r="BC40" i="28"/>
  <c r="BC36" i="28"/>
  <c r="BC45" i="28"/>
  <c r="BC41" i="28"/>
  <c r="BC37" i="28"/>
  <c r="BC46" i="28"/>
  <c r="BC38" i="28"/>
  <c r="BC32" i="28"/>
  <c r="BC43" i="28"/>
  <c r="BC35" i="28"/>
  <c r="BC42" i="28"/>
  <c r="BC34" i="28"/>
  <c r="BC30" i="28"/>
  <c r="BC33" i="28"/>
  <c r="BC31" i="28"/>
  <c r="BC29" i="28"/>
  <c r="BC24" i="28"/>
  <c r="BC20" i="28"/>
  <c r="BC26" i="28"/>
  <c r="BC22" i="28"/>
  <c r="BC15" i="28"/>
  <c r="BC28" i="28"/>
  <c r="BC27" i="28"/>
  <c r="BC25" i="28"/>
  <c r="BC19" i="28"/>
  <c r="BC23" i="28"/>
  <c r="BC21" i="28"/>
  <c r="BC16" i="28"/>
  <c r="BC12" i="28"/>
  <c r="BC8" i="28"/>
  <c r="BC39" i="28"/>
  <c r="BC18" i="28"/>
  <c r="BC14" i="28"/>
  <c r="BC10" i="28"/>
  <c r="BC5" i="28"/>
  <c r="BC17" i="28"/>
  <c r="BC11" i="28"/>
  <c r="BC3" i="28"/>
  <c r="BC13" i="28"/>
  <c r="BC2" i="28"/>
  <c r="BC7" i="28"/>
  <c r="BC6" i="28"/>
  <c r="BC9" i="28"/>
  <c r="BC4" i="28"/>
  <c r="W44" i="28"/>
  <c r="W40" i="28"/>
  <c r="W36" i="28"/>
  <c r="W45" i="28"/>
  <c r="W41" i="28"/>
  <c r="W37" i="28"/>
  <c r="W46" i="28"/>
  <c r="W38" i="28"/>
  <c r="W32" i="28"/>
  <c r="W43" i="28"/>
  <c r="W35" i="28"/>
  <c r="W42" i="28"/>
  <c r="W34" i="28"/>
  <c r="W30" i="28"/>
  <c r="W24" i="28"/>
  <c r="W33" i="28"/>
  <c r="W28" i="28"/>
  <c r="W39" i="28"/>
  <c r="W31" i="28"/>
  <c r="W29" i="28"/>
  <c r="W26" i="28"/>
  <c r="W22" i="28"/>
  <c r="W19" i="28"/>
  <c r="W15" i="28"/>
  <c r="W16" i="28"/>
  <c r="W12" i="28"/>
  <c r="W23" i="28"/>
  <c r="W21" i="28"/>
  <c r="W18" i="28"/>
  <c r="W14" i="28"/>
  <c r="W10" i="28"/>
  <c r="W17" i="28"/>
  <c r="W13" i="28"/>
  <c r="W5" i="28"/>
  <c r="W25" i="28"/>
  <c r="W27" i="28"/>
  <c r="W9" i="28"/>
  <c r="W8" i="28"/>
  <c r="W11" i="28"/>
  <c r="W7" i="28"/>
  <c r="W3" i="28"/>
  <c r="W6" i="28"/>
  <c r="W4" i="28"/>
  <c r="W20" i="28"/>
  <c r="W2" i="28"/>
  <c r="AS44" i="27"/>
  <c r="AS40" i="27"/>
  <c r="AS36" i="27"/>
  <c r="AS32" i="27"/>
  <c r="AS45" i="27"/>
  <c r="AS41" i="27"/>
  <c r="AS37" i="27"/>
  <c r="AS33" i="27"/>
  <c r="AS43" i="27"/>
  <c r="AS29" i="27"/>
  <c r="AS25" i="27"/>
  <c r="AS21" i="27"/>
  <c r="AS17" i="27"/>
  <c r="AS39" i="27"/>
  <c r="AS35" i="27"/>
  <c r="AS26" i="27"/>
  <c r="AS42" i="27"/>
  <c r="AS31" i="27"/>
  <c r="AS27" i="27"/>
  <c r="AS23" i="27"/>
  <c r="AS19" i="27"/>
  <c r="AS15" i="27"/>
  <c r="AS14" i="27"/>
  <c r="AS10" i="27"/>
  <c r="AS6" i="27"/>
  <c r="AS30" i="27"/>
  <c r="AS28" i="27"/>
  <c r="AS20" i="27"/>
  <c r="AS16" i="27"/>
  <c r="AS12" i="27"/>
  <c r="AS8" i="27"/>
  <c r="AS46" i="27"/>
  <c r="AS5" i="27"/>
  <c r="AS13" i="27"/>
  <c r="AS4" i="27"/>
  <c r="AS3" i="27"/>
  <c r="AS38" i="27"/>
  <c r="AS7" i="27"/>
  <c r="AS34" i="27"/>
  <c r="AS24" i="27"/>
  <c r="AS22" i="27"/>
  <c r="AS18" i="27"/>
  <c r="AS11" i="27"/>
  <c r="AS9" i="27"/>
  <c r="AS2" i="27"/>
  <c r="M44" i="27"/>
  <c r="M40" i="27"/>
  <c r="M36" i="27"/>
  <c r="M32" i="27"/>
  <c r="M45" i="27"/>
  <c r="M41" i="27"/>
  <c r="M37" i="27"/>
  <c r="M33" i="27"/>
  <c r="M42" i="27"/>
  <c r="M29" i="27"/>
  <c r="M25" i="27"/>
  <c r="M21" i="27"/>
  <c r="M17" i="27"/>
  <c r="M38" i="27"/>
  <c r="M26" i="27"/>
  <c r="M43" i="27"/>
  <c r="M31" i="27"/>
  <c r="M27" i="27"/>
  <c r="M23" i="27"/>
  <c r="M19" i="27"/>
  <c r="M24" i="27"/>
  <c r="M14" i="27"/>
  <c r="M10" i="27"/>
  <c r="M6" i="27"/>
  <c r="M39" i="27"/>
  <c r="M18" i="27"/>
  <c r="M15" i="27"/>
  <c r="M35" i="27"/>
  <c r="M28" i="27"/>
  <c r="M22" i="27"/>
  <c r="M16" i="27"/>
  <c r="M46" i="27"/>
  <c r="M12" i="27"/>
  <c r="M8" i="27"/>
  <c r="M34" i="27"/>
  <c r="M30" i="27"/>
  <c r="M13" i="27"/>
  <c r="M5" i="27"/>
  <c r="M3" i="27"/>
  <c r="M7" i="27"/>
  <c r="M20" i="27"/>
  <c r="M4" i="27"/>
  <c r="M11" i="27"/>
  <c r="M9" i="27"/>
  <c r="M2" i="27"/>
  <c r="AI46" i="26"/>
  <c r="AI42" i="26"/>
  <c r="AI38" i="26"/>
  <c r="AI34" i="26"/>
  <c r="AI43" i="26"/>
  <c r="AI39" i="26"/>
  <c r="AI45" i="26"/>
  <c r="AI37" i="26"/>
  <c r="AI35" i="26"/>
  <c r="AI30" i="26"/>
  <c r="AI26" i="26"/>
  <c r="AI22" i="26"/>
  <c r="AI36" i="26"/>
  <c r="AI31" i="26"/>
  <c r="AI27" i="26"/>
  <c r="AI23" i="26"/>
  <c r="AI19" i="26"/>
  <c r="AI44" i="26"/>
  <c r="AI32" i="26"/>
  <c r="AI28" i="26"/>
  <c r="AI24" i="26"/>
  <c r="AI20" i="26"/>
  <c r="AI16" i="26"/>
  <c r="AI12" i="26"/>
  <c r="AI8" i="26"/>
  <c r="AI21" i="26"/>
  <c r="AI17" i="26"/>
  <c r="AI13" i="26"/>
  <c r="AI9" i="26"/>
  <c r="AI5" i="26"/>
  <c r="AI41" i="26"/>
  <c r="AI25" i="26"/>
  <c r="AI40" i="26"/>
  <c r="AI29" i="26"/>
  <c r="AI18" i="26"/>
  <c r="AI14" i="26"/>
  <c r="AI10" i="26"/>
  <c r="AI33" i="26"/>
  <c r="AI15" i="26"/>
  <c r="AI11" i="26"/>
  <c r="AI7" i="26"/>
  <c r="AI6" i="26"/>
  <c r="AI4" i="26"/>
  <c r="AI2" i="26"/>
  <c r="AI3" i="26"/>
  <c r="C46" i="26"/>
  <c r="C42" i="26"/>
  <c r="C38" i="26"/>
  <c r="C34" i="26"/>
  <c r="C43" i="26"/>
  <c r="C39" i="26"/>
  <c r="C45" i="26"/>
  <c r="C44" i="26"/>
  <c r="C37" i="26"/>
  <c r="C30" i="26"/>
  <c r="C26" i="26"/>
  <c r="C22" i="26"/>
  <c r="C41" i="26"/>
  <c r="C40" i="26"/>
  <c r="C31" i="26"/>
  <c r="C27" i="26"/>
  <c r="C23" i="26"/>
  <c r="C35" i="26"/>
  <c r="C32" i="26"/>
  <c r="C28" i="26"/>
  <c r="C24" i="26"/>
  <c r="C20" i="26"/>
  <c r="C33" i="26"/>
  <c r="C29" i="26"/>
  <c r="C16" i="26"/>
  <c r="C12" i="26"/>
  <c r="C8" i="26"/>
  <c r="C36" i="26"/>
  <c r="C17" i="26"/>
  <c r="C13" i="26"/>
  <c r="C9" i="26"/>
  <c r="C18" i="26"/>
  <c r="C14" i="26"/>
  <c r="C10" i="26"/>
  <c r="C21" i="26"/>
  <c r="C19" i="26"/>
  <c r="C15" i="26"/>
  <c r="C11" i="26"/>
  <c r="C7" i="26"/>
  <c r="C25" i="26"/>
  <c r="C4" i="26"/>
  <c r="C6" i="26"/>
  <c r="C2" i="26"/>
  <c r="C3" i="26"/>
  <c r="C5" i="26"/>
  <c r="Y33" i="25"/>
  <c r="Y32" i="25"/>
  <c r="Y28" i="25"/>
  <c r="Y24" i="25"/>
  <c r="Y20" i="25"/>
  <c r="Y46" i="25"/>
  <c r="Y31" i="25"/>
  <c r="Y45" i="25"/>
  <c r="Y44" i="25"/>
  <c r="Y29" i="25"/>
  <c r="Y25" i="25"/>
  <c r="Y43" i="25"/>
  <c r="Y42" i="25"/>
  <c r="Y41" i="25"/>
  <c r="Y40" i="25"/>
  <c r="Y30" i="25"/>
  <c r="Y26" i="25"/>
  <c r="Y22" i="25"/>
  <c r="Y39" i="25"/>
  <c r="Y38" i="25"/>
  <c r="Y37" i="25"/>
  <c r="Y36" i="25"/>
  <c r="Y27" i="25"/>
  <c r="Y23" i="25"/>
  <c r="Y35" i="25"/>
  <c r="Y34" i="25"/>
  <c r="Y9" i="25"/>
  <c r="Y8" i="25"/>
  <c r="Y7" i="25"/>
  <c r="Y6" i="25"/>
  <c r="Y19" i="25"/>
  <c r="Y5" i="25"/>
  <c r="Y4" i="25"/>
  <c r="Y18" i="25"/>
  <c r="Y3" i="25"/>
  <c r="Y2" i="25"/>
  <c r="Y17" i="25"/>
  <c r="Y16" i="25"/>
  <c r="Y15" i="25"/>
  <c r="Y14" i="25"/>
  <c r="Y21" i="25"/>
  <c r="Y13" i="25"/>
  <c r="Y12" i="25"/>
  <c r="Y11" i="25"/>
  <c r="Y10" i="25"/>
  <c r="BA18" i="14"/>
  <c r="AS18" i="14"/>
  <c r="AK18" i="14"/>
  <c r="AC18" i="14"/>
  <c r="U18" i="14"/>
  <c r="M18" i="14"/>
  <c r="E18" i="14"/>
  <c r="AZ18" i="14"/>
  <c r="AR18" i="14"/>
  <c r="AJ18" i="14"/>
  <c r="AB18" i="14"/>
  <c r="T18" i="14"/>
  <c r="L18" i="14"/>
  <c r="D18" i="14"/>
  <c r="AY18" i="14"/>
  <c r="AQ18" i="14"/>
  <c r="AI18" i="14"/>
  <c r="AA18" i="14"/>
  <c r="S18" i="14"/>
  <c r="K18" i="14"/>
  <c r="C18" i="14"/>
  <c r="AX18" i="14"/>
  <c r="AP18" i="14"/>
  <c r="AH18" i="14"/>
  <c r="Z18" i="14"/>
  <c r="R18" i="14"/>
  <c r="J18" i="14"/>
  <c r="B18" i="14"/>
  <c r="AW18" i="14"/>
  <c r="AO18" i="14"/>
  <c r="AG18" i="14"/>
  <c r="Y18" i="14"/>
  <c r="Q18" i="14"/>
  <c r="I18" i="14"/>
  <c r="AV18" i="14"/>
  <c r="AN18" i="14"/>
  <c r="AF18" i="14"/>
  <c r="X18" i="14"/>
  <c r="P18" i="14"/>
  <c r="H18" i="14"/>
  <c r="BC18" i="14"/>
  <c r="AU18" i="14"/>
  <c r="AM18" i="14"/>
  <c r="AE18" i="14"/>
  <c r="W18" i="14"/>
  <c r="O18" i="14"/>
  <c r="G18" i="14"/>
  <c r="N18" i="14"/>
  <c r="F18" i="14"/>
  <c r="BB18" i="14"/>
  <c r="AT18" i="14"/>
  <c r="AL18" i="14"/>
  <c r="AD18" i="14"/>
  <c r="V18" i="14"/>
  <c r="U20" i="18"/>
  <c r="U3" i="18"/>
  <c r="U31" i="18"/>
  <c r="D42" i="15"/>
  <c r="Q2" i="28"/>
  <c r="Q6" i="28"/>
  <c r="AN3" i="18"/>
  <c r="AN26" i="18"/>
  <c r="AQ43" i="17"/>
  <c r="AQ39" i="17"/>
  <c r="AQ35" i="17"/>
  <c r="AQ31" i="17"/>
  <c r="AQ44" i="17"/>
  <c r="AQ40" i="17"/>
  <c r="AQ36" i="17"/>
  <c r="AQ32" i="17"/>
  <c r="AQ28" i="17"/>
  <c r="AQ24" i="17"/>
  <c r="AQ20" i="17"/>
  <c r="AQ45" i="17"/>
  <c r="AQ37" i="17"/>
  <c r="AQ33" i="17"/>
  <c r="AQ29" i="17"/>
  <c r="AQ46" i="17"/>
  <c r="AQ38" i="17"/>
  <c r="AQ34" i="17"/>
  <c r="AQ30" i="17"/>
  <c r="AQ26" i="17"/>
  <c r="AQ22" i="17"/>
  <c r="AQ18" i="17"/>
  <c r="AQ21" i="17"/>
  <c r="AQ14" i="17"/>
  <c r="AQ10" i="17"/>
  <c r="AQ6" i="17"/>
  <c r="AQ2" i="17"/>
  <c r="AQ23" i="17"/>
  <c r="AQ15" i="17"/>
  <c r="AQ11" i="17"/>
  <c r="AQ7" i="17"/>
  <c r="AQ3" i="17"/>
  <c r="AQ25" i="17"/>
  <c r="AQ16" i="17"/>
  <c r="AQ12" i="17"/>
  <c r="AQ8" i="17"/>
  <c r="AQ4" i="17"/>
  <c r="AQ27" i="17"/>
  <c r="AQ19" i="17"/>
  <c r="AQ17" i="17"/>
  <c r="AQ13" i="17"/>
  <c r="AQ9" i="17"/>
  <c r="AQ5" i="17"/>
  <c r="W44" i="15"/>
  <c r="W40" i="15"/>
  <c r="W36" i="15"/>
  <c r="W32" i="15"/>
  <c r="W28" i="15"/>
  <c r="W24" i="15"/>
  <c r="W20" i="15"/>
  <c r="W16" i="15"/>
  <c r="W45" i="15"/>
  <c r="W37" i="15"/>
  <c r="W33" i="15"/>
  <c r="W29" i="15"/>
  <c r="W25" i="15"/>
  <c r="W21" i="15"/>
  <c r="W17" i="15"/>
  <c r="W13" i="15"/>
  <c r="W9" i="15"/>
  <c r="W46" i="15"/>
  <c r="W38" i="15"/>
  <c r="W34" i="15"/>
  <c r="W30" i="15"/>
  <c r="W26" i="15"/>
  <c r="W22" i="15"/>
  <c r="W18" i="15"/>
  <c r="W14" i="15"/>
  <c r="W10" i="15"/>
  <c r="W43" i="15"/>
  <c r="W39" i="15"/>
  <c r="W35" i="15"/>
  <c r="W31" i="15"/>
  <c r="W27" i="15"/>
  <c r="W23" i="15"/>
  <c r="W19" i="15"/>
  <c r="W15" i="15"/>
  <c r="W11" i="15"/>
  <c r="W7" i="15"/>
  <c r="W6" i="15"/>
  <c r="W5" i="15"/>
  <c r="W4" i="15"/>
  <c r="W3" i="15"/>
  <c r="W2" i="15"/>
  <c r="W12" i="15"/>
  <c r="W8" i="15"/>
  <c r="BB16" i="28"/>
  <c r="BB38" i="28"/>
  <c r="AT30" i="28"/>
  <c r="AL6" i="28"/>
  <c r="AD16" i="28"/>
  <c r="AD24" i="28"/>
  <c r="V14" i="28"/>
  <c r="V34" i="28"/>
  <c r="N6" i="28"/>
  <c r="N8" i="28"/>
  <c r="F4" i="28"/>
  <c r="F10" i="28"/>
  <c r="AX36" i="26"/>
  <c r="Z36" i="26"/>
  <c r="R36" i="26"/>
  <c r="AV10" i="25"/>
  <c r="AV26" i="25"/>
  <c r="AV23" i="25"/>
  <c r="AN10" i="25"/>
  <c r="AN3" i="25"/>
  <c r="AN21" i="25"/>
  <c r="AN42" i="25"/>
  <c r="X4" i="25"/>
  <c r="X15" i="25"/>
  <c r="X42" i="25"/>
  <c r="P26" i="25"/>
  <c r="P4" i="25"/>
  <c r="P13" i="25"/>
  <c r="P28" i="25"/>
  <c r="H22" i="25"/>
  <c r="H7" i="25"/>
  <c r="H21" i="25"/>
  <c r="H42" i="25"/>
  <c r="BA23" i="18"/>
  <c r="AO6" i="28"/>
  <c r="AO24" i="28"/>
  <c r="Y2" i="28"/>
  <c r="K15" i="25"/>
  <c r="K12" i="25"/>
  <c r="K42" i="25"/>
  <c r="K21" i="25"/>
  <c r="AK46" i="18"/>
  <c r="AK38" i="18"/>
  <c r="AK34" i="18"/>
  <c r="AK30" i="18"/>
  <c r="AK26" i="18"/>
  <c r="AK22" i="18"/>
  <c r="AK43" i="18"/>
  <c r="AK39" i="18"/>
  <c r="AK35" i="18"/>
  <c r="AK31" i="18"/>
  <c r="AK27" i="18"/>
  <c r="AK23" i="18"/>
  <c r="AK44" i="18"/>
  <c r="AK40" i="18"/>
  <c r="AK36" i="18"/>
  <c r="AK32" i="18"/>
  <c r="AK28" i="18"/>
  <c r="AK24" i="18"/>
  <c r="AK45" i="18"/>
  <c r="AK37" i="18"/>
  <c r="AK19" i="18"/>
  <c r="AK15" i="18"/>
  <c r="AK11" i="18"/>
  <c r="AK7" i="18"/>
  <c r="AK3" i="18"/>
  <c r="AK29" i="18"/>
  <c r="AK16" i="18"/>
  <c r="AK12" i="18"/>
  <c r="AK8" i="18"/>
  <c r="AK4" i="18"/>
  <c r="AK25" i="18"/>
  <c r="AK17" i="18"/>
  <c r="AK13" i="18"/>
  <c r="AK9" i="18"/>
  <c r="AK5" i="18"/>
  <c r="AK33" i="18"/>
  <c r="AK21" i="18"/>
  <c r="AK18" i="18"/>
  <c r="AK14" i="18"/>
  <c r="AK10" i="18"/>
  <c r="AK6" i="18"/>
  <c r="AK2" i="18"/>
  <c r="AK20" i="18"/>
  <c r="BA43" i="15"/>
  <c r="BA39" i="15"/>
  <c r="BA35" i="15"/>
  <c r="BA31" i="15"/>
  <c r="BA27" i="15"/>
  <c r="BA23" i="15"/>
  <c r="BA19" i="15"/>
  <c r="BA15" i="15"/>
  <c r="BA44" i="15"/>
  <c r="BA40" i="15"/>
  <c r="BA36" i="15"/>
  <c r="BA32" i="15"/>
  <c r="BA28" i="15"/>
  <c r="BA24" i="15"/>
  <c r="BA20" i="15"/>
  <c r="BA16" i="15"/>
  <c r="BA12" i="15"/>
  <c r="BA8" i="15"/>
  <c r="BA45" i="15"/>
  <c r="BA41" i="15"/>
  <c r="BA37" i="15"/>
  <c r="BA33" i="15"/>
  <c r="BA29" i="15"/>
  <c r="BA25" i="15"/>
  <c r="BA21" i="15"/>
  <c r="BA17" i="15"/>
  <c r="BA13" i="15"/>
  <c r="BA9" i="15"/>
  <c r="BA46" i="15"/>
  <c r="BA42" i="15"/>
  <c r="BA38" i="15"/>
  <c r="BA34" i="15"/>
  <c r="BA30" i="15"/>
  <c r="BA26" i="15"/>
  <c r="BA22" i="15"/>
  <c r="BA18" i="15"/>
  <c r="BA14" i="15"/>
  <c r="BA10" i="15"/>
  <c r="BA11" i="15"/>
  <c r="BA7" i="15"/>
  <c r="BA6" i="15"/>
  <c r="BA5" i="15"/>
  <c r="BA4" i="15"/>
  <c r="BA3" i="15"/>
  <c r="BA2" i="15"/>
  <c r="G45" i="15"/>
  <c r="AV41" i="17"/>
  <c r="AE41" i="17"/>
  <c r="AW36" i="14"/>
  <c r="AO36" i="14"/>
  <c r="AG36" i="14"/>
  <c r="Y36" i="14"/>
  <c r="Q36" i="14"/>
  <c r="I36" i="14"/>
  <c r="AV36" i="14"/>
  <c r="AN36" i="14"/>
  <c r="AF36" i="14"/>
  <c r="X36" i="14"/>
  <c r="P36" i="14"/>
  <c r="H36" i="14"/>
  <c r="BC36" i="14"/>
  <c r="AU36" i="14"/>
  <c r="AM36" i="14"/>
  <c r="AE36" i="14"/>
  <c r="W36" i="14"/>
  <c r="O36" i="14"/>
  <c r="G36" i="14"/>
  <c r="BB36" i="14"/>
  <c r="AT36" i="14"/>
  <c r="AL36" i="14"/>
  <c r="AD36" i="14"/>
  <c r="V36" i="14"/>
  <c r="N36" i="14"/>
  <c r="F36" i="14"/>
  <c r="BA36" i="14"/>
  <c r="AS36" i="14"/>
  <c r="AK36" i="14"/>
  <c r="AC36" i="14"/>
  <c r="U36" i="14"/>
  <c r="M36" i="14"/>
  <c r="E36" i="14"/>
  <c r="AZ36" i="14"/>
  <c r="AR36" i="14"/>
  <c r="AJ36" i="14"/>
  <c r="AB36" i="14"/>
  <c r="T36" i="14"/>
  <c r="L36" i="14"/>
  <c r="D36" i="14"/>
  <c r="AY36" i="14"/>
  <c r="AQ36" i="14"/>
  <c r="AI36" i="14"/>
  <c r="AA36" i="14"/>
  <c r="S36" i="14"/>
  <c r="K36" i="14"/>
  <c r="C36" i="14"/>
  <c r="B36" i="14"/>
  <c r="AX36" i="14"/>
  <c r="AP36" i="14"/>
  <c r="AH36" i="14"/>
  <c r="Z36" i="14"/>
  <c r="R36" i="14"/>
  <c r="J36" i="14"/>
  <c r="AS43" i="28"/>
  <c r="AS39" i="28"/>
  <c r="AS35" i="28"/>
  <c r="AS44" i="28"/>
  <c r="AS40" i="28"/>
  <c r="AS36" i="28"/>
  <c r="AS45" i="28"/>
  <c r="AS37" i="28"/>
  <c r="AS31" i="28"/>
  <c r="AS42" i="28"/>
  <c r="AS34" i="28"/>
  <c r="AS41" i="28"/>
  <c r="AS33" i="28"/>
  <c r="AS29" i="28"/>
  <c r="AS32" i="28"/>
  <c r="AS30" i="28"/>
  <c r="AS27" i="28"/>
  <c r="AS23" i="28"/>
  <c r="AS46" i="28"/>
  <c r="AS25" i="28"/>
  <c r="AS21" i="28"/>
  <c r="AS18" i="28"/>
  <c r="AS14" i="28"/>
  <c r="AS26" i="28"/>
  <c r="AS24" i="28"/>
  <c r="AS22" i="28"/>
  <c r="AS19" i="28"/>
  <c r="AS15" i="28"/>
  <c r="AS11" i="28"/>
  <c r="AS28" i="28"/>
  <c r="AS17" i="28"/>
  <c r="AS13" i="28"/>
  <c r="AS9" i="28"/>
  <c r="AS4" i="28"/>
  <c r="AS38" i="28"/>
  <c r="AS16" i="28"/>
  <c r="AS12" i="28"/>
  <c r="AS3" i="28"/>
  <c r="AS8" i="28"/>
  <c r="AS10" i="28"/>
  <c r="AS20" i="28"/>
  <c r="AS6" i="28"/>
  <c r="AS7" i="28"/>
  <c r="AS2" i="28"/>
  <c r="AS5" i="28"/>
  <c r="AK8" i="28"/>
  <c r="AC10" i="28"/>
  <c r="AC34" i="28"/>
  <c r="U14" i="28"/>
  <c r="M24" i="28"/>
  <c r="M22" i="28"/>
  <c r="M30" i="28"/>
  <c r="E8" i="28"/>
  <c r="E38" i="28"/>
  <c r="AG36" i="26"/>
  <c r="Y45" i="26"/>
  <c r="BC2" i="25"/>
  <c r="BC26" i="25"/>
  <c r="AU7" i="25"/>
  <c r="AM21" i="25"/>
  <c r="AM28" i="25"/>
  <c r="AE13" i="25"/>
  <c r="W20" i="25"/>
  <c r="W23" i="25"/>
  <c r="O2" i="25"/>
  <c r="O3" i="25"/>
  <c r="O22" i="25"/>
  <c r="O25" i="25"/>
  <c r="G3" i="25"/>
  <c r="BA45" i="14"/>
  <c r="AS45" i="14"/>
  <c r="AK45" i="14"/>
  <c r="AC45" i="14"/>
  <c r="U45" i="14"/>
  <c r="M45" i="14"/>
  <c r="E45" i="14"/>
  <c r="AW45" i="14"/>
  <c r="AO45" i="14"/>
  <c r="AG45" i="14"/>
  <c r="Y45" i="14"/>
  <c r="Q45" i="14"/>
  <c r="I45" i="14"/>
  <c r="AX45" i="14"/>
  <c r="AM45" i="14"/>
  <c r="AB45" i="14"/>
  <c r="R45" i="14"/>
  <c r="G45" i="14"/>
  <c r="AV45" i="14"/>
  <c r="AL45" i="14"/>
  <c r="AA45" i="14"/>
  <c r="P45" i="14"/>
  <c r="F45" i="14"/>
  <c r="AU45" i="14"/>
  <c r="AJ45" i="14"/>
  <c r="Z45" i="14"/>
  <c r="O45" i="14"/>
  <c r="D45" i="14"/>
  <c r="AT45" i="14"/>
  <c r="AI45" i="14"/>
  <c r="X45" i="14"/>
  <c r="N45" i="14"/>
  <c r="C45" i="14"/>
  <c r="BC45" i="14"/>
  <c r="AR45" i="14"/>
  <c r="AH45" i="14"/>
  <c r="W45" i="14"/>
  <c r="L45" i="14"/>
  <c r="B45" i="14"/>
  <c r="BB45" i="14"/>
  <c r="AQ45" i="14"/>
  <c r="AF45" i="14"/>
  <c r="V45" i="14"/>
  <c r="K45" i="14"/>
  <c r="AZ45" i="14"/>
  <c r="AP45" i="14"/>
  <c r="AE45" i="14"/>
  <c r="T45" i="14"/>
  <c r="J45" i="14"/>
  <c r="AD45" i="14"/>
  <c r="S45" i="14"/>
  <c r="H45" i="14"/>
  <c r="AN45" i="14"/>
  <c r="AY45" i="14"/>
  <c r="AY5" i="14"/>
  <c r="AQ5" i="14"/>
  <c r="AI5" i="14"/>
  <c r="AA5" i="14"/>
  <c r="S5" i="14"/>
  <c r="K5" i="14"/>
  <c r="C5" i="14"/>
  <c r="AX5" i="14"/>
  <c r="AP5" i="14"/>
  <c r="AH5" i="14"/>
  <c r="Z5" i="14"/>
  <c r="R5" i="14"/>
  <c r="J5" i="14"/>
  <c r="B5" i="14"/>
  <c r="AW5" i="14"/>
  <c r="AO5" i="14"/>
  <c r="AG5" i="14"/>
  <c r="Y5" i="14"/>
  <c r="Q5" i="14"/>
  <c r="I5" i="14"/>
  <c r="AV5" i="14"/>
  <c r="AN5" i="14"/>
  <c r="AF5" i="14"/>
  <c r="X5" i="14"/>
  <c r="P5" i="14"/>
  <c r="H5" i="14"/>
  <c r="BC5" i="14"/>
  <c r="AU5" i="14"/>
  <c r="AM5" i="14"/>
  <c r="AE5" i="14"/>
  <c r="W5" i="14"/>
  <c r="O5" i="14"/>
  <c r="G5" i="14"/>
  <c r="BB5" i="14"/>
  <c r="AT5" i="14"/>
  <c r="AL5" i="14"/>
  <c r="AD5" i="14"/>
  <c r="V5" i="14"/>
  <c r="N5" i="14"/>
  <c r="F5" i="14"/>
  <c r="BA5" i="14"/>
  <c r="AS5" i="14"/>
  <c r="AK5" i="14"/>
  <c r="AC5" i="14"/>
  <c r="U5" i="14"/>
  <c r="M5" i="14"/>
  <c r="E5" i="14"/>
  <c r="L5" i="14"/>
  <c r="D5" i="14"/>
  <c r="AZ5" i="14"/>
  <c r="AR5" i="14"/>
  <c r="AJ5" i="14"/>
  <c r="T5" i="14"/>
  <c r="AB5" i="14"/>
  <c r="AI45" i="18"/>
  <c r="AI37" i="18"/>
  <c r="AI33" i="18"/>
  <c r="AI29" i="18"/>
  <c r="AI25" i="18"/>
  <c r="AI46" i="18"/>
  <c r="AI38" i="18"/>
  <c r="AI34" i="18"/>
  <c r="AI30" i="18"/>
  <c r="AI26" i="18"/>
  <c r="AI22" i="18"/>
  <c r="AI43" i="18"/>
  <c r="AI39" i="18"/>
  <c r="AI35" i="18"/>
  <c r="AI31" i="18"/>
  <c r="AI27" i="18"/>
  <c r="AI23" i="18"/>
  <c r="AI44" i="18"/>
  <c r="AI40" i="18"/>
  <c r="AI36" i="18"/>
  <c r="AI28" i="18"/>
  <c r="AI21" i="18"/>
  <c r="AI20" i="18"/>
  <c r="AI18" i="18"/>
  <c r="AI14" i="18"/>
  <c r="AI10" i="18"/>
  <c r="AI6" i="18"/>
  <c r="AI2" i="18"/>
  <c r="AI19" i="18"/>
  <c r="AI15" i="18"/>
  <c r="AI11" i="18"/>
  <c r="AI7" i="18"/>
  <c r="AI3" i="18"/>
  <c r="AI24" i="18"/>
  <c r="AI16" i="18"/>
  <c r="AI12" i="18"/>
  <c r="AI8" i="18"/>
  <c r="AI4" i="18"/>
  <c r="AI32" i="18"/>
  <c r="AI17" i="18"/>
  <c r="AI13" i="18"/>
  <c r="AI9" i="18"/>
  <c r="AI5" i="18"/>
  <c r="AG2" i="28"/>
  <c r="AG34" i="28"/>
  <c r="S4" i="25"/>
  <c r="S12" i="25"/>
  <c r="S25" i="25"/>
  <c r="V44" i="17"/>
  <c r="V40" i="17"/>
  <c r="V36" i="17"/>
  <c r="V32" i="17"/>
  <c r="V28" i="17"/>
  <c r="V24" i="17"/>
  <c r="V20" i="17"/>
  <c r="V45" i="17"/>
  <c r="V37" i="17"/>
  <c r="V33" i="17"/>
  <c r="V46" i="17"/>
  <c r="V38" i="17"/>
  <c r="V34" i="17"/>
  <c r="V30" i="17"/>
  <c r="V26" i="17"/>
  <c r="V22" i="17"/>
  <c r="V43" i="17"/>
  <c r="V39" i="17"/>
  <c r="V35" i="17"/>
  <c r="V31" i="17"/>
  <c r="V25" i="17"/>
  <c r="V15" i="17"/>
  <c r="V11" i="17"/>
  <c r="V7" i="17"/>
  <c r="V3" i="17"/>
  <c r="V29" i="17"/>
  <c r="V27" i="17"/>
  <c r="V19" i="17"/>
  <c r="V16" i="17"/>
  <c r="V12" i="17"/>
  <c r="V8" i="17"/>
  <c r="V4" i="17"/>
  <c r="V21" i="17"/>
  <c r="V18" i="17"/>
  <c r="V17" i="17"/>
  <c r="V13" i="17"/>
  <c r="V9" i="17"/>
  <c r="V5" i="17"/>
  <c r="V23" i="17"/>
  <c r="V14" i="17"/>
  <c r="V10" i="17"/>
  <c r="V6" i="17"/>
  <c r="V2" i="17"/>
  <c r="B46" i="15"/>
  <c r="B38" i="15"/>
  <c r="B34" i="15"/>
  <c r="B30" i="15"/>
  <c r="B26" i="15"/>
  <c r="B22" i="15"/>
  <c r="B18" i="15"/>
  <c r="B14" i="15"/>
  <c r="B10" i="15"/>
  <c r="B43" i="15"/>
  <c r="B39" i="15"/>
  <c r="B35" i="15"/>
  <c r="B31" i="15"/>
  <c r="B27" i="15"/>
  <c r="B23" i="15"/>
  <c r="B19" i="15"/>
  <c r="B15" i="15"/>
  <c r="B11" i="15"/>
  <c r="B7" i="15"/>
  <c r="B3" i="15"/>
  <c r="B44" i="15"/>
  <c r="B36" i="15"/>
  <c r="B32" i="15"/>
  <c r="B28" i="15"/>
  <c r="B24" i="15"/>
  <c r="B20" i="15"/>
  <c r="B16" i="15"/>
  <c r="B12" i="15"/>
  <c r="B45" i="15"/>
  <c r="B37" i="15"/>
  <c r="B33" i="15"/>
  <c r="B29" i="15"/>
  <c r="B25" i="15"/>
  <c r="B21" i="15"/>
  <c r="B17" i="15"/>
  <c r="B13" i="15"/>
  <c r="B9" i="15"/>
  <c r="B5" i="15"/>
  <c r="B6" i="15"/>
  <c r="B4" i="15"/>
  <c r="B2" i="15"/>
  <c r="B8" i="15"/>
  <c r="AE42" i="16"/>
  <c r="O42" i="16"/>
  <c r="G36" i="15"/>
  <c r="AR45" i="28"/>
  <c r="AR41" i="28"/>
  <c r="AR37" i="28"/>
  <c r="AR43" i="28"/>
  <c r="AR39" i="28"/>
  <c r="AR35" i="28"/>
  <c r="AR40" i="28"/>
  <c r="AR30" i="28"/>
  <c r="AR31" i="28"/>
  <c r="AR44" i="28"/>
  <c r="AR36" i="28"/>
  <c r="AR32" i="28"/>
  <c r="AR26" i="28"/>
  <c r="AR22" i="28"/>
  <c r="AR27" i="28"/>
  <c r="AR23" i="28"/>
  <c r="AR38" i="28"/>
  <c r="AR34" i="28"/>
  <c r="AR33" i="28"/>
  <c r="AR28" i="28"/>
  <c r="AR24" i="28"/>
  <c r="AR20" i="28"/>
  <c r="AR29" i="28"/>
  <c r="AR42" i="28"/>
  <c r="AR46" i="28"/>
  <c r="AR18" i="28"/>
  <c r="AR14" i="28"/>
  <c r="AR19" i="28"/>
  <c r="AR15" i="28"/>
  <c r="AR21" i="28"/>
  <c r="AR25" i="28"/>
  <c r="AR17" i="28"/>
  <c r="AR13" i="28"/>
  <c r="AR5" i="28"/>
  <c r="AR16" i="28"/>
  <c r="AR3" i="28"/>
  <c r="AR9" i="28"/>
  <c r="AR8" i="28"/>
  <c r="AR11" i="28"/>
  <c r="AR10" i="28"/>
  <c r="AR4" i="28"/>
  <c r="AR6" i="28"/>
  <c r="AR12" i="28"/>
  <c r="AR7" i="28"/>
  <c r="AR2" i="28"/>
  <c r="L45" i="28"/>
  <c r="L41" i="28"/>
  <c r="L37" i="28"/>
  <c r="L43" i="28"/>
  <c r="L39" i="28"/>
  <c r="L35" i="28"/>
  <c r="L40" i="28"/>
  <c r="L34" i="28"/>
  <c r="L30" i="28"/>
  <c r="L31" i="28"/>
  <c r="L44" i="28"/>
  <c r="L36" i="28"/>
  <c r="L32" i="28"/>
  <c r="L33" i="28"/>
  <c r="L26" i="28"/>
  <c r="L22" i="28"/>
  <c r="L46" i="28"/>
  <c r="L42" i="28"/>
  <c r="L29" i="28"/>
  <c r="L38" i="28"/>
  <c r="L27" i="28"/>
  <c r="L23" i="28"/>
  <c r="L24" i="28"/>
  <c r="L28" i="28"/>
  <c r="L25" i="28"/>
  <c r="L18" i="28"/>
  <c r="L14" i="28"/>
  <c r="L21" i="28"/>
  <c r="L19" i="28"/>
  <c r="L15" i="28"/>
  <c r="L20" i="28"/>
  <c r="L16" i="28"/>
  <c r="L8" i="28"/>
  <c r="L5" i="28"/>
  <c r="L13" i="28"/>
  <c r="L3" i="28"/>
  <c r="L9" i="28"/>
  <c r="L12" i="28"/>
  <c r="L4" i="28"/>
  <c r="L2" i="28"/>
  <c r="L10" i="28"/>
  <c r="L7" i="28"/>
  <c r="L17" i="28"/>
  <c r="L6" i="28"/>
  <c r="L11" i="28"/>
  <c r="AH46" i="27"/>
  <c r="AH42" i="27"/>
  <c r="AH38" i="27"/>
  <c r="AH34" i="27"/>
  <c r="AH43" i="27"/>
  <c r="AH39" i="27"/>
  <c r="AH35" i="27"/>
  <c r="AH45" i="27"/>
  <c r="AH41" i="27"/>
  <c r="AH37" i="27"/>
  <c r="AH33" i="27"/>
  <c r="AH40" i="27"/>
  <c r="AH36" i="27"/>
  <c r="AH28" i="27"/>
  <c r="AH24" i="27"/>
  <c r="AH20" i="27"/>
  <c r="AH32" i="27"/>
  <c r="AH31" i="27"/>
  <c r="AH21" i="27"/>
  <c r="AH25" i="27"/>
  <c r="AH13" i="27"/>
  <c r="AH9" i="27"/>
  <c r="AH17" i="27"/>
  <c r="AH16" i="27"/>
  <c r="AH44" i="27"/>
  <c r="AH27" i="27"/>
  <c r="AH19" i="27"/>
  <c r="AH29" i="27"/>
  <c r="AH23" i="27"/>
  <c r="AH18" i="27"/>
  <c r="AH15" i="27"/>
  <c r="AH11" i="27"/>
  <c r="AH7" i="27"/>
  <c r="AH26" i="27"/>
  <c r="AH5" i="27"/>
  <c r="AH14" i="27"/>
  <c r="AH12" i="27"/>
  <c r="AH4" i="27"/>
  <c r="AH2" i="27"/>
  <c r="AH6" i="27"/>
  <c r="AH8" i="27"/>
  <c r="AH30" i="27"/>
  <c r="AH22" i="27"/>
  <c r="AH3" i="27"/>
  <c r="AH10" i="27"/>
  <c r="B46" i="27"/>
  <c r="B42" i="27"/>
  <c r="B38" i="27"/>
  <c r="B34" i="27"/>
  <c r="B43" i="27"/>
  <c r="B39" i="27"/>
  <c r="B35" i="27"/>
  <c r="B45" i="27"/>
  <c r="B41" i="27"/>
  <c r="B37" i="27"/>
  <c r="B33" i="27"/>
  <c r="B28" i="27"/>
  <c r="B24" i="27"/>
  <c r="B20" i="27"/>
  <c r="B40" i="27"/>
  <c r="B32" i="27"/>
  <c r="B31" i="27"/>
  <c r="B19" i="27"/>
  <c r="B44" i="27"/>
  <c r="B25" i="27"/>
  <c r="B23" i="27"/>
  <c r="B13" i="27"/>
  <c r="B9" i="27"/>
  <c r="B36" i="27"/>
  <c r="B30" i="27"/>
  <c r="B22" i="27"/>
  <c r="B18" i="27"/>
  <c r="B17" i="27"/>
  <c r="B16" i="27"/>
  <c r="B27" i="27"/>
  <c r="B21" i="27"/>
  <c r="B29" i="27"/>
  <c r="B15" i="27"/>
  <c r="B11" i="27"/>
  <c r="B7" i="27"/>
  <c r="B6" i="27"/>
  <c r="B5" i="27"/>
  <c r="B12" i="27"/>
  <c r="B2" i="27"/>
  <c r="B14" i="27"/>
  <c r="B8" i="27"/>
  <c r="B4" i="27"/>
  <c r="B26" i="27"/>
  <c r="B3" i="27"/>
  <c r="B10" i="27"/>
  <c r="X46" i="26"/>
  <c r="X42" i="26"/>
  <c r="X43" i="26"/>
  <c r="X44" i="26"/>
  <c r="X39" i="26"/>
  <c r="X38" i="26"/>
  <c r="X37" i="26"/>
  <c r="X34" i="26"/>
  <c r="X33" i="26"/>
  <c r="X35" i="26"/>
  <c r="X45" i="26"/>
  <c r="X36" i="26"/>
  <c r="X41" i="26"/>
  <c r="X26" i="26"/>
  <c r="X30" i="26"/>
  <c r="X21" i="26"/>
  <c r="X15" i="26"/>
  <c r="X11" i="26"/>
  <c r="X7" i="26"/>
  <c r="X25" i="26"/>
  <c r="X31" i="26"/>
  <c r="X29" i="26"/>
  <c r="X20" i="26"/>
  <c r="X16" i="26"/>
  <c r="X12" i="26"/>
  <c r="X8" i="26"/>
  <c r="X24" i="26"/>
  <c r="X32" i="26"/>
  <c r="X40" i="26"/>
  <c r="X27" i="26"/>
  <c r="X23" i="26"/>
  <c r="X9" i="26"/>
  <c r="X5" i="26"/>
  <c r="X22" i="26"/>
  <c r="X19" i="26"/>
  <c r="X13" i="26"/>
  <c r="X10" i="26"/>
  <c r="X17" i="26"/>
  <c r="X14" i="26"/>
  <c r="X28" i="26"/>
  <c r="X18" i="26"/>
  <c r="X3" i="26"/>
  <c r="X2" i="26"/>
  <c r="X6" i="26"/>
  <c r="X4" i="26"/>
  <c r="AT46" i="25"/>
  <c r="AT42" i="25"/>
  <c r="AT38" i="25"/>
  <c r="AT34" i="25"/>
  <c r="AT44" i="25"/>
  <c r="AT40" i="25"/>
  <c r="AT36" i="25"/>
  <c r="AT32" i="25"/>
  <c r="AT33" i="25"/>
  <c r="AT31" i="25"/>
  <c r="AT27" i="25"/>
  <c r="AT23" i="25"/>
  <c r="AT45" i="25"/>
  <c r="AT43" i="25"/>
  <c r="AT28" i="25"/>
  <c r="AT24" i="25"/>
  <c r="AT20" i="25"/>
  <c r="AT16" i="25"/>
  <c r="AT12" i="25"/>
  <c r="AT8" i="25"/>
  <c r="AT4" i="25"/>
  <c r="AT41" i="25"/>
  <c r="AT39" i="25"/>
  <c r="AT29" i="25"/>
  <c r="AT37" i="25"/>
  <c r="AT35" i="25"/>
  <c r="AT30" i="25"/>
  <c r="AT26" i="25"/>
  <c r="AT22" i="25"/>
  <c r="AT18" i="25"/>
  <c r="AT14" i="25"/>
  <c r="AT10" i="25"/>
  <c r="AT6" i="25"/>
  <c r="AT2" i="25"/>
  <c r="AT9" i="25"/>
  <c r="AT25" i="25"/>
  <c r="AT21" i="25"/>
  <c r="AT7" i="25"/>
  <c r="AT5" i="25"/>
  <c r="AT3" i="25"/>
  <c r="AT17" i="25"/>
  <c r="AT15" i="25"/>
  <c r="AT13" i="25"/>
  <c r="AT19" i="25"/>
  <c r="AT11" i="25"/>
  <c r="N46" i="25"/>
  <c r="N42" i="25"/>
  <c r="N38" i="25"/>
  <c r="N34" i="25"/>
  <c r="N44" i="25"/>
  <c r="N40" i="25"/>
  <c r="N36" i="25"/>
  <c r="N32" i="25"/>
  <c r="N33" i="25"/>
  <c r="N31" i="25"/>
  <c r="N27" i="25"/>
  <c r="N23" i="25"/>
  <c r="N45" i="25"/>
  <c r="N43" i="25"/>
  <c r="N28" i="25"/>
  <c r="N24" i="25"/>
  <c r="N20" i="25"/>
  <c r="N16" i="25"/>
  <c r="N12" i="25"/>
  <c r="N8" i="25"/>
  <c r="N4" i="25"/>
  <c r="N41" i="25"/>
  <c r="N39" i="25"/>
  <c r="N29" i="25"/>
  <c r="N37" i="25"/>
  <c r="N35" i="25"/>
  <c r="N30" i="25"/>
  <c r="N26" i="25"/>
  <c r="N22" i="25"/>
  <c r="N18" i="25"/>
  <c r="N14" i="25"/>
  <c r="N10" i="25"/>
  <c r="N6" i="25"/>
  <c r="N9" i="25"/>
  <c r="N21" i="25"/>
  <c r="N7" i="25"/>
  <c r="N5" i="25"/>
  <c r="N3" i="25"/>
  <c r="N17" i="25"/>
  <c r="N25" i="25"/>
  <c r="N15" i="25"/>
  <c r="N13" i="25"/>
  <c r="N2" i="25"/>
  <c r="N19" i="25"/>
  <c r="N11" i="25"/>
  <c r="M5" i="25"/>
  <c r="AJ42" i="16"/>
  <c r="AC45" i="26"/>
  <c r="AI4" i="25"/>
  <c r="C45" i="18"/>
  <c r="C37" i="18"/>
  <c r="C33" i="18"/>
  <c r="C29" i="18"/>
  <c r="C25" i="18"/>
  <c r="C46" i="18"/>
  <c r="C38" i="18"/>
  <c r="C34" i="18"/>
  <c r="C30" i="18"/>
  <c r="C26" i="18"/>
  <c r="C43" i="18"/>
  <c r="C39" i="18"/>
  <c r="C35" i="18"/>
  <c r="C31" i="18"/>
  <c r="C27" i="18"/>
  <c r="C23" i="18"/>
  <c r="C44" i="18"/>
  <c r="C40" i="18"/>
  <c r="C36" i="18"/>
  <c r="C21" i="18"/>
  <c r="C20" i="18"/>
  <c r="C18" i="18"/>
  <c r="C14" i="18"/>
  <c r="C10" i="18"/>
  <c r="C6" i="18"/>
  <c r="C2" i="18"/>
  <c r="C32" i="18"/>
  <c r="C19" i="18"/>
  <c r="C15" i="18"/>
  <c r="C11" i="18"/>
  <c r="C7" i="18"/>
  <c r="C3" i="18"/>
  <c r="C28" i="18"/>
  <c r="C16" i="18"/>
  <c r="C12" i="18"/>
  <c r="C8" i="18"/>
  <c r="C4" i="18"/>
  <c r="C17" i="18"/>
  <c r="C13" i="18"/>
  <c r="C9" i="18"/>
  <c r="C5" i="18"/>
  <c r="C24" i="18"/>
  <c r="C22" i="18"/>
  <c r="AG45" i="15"/>
  <c r="AG37" i="15"/>
  <c r="AG33" i="15"/>
  <c r="AG29" i="15"/>
  <c r="AG25" i="15"/>
  <c r="AG21" i="15"/>
  <c r="AG17" i="15"/>
  <c r="AG46" i="15"/>
  <c r="AG38" i="15"/>
  <c r="AG34" i="15"/>
  <c r="AG30" i="15"/>
  <c r="AG26" i="15"/>
  <c r="AG22" i="15"/>
  <c r="AG18" i="15"/>
  <c r="AG14" i="15"/>
  <c r="AG10" i="15"/>
  <c r="AG43" i="15"/>
  <c r="AG39" i="15"/>
  <c r="AG35" i="15"/>
  <c r="AG31" i="15"/>
  <c r="AG27" i="15"/>
  <c r="AG23" i="15"/>
  <c r="AG19" i="15"/>
  <c r="AG15" i="15"/>
  <c r="AG11" i="15"/>
  <c r="AG44" i="15"/>
  <c r="AG40" i="15"/>
  <c r="AG36" i="15"/>
  <c r="AG32" i="15"/>
  <c r="AG28" i="15"/>
  <c r="AG24" i="15"/>
  <c r="AG20" i="15"/>
  <c r="AG16" i="15"/>
  <c r="AG12" i="15"/>
  <c r="AG8" i="15"/>
  <c r="AG9" i="15"/>
  <c r="AG7" i="15"/>
  <c r="AG6" i="15"/>
  <c r="AG5" i="15"/>
  <c r="AG4" i="15"/>
  <c r="AG3" i="15"/>
  <c r="AG2" i="15"/>
  <c r="AG13" i="15"/>
  <c r="AY14" i="28"/>
  <c r="AY30" i="28"/>
  <c r="AQ8" i="28"/>
  <c r="AQ18" i="28"/>
  <c r="AQ26" i="28"/>
  <c r="AI4" i="28"/>
  <c r="AI34" i="28"/>
  <c r="AA10" i="28"/>
  <c r="AA26" i="28"/>
  <c r="AA30" i="28"/>
  <c r="AA46" i="28"/>
  <c r="K6" i="28"/>
  <c r="K8" i="28"/>
  <c r="K14" i="28"/>
  <c r="K38" i="28"/>
  <c r="C6" i="28"/>
  <c r="C8" i="28"/>
  <c r="C18" i="28"/>
  <c r="AW30" i="27"/>
  <c r="I43" i="27"/>
  <c r="BC36" i="26"/>
  <c r="O45" i="26"/>
  <c r="BA7" i="25"/>
  <c r="BA32" i="25"/>
  <c r="BA18" i="25"/>
  <c r="AS5" i="25"/>
  <c r="AS23" i="25"/>
  <c r="AK13" i="25"/>
  <c r="AK18" i="25"/>
  <c r="AK21" i="25"/>
  <c r="AK24" i="25"/>
  <c r="AC4" i="25"/>
  <c r="AC12" i="25"/>
  <c r="AC3" i="25"/>
  <c r="AC22" i="25"/>
  <c r="U3" i="25"/>
  <c r="U8" i="25"/>
  <c r="U40" i="25"/>
  <c r="U45" i="25"/>
  <c r="U27" i="25"/>
  <c r="E13" i="25"/>
  <c r="E4" i="25"/>
  <c r="E25" i="25"/>
  <c r="E28" i="25"/>
  <c r="AY5" i="25"/>
  <c r="AY13" i="25"/>
  <c r="AY32" i="25"/>
  <c r="AY26" i="25"/>
  <c r="AY29" i="25"/>
  <c r="AA12" i="25"/>
  <c r="AA3" i="25"/>
  <c r="AA24" i="25"/>
  <c r="AA27" i="25"/>
  <c r="AA42" i="25"/>
  <c r="BA41" i="14"/>
  <c r="AS41" i="14"/>
  <c r="AK41" i="14"/>
  <c r="AC41" i="14"/>
  <c r="U41" i="14"/>
  <c r="M41" i="14"/>
  <c r="E41" i="14"/>
  <c r="AW41" i="14"/>
  <c r="AO41" i="14"/>
  <c r="AG41" i="14"/>
  <c r="Y41" i="14"/>
  <c r="Q41" i="14"/>
  <c r="I41" i="14"/>
  <c r="AZ41" i="14"/>
  <c r="AP41" i="14"/>
  <c r="AE41" i="14"/>
  <c r="T41" i="14"/>
  <c r="J41" i="14"/>
  <c r="AY41" i="14"/>
  <c r="AN41" i="14"/>
  <c r="AD41" i="14"/>
  <c r="S41" i="14"/>
  <c r="H41" i="14"/>
  <c r="AX41" i="14"/>
  <c r="AM41" i="14"/>
  <c r="AB41" i="14"/>
  <c r="R41" i="14"/>
  <c r="G41" i="14"/>
  <c r="AV41" i="14"/>
  <c r="AL41" i="14"/>
  <c r="AA41" i="14"/>
  <c r="P41" i="14"/>
  <c r="F41" i="14"/>
  <c r="AU41" i="14"/>
  <c r="AJ41" i="14"/>
  <c r="Z41" i="14"/>
  <c r="O41" i="14"/>
  <c r="D41" i="14"/>
  <c r="AT41" i="14"/>
  <c r="AI41" i="14"/>
  <c r="X41" i="14"/>
  <c r="N41" i="14"/>
  <c r="C41" i="14"/>
  <c r="BC41" i="14"/>
  <c r="AR41" i="14"/>
  <c r="AH41" i="14"/>
  <c r="W41" i="14"/>
  <c r="L41" i="14"/>
  <c r="B41" i="14"/>
  <c r="BB41" i="14"/>
  <c r="AQ41" i="14"/>
  <c r="AF41" i="14"/>
  <c r="V41" i="14"/>
  <c r="K41" i="14"/>
  <c r="AY17" i="14"/>
  <c r="AQ17" i="14"/>
  <c r="AI17" i="14"/>
  <c r="AA17" i="14"/>
  <c r="S17" i="14"/>
  <c r="K17" i="14"/>
  <c r="C17" i="14"/>
  <c r="AX17" i="14"/>
  <c r="AP17" i="14"/>
  <c r="AH17" i="14"/>
  <c r="Z17" i="14"/>
  <c r="R17" i="14"/>
  <c r="J17" i="14"/>
  <c r="B17" i="14"/>
  <c r="AW17" i="14"/>
  <c r="AO17" i="14"/>
  <c r="AG17" i="14"/>
  <c r="Y17" i="14"/>
  <c r="Q17" i="14"/>
  <c r="I17" i="14"/>
  <c r="AV17" i="14"/>
  <c r="AN17" i="14"/>
  <c r="AF17" i="14"/>
  <c r="X17" i="14"/>
  <c r="P17" i="14"/>
  <c r="H17" i="14"/>
  <c r="BC17" i="14"/>
  <c r="AU17" i="14"/>
  <c r="AM17" i="14"/>
  <c r="AE17" i="14"/>
  <c r="W17" i="14"/>
  <c r="O17" i="14"/>
  <c r="G17" i="14"/>
  <c r="BB17" i="14"/>
  <c r="AT17" i="14"/>
  <c r="AL17" i="14"/>
  <c r="AD17" i="14"/>
  <c r="V17" i="14"/>
  <c r="N17" i="14"/>
  <c r="F17" i="14"/>
  <c r="BA17" i="14"/>
  <c r="AS17" i="14"/>
  <c r="AK17" i="14"/>
  <c r="AC17" i="14"/>
  <c r="U17" i="14"/>
  <c r="M17" i="14"/>
  <c r="E17" i="14"/>
  <c r="D17" i="14"/>
  <c r="AZ17" i="14"/>
  <c r="AR17" i="14"/>
  <c r="AJ17" i="14"/>
  <c r="AB17" i="14"/>
  <c r="T17" i="14"/>
  <c r="L17" i="14"/>
  <c r="AI43" i="17"/>
  <c r="AI39" i="17"/>
  <c r="AI35" i="17"/>
  <c r="AI31" i="17"/>
  <c r="AI44" i="17"/>
  <c r="AI40" i="17"/>
  <c r="AI36" i="17"/>
  <c r="AI32" i="17"/>
  <c r="AI28" i="17"/>
  <c r="AI24" i="17"/>
  <c r="AI20" i="17"/>
  <c r="AI45" i="17"/>
  <c r="AI37" i="17"/>
  <c r="AI33" i="17"/>
  <c r="AI29" i="17"/>
  <c r="AI46" i="17"/>
  <c r="AI38" i="17"/>
  <c r="AI34" i="17"/>
  <c r="AI30" i="17"/>
  <c r="AI26" i="17"/>
  <c r="AI22" i="17"/>
  <c r="AI18" i="17"/>
  <c r="AI25" i="17"/>
  <c r="AI14" i="17"/>
  <c r="AI10" i="17"/>
  <c r="AI6" i="17"/>
  <c r="AI2" i="17"/>
  <c r="AI27" i="17"/>
  <c r="AI19" i="17"/>
  <c r="AI15" i="17"/>
  <c r="AI11" i="17"/>
  <c r="AI3" i="17"/>
  <c r="AI21" i="17"/>
  <c r="AI16" i="17"/>
  <c r="AI12" i="17"/>
  <c r="AI8" i="17"/>
  <c r="AI4" i="17"/>
  <c r="AI23" i="17"/>
  <c r="AI17" i="17"/>
  <c r="AI13" i="17"/>
  <c r="AI9" i="17"/>
  <c r="AI5" i="17"/>
  <c r="O44" i="15"/>
  <c r="O40" i="15"/>
  <c r="O36" i="15"/>
  <c r="O32" i="15"/>
  <c r="O28" i="15"/>
  <c r="O24" i="15"/>
  <c r="O20" i="15"/>
  <c r="O16" i="15"/>
  <c r="O45" i="15"/>
  <c r="O37" i="15"/>
  <c r="O33" i="15"/>
  <c r="O29" i="15"/>
  <c r="O25" i="15"/>
  <c r="O21" i="15"/>
  <c r="O17" i="15"/>
  <c r="O13" i="15"/>
  <c r="O9" i="15"/>
  <c r="O46" i="15"/>
  <c r="O38" i="15"/>
  <c r="O34" i="15"/>
  <c r="O30" i="15"/>
  <c r="O26" i="15"/>
  <c r="O22" i="15"/>
  <c r="O18" i="15"/>
  <c r="O14" i="15"/>
  <c r="O10" i="15"/>
  <c r="O43" i="15"/>
  <c r="O39" i="15"/>
  <c r="O35" i="15"/>
  <c r="O31" i="15"/>
  <c r="O27" i="15"/>
  <c r="O23" i="15"/>
  <c r="O19" i="15"/>
  <c r="O15" i="15"/>
  <c r="O11" i="15"/>
  <c r="O3" i="15"/>
  <c r="O2" i="15"/>
  <c r="O8" i="15"/>
  <c r="O12" i="15"/>
  <c r="O7" i="15"/>
  <c r="O6" i="15"/>
  <c r="O4" i="15"/>
  <c r="O5" i="15"/>
  <c r="BB41" i="16"/>
  <c r="AJ41" i="16"/>
  <c r="T41" i="16"/>
  <c r="D41" i="16"/>
  <c r="G33" i="17"/>
  <c r="AB45" i="18"/>
  <c r="AB37" i="18"/>
  <c r="AB33" i="18"/>
  <c r="AB29" i="18"/>
  <c r="AB25" i="18"/>
  <c r="AB46" i="18"/>
  <c r="AB38" i="18"/>
  <c r="AB34" i="18"/>
  <c r="AB30" i="18"/>
  <c r="AB26" i="18"/>
  <c r="AB22" i="18"/>
  <c r="AB43" i="18"/>
  <c r="AB39" i="18"/>
  <c r="AB35" i="18"/>
  <c r="AB31" i="18"/>
  <c r="AB27" i="18"/>
  <c r="AB23" i="18"/>
  <c r="AB44" i="18"/>
  <c r="AB40" i="18"/>
  <c r="AB36" i="18"/>
  <c r="AB32" i="18"/>
  <c r="AB28" i="18"/>
  <c r="AB24" i="18"/>
  <c r="AB20" i="18"/>
  <c r="AB19" i="18"/>
  <c r="AB15" i="18"/>
  <c r="AB11" i="18"/>
  <c r="AB7" i="18"/>
  <c r="AB3" i="18"/>
  <c r="AB16" i="18"/>
  <c r="AB12" i="18"/>
  <c r="AB8" i="18"/>
  <c r="AB4" i="18"/>
  <c r="AB21" i="18"/>
  <c r="AB17" i="18"/>
  <c r="AB13" i="18"/>
  <c r="AB9" i="18"/>
  <c r="AB5" i="18"/>
  <c r="AB18" i="18"/>
  <c r="AB14" i="18"/>
  <c r="AB10" i="18"/>
  <c r="AB6" i="18"/>
  <c r="AB2" i="18"/>
  <c r="AX46" i="17"/>
  <c r="AX38" i="17"/>
  <c r="AX34" i="17"/>
  <c r="AX30" i="17"/>
  <c r="AX26" i="17"/>
  <c r="AX22" i="17"/>
  <c r="AX43" i="17"/>
  <c r="AX39" i="17"/>
  <c r="AX35" i="17"/>
  <c r="AX44" i="17"/>
  <c r="AX40" i="17"/>
  <c r="AX36" i="17"/>
  <c r="AX32" i="17"/>
  <c r="AX28" i="17"/>
  <c r="AX24" i="17"/>
  <c r="AX20" i="17"/>
  <c r="AX45" i="17"/>
  <c r="AX37" i="17"/>
  <c r="AX33" i="17"/>
  <c r="AX23" i="17"/>
  <c r="AX17" i="17"/>
  <c r="AX13" i="17"/>
  <c r="AX9" i="17"/>
  <c r="AX5" i="17"/>
  <c r="AX29" i="17"/>
  <c r="AX25" i="17"/>
  <c r="AX14" i="17"/>
  <c r="AX10" i="17"/>
  <c r="AX6" i="17"/>
  <c r="AX2" i="17"/>
  <c r="AX19" i="17"/>
  <c r="AX15" i="17"/>
  <c r="AX11" i="17"/>
  <c r="AX7" i="17"/>
  <c r="AX3" i="17"/>
  <c r="AX31" i="17"/>
  <c r="AX27" i="17"/>
  <c r="AX21" i="17"/>
  <c r="AX16" i="17"/>
  <c r="AX12" i="17"/>
  <c r="AX8" i="17"/>
  <c r="AX4" i="17"/>
  <c r="AX18" i="17"/>
  <c r="R46" i="17"/>
  <c r="R38" i="17"/>
  <c r="R34" i="17"/>
  <c r="R30" i="17"/>
  <c r="R26" i="17"/>
  <c r="R22" i="17"/>
  <c r="R43" i="17"/>
  <c r="R39" i="17"/>
  <c r="R35" i="17"/>
  <c r="R44" i="17"/>
  <c r="R40" i="17"/>
  <c r="R36" i="17"/>
  <c r="R32" i="17"/>
  <c r="R28" i="17"/>
  <c r="R24" i="17"/>
  <c r="R20" i="17"/>
  <c r="R45" i="17"/>
  <c r="R37" i="17"/>
  <c r="R33" i="17"/>
  <c r="R23" i="17"/>
  <c r="R17" i="17"/>
  <c r="R13" i="17"/>
  <c r="R9" i="17"/>
  <c r="R5" i="17"/>
  <c r="R31" i="17"/>
  <c r="R29" i="17"/>
  <c r="R25" i="17"/>
  <c r="R14" i="17"/>
  <c r="R10" i="17"/>
  <c r="R6" i="17"/>
  <c r="R2" i="17"/>
  <c r="R27" i="17"/>
  <c r="R19" i="17"/>
  <c r="R15" i="17"/>
  <c r="R11" i="17"/>
  <c r="R7" i="17"/>
  <c r="R3" i="17"/>
  <c r="R21" i="17"/>
  <c r="R16" i="17"/>
  <c r="R12" i="17"/>
  <c r="R8" i="17"/>
  <c r="R4" i="17"/>
  <c r="R18" i="17"/>
  <c r="AN45" i="16"/>
  <c r="AN37" i="16"/>
  <c r="AN33" i="16"/>
  <c r="AN29" i="16"/>
  <c r="AN25" i="16"/>
  <c r="AN21" i="16"/>
  <c r="AN46" i="16"/>
  <c r="AN38" i="16"/>
  <c r="AN34" i="16"/>
  <c r="AN30" i="16"/>
  <c r="AN26" i="16"/>
  <c r="AN22" i="16"/>
  <c r="AN18" i="16"/>
  <c r="AN14" i="16"/>
  <c r="AN10" i="16"/>
  <c r="AN43" i="16"/>
  <c r="AN39" i="16"/>
  <c r="AN35" i="16"/>
  <c r="AN31" i="16"/>
  <c r="AN27" i="16"/>
  <c r="AN23" i="16"/>
  <c r="AN44" i="16"/>
  <c r="AN40" i="16"/>
  <c r="AN36" i="16"/>
  <c r="AN32" i="16"/>
  <c r="AN28" i="16"/>
  <c r="AN24" i="16"/>
  <c r="AN20" i="16"/>
  <c r="AN16" i="16"/>
  <c r="AN12" i="16"/>
  <c r="AN11" i="16"/>
  <c r="AN7" i="16"/>
  <c r="AN6" i="16"/>
  <c r="AN4" i="16"/>
  <c r="AN13" i="16"/>
  <c r="AN5" i="16"/>
  <c r="AN15" i="16"/>
  <c r="AN2" i="16"/>
  <c r="AN19" i="16"/>
  <c r="AN17" i="16"/>
  <c r="AN3" i="16"/>
  <c r="AN9" i="16"/>
  <c r="AN8" i="16"/>
  <c r="H45" i="16"/>
  <c r="H37" i="16"/>
  <c r="H33" i="16"/>
  <c r="H29" i="16"/>
  <c r="H25" i="16"/>
  <c r="H21" i="16"/>
  <c r="H46" i="16"/>
  <c r="H38" i="16"/>
  <c r="H34" i="16"/>
  <c r="H30" i="16"/>
  <c r="H26" i="16"/>
  <c r="H22" i="16"/>
  <c r="H18" i="16"/>
  <c r="H14" i="16"/>
  <c r="H10" i="16"/>
  <c r="H43" i="16"/>
  <c r="H39" i="16"/>
  <c r="H35" i="16"/>
  <c r="H31" i="16"/>
  <c r="H27" i="16"/>
  <c r="H23" i="16"/>
  <c r="H44" i="16"/>
  <c r="H40" i="16"/>
  <c r="H36" i="16"/>
  <c r="H32" i="16"/>
  <c r="H28" i="16"/>
  <c r="H24" i="16"/>
  <c r="H20" i="16"/>
  <c r="H16" i="16"/>
  <c r="H12" i="16"/>
  <c r="H11" i="16"/>
  <c r="H7" i="16"/>
  <c r="H4" i="16"/>
  <c r="H13" i="16"/>
  <c r="H5" i="16"/>
  <c r="H15" i="16"/>
  <c r="H6" i="16"/>
  <c r="H2" i="16"/>
  <c r="H19" i="16"/>
  <c r="H17" i="16"/>
  <c r="H3" i="16"/>
  <c r="H9" i="16"/>
  <c r="H8" i="16"/>
  <c r="AD44" i="15"/>
  <c r="AD40" i="15"/>
  <c r="AD36" i="15"/>
  <c r="AD32" i="15"/>
  <c r="AD28" i="15"/>
  <c r="AD24" i="15"/>
  <c r="AD20" i="15"/>
  <c r="AD16" i="15"/>
  <c r="AD12" i="15"/>
  <c r="AD45" i="15"/>
  <c r="AD37" i="15"/>
  <c r="AD33" i="15"/>
  <c r="AD29" i="15"/>
  <c r="AD25" i="15"/>
  <c r="AD21" i="15"/>
  <c r="AD17" i="15"/>
  <c r="AD13" i="15"/>
  <c r="AD9" i="15"/>
  <c r="AD5" i="15"/>
  <c r="AD46" i="15"/>
  <c r="AD38" i="15"/>
  <c r="AD34" i="15"/>
  <c r="AD30" i="15"/>
  <c r="AD26" i="15"/>
  <c r="AD22" i="15"/>
  <c r="AD18" i="15"/>
  <c r="AD14" i="15"/>
  <c r="AD10" i="15"/>
  <c r="AD43" i="15"/>
  <c r="AD39" i="15"/>
  <c r="AD35" i="15"/>
  <c r="AD31" i="15"/>
  <c r="AD27" i="15"/>
  <c r="AD23" i="15"/>
  <c r="AD19" i="15"/>
  <c r="AD15" i="15"/>
  <c r="AD11" i="15"/>
  <c r="AD7" i="15"/>
  <c r="AD3" i="15"/>
  <c r="AD6" i="15"/>
  <c r="AD4" i="15"/>
  <c r="AD8" i="15"/>
  <c r="AD2" i="15"/>
  <c r="AR8" i="25"/>
  <c r="AR17" i="25"/>
  <c r="AJ12" i="25"/>
  <c r="AJ24" i="25"/>
  <c r="AJ29" i="25"/>
  <c r="AJ11" i="25"/>
  <c r="AJ26" i="25"/>
  <c r="AJ33" i="25"/>
  <c r="AB12" i="25"/>
  <c r="AB9" i="25"/>
  <c r="AB28" i="25"/>
  <c r="AB23" i="25"/>
  <c r="AB45" i="25"/>
  <c r="T21" i="25"/>
  <c r="T3" i="25"/>
  <c r="L18" i="25"/>
  <c r="L12" i="25"/>
  <c r="L15" i="25"/>
  <c r="L26" i="25"/>
  <c r="L37" i="25"/>
  <c r="D18" i="25"/>
  <c r="D13" i="25"/>
  <c r="D27" i="25"/>
  <c r="D32" i="25"/>
  <c r="BC46" i="14"/>
  <c r="AU46" i="14"/>
  <c r="AM46" i="14"/>
  <c r="AE46" i="14"/>
  <c r="W46" i="14"/>
  <c r="O46" i="14"/>
  <c r="G46" i="14"/>
  <c r="AY46" i="14"/>
  <c r="AQ46" i="14"/>
  <c r="AI46" i="14"/>
  <c r="AA46" i="14"/>
  <c r="S46" i="14"/>
  <c r="K46" i="14"/>
  <c r="C46" i="14"/>
  <c r="AW46" i="14"/>
  <c r="AL46" i="14"/>
  <c r="AB46" i="14"/>
  <c r="Q46" i="14"/>
  <c r="F46" i="14"/>
  <c r="AV46" i="14"/>
  <c r="AK46" i="14"/>
  <c r="Z46" i="14"/>
  <c r="P46" i="14"/>
  <c r="E46" i="14"/>
  <c r="AT46" i="14"/>
  <c r="AJ46" i="14"/>
  <c r="Y46" i="14"/>
  <c r="N46" i="14"/>
  <c r="D46" i="14"/>
  <c r="AS46" i="14"/>
  <c r="AH46" i="14"/>
  <c r="X46" i="14"/>
  <c r="M46" i="14"/>
  <c r="B46" i="14"/>
  <c r="BB46" i="14"/>
  <c r="AR46" i="14"/>
  <c r="AG46" i="14"/>
  <c r="V46" i="14"/>
  <c r="L46" i="14"/>
  <c r="BA46" i="14"/>
  <c r="AP46" i="14"/>
  <c r="AF46" i="14"/>
  <c r="U46" i="14"/>
  <c r="J46" i="14"/>
  <c r="AZ46" i="14"/>
  <c r="AO46" i="14"/>
  <c r="AD46" i="14"/>
  <c r="T46" i="14"/>
  <c r="I46" i="14"/>
  <c r="AX46" i="14"/>
  <c r="AN46" i="14"/>
  <c r="AC46" i="14"/>
  <c r="R46" i="14"/>
  <c r="H46" i="14"/>
  <c r="BA6" i="14"/>
  <c r="AS6" i="14"/>
  <c r="AK6" i="14"/>
  <c r="AC6" i="14"/>
  <c r="U6" i="14"/>
  <c r="M6" i="14"/>
  <c r="E6" i="14"/>
  <c r="AZ6" i="14"/>
  <c r="AR6" i="14"/>
  <c r="AJ6" i="14"/>
  <c r="AB6" i="14"/>
  <c r="T6" i="14"/>
  <c r="L6" i="14"/>
  <c r="D6" i="14"/>
  <c r="AY6" i="14"/>
  <c r="AQ6" i="14"/>
  <c r="AI6" i="14"/>
  <c r="AA6" i="14"/>
  <c r="S6" i="14"/>
  <c r="K6" i="14"/>
  <c r="C6" i="14"/>
  <c r="AX6" i="14"/>
  <c r="AP6" i="14"/>
  <c r="AH6" i="14"/>
  <c r="Z6" i="14"/>
  <c r="R6" i="14"/>
  <c r="J6" i="14"/>
  <c r="B6" i="14"/>
  <c r="AW6" i="14"/>
  <c r="AO6" i="14"/>
  <c r="AG6" i="14"/>
  <c r="Y6" i="14"/>
  <c r="Q6" i="14"/>
  <c r="I6" i="14"/>
  <c r="AV6" i="14"/>
  <c r="AN6" i="14"/>
  <c r="AF6" i="14"/>
  <c r="X6" i="14"/>
  <c r="P6" i="14"/>
  <c r="H6" i="14"/>
  <c r="BC6" i="14"/>
  <c r="AU6" i="14"/>
  <c r="AM6" i="14"/>
  <c r="AE6" i="14"/>
  <c r="W6" i="14"/>
  <c r="O6" i="14"/>
  <c r="G6" i="14"/>
  <c r="V6" i="14"/>
  <c r="N6" i="14"/>
  <c r="F6" i="14"/>
  <c r="BB6" i="14"/>
  <c r="AT6" i="14"/>
  <c r="AL6" i="14"/>
  <c r="AD6" i="14"/>
  <c r="K41" i="18"/>
  <c r="AW26" i="28"/>
  <c r="AN43" i="28"/>
  <c r="AN39" i="28"/>
  <c r="AN35" i="28"/>
  <c r="AN45" i="28"/>
  <c r="AN41" i="28"/>
  <c r="AN37" i="28"/>
  <c r="AN46" i="28"/>
  <c r="AN38" i="28"/>
  <c r="AN32" i="28"/>
  <c r="AN28" i="28"/>
  <c r="AN33" i="28"/>
  <c r="AN29" i="28"/>
  <c r="AN42" i="28"/>
  <c r="AN34" i="28"/>
  <c r="AN30" i="28"/>
  <c r="AN44" i="28"/>
  <c r="AN40" i="28"/>
  <c r="AN24" i="28"/>
  <c r="AN20" i="28"/>
  <c r="AN36" i="28"/>
  <c r="AN25" i="28"/>
  <c r="AN21" i="28"/>
  <c r="AN26" i="28"/>
  <c r="AN22" i="28"/>
  <c r="AN16" i="28"/>
  <c r="AN17" i="28"/>
  <c r="AN13" i="28"/>
  <c r="AN27" i="28"/>
  <c r="AN23" i="28"/>
  <c r="AN12" i="28"/>
  <c r="AN11" i="28"/>
  <c r="AN31" i="28"/>
  <c r="AN10" i="28"/>
  <c r="AN9" i="28"/>
  <c r="AN19" i="28"/>
  <c r="AN8" i="28"/>
  <c r="AN15" i="28"/>
  <c r="AN7" i="28"/>
  <c r="AN5" i="28"/>
  <c r="AN4" i="28"/>
  <c r="AN14" i="28"/>
  <c r="AN18" i="28"/>
  <c r="AN2" i="28"/>
  <c r="AN6" i="28"/>
  <c r="AN3" i="28"/>
  <c r="AP44" i="25"/>
  <c r="AP40" i="25"/>
  <c r="AP36" i="25"/>
  <c r="AP32" i="25"/>
  <c r="AP46" i="25"/>
  <c r="AP42" i="25"/>
  <c r="AP38" i="25"/>
  <c r="AP34" i="25"/>
  <c r="AP39" i="25"/>
  <c r="AP37" i="25"/>
  <c r="AP29" i="25"/>
  <c r="AP25" i="25"/>
  <c r="AP21" i="25"/>
  <c r="AP35" i="25"/>
  <c r="AP33" i="25"/>
  <c r="AP30" i="25"/>
  <c r="AP26" i="25"/>
  <c r="AP22" i="25"/>
  <c r="AP18" i="25"/>
  <c r="AP14" i="25"/>
  <c r="AP10" i="25"/>
  <c r="AP6" i="25"/>
  <c r="AP2" i="25"/>
  <c r="AP31" i="25"/>
  <c r="AP45" i="25"/>
  <c r="AP43" i="25"/>
  <c r="AP41" i="25"/>
  <c r="AP28" i="25"/>
  <c r="AP24" i="25"/>
  <c r="AP20" i="25"/>
  <c r="AP16" i="25"/>
  <c r="AP12" i="25"/>
  <c r="AP8" i="25"/>
  <c r="AP4" i="25"/>
  <c r="AP15" i="25"/>
  <c r="AP19" i="25"/>
  <c r="AP13" i="25"/>
  <c r="AP11" i="25"/>
  <c r="AP9" i="25"/>
  <c r="AP27" i="25"/>
  <c r="AP7" i="25"/>
  <c r="AP5" i="25"/>
  <c r="AP3" i="25"/>
  <c r="AP23" i="25"/>
  <c r="AP17" i="25"/>
  <c r="BA43" i="16"/>
  <c r="BA39" i="16"/>
  <c r="BA35" i="16"/>
  <c r="BA31" i="16"/>
  <c r="BA27" i="16"/>
  <c r="BA23" i="16"/>
  <c r="BA19" i="16"/>
  <c r="BA44" i="16"/>
  <c r="BA40" i="16"/>
  <c r="BA36" i="16"/>
  <c r="BA32" i="16"/>
  <c r="BA28" i="16"/>
  <c r="BA24" i="16"/>
  <c r="BA20" i="16"/>
  <c r="BA16" i="16"/>
  <c r="BA12" i="16"/>
  <c r="BA8" i="16"/>
  <c r="BA45" i="16"/>
  <c r="BA41" i="16"/>
  <c r="BA37" i="16"/>
  <c r="BA33" i="16"/>
  <c r="BA29" i="16"/>
  <c r="BA25" i="16"/>
  <c r="BA21" i="16"/>
  <c r="BA46" i="16"/>
  <c r="BA42" i="16"/>
  <c r="BA38" i="16"/>
  <c r="BA34" i="16"/>
  <c r="BA30" i="16"/>
  <c r="BA26" i="16"/>
  <c r="BA22" i="16"/>
  <c r="BA18" i="16"/>
  <c r="BA14" i="16"/>
  <c r="BA10" i="16"/>
  <c r="BA6" i="16"/>
  <c r="BA11" i="16"/>
  <c r="BA3" i="16"/>
  <c r="BA13" i="16"/>
  <c r="BA4" i="16"/>
  <c r="BA15" i="16"/>
  <c r="BA5" i="16"/>
  <c r="BA7" i="16"/>
  <c r="BA17" i="16"/>
  <c r="BA9" i="16"/>
  <c r="BA2" i="16"/>
  <c r="AD6" i="28"/>
  <c r="V6" i="28"/>
  <c r="AK22" i="28"/>
  <c r="AF43" i="18"/>
  <c r="AF39" i="18"/>
  <c r="AF35" i="18"/>
  <c r="AF31" i="18"/>
  <c r="AF27" i="18"/>
  <c r="AF23" i="18"/>
  <c r="AF44" i="18"/>
  <c r="AF40" i="18"/>
  <c r="AF36" i="18"/>
  <c r="AF32" i="18"/>
  <c r="AF28" i="18"/>
  <c r="AF24" i="18"/>
  <c r="AF20" i="18"/>
  <c r="AF45" i="18"/>
  <c r="AF37" i="18"/>
  <c r="AF33" i="18"/>
  <c r="AF29" i="18"/>
  <c r="AF25" i="18"/>
  <c r="AF46" i="18"/>
  <c r="AF38" i="18"/>
  <c r="AF34" i="18"/>
  <c r="AF30" i="18"/>
  <c r="AF26" i="18"/>
  <c r="AF22" i="18"/>
  <c r="AF17" i="18"/>
  <c r="AF13" i="18"/>
  <c r="AF9" i="18"/>
  <c r="AF5" i="18"/>
  <c r="AF21" i="18"/>
  <c r="AF18" i="18"/>
  <c r="AF14" i="18"/>
  <c r="AF10" i="18"/>
  <c r="AF6" i="18"/>
  <c r="AF2" i="18"/>
  <c r="AF19" i="18"/>
  <c r="AF15" i="18"/>
  <c r="AF11" i="18"/>
  <c r="AF7" i="18"/>
  <c r="AF3" i="18"/>
  <c r="AF16" i="18"/>
  <c r="AF12" i="18"/>
  <c r="AF8" i="18"/>
  <c r="AF4" i="18"/>
  <c r="S10" i="28"/>
  <c r="K41" i="15"/>
  <c r="AW4" i="28"/>
  <c r="AL41" i="16"/>
  <c r="AH44" i="18"/>
  <c r="AH40" i="18"/>
  <c r="AH36" i="18"/>
  <c r="AH32" i="18"/>
  <c r="AH28" i="18"/>
  <c r="AH24" i="18"/>
  <c r="AH45" i="18"/>
  <c r="AH37" i="18"/>
  <c r="AH33" i="18"/>
  <c r="AH29" i="18"/>
  <c r="AH25" i="18"/>
  <c r="AH21" i="18"/>
  <c r="AH46" i="18"/>
  <c r="AH38" i="18"/>
  <c r="AH34" i="18"/>
  <c r="AH30" i="18"/>
  <c r="AH26" i="18"/>
  <c r="AH22" i="18"/>
  <c r="AH43" i="18"/>
  <c r="AH39" i="18"/>
  <c r="AH35" i="18"/>
  <c r="AH31" i="18"/>
  <c r="AH27" i="18"/>
  <c r="AH23" i="18"/>
  <c r="AH20" i="18"/>
  <c r="AH18" i="18"/>
  <c r="AH14" i="18"/>
  <c r="AH10" i="18"/>
  <c r="AH6" i="18"/>
  <c r="AH2" i="18"/>
  <c r="AH19" i="18"/>
  <c r="AH15" i="18"/>
  <c r="AH11" i="18"/>
  <c r="AH7" i="18"/>
  <c r="AH3" i="18"/>
  <c r="AH16" i="18"/>
  <c r="AH12" i="18"/>
  <c r="AH8" i="18"/>
  <c r="AH4" i="18"/>
  <c r="AH17" i="18"/>
  <c r="AH13" i="18"/>
  <c r="AH9" i="18"/>
  <c r="AH5" i="18"/>
  <c r="AQ41" i="16"/>
  <c r="Z41" i="16"/>
  <c r="AT44" i="27"/>
  <c r="AT40" i="27"/>
  <c r="AT36" i="27"/>
  <c r="AT45" i="27"/>
  <c r="AT41" i="27"/>
  <c r="AT37" i="27"/>
  <c r="AT43" i="27"/>
  <c r="AT39" i="27"/>
  <c r="AT35" i="27"/>
  <c r="AT31" i="27"/>
  <c r="AT26" i="27"/>
  <c r="AT22" i="27"/>
  <c r="AT18" i="27"/>
  <c r="AT46" i="27"/>
  <c r="AT38" i="27"/>
  <c r="AT30" i="27"/>
  <c r="AT29" i="27"/>
  <c r="AT32" i="27"/>
  <c r="AT21" i="27"/>
  <c r="AT11" i="27"/>
  <c r="AT7" i="27"/>
  <c r="AT33" i="27"/>
  <c r="AT28" i="27"/>
  <c r="AT20" i="27"/>
  <c r="AT17" i="27"/>
  <c r="AT16" i="27"/>
  <c r="AT15" i="27"/>
  <c r="AT25" i="27"/>
  <c r="AT19" i="27"/>
  <c r="AT42" i="27"/>
  <c r="AT27" i="27"/>
  <c r="AT23" i="27"/>
  <c r="AT13" i="27"/>
  <c r="AT9" i="27"/>
  <c r="AT5" i="27"/>
  <c r="AT4" i="27"/>
  <c r="AT3" i="27"/>
  <c r="AT10" i="27"/>
  <c r="AT12" i="27"/>
  <c r="AT14" i="27"/>
  <c r="AT6" i="27"/>
  <c r="AT2" i="27"/>
  <c r="AT8" i="27"/>
  <c r="AT24" i="27"/>
  <c r="AT34" i="27"/>
  <c r="N44" i="27"/>
  <c r="N40" i="27"/>
  <c r="N36" i="27"/>
  <c r="N45" i="27"/>
  <c r="N41" i="27"/>
  <c r="N37" i="27"/>
  <c r="N43" i="27"/>
  <c r="N39" i="27"/>
  <c r="N35" i="27"/>
  <c r="N31" i="27"/>
  <c r="N38" i="27"/>
  <c r="N26" i="27"/>
  <c r="N22" i="27"/>
  <c r="N18" i="27"/>
  <c r="N34" i="27"/>
  <c r="N30" i="27"/>
  <c r="N29" i="27"/>
  <c r="N19" i="27"/>
  <c r="N23" i="27"/>
  <c r="N15" i="27"/>
  <c r="N11" i="27"/>
  <c r="N7" i="27"/>
  <c r="N33" i="27"/>
  <c r="N28" i="27"/>
  <c r="N17" i="27"/>
  <c r="N16" i="27"/>
  <c r="N46" i="27"/>
  <c r="N42" i="27"/>
  <c r="N25" i="27"/>
  <c r="N32" i="27"/>
  <c r="N27" i="27"/>
  <c r="N21" i="27"/>
  <c r="N13" i="27"/>
  <c r="N9" i="27"/>
  <c r="N5" i="27"/>
  <c r="N3" i="27"/>
  <c r="N24" i="27"/>
  <c r="N14" i="27"/>
  <c r="N10" i="27"/>
  <c r="N20" i="27"/>
  <c r="N4" i="27"/>
  <c r="N12" i="27"/>
  <c r="N2" i="27"/>
  <c r="N6" i="27"/>
  <c r="N8" i="27"/>
  <c r="AJ44" i="26"/>
  <c r="AJ40" i="26"/>
  <c r="AJ45" i="26"/>
  <c r="AJ43" i="26"/>
  <c r="AJ38" i="26"/>
  <c r="AJ37" i="26"/>
  <c r="AJ39" i="26"/>
  <c r="AJ36" i="26"/>
  <c r="AJ42" i="26"/>
  <c r="AJ32" i="26"/>
  <c r="AJ41" i="26"/>
  <c r="AJ22" i="26"/>
  <c r="AJ46" i="26"/>
  <c r="AJ35" i="26"/>
  <c r="AJ26" i="26"/>
  <c r="AJ21" i="26"/>
  <c r="AJ17" i="26"/>
  <c r="AJ13" i="26"/>
  <c r="AJ9" i="26"/>
  <c r="AJ30" i="26"/>
  <c r="AJ25" i="26"/>
  <c r="AJ34" i="26"/>
  <c r="AJ29" i="26"/>
  <c r="AJ20" i="26"/>
  <c r="AJ18" i="26"/>
  <c r="AJ14" i="26"/>
  <c r="AJ10" i="26"/>
  <c r="AJ6" i="26"/>
  <c r="AJ33" i="26"/>
  <c r="AJ24" i="26"/>
  <c r="AJ31" i="26"/>
  <c r="AJ23" i="26"/>
  <c r="AJ19" i="26"/>
  <c r="AJ7" i="26"/>
  <c r="AJ11" i="26"/>
  <c r="AJ8" i="26"/>
  <c r="AJ28" i="26"/>
  <c r="AJ15" i="26"/>
  <c r="AJ27" i="26"/>
  <c r="AJ12" i="26"/>
  <c r="AJ16" i="26"/>
  <c r="AJ2" i="26"/>
  <c r="AJ4" i="26"/>
  <c r="AJ5" i="26"/>
  <c r="AJ3" i="26"/>
  <c r="D44" i="26"/>
  <c r="D40" i="26"/>
  <c r="D45" i="26"/>
  <c r="D38" i="26"/>
  <c r="D37" i="26"/>
  <c r="D41" i="26"/>
  <c r="D42" i="26"/>
  <c r="D43" i="26"/>
  <c r="D35" i="26"/>
  <c r="D34" i="26"/>
  <c r="D32" i="26"/>
  <c r="D36" i="26"/>
  <c r="D24" i="26"/>
  <c r="D28" i="26"/>
  <c r="D17" i="26"/>
  <c r="D13" i="26"/>
  <c r="D9" i="26"/>
  <c r="D39" i="26"/>
  <c r="D23" i="26"/>
  <c r="D27" i="26"/>
  <c r="D18" i="26"/>
  <c r="D14" i="26"/>
  <c r="D10" i="26"/>
  <c r="D6" i="26"/>
  <c r="D46" i="26"/>
  <c r="D22" i="26"/>
  <c r="D31" i="26"/>
  <c r="D30" i="26"/>
  <c r="D25" i="26"/>
  <c r="D7" i="26"/>
  <c r="D29" i="26"/>
  <c r="D26" i="26"/>
  <c r="D11" i="26"/>
  <c r="D8" i="26"/>
  <c r="D21" i="26"/>
  <c r="D15" i="26"/>
  <c r="D5" i="26"/>
  <c r="D20" i="26"/>
  <c r="D12" i="26"/>
  <c r="D19" i="26"/>
  <c r="D33" i="26"/>
  <c r="D16" i="26"/>
  <c r="D2" i="26"/>
  <c r="D4" i="26"/>
  <c r="D3" i="26"/>
  <c r="R44" i="25"/>
  <c r="R40" i="25"/>
  <c r="R36" i="25"/>
  <c r="R32" i="25"/>
  <c r="R46" i="25"/>
  <c r="R42" i="25"/>
  <c r="R38" i="25"/>
  <c r="R34" i="25"/>
  <c r="R43" i="25"/>
  <c r="R41" i="25"/>
  <c r="R29" i="25"/>
  <c r="R25" i="25"/>
  <c r="R21" i="25"/>
  <c r="R39" i="25"/>
  <c r="R37" i="25"/>
  <c r="R30" i="25"/>
  <c r="R26" i="25"/>
  <c r="R22" i="25"/>
  <c r="R18" i="25"/>
  <c r="R14" i="25"/>
  <c r="R10" i="25"/>
  <c r="R6" i="25"/>
  <c r="R35" i="25"/>
  <c r="R33" i="25"/>
  <c r="R31" i="25"/>
  <c r="R45" i="25"/>
  <c r="R28" i="25"/>
  <c r="R24" i="25"/>
  <c r="R20" i="25"/>
  <c r="R16" i="25"/>
  <c r="R12" i="25"/>
  <c r="R8" i="25"/>
  <c r="R4" i="25"/>
  <c r="R3" i="25"/>
  <c r="R17" i="25"/>
  <c r="R15" i="25"/>
  <c r="R2" i="25"/>
  <c r="R13" i="25"/>
  <c r="R11" i="25"/>
  <c r="R23" i="25"/>
  <c r="R19" i="25"/>
  <c r="R9" i="25"/>
  <c r="R7" i="25"/>
  <c r="R27" i="25"/>
  <c r="R5" i="25"/>
  <c r="I22" i="28"/>
  <c r="I30" i="28"/>
  <c r="AQ20" i="25"/>
  <c r="AY25" i="14"/>
  <c r="AQ25" i="14"/>
  <c r="AI25" i="14"/>
  <c r="AA25" i="14"/>
  <c r="S25" i="14"/>
  <c r="K25" i="14"/>
  <c r="C25" i="14"/>
  <c r="AX25" i="14"/>
  <c r="AP25" i="14"/>
  <c r="AH25" i="14"/>
  <c r="Z25" i="14"/>
  <c r="R25" i="14"/>
  <c r="J25" i="14"/>
  <c r="B25" i="14"/>
  <c r="AW25" i="14"/>
  <c r="AO25" i="14"/>
  <c r="AG25" i="14"/>
  <c r="Y25" i="14"/>
  <c r="Q25" i="14"/>
  <c r="I25" i="14"/>
  <c r="AV25" i="14"/>
  <c r="AN25" i="14"/>
  <c r="AF25" i="14"/>
  <c r="X25" i="14"/>
  <c r="P25" i="14"/>
  <c r="H25" i="14"/>
  <c r="BC25" i="14"/>
  <c r="AU25" i="14"/>
  <c r="AM25" i="14"/>
  <c r="AE25" i="14"/>
  <c r="W25" i="14"/>
  <c r="O25" i="14"/>
  <c r="G25" i="14"/>
  <c r="BB25" i="14"/>
  <c r="AT25" i="14"/>
  <c r="AL25" i="14"/>
  <c r="AD25" i="14"/>
  <c r="V25" i="14"/>
  <c r="N25" i="14"/>
  <c r="F25" i="14"/>
  <c r="BA25" i="14"/>
  <c r="AS25" i="14"/>
  <c r="AK25" i="14"/>
  <c r="AC25" i="14"/>
  <c r="U25" i="14"/>
  <c r="M25" i="14"/>
  <c r="E25" i="14"/>
  <c r="T25" i="14"/>
  <c r="AB25" i="14"/>
  <c r="L25" i="14"/>
  <c r="D25" i="14"/>
  <c r="AZ25" i="14"/>
  <c r="AR25" i="14"/>
  <c r="AJ25" i="14"/>
  <c r="M44" i="17"/>
  <c r="M40" i="17"/>
  <c r="M36" i="17"/>
  <c r="M32" i="17"/>
  <c r="M28" i="17"/>
  <c r="M45" i="17"/>
  <c r="M37" i="17"/>
  <c r="M33" i="17"/>
  <c r="M29" i="17"/>
  <c r="M25" i="17"/>
  <c r="M21" i="17"/>
  <c r="M46" i="17"/>
  <c r="M38" i="17"/>
  <c r="M34" i="17"/>
  <c r="M30" i="17"/>
  <c r="M43" i="17"/>
  <c r="M39" i="17"/>
  <c r="M35" i="17"/>
  <c r="M31" i="17"/>
  <c r="M27" i="17"/>
  <c r="M23" i="17"/>
  <c r="M19" i="17"/>
  <c r="M26" i="17"/>
  <c r="M15" i="17"/>
  <c r="M11" i="17"/>
  <c r="M7" i="17"/>
  <c r="M3" i="17"/>
  <c r="M20" i="17"/>
  <c r="M18" i="17"/>
  <c r="M16" i="17"/>
  <c r="M12" i="17"/>
  <c r="M8" i="17"/>
  <c r="M4" i="17"/>
  <c r="M22" i="17"/>
  <c r="M17" i="17"/>
  <c r="M13" i="17"/>
  <c r="M9" i="17"/>
  <c r="M5" i="17"/>
  <c r="M24" i="17"/>
  <c r="M14" i="17"/>
  <c r="M10" i="17"/>
  <c r="M6" i="17"/>
  <c r="M2" i="17"/>
  <c r="Y44" i="18"/>
  <c r="Y40" i="18"/>
  <c r="Y36" i="18"/>
  <c r="Y32" i="18"/>
  <c r="Y28" i="18"/>
  <c r="Y24" i="18"/>
  <c r="Y45" i="18"/>
  <c r="Y37" i="18"/>
  <c r="Y33" i="18"/>
  <c r="Y29" i="18"/>
  <c r="Y25" i="18"/>
  <c r="Y46" i="18"/>
  <c r="Y38" i="18"/>
  <c r="Y34" i="18"/>
  <c r="Y30" i="18"/>
  <c r="Y26" i="18"/>
  <c r="Y43" i="18"/>
  <c r="Y39" i="18"/>
  <c r="Y35" i="18"/>
  <c r="Y27" i="18"/>
  <c r="Y20" i="18"/>
  <c r="Y17" i="18"/>
  <c r="Y13" i="18"/>
  <c r="Y9" i="18"/>
  <c r="Y5" i="18"/>
  <c r="Y18" i="18"/>
  <c r="Y14" i="18"/>
  <c r="Y10" i="18"/>
  <c r="Y6" i="18"/>
  <c r="Y2" i="18"/>
  <c r="Y23" i="18"/>
  <c r="Y19" i="18"/>
  <c r="Y15" i="18"/>
  <c r="Y11" i="18"/>
  <c r="Y7" i="18"/>
  <c r="Y3" i="18"/>
  <c r="Y31" i="18"/>
  <c r="Y16" i="18"/>
  <c r="Y12" i="18"/>
  <c r="Y8" i="18"/>
  <c r="Y4" i="18"/>
  <c r="Y22" i="18"/>
  <c r="Y21" i="18"/>
  <c r="AU45" i="17"/>
  <c r="AU37" i="17"/>
  <c r="AU33" i="17"/>
  <c r="AU29" i="17"/>
  <c r="AU46" i="17"/>
  <c r="AU38" i="17"/>
  <c r="AU34" i="17"/>
  <c r="AU30" i="17"/>
  <c r="AU26" i="17"/>
  <c r="AU22" i="17"/>
  <c r="AU18" i="17"/>
  <c r="AU43" i="17"/>
  <c r="AU39" i="17"/>
  <c r="AU35" i="17"/>
  <c r="AU31" i="17"/>
  <c r="AU27" i="17"/>
  <c r="AU44" i="17"/>
  <c r="AU40" i="17"/>
  <c r="AU36" i="17"/>
  <c r="AU32" i="17"/>
  <c r="AU28" i="17"/>
  <c r="AU24" i="17"/>
  <c r="AU20" i="17"/>
  <c r="AU23" i="17"/>
  <c r="AU16" i="17"/>
  <c r="AU12" i="17"/>
  <c r="AU8" i="17"/>
  <c r="AU4" i="17"/>
  <c r="AU25" i="17"/>
  <c r="AU17" i="17"/>
  <c r="AU13" i="17"/>
  <c r="AU9" i="17"/>
  <c r="AU5" i="17"/>
  <c r="AU19" i="17"/>
  <c r="AU14" i="17"/>
  <c r="AU10" i="17"/>
  <c r="AU6" i="17"/>
  <c r="AU2" i="17"/>
  <c r="AU21" i="17"/>
  <c r="AU15" i="17"/>
  <c r="AU11" i="17"/>
  <c r="AU7" i="17"/>
  <c r="AU3" i="17"/>
  <c r="O45" i="17"/>
  <c r="O37" i="17"/>
  <c r="O33" i="17"/>
  <c r="O29" i="17"/>
  <c r="O46" i="17"/>
  <c r="O38" i="17"/>
  <c r="O34" i="17"/>
  <c r="O30" i="17"/>
  <c r="O26" i="17"/>
  <c r="O22" i="17"/>
  <c r="O18" i="17"/>
  <c r="O43" i="17"/>
  <c r="O39" i="17"/>
  <c r="O35" i="17"/>
  <c r="O31" i="17"/>
  <c r="O44" i="17"/>
  <c r="O40" i="17"/>
  <c r="O36" i="17"/>
  <c r="O32" i="17"/>
  <c r="O28" i="17"/>
  <c r="O24" i="17"/>
  <c r="O20" i="17"/>
  <c r="O23" i="17"/>
  <c r="O16" i="17"/>
  <c r="O12" i="17"/>
  <c r="O8" i="17"/>
  <c r="O4" i="17"/>
  <c r="O25" i="17"/>
  <c r="O17" i="17"/>
  <c r="O13" i="17"/>
  <c r="O9" i="17"/>
  <c r="O5" i="17"/>
  <c r="O27" i="17"/>
  <c r="O19" i="17"/>
  <c r="O14" i="17"/>
  <c r="O10" i="17"/>
  <c r="O6" i="17"/>
  <c r="O2" i="17"/>
  <c r="O21" i="17"/>
  <c r="O15" i="17"/>
  <c r="O11" i="17"/>
  <c r="O7" i="17"/>
  <c r="O3" i="17"/>
  <c r="AK43" i="16"/>
  <c r="AK39" i="16"/>
  <c r="AK35" i="16"/>
  <c r="AK31" i="16"/>
  <c r="AK27" i="16"/>
  <c r="AK23" i="16"/>
  <c r="AK19" i="16"/>
  <c r="AK44" i="16"/>
  <c r="AK40" i="16"/>
  <c r="AK36" i="16"/>
  <c r="AK32" i="16"/>
  <c r="AK28" i="16"/>
  <c r="AK24" i="16"/>
  <c r="AK20" i="16"/>
  <c r="AK16" i="16"/>
  <c r="AK12" i="16"/>
  <c r="AK8" i="16"/>
  <c r="AK45" i="16"/>
  <c r="AK37" i="16"/>
  <c r="AK33" i="16"/>
  <c r="AK29" i="16"/>
  <c r="AK25" i="16"/>
  <c r="AK21" i="16"/>
  <c r="AK46" i="16"/>
  <c r="AK38" i="16"/>
  <c r="AK34" i="16"/>
  <c r="AK30" i="16"/>
  <c r="AK26" i="16"/>
  <c r="AK22" i="16"/>
  <c r="AK18" i="16"/>
  <c r="AK14" i="16"/>
  <c r="AK10" i="16"/>
  <c r="AK6" i="16"/>
  <c r="AK11" i="16"/>
  <c r="AK9" i="16"/>
  <c r="AK3" i="16"/>
  <c r="AK7" i="16"/>
  <c r="AK13" i="16"/>
  <c r="AK4" i="16"/>
  <c r="AK15" i="16"/>
  <c r="AK5" i="16"/>
  <c r="AK17" i="16"/>
  <c r="AK2" i="16"/>
  <c r="E43" i="16"/>
  <c r="E39" i="16"/>
  <c r="E35" i="16"/>
  <c r="E31" i="16"/>
  <c r="E27" i="16"/>
  <c r="E23" i="16"/>
  <c r="E19" i="16"/>
  <c r="E44" i="16"/>
  <c r="E40" i="16"/>
  <c r="E36" i="16"/>
  <c r="E32" i="16"/>
  <c r="E28" i="16"/>
  <c r="E24" i="16"/>
  <c r="E20" i="16"/>
  <c r="E16" i="16"/>
  <c r="E12" i="16"/>
  <c r="E8" i="16"/>
  <c r="E45" i="16"/>
  <c r="E37" i="16"/>
  <c r="E33" i="16"/>
  <c r="E29" i="16"/>
  <c r="E25" i="16"/>
  <c r="E21" i="16"/>
  <c r="E46" i="16"/>
  <c r="E38" i="16"/>
  <c r="E34" i="16"/>
  <c r="E30" i="16"/>
  <c r="E26" i="16"/>
  <c r="E22" i="16"/>
  <c r="E18" i="16"/>
  <c r="E14" i="16"/>
  <c r="E10" i="16"/>
  <c r="E11" i="16"/>
  <c r="E9" i="16"/>
  <c r="E3" i="16"/>
  <c r="E7" i="16"/>
  <c r="E13" i="16"/>
  <c r="E4" i="16"/>
  <c r="E15" i="16"/>
  <c r="E5" i="16"/>
  <c r="E17" i="16"/>
  <c r="E6" i="16"/>
  <c r="E2" i="16"/>
  <c r="AA46" i="15"/>
  <c r="AA38" i="15"/>
  <c r="AA34" i="15"/>
  <c r="AA30" i="15"/>
  <c r="AA26" i="15"/>
  <c r="AA22" i="15"/>
  <c r="AA18" i="15"/>
  <c r="AA43" i="15"/>
  <c r="AA39" i="15"/>
  <c r="AA35" i="15"/>
  <c r="AA31" i="15"/>
  <c r="AA27" i="15"/>
  <c r="AA23" i="15"/>
  <c r="AA19" i="15"/>
  <c r="AA15" i="15"/>
  <c r="AA11" i="15"/>
  <c r="AA44" i="15"/>
  <c r="AA40" i="15"/>
  <c r="AA36" i="15"/>
  <c r="AA32" i="15"/>
  <c r="AA28" i="15"/>
  <c r="AA24" i="15"/>
  <c r="AA20" i="15"/>
  <c r="AA16" i="15"/>
  <c r="AA12" i="15"/>
  <c r="AA8" i="15"/>
  <c r="AA45" i="15"/>
  <c r="AA37" i="15"/>
  <c r="AA33" i="15"/>
  <c r="AA29" i="15"/>
  <c r="AA25" i="15"/>
  <c r="AA21" i="15"/>
  <c r="AA17" i="15"/>
  <c r="AA13" i="15"/>
  <c r="AA9" i="15"/>
  <c r="AA10" i="15"/>
  <c r="AA7" i="15"/>
  <c r="AA6" i="15"/>
  <c r="AA5" i="15"/>
  <c r="AA4" i="15"/>
  <c r="AA3" i="15"/>
  <c r="AA14" i="15"/>
  <c r="AA2" i="15"/>
  <c r="U7" i="18"/>
  <c r="U28" i="18"/>
  <c r="U35" i="18"/>
  <c r="AM44" i="16"/>
  <c r="AM40" i="16"/>
  <c r="AM36" i="16"/>
  <c r="AM32" i="16"/>
  <c r="AM28" i="16"/>
  <c r="AM24" i="16"/>
  <c r="AM20" i="16"/>
  <c r="AM45" i="16"/>
  <c r="AM41" i="16"/>
  <c r="AM37" i="16"/>
  <c r="AM33" i="16"/>
  <c r="AM29" i="16"/>
  <c r="AM25" i="16"/>
  <c r="AM21" i="16"/>
  <c r="AM17" i="16"/>
  <c r="AM13" i="16"/>
  <c r="AM9" i="16"/>
  <c r="AM46" i="16"/>
  <c r="AM42" i="16"/>
  <c r="AM38" i="16"/>
  <c r="AM34" i="16"/>
  <c r="AM30" i="16"/>
  <c r="AM26" i="16"/>
  <c r="AM22" i="16"/>
  <c r="AM18" i="16"/>
  <c r="AM43" i="16"/>
  <c r="AM39" i="16"/>
  <c r="AM35" i="16"/>
  <c r="AM31" i="16"/>
  <c r="AM27" i="16"/>
  <c r="AM23" i="16"/>
  <c r="AM19" i="16"/>
  <c r="AM15" i="16"/>
  <c r="AM11" i="16"/>
  <c r="AM7" i="16"/>
  <c r="AM8" i="16"/>
  <c r="AM16" i="16"/>
  <c r="AM6" i="16"/>
  <c r="AM4" i="16"/>
  <c r="AM10" i="16"/>
  <c r="AM5" i="16"/>
  <c r="AM12" i="16"/>
  <c r="AM2" i="16"/>
  <c r="AM14" i="16"/>
  <c r="AM3" i="16"/>
  <c r="D42" i="16"/>
  <c r="Q4" i="28"/>
  <c r="AN7" i="18"/>
  <c r="AN23" i="18"/>
  <c r="AA43" i="17"/>
  <c r="AA39" i="17"/>
  <c r="AA35" i="17"/>
  <c r="AA31" i="17"/>
  <c r="AA44" i="17"/>
  <c r="AA40" i="17"/>
  <c r="AA36" i="17"/>
  <c r="AA32" i="17"/>
  <c r="AA28" i="17"/>
  <c r="AA24" i="17"/>
  <c r="AA20" i="17"/>
  <c r="AA45" i="17"/>
  <c r="AA37" i="17"/>
  <c r="AA33" i="17"/>
  <c r="AA29" i="17"/>
  <c r="AA46" i="17"/>
  <c r="AA38" i="17"/>
  <c r="AA34" i="17"/>
  <c r="AA30" i="17"/>
  <c r="AA26" i="17"/>
  <c r="AA22" i="17"/>
  <c r="AA18" i="17"/>
  <c r="AA21" i="17"/>
  <c r="AA14" i="17"/>
  <c r="AA10" i="17"/>
  <c r="AA6" i="17"/>
  <c r="AA2" i="17"/>
  <c r="AA23" i="17"/>
  <c r="AA15" i="17"/>
  <c r="AA11" i="17"/>
  <c r="AA7" i="17"/>
  <c r="AA3" i="17"/>
  <c r="AA25" i="17"/>
  <c r="AA16" i="17"/>
  <c r="AA12" i="17"/>
  <c r="AA8" i="17"/>
  <c r="AA4" i="17"/>
  <c r="AA27" i="17"/>
  <c r="AA19" i="17"/>
  <c r="AA17" i="17"/>
  <c r="AA13" i="17"/>
  <c r="AA9" i="17"/>
  <c r="AA5" i="17"/>
  <c r="G28" i="15"/>
  <c r="G24" i="15"/>
  <c r="G20" i="15"/>
  <c r="G16" i="15"/>
  <c r="G29" i="15"/>
  <c r="G25" i="15"/>
  <c r="G21" i="15"/>
  <c r="G17" i="15"/>
  <c r="G13" i="15"/>
  <c r="G9" i="15"/>
  <c r="G26" i="15"/>
  <c r="G22" i="15"/>
  <c r="G18" i="15"/>
  <c r="G14" i="15"/>
  <c r="G10" i="15"/>
  <c r="G27" i="15"/>
  <c r="G23" i="15"/>
  <c r="G19" i="15"/>
  <c r="G15" i="15"/>
  <c r="G11" i="15"/>
  <c r="G8" i="15"/>
  <c r="G7" i="15"/>
  <c r="G6" i="15"/>
  <c r="G5" i="15"/>
  <c r="G4" i="15"/>
  <c r="G3" i="15"/>
  <c r="G2" i="15"/>
  <c r="G12" i="15"/>
  <c r="AF41" i="16"/>
  <c r="P41" i="16"/>
  <c r="BB8" i="28"/>
  <c r="BB10" i="28"/>
  <c r="AL2" i="28"/>
  <c r="AL30" i="28"/>
  <c r="AL14" i="28"/>
  <c r="AL34" i="28"/>
  <c r="AD18" i="28"/>
  <c r="V8" i="28"/>
  <c r="N10" i="28"/>
  <c r="N18" i="28"/>
  <c r="N38" i="28"/>
  <c r="F30" i="28"/>
  <c r="AP36" i="26"/>
  <c r="AV20" i="25"/>
  <c r="AV4" i="25"/>
  <c r="AV13" i="25"/>
  <c r="AV28" i="25"/>
  <c r="AN12" i="25"/>
  <c r="AN7" i="25"/>
  <c r="AN25" i="25"/>
  <c r="X12" i="25"/>
  <c r="P12" i="25"/>
  <c r="H25" i="25"/>
  <c r="BA2" i="18"/>
  <c r="BA21" i="18"/>
  <c r="BA34" i="18"/>
  <c r="AO4" i="28"/>
  <c r="AO8" i="28"/>
  <c r="AO30" i="28"/>
  <c r="Y10" i="28"/>
  <c r="Y16" i="28"/>
  <c r="Y30" i="28"/>
  <c r="Y43" i="28"/>
  <c r="K22" i="25"/>
  <c r="K13" i="25"/>
  <c r="K25" i="25"/>
  <c r="H43" i="18"/>
  <c r="H39" i="18"/>
  <c r="H35" i="18"/>
  <c r="H31" i="18"/>
  <c r="H27" i="18"/>
  <c r="H23" i="18"/>
  <c r="H44" i="18"/>
  <c r="H40" i="18"/>
  <c r="H36" i="18"/>
  <c r="H32" i="18"/>
  <c r="H28" i="18"/>
  <c r="H24" i="18"/>
  <c r="H20" i="18"/>
  <c r="H45" i="18"/>
  <c r="H37" i="18"/>
  <c r="H33" i="18"/>
  <c r="H29" i="18"/>
  <c r="H25" i="18"/>
  <c r="H46" i="18"/>
  <c r="H38" i="18"/>
  <c r="H34" i="18"/>
  <c r="H30" i="18"/>
  <c r="H26" i="18"/>
  <c r="H22" i="18"/>
  <c r="H17" i="18"/>
  <c r="H13" i="18"/>
  <c r="H9" i="18"/>
  <c r="H5" i="18"/>
  <c r="H18" i="18"/>
  <c r="H14" i="18"/>
  <c r="H10" i="18"/>
  <c r="H6" i="18"/>
  <c r="H2" i="18"/>
  <c r="H21" i="18"/>
  <c r="H19" i="18"/>
  <c r="H15" i="18"/>
  <c r="H11" i="18"/>
  <c r="H7" i="18"/>
  <c r="H3" i="18"/>
  <c r="H16" i="18"/>
  <c r="H12" i="18"/>
  <c r="H8" i="18"/>
  <c r="H4" i="18"/>
  <c r="AK43" i="15"/>
  <c r="AK39" i="15"/>
  <c r="AK35" i="15"/>
  <c r="AK31" i="15"/>
  <c r="AK27" i="15"/>
  <c r="AK23" i="15"/>
  <c r="AK19" i="15"/>
  <c r="AK15" i="15"/>
  <c r="AK44" i="15"/>
  <c r="AK40" i="15"/>
  <c r="AK36" i="15"/>
  <c r="AK32" i="15"/>
  <c r="AK28" i="15"/>
  <c r="AK24" i="15"/>
  <c r="AK20" i="15"/>
  <c r="AK16" i="15"/>
  <c r="AK12" i="15"/>
  <c r="AK8" i="15"/>
  <c r="AK45" i="15"/>
  <c r="AK37" i="15"/>
  <c r="AK33" i="15"/>
  <c r="AK29" i="15"/>
  <c r="AK25" i="15"/>
  <c r="AK21" i="15"/>
  <c r="AK17" i="15"/>
  <c r="AK13" i="15"/>
  <c r="AK9" i="15"/>
  <c r="AK46" i="15"/>
  <c r="AK38" i="15"/>
  <c r="AK34" i="15"/>
  <c r="AK30" i="15"/>
  <c r="AK26" i="15"/>
  <c r="AK22" i="15"/>
  <c r="AK18" i="15"/>
  <c r="AK14" i="15"/>
  <c r="AK10" i="15"/>
  <c r="AK2" i="15"/>
  <c r="AK11" i="15"/>
  <c r="AK7" i="15"/>
  <c r="AK6" i="15"/>
  <c r="AK5" i="15"/>
  <c r="AK4" i="15"/>
  <c r="AK3" i="15"/>
  <c r="G45" i="16"/>
  <c r="AO42" i="15"/>
  <c r="AE41" i="18"/>
  <c r="O43" i="18"/>
  <c r="O39" i="18"/>
  <c r="O35" i="18"/>
  <c r="O31" i="18"/>
  <c r="O27" i="18"/>
  <c r="O23" i="18"/>
  <c r="O44" i="18"/>
  <c r="O40" i="18"/>
  <c r="O36" i="18"/>
  <c r="O32" i="18"/>
  <c r="O28" i="18"/>
  <c r="O24" i="18"/>
  <c r="O45" i="18"/>
  <c r="O37" i="18"/>
  <c r="O33" i="18"/>
  <c r="O29" i="18"/>
  <c r="O25" i="18"/>
  <c r="O46" i="18"/>
  <c r="O38" i="18"/>
  <c r="O26" i="18"/>
  <c r="O16" i="18"/>
  <c r="O12" i="18"/>
  <c r="O8" i="18"/>
  <c r="O4" i="18"/>
  <c r="O34" i="18"/>
  <c r="O17" i="18"/>
  <c r="O13" i="18"/>
  <c r="O9" i="18"/>
  <c r="O5" i="18"/>
  <c r="O18" i="18"/>
  <c r="O14" i="18"/>
  <c r="O10" i="18"/>
  <c r="O6" i="18"/>
  <c r="O2" i="18"/>
  <c r="O30" i="18"/>
  <c r="O22" i="18"/>
  <c r="O19" i="18"/>
  <c r="O15" i="18"/>
  <c r="O11" i="18"/>
  <c r="O7" i="18"/>
  <c r="O3" i="18"/>
  <c r="O21" i="18"/>
  <c r="O20" i="18"/>
  <c r="AK2" i="28"/>
  <c r="AK10" i="28"/>
  <c r="U16" i="28"/>
  <c r="U22" i="28"/>
  <c r="U18" i="28"/>
  <c r="U34" i="28"/>
  <c r="M2" i="28"/>
  <c r="M4" i="28"/>
  <c r="E6" i="28"/>
  <c r="E22" i="28"/>
  <c r="E43" i="28"/>
  <c r="AW45" i="26"/>
  <c r="Q36" i="26"/>
  <c r="AU10" i="25"/>
  <c r="AU2" i="25"/>
  <c r="AU42" i="25"/>
  <c r="AU23" i="25"/>
  <c r="AM20" i="25"/>
  <c r="AM22" i="25"/>
  <c r="AM25" i="25"/>
  <c r="AE20" i="25"/>
  <c r="W15" i="25"/>
  <c r="W42" i="25"/>
  <c r="O13" i="25"/>
  <c r="O4" i="25"/>
  <c r="O26" i="25"/>
  <c r="G12" i="25"/>
  <c r="G4" i="25"/>
  <c r="G23" i="25"/>
  <c r="AG38" i="28"/>
  <c r="S5" i="25"/>
  <c r="S13" i="25"/>
  <c r="S18" i="25"/>
  <c r="S26" i="25"/>
  <c r="S29" i="25"/>
  <c r="F44" i="17"/>
  <c r="F40" i="17"/>
  <c r="F36" i="17"/>
  <c r="F32" i="17"/>
  <c r="F28" i="17"/>
  <c r="F24" i="17"/>
  <c r="F20" i="17"/>
  <c r="F45" i="17"/>
  <c r="F37" i="17"/>
  <c r="F33" i="17"/>
  <c r="F46" i="17"/>
  <c r="F38" i="17"/>
  <c r="F34" i="17"/>
  <c r="F30" i="17"/>
  <c r="F26" i="17"/>
  <c r="F22" i="17"/>
  <c r="F43" i="17"/>
  <c r="F39" i="17"/>
  <c r="F35" i="17"/>
  <c r="F31" i="17"/>
  <c r="F25" i="17"/>
  <c r="F18" i="17"/>
  <c r="F15" i="17"/>
  <c r="F11" i="17"/>
  <c r="F7" i="17"/>
  <c r="F3" i="17"/>
  <c r="F27" i="17"/>
  <c r="F19" i="17"/>
  <c r="F16" i="17"/>
  <c r="F12" i="17"/>
  <c r="F8" i="17"/>
  <c r="F4" i="17"/>
  <c r="F21" i="17"/>
  <c r="F17" i="17"/>
  <c r="F13" i="17"/>
  <c r="F9" i="17"/>
  <c r="F5" i="17"/>
  <c r="F29" i="17"/>
  <c r="F23" i="17"/>
  <c r="F14" i="17"/>
  <c r="F10" i="17"/>
  <c r="F6" i="17"/>
  <c r="F2" i="17"/>
  <c r="O42" i="17"/>
  <c r="G36" i="16"/>
  <c r="AT46" i="18"/>
  <c r="AT38" i="18"/>
  <c r="AT34" i="18"/>
  <c r="AT30" i="18"/>
  <c r="AT26" i="18"/>
  <c r="AT43" i="18"/>
  <c r="AT39" i="18"/>
  <c r="AT35" i="18"/>
  <c r="AT31" i="18"/>
  <c r="AT27" i="18"/>
  <c r="AT23" i="18"/>
  <c r="AT19" i="18"/>
  <c r="AT44" i="18"/>
  <c r="AT40" i="18"/>
  <c r="AT36" i="18"/>
  <c r="AT32" i="18"/>
  <c r="AT28" i="18"/>
  <c r="AT24" i="18"/>
  <c r="AT45" i="18"/>
  <c r="AT37" i="18"/>
  <c r="AT33" i="18"/>
  <c r="AT29" i="18"/>
  <c r="AT25" i="18"/>
  <c r="AT21" i="18"/>
  <c r="AT22" i="18"/>
  <c r="AT20" i="18"/>
  <c r="AT16" i="18"/>
  <c r="AT12" i="18"/>
  <c r="AT8" i="18"/>
  <c r="AT4" i="18"/>
  <c r="AT17" i="18"/>
  <c r="AT13" i="18"/>
  <c r="AT9" i="18"/>
  <c r="AT5" i="18"/>
  <c r="AT18" i="18"/>
  <c r="AT14" i="18"/>
  <c r="AT10" i="18"/>
  <c r="AT6" i="18"/>
  <c r="AT2" i="18"/>
  <c r="AT15" i="18"/>
  <c r="AT11" i="18"/>
  <c r="AT7" i="18"/>
  <c r="AT3" i="18"/>
  <c r="N46" i="18"/>
  <c r="N38" i="18"/>
  <c r="N34" i="18"/>
  <c r="N30" i="18"/>
  <c r="N26" i="18"/>
  <c r="N43" i="18"/>
  <c r="N39" i="18"/>
  <c r="N35" i="18"/>
  <c r="N31" i="18"/>
  <c r="N27" i="18"/>
  <c r="N23" i="18"/>
  <c r="N44" i="18"/>
  <c r="N40" i="18"/>
  <c r="N36" i="18"/>
  <c r="N32" i="18"/>
  <c r="N28" i="18"/>
  <c r="N24" i="18"/>
  <c r="N45" i="18"/>
  <c r="N37" i="18"/>
  <c r="N33" i="18"/>
  <c r="N29" i="18"/>
  <c r="N25" i="18"/>
  <c r="N21" i="18"/>
  <c r="N20" i="18"/>
  <c r="N16" i="18"/>
  <c r="N12" i="18"/>
  <c r="N8" i="18"/>
  <c r="N4" i="18"/>
  <c r="N17" i="18"/>
  <c r="N13" i="18"/>
  <c r="N9" i="18"/>
  <c r="N5" i="18"/>
  <c r="N18" i="18"/>
  <c r="N14" i="18"/>
  <c r="N10" i="18"/>
  <c r="N6" i="18"/>
  <c r="N2" i="18"/>
  <c r="N22" i="18"/>
  <c r="N19" i="18"/>
  <c r="N15" i="18"/>
  <c r="N11" i="18"/>
  <c r="N7" i="18"/>
  <c r="N3" i="18"/>
  <c r="AJ43" i="17"/>
  <c r="AJ39" i="17"/>
  <c r="AJ35" i="17"/>
  <c r="AJ31" i="17"/>
  <c r="AJ27" i="17"/>
  <c r="AJ23" i="17"/>
  <c r="AJ19" i="17"/>
  <c r="AJ44" i="17"/>
  <c r="AJ40" i="17"/>
  <c r="AJ36" i="17"/>
  <c r="AJ45" i="17"/>
  <c r="AJ37" i="17"/>
  <c r="AJ33" i="17"/>
  <c r="AJ29" i="17"/>
  <c r="AJ25" i="17"/>
  <c r="AJ21" i="17"/>
  <c r="AJ46" i="17"/>
  <c r="AJ38" i="17"/>
  <c r="AJ34" i="17"/>
  <c r="AJ32" i="17"/>
  <c r="AJ30" i="17"/>
  <c r="AJ20" i="17"/>
  <c r="AJ14" i="17"/>
  <c r="AJ10" i="17"/>
  <c r="AJ6" i="17"/>
  <c r="AJ2" i="17"/>
  <c r="AJ22" i="17"/>
  <c r="AJ18" i="17"/>
  <c r="AJ15" i="17"/>
  <c r="AJ11" i="17"/>
  <c r="AJ7" i="17"/>
  <c r="AJ3" i="17"/>
  <c r="AJ28" i="17"/>
  <c r="AJ24" i="17"/>
  <c r="AJ16" i="17"/>
  <c r="AJ12" i="17"/>
  <c r="AJ8" i="17"/>
  <c r="AJ4" i="17"/>
  <c r="AJ26" i="17"/>
  <c r="AJ17" i="17"/>
  <c r="AJ13" i="17"/>
  <c r="AJ9" i="17"/>
  <c r="AJ5" i="17"/>
  <c r="D43" i="17"/>
  <c r="D39" i="17"/>
  <c r="D35" i="17"/>
  <c r="D31" i="17"/>
  <c r="D27" i="17"/>
  <c r="D23" i="17"/>
  <c r="D19" i="17"/>
  <c r="D44" i="17"/>
  <c r="D40" i="17"/>
  <c r="D36" i="17"/>
  <c r="D45" i="17"/>
  <c r="D37" i="17"/>
  <c r="D33" i="17"/>
  <c r="D29" i="17"/>
  <c r="D25" i="17"/>
  <c r="D21" i="17"/>
  <c r="D46" i="17"/>
  <c r="D38" i="17"/>
  <c r="D34" i="17"/>
  <c r="D30" i="17"/>
  <c r="D20" i="17"/>
  <c r="D14" i="17"/>
  <c r="D10" i="17"/>
  <c r="D6" i="17"/>
  <c r="D2" i="17"/>
  <c r="D22" i="17"/>
  <c r="D18" i="17"/>
  <c r="D15" i="17"/>
  <c r="D11" i="17"/>
  <c r="D7" i="17"/>
  <c r="D3" i="17"/>
  <c r="D28" i="17"/>
  <c r="D32" i="17"/>
  <c r="D24" i="17"/>
  <c r="D16" i="17"/>
  <c r="D12" i="17"/>
  <c r="D8" i="17"/>
  <c r="D4" i="17"/>
  <c r="D26" i="17"/>
  <c r="D17" i="17"/>
  <c r="D13" i="17"/>
  <c r="D9" i="17"/>
  <c r="D5" i="17"/>
  <c r="Z46" i="16"/>
  <c r="Z38" i="16"/>
  <c r="Z34" i="16"/>
  <c r="Z30" i="16"/>
  <c r="Z26" i="16"/>
  <c r="Z22" i="16"/>
  <c r="Z43" i="16"/>
  <c r="Z39" i="16"/>
  <c r="Z35" i="16"/>
  <c r="Z31" i="16"/>
  <c r="Z27" i="16"/>
  <c r="Z23" i="16"/>
  <c r="Z19" i="16"/>
  <c r="Z15" i="16"/>
  <c r="Z11" i="16"/>
  <c r="Z44" i="16"/>
  <c r="Z40" i="16"/>
  <c r="Z36" i="16"/>
  <c r="Z32" i="16"/>
  <c r="Z28" i="16"/>
  <c r="Z24" i="16"/>
  <c r="Z45" i="16"/>
  <c r="Z37" i="16"/>
  <c r="Z33" i="16"/>
  <c r="Z29" i="16"/>
  <c r="Z25" i="16"/>
  <c r="Z21" i="16"/>
  <c r="Z17" i="16"/>
  <c r="Z13" i="16"/>
  <c r="Z16" i="16"/>
  <c r="Z5" i="16"/>
  <c r="Z9" i="16"/>
  <c r="Z18" i="16"/>
  <c r="Z10" i="16"/>
  <c r="Z8" i="16"/>
  <c r="Z7" i="16"/>
  <c r="Z2" i="16"/>
  <c r="Z6" i="16"/>
  <c r="Z20" i="16"/>
  <c r="Z12" i="16"/>
  <c r="Z3" i="16"/>
  <c r="Z14" i="16"/>
  <c r="Z4" i="16"/>
  <c r="AV45" i="15"/>
  <c r="AV37" i="15"/>
  <c r="AV33" i="15"/>
  <c r="AV29" i="15"/>
  <c r="AV25" i="15"/>
  <c r="AV21" i="15"/>
  <c r="AV17" i="15"/>
  <c r="AV13" i="15"/>
  <c r="AV9" i="15"/>
  <c r="AV46" i="15"/>
  <c r="AV38" i="15"/>
  <c r="AV34" i="15"/>
  <c r="AV30" i="15"/>
  <c r="AV26" i="15"/>
  <c r="AV22" i="15"/>
  <c r="AV18" i="15"/>
  <c r="AV14" i="15"/>
  <c r="AV10" i="15"/>
  <c r="AV6" i="15"/>
  <c r="AV2" i="15"/>
  <c r="AV43" i="15"/>
  <c r="AV39" i="15"/>
  <c r="AV35" i="15"/>
  <c r="AV31" i="15"/>
  <c r="AV27" i="15"/>
  <c r="AV23" i="15"/>
  <c r="AV19" i="15"/>
  <c r="AV15" i="15"/>
  <c r="AV11" i="15"/>
  <c r="AV44" i="15"/>
  <c r="AV40" i="15"/>
  <c r="AV36" i="15"/>
  <c r="AV32" i="15"/>
  <c r="AV28" i="15"/>
  <c r="AV24" i="15"/>
  <c r="AV20" i="15"/>
  <c r="AV16" i="15"/>
  <c r="AV12" i="15"/>
  <c r="AV8" i="15"/>
  <c r="AV4" i="15"/>
  <c r="AV7" i="15"/>
  <c r="AV5" i="15"/>
  <c r="AV3" i="15"/>
  <c r="P45" i="15"/>
  <c r="P37" i="15"/>
  <c r="P33" i="15"/>
  <c r="P29" i="15"/>
  <c r="P25" i="15"/>
  <c r="P21" i="15"/>
  <c r="P17" i="15"/>
  <c r="P13" i="15"/>
  <c r="P9" i="15"/>
  <c r="P46" i="15"/>
  <c r="P38" i="15"/>
  <c r="P34" i="15"/>
  <c r="P30" i="15"/>
  <c r="P26" i="15"/>
  <c r="P22" i="15"/>
  <c r="P18" i="15"/>
  <c r="P14" i="15"/>
  <c r="P10" i="15"/>
  <c r="P6" i="15"/>
  <c r="P2" i="15"/>
  <c r="P43" i="15"/>
  <c r="P39" i="15"/>
  <c r="P35" i="15"/>
  <c r="P31" i="15"/>
  <c r="P27" i="15"/>
  <c r="P23" i="15"/>
  <c r="P19" i="15"/>
  <c r="P15" i="15"/>
  <c r="P11" i="15"/>
  <c r="P44" i="15"/>
  <c r="P40" i="15"/>
  <c r="P36" i="15"/>
  <c r="P32" i="15"/>
  <c r="P28" i="15"/>
  <c r="P24" i="15"/>
  <c r="P20" i="15"/>
  <c r="P16" i="15"/>
  <c r="P12" i="15"/>
  <c r="P8" i="15"/>
  <c r="P4" i="15"/>
  <c r="P7" i="15"/>
  <c r="P5" i="15"/>
  <c r="P3" i="15"/>
  <c r="AW16" i="14"/>
  <c r="AO16" i="14"/>
  <c r="AG16" i="14"/>
  <c r="Y16" i="14"/>
  <c r="Q16" i="14"/>
  <c r="I16" i="14"/>
  <c r="AV16" i="14"/>
  <c r="AN16" i="14"/>
  <c r="AF16" i="14"/>
  <c r="X16" i="14"/>
  <c r="P16" i="14"/>
  <c r="H16" i="14"/>
  <c r="BC16" i="14"/>
  <c r="AU16" i="14"/>
  <c r="AM16" i="14"/>
  <c r="AE16" i="14"/>
  <c r="W16" i="14"/>
  <c r="O16" i="14"/>
  <c r="G16" i="14"/>
  <c r="BB16" i="14"/>
  <c r="AT16" i="14"/>
  <c r="AL16" i="14"/>
  <c r="AD16" i="14"/>
  <c r="V16" i="14"/>
  <c r="N16" i="14"/>
  <c r="F16" i="14"/>
  <c r="BA16" i="14"/>
  <c r="AS16" i="14"/>
  <c r="AK16" i="14"/>
  <c r="AC16" i="14"/>
  <c r="U16" i="14"/>
  <c r="M16" i="14"/>
  <c r="E16" i="14"/>
  <c r="AZ16" i="14"/>
  <c r="AR16" i="14"/>
  <c r="AJ16" i="14"/>
  <c r="AB16" i="14"/>
  <c r="T16" i="14"/>
  <c r="L16" i="14"/>
  <c r="D16" i="14"/>
  <c r="AY16" i="14"/>
  <c r="AQ16" i="14"/>
  <c r="AI16" i="14"/>
  <c r="AA16" i="14"/>
  <c r="S16" i="14"/>
  <c r="K16" i="14"/>
  <c r="C16" i="14"/>
  <c r="B16" i="14"/>
  <c r="AX16" i="14"/>
  <c r="AP16" i="14"/>
  <c r="AH16" i="14"/>
  <c r="Z16" i="14"/>
  <c r="R16" i="14"/>
  <c r="J16" i="14"/>
  <c r="M15" i="25"/>
  <c r="M37" i="25"/>
  <c r="M20" i="25"/>
  <c r="AJ42" i="17"/>
  <c r="S45" i="18"/>
  <c r="S37" i="18"/>
  <c r="S33" i="18"/>
  <c r="S29" i="18"/>
  <c r="S25" i="18"/>
  <c r="S46" i="18"/>
  <c r="S38" i="18"/>
  <c r="S34" i="18"/>
  <c r="S30" i="18"/>
  <c r="S26" i="18"/>
  <c r="S43" i="18"/>
  <c r="S39" i="18"/>
  <c r="S35" i="18"/>
  <c r="S31" i="18"/>
  <c r="S27" i="18"/>
  <c r="S23" i="18"/>
  <c r="S44" i="18"/>
  <c r="S40" i="18"/>
  <c r="S36" i="18"/>
  <c r="S18" i="18"/>
  <c r="S14" i="18"/>
  <c r="S10" i="18"/>
  <c r="S6" i="18"/>
  <c r="S2" i="18"/>
  <c r="S28" i="18"/>
  <c r="S19" i="18"/>
  <c r="S15" i="18"/>
  <c r="S11" i="18"/>
  <c r="S7" i="18"/>
  <c r="S3" i="18"/>
  <c r="S22" i="18"/>
  <c r="S21" i="18"/>
  <c r="S20" i="18"/>
  <c r="S16" i="18"/>
  <c r="S12" i="18"/>
  <c r="S8" i="18"/>
  <c r="S4" i="18"/>
  <c r="S24" i="18"/>
  <c r="S17" i="18"/>
  <c r="S13" i="18"/>
  <c r="S9" i="18"/>
  <c r="S5" i="18"/>
  <c r="S32" i="18"/>
  <c r="O38" i="27"/>
  <c r="AI22" i="25"/>
  <c r="AI5" i="25"/>
  <c r="AI20" i="25"/>
  <c r="AI23" i="25"/>
  <c r="AI45" i="25"/>
  <c r="AK44" i="17"/>
  <c r="AK40" i="17"/>
  <c r="AK36" i="17"/>
  <c r="AK32" i="17"/>
  <c r="AK28" i="17"/>
  <c r="AK45" i="17"/>
  <c r="AK37" i="17"/>
  <c r="AK33" i="17"/>
  <c r="AK29" i="17"/>
  <c r="AK25" i="17"/>
  <c r="AK21" i="17"/>
  <c r="AK46" i="17"/>
  <c r="AK38" i="17"/>
  <c r="AK34" i="17"/>
  <c r="AK30" i="17"/>
  <c r="AK43" i="17"/>
  <c r="AK39" i="17"/>
  <c r="AK35" i="17"/>
  <c r="AK31" i="17"/>
  <c r="AK27" i="17"/>
  <c r="AK23" i="17"/>
  <c r="AK19" i="17"/>
  <c r="AK22" i="17"/>
  <c r="AK18" i="17"/>
  <c r="AK15" i="17"/>
  <c r="AK11" i="17"/>
  <c r="AK7" i="17"/>
  <c r="AK3" i="17"/>
  <c r="AK24" i="17"/>
  <c r="AK16" i="17"/>
  <c r="AK12" i="17"/>
  <c r="AK8" i="17"/>
  <c r="AK4" i="17"/>
  <c r="AK26" i="17"/>
  <c r="AK17" i="17"/>
  <c r="AK13" i="17"/>
  <c r="AK9" i="17"/>
  <c r="AK5" i="17"/>
  <c r="AK20" i="17"/>
  <c r="AK14" i="17"/>
  <c r="AK10" i="17"/>
  <c r="AK6" i="17"/>
  <c r="AK2" i="17"/>
  <c r="Q45" i="15"/>
  <c r="Q37" i="15"/>
  <c r="Q33" i="15"/>
  <c r="Q29" i="15"/>
  <c r="Q25" i="15"/>
  <c r="Q21" i="15"/>
  <c r="Q17" i="15"/>
  <c r="Q46" i="15"/>
  <c r="Q38" i="15"/>
  <c r="Q34" i="15"/>
  <c r="Q30" i="15"/>
  <c r="Q26" i="15"/>
  <c r="Q22" i="15"/>
  <c r="Q18" i="15"/>
  <c r="Q14" i="15"/>
  <c r="Q10" i="15"/>
  <c r="Q43" i="15"/>
  <c r="Q39" i="15"/>
  <c r="Q35" i="15"/>
  <c r="Q31" i="15"/>
  <c r="Q27" i="15"/>
  <c r="Q23" i="15"/>
  <c r="Q19" i="15"/>
  <c r="Q15" i="15"/>
  <c r="Q11" i="15"/>
  <c r="Q44" i="15"/>
  <c r="Q40" i="15"/>
  <c r="Q36" i="15"/>
  <c r="Q32" i="15"/>
  <c r="Q28" i="15"/>
  <c r="Q24" i="15"/>
  <c r="Q20" i="15"/>
  <c r="Q16" i="15"/>
  <c r="Q12" i="15"/>
  <c r="Q9" i="15"/>
  <c r="Q8" i="15"/>
  <c r="Q7" i="15"/>
  <c r="Q6" i="15"/>
  <c r="Q5" i="15"/>
  <c r="Q4" i="15"/>
  <c r="Q3" i="15"/>
  <c r="Q13" i="15"/>
  <c r="Q2" i="15"/>
  <c r="B40" i="15"/>
  <c r="AY18" i="28"/>
  <c r="AY33" i="28"/>
  <c r="AY46" i="28"/>
  <c r="AQ12" i="28"/>
  <c r="AI10" i="28"/>
  <c r="AI24" i="28"/>
  <c r="AI38" i="28"/>
  <c r="AA4" i="28"/>
  <c r="AA14" i="28"/>
  <c r="S6" i="28"/>
  <c r="S12" i="28"/>
  <c r="K18" i="28"/>
  <c r="K22" i="28"/>
  <c r="C22" i="28"/>
  <c r="AG43" i="27"/>
  <c r="Y38" i="27"/>
  <c r="Q35" i="27"/>
  <c r="I30" i="27"/>
  <c r="BC32" i="26"/>
  <c r="AM45" i="26"/>
  <c r="O36" i="26"/>
  <c r="BA16" i="25"/>
  <c r="BA15" i="25"/>
  <c r="BA33" i="25"/>
  <c r="BA22" i="25"/>
  <c r="AS15" i="25"/>
  <c r="AS37" i="25"/>
  <c r="AS20" i="25"/>
  <c r="AS27" i="25"/>
  <c r="AK4" i="25"/>
  <c r="AK25" i="25"/>
  <c r="AK28" i="25"/>
  <c r="AC5" i="25"/>
  <c r="AC13" i="25"/>
  <c r="AC18" i="25"/>
  <c r="AC26" i="25"/>
  <c r="U18" i="25"/>
  <c r="U20" i="25"/>
  <c r="E5" i="25"/>
  <c r="E29" i="25"/>
  <c r="C41" i="15"/>
  <c r="AS32" i="26"/>
  <c r="M36" i="26"/>
  <c r="AY19" i="25"/>
  <c r="AA13" i="25"/>
  <c r="AA4" i="25"/>
  <c r="AA28" i="25"/>
  <c r="AA37" i="25"/>
  <c r="S43" i="17"/>
  <c r="S39" i="17"/>
  <c r="S35" i="17"/>
  <c r="S31" i="17"/>
  <c r="S44" i="17"/>
  <c r="S40" i="17"/>
  <c r="S36" i="17"/>
  <c r="S32" i="17"/>
  <c r="S28" i="17"/>
  <c r="S24" i="17"/>
  <c r="S20" i="17"/>
  <c r="S45" i="17"/>
  <c r="S37" i="17"/>
  <c r="S33" i="17"/>
  <c r="S29" i="17"/>
  <c r="S46" i="17"/>
  <c r="S38" i="17"/>
  <c r="S34" i="17"/>
  <c r="S30" i="17"/>
  <c r="S26" i="17"/>
  <c r="S22" i="17"/>
  <c r="S18" i="17"/>
  <c r="S25" i="17"/>
  <c r="S14" i="17"/>
  <c r="S10" i="17"/>
  <c r="S6" i="17"/>
  <c r="S2" i="17"/>
  <c r="S27" i="17"/>
  <c r="S19" i="17"/>
  <c r="S15" i="17"/>
  <c r="S11" i="17"/>
  <c r="S7" i="17"/>
  <c r="S3" i="17"/>
  <c r="S21" i="17"/>
  <c r="S16" i="17"/>
  <c r="S12" i="17"/>
  <c r="S8" i="17"/>
  <c r="S4" i="17"/>
  <c r="S23" i="17"/>
  <c r="S17" i="17"/>
  <c r="S13" i="17"/>
  <c r="S9" i="17"/>
  <c r="S5" i="17"/>
  <c r="BB41" i="17"/>
  <c r="AJ41" i="17"/>
  <c r="T41" i="17"/>
  <c r="D41" i="17"/>
  <c r="AX44" i="28"/>
  <c r="AX40" i="28"/>
  <c r="AX36" i="28"/>
  <c r="AX46" i="28"/>
  <c r="AX42" i="28"/>
  <c r="AX38" i="28"/>
  <c r="AX34" i="28"/>
  <c r="AX39" i="28"/>
  <c r="AX33" i="28"/>
  <c r="AX29" i="28"/>
  <c r="AX30" i="28"/>
  <c r="AX43" i="28"/>
  <c r="AX35" i="28"/>
  <c r="AX31" i="28"/>
  <c r="AX28" i="28"/>
  <c r="AX25" i="28"/>
  <c r="AX21" i="28"/>
  <c r="AX26" i="28"/>
  <c r="AX22" i="28"/>
  <c r="AX45" i="28"/>
  <c r="AX41" i="28"/>
  <c r="AX27" i="28"/>
  <c r="AX23" i="28"/>
  <c r="AX37" i="28"/>
  <c r="AX20" i="28"/>
  <c r="AX17" i="28"/>
  <c r="AX13" i="28"/>
  <c r="AX32" i="28"/>
  <c r="AX18" i="28"/>
  <c r="AX14" i="28"/>
  <c r="AX12" i="28"/>
  <c r="AX11" i="28"/>
  <c r="AX10" i="28"/>
  <c r="AX9" i="28"/>
  <c r="AX8" i="28"/>
  <c r="AX16" i="28"/>
  <c r="AX4" i="28"/>
  <c r="AX24" i="28"/>
  <c r="AX15" i="28"/>
  <c r="AX6" i="28"/>
  <c r="AX5" i="28"/>
  <c r="AX19" i="28"/>
  <c r="AX2" i="28"/>
  <c r="AX7" i="28"/>
  <c r="AX3" i="28"/>
  <c r="R44" i="28"/>
  <c r="R40" i="28"/>
  <c r="R36" i="28"/>
  <c r="R46" i="28"/>
  <c r="R42" i="28"/>
  <c r="R38" i="28"/>
  <c r="R39" i="28"/>
  <c r="R33" i="28"/>
  <c r="R29" i="28"/>
  <c r="R34" i="28"/>
  <c r="R30" i="28"/>
  <c r="R43" i="28"/>
  <c r="R35" i="28"/>
  <c r="R31" i="28"/>
  <c r="R28" i="28"/>
  <c r="R25" i="28"/>
  <c r="R21" i="28"/>
  <c r="R45" i="28"/>
  <c r="R41" i="28"/>
  <c r="R32" i="28"/>
  <c r="R26" i="28"/>
  <c r="R22" i="28"/>
  <c r="R27" i="28"/>
  <c r="R23" i="28"/>
  <c r="R17" i="28"/>
  <c r="R20" i="28"/>
  <c r="R24" i="28"/>
  <c r="R18" i="28"/>
  <c r="R14" i="28"/>
  <c r="R12" i="28"/>
  <c r="R11" i="28"/>
  <c r="R10" i="28"/>
  <c r="R19" i="28"/>
  <c r="R9" i="28"/>
  <c r="R15" i="28"/>
  <c r="R13" i="28"/>
  <c r="R8" i="28"/>
  <c r="R4" i="28"/>
  <c r="R6" i="28"/>
  <c r="R5" i="28"/>
  <c r="R2" i="28"/>
  <c r="R3" i="28"/>
  <c r="R37" i="28"/>
  <c r="R16" i="28"/>
  <c r="R7" i="28"/>
  <c r="AN45" i="27"/>
  <c r="AN41" i="27"/>
  <c r="AN37" i="27"/>
  <c r="AN33" i="27"/>
  <c r="AN46" i="27"/>
  <c r="AN42" i="27"/>
  <c r="AN38" i="27"/>
  <c r="AN34" i="27"/>
  <c r="AN44" i="27"/>
  <c r="AN40" i="27"/>
  <c r="AN36" i="27"/>
  <c r="AN32" i="27"/>
  <c r="AN31" i="27"/>
  <c r="AN30" i="27"/>
  <c r="AN43" i="27"/>
  <c r="AN27" i="27"/>
  <c r="AN23" i="27"/>
  <c r="AN19" i="27"/>
  <c r="AN39" i="27"/>
  <c r="AN15" i="27"/>
  <c r="AN24" i="27"/>
  <c r="AN12" i="27"/>
  <c r="AN8" i="27"/>
  <c r="AN29" i="27"/>
  <c r="AN18" i="27"/>
  <c r="AN22" i="27"/>
  <c r="AN26" i="27"/>
  <c r="AN21" i="27"/>
  <c r="AN35" i="27"/>
  <c r="AN28" i="27"/>
  <c r="AN14" i="27"/>
  <c r="AN10" i="27"/>
  <c r="AN6" i="27"/>
  <c r="AN17" i="27"/>
  <c r="AN11" i="27"/>
  <c r="AN16" i="27"/>
  <c r="AN13" i="27"/>
  <c r="AN7" i="27"/>
  <c r="AN25" i="27"/>
  <c r="AN20" i="27"/>
  <c r="AN3" i="27"/>
  <c r="AN5" i="27"/>
  <c r="AN4" i="27"/>
  <c r="AN9" i="27"/>
  <c r="AN2" i="27"/>
  <c r="H45" i="27"/>
  <c r="H41" i="27"/>
  <c r="H37" i="27"/>
  <c r="H33" i="27"/>
  <c r="H46" i="27"/>
  <c r="H42" i="27"/>
  <c r="H38" i="27"/>
  <c r="H44" i="27"/>
  <c r="H40" i="27"/>
  <c r="H36" i="27"/>
  <c r="H32" i="27"/>
  <c r="H31" i="27"/>
  <c r="H30" i="27"/>
  <c r="H27" i="27"/>
  <c r="H23" i="27"/>
  <c r="H19" i="27"/>
  <c r="H21" i="27"/>
  <c r="H12" i="27"/>
  <c r="H8" i="27"/>
  <c r="H43" i="27"/>
  <c r="H29" i="27"/>
  <c r="H20" i="27"/>
  <c r="H39" i="27"/>
  <c r="H24" i="27"/>
  <c r="H35" i="27"/>
  <c r="H26" i="27"/>
  <c r="H28" i="27"/>
  <c r="H14" i="27"/>
  <c r="H10" i="27"/>
  <c r="H6" i="27"/>
  <c r="H4" i="27"/>
  <c r="H16" i="27"/>
  <c r="H11" i="27"/>
  <c r="H25" i="27"/>
  <c r="H22" i="27"/>
  <c r="H13" i="27"/>
  <c r="H7" i="27"/>
  <c r="H34" i="27"/>
  <c r="H17" i="27"/>
  <c r="H3" i="27"/>
  <c r="H5" i="27"/>
  <c r="H9" i="27"/>
  <c r="H18" i="27"/>
  <c r="H15" i="27"/>
  <c r="H2" i="27"/>
  <c r="AD45" i="26"/>
  <c r="AD41" i="26"/>
  <c r="AD46" i="26"/>
  <c r="AD42" i="26"/>
  <c r="AD43" i="26"/>
  <c r="AD32" i="26"/>
  <c r="AD40" i="26"/>
  <c r="AD38" i="26"/>
  <c r="AD37" i="26"/>
  <c r="AD33" i="26"/>
  <c r="AD39" i="26"/>
  <c r="AD34" i="26"/>
  <c r="AD24" i="26"/>
  <c r="AD31" i="26"/>
  <c r="AD28" i="26"/>
  <c r="AD19" i="26"/>
  <c r="AD18" i="26"/>
  <c r="AD14" i="26"/>
  <c r="AD10" i="26"/>
  <c r="AD6" i="26"/>
  <c r="AD35" i="26"/>
  <c r="AD23" i="26"/>
  <c r="AD44" i="26"/>
  <c r="AD36" i="26"/>
  <c r="AD27" i="26"/>
  <c r="AD22" i="26"/>
  <c r="AD15" i="26"/>
  <c r="AD11" i="26"/>
  <c r="AD7" i="26"/>
  <c r="AD26" i="26"/>
  <c r="AD30" i="26"/>
  <c r="AD25" i="26"/>
  <c r="AD21" i="26"/>
  <c r="AD16" i="26"/>
  <c r="AD4" i="26"/>
  <c r="AD20" i="26"/>
  <c r="AD13" i="26"/>
  <c r="AD17" i="26"/>
  <c r="AD5" i="26"/>
  <c r="AD8" i="26"/>
  <c r="AD29" i="26"/>
  <c r="AD12" i="26"/>
  <c r="AD9" i="26"/>
  <c r="AD3" i="26"/>
  <c r="AD2" i="26"/>
  <c r="AZ45" i="25"/>
  <c r="AZ41" i="25"/>
  <c r="AZ37" i="25"/>
  <c r="AZ33" i="25"/>
  <c r="AZ43" i="25"/>
  <c r="AZ39" i="25"/>
  <c r="AZ35" i="25"/>
  <c r="AZ31" i="25"/>
  <c r="AZ40" i="25"/>
  <c r="AZ38" i="25"/>
  <c r="AZ30" i="25"/>
  <c r="AZ26" i="25"/>
  <c r="AZ22" i="25"/>
  <c r="AZ36" i="25"/>
  <c r="AZ34" i="25"/>
  <c r="AZ27" i="25"/>
  <c r="AZ23" i="25"/>
  <c r="AZ19" i="25"/>
  <c r="AZ15" i="25"/>
  <c r="AZ11" i="25"/>
  <c r="AZ7" i="25"/>
  <c r="AZ3" i="25"/>
  <c r="AZ32" i="25"/>
  <c r="AZ46" i="25"/>
  <c r="AZ28" i="25"/>
  <c r="AZ44" i="25"/>
  <c r="AZ42" i="25"/>
  <c r="AZ29" i="25"/>
  <c r="AZ25" i="25"/>
  <c r="AZ21" i="25"/>
  <c r="AZ17" i="25"/>
  <c r="AZ13" i="25"/>
  <c r="AZ9" i="25"/>
  <c r="AZ5" i="25"/>
  <c r="AZ16" i="25"/>
  <c r="AZ14" i="25"/>
  <c r="AZ12" i="25"/>
  <c r="AZ10" i="25"/>
  <c r="AZ8" i="25"/>
  <c r="AZ20" i="25"/>
  <c r="AZ6" i="25"/>
  <c r="AZ4" i="25"/>
  <c r="AZ24" i="25"/>
  <c r="AZ18" i="25"/>
  <c r="AZ2" i="25"/>
  <c r="AR10" i="25"/>
  <c r="AR21" i="25"/>
  <c r="AR3" i="25"/>
  <c r="AR32" i="25"/>
  <c r="AJ8" i="25"/>
  <c r="AJ15" i="25"/>
  <c r="AJ37" i="25"/>
  <c r="AB13" i="25"/>
  <c r="AB27" i="25"/>
  <c r="T18" i="25"/>
  <c r="T20" i="25"/>
  <c r="T25" i="25"/>
  <c r="T7" i="25"/>
  <c r="T22" i="25"/>
  <c r="L20" i="25"/>
  <c r="L5" i="25"/>
  <c r="L40" i="25"/>
  <c r="L19" i="25"/>
  <c r="L41" i="25"/>
  <c r="D4" i="25"/>
  <c r="D17" i="25"/>
  <c r="D40" i="25"/>
  <c r="AQ45" i="18"/>
  <c r="AQ37" i="18"/>
  <c r="AQ33" i="18"/>
  <c r="AQ29" i="18"/>
  <c r="AQ25" i="18"/>
  <c r="AQ46" i="18"/>
  <c r="AQ38" i="18"/>
  <c r="AQ34" i="18"/>
  <c r="AQ30" i="18"/>
  <c r="AQ26" i="18"/>
  <c r="AQ22" i="18"/>
  <c r="AQ43" i="18"/>
  <c r="AQ39" i="18"/>
  <c r="AQ35" i="18"/>
  <c r="AQ31" i="18"/>
  <c r="AQ27" i="18"/>
  <c r="AQ23" i="18"/>
  <c r="AQ44" i="18"/>
  <c r="AQ40" i="18"/>
  <c r="AQ36" i="18"/>
  <c r="AQ18" i="18"/>
  <c r="AQ14" i="18"/>
  <c r="AQ10" i="18"/>
  <c r="AQ6" i="18"/>
  <c r="AQ2" i="18"/>
  <c r="AQ24" i="18"/>
  <c r="AQ21" i="18"/>
  <c r="AQ20" i="18"/>
  <c r="AQ15" i="18"/>
  <c r="AQ11" i="18"/>
  <c r="AQ7" i="18"/>
  <c r="AQ3" i="18"/>
  <c r="AQ19" i="18"/>
  <c r="AQ32" i="18"/>
  <c r="AQ16" i="18"/>
  <c r="AQ12" i="18"/>
  <c r="AQ8" i="18"/>
  <c r="AQ4" i="18"/>
  <c r="AQ17" i="18"/>
  <c r="AQ13" i="18"/>
  <c r="AQ9" i="18"/>
  <c r="AQ5" i="18"/>
  <c r="AQ28" i="18"/>
  <c r="AW8" i="28"/>
  <c r="AW16" i="28"/>
  <c r="AW34" i="28"/>
  <c r="W30" i="27"/>
  <c r="W43" i="27"/>
  <c r="AZ44" i="26"/>
  <c r="AZ40" i="26"/>
  <c r="AZ45" i="26"/>
  <c r="AZ41" i="26"/>
  <c r="AZ33" i="26"/>
  <c r="AZ46" i="26"/>
  <c r="AZ43" i="26"/>
  <c r="AZ35" i="26"/>
  <c r="AZ34" i="26"/>
  <c r="AZ31" i="26"/>
  <c r="AZ38" i="26"/>
  <c r="AZ37" i="26"/>
  <c r="AZ36" i="26"/>
  <c r="AZ32" i="26"/>
  <c r="AZ25" i="26"/>
  <c r="AZ30" i="26"/>
  <c r="AZ29" i="26"/>
  <c r="AZ20" i="26"/>
  <c r="AZ17" i="26"/>
  <c r="AZ13" i="26"/>
  <c r="AZ9" i="26"/>
  <c r="AZ5" i="26"/>
  <c r="AZ39" i="26"/>
  <c r="AZ24" i="26"/>
  <c r="AZ42" i="26"/>
  <c r="AZ28" i="26"/>
  <c r="AZ19" i="26"/>
  <c r="AZ18" i="26"/>
  <c r="AZ14" i="26"/>
  <c r="AZ10" i="26"/>
  <c r="AZ6" i="26"/>
  <c r="AZ23" i="26"/>
  <c r="AZ22" i="26"/>
  <c r="AZ15" i="26"/>
  <c r="AZ12" i="26"/>
  <c r="AZ27" i="26"/>
  <c r="AZ26" i="26"/>
  <c r="AZ16" i="26"/>
  <c r="AZ7" i="26"/>
  <c r="AZ21" i="26"/>
  <c r="AZ11" i="26"/>
  <c r="AZ8" i="26"/>
  <c r="AZ4" i="26"/>
  <c r="AZ3" i="26"/>
  <c r="AZ2" i="26"/>
  <c r="AO44" i="18"/>
  <c r="AO40" i="18"/>
  <c r="AO36" i="18"/>
  <c r="AO32" i="18"/>
  <c r="AO28" i="18"/>
  <c r="AO24" i="18"/>
  <c r="AO45" i="18"/>
  <c r="AO37" i="18"/>
  <c r="AO33" i="18"/>
  <c r="AO29" i="18"/>
  <c r="AO25" i="18"/>
  <c r="AO46" i="18"/>
  <c r="AO38" i="18"/>
  <c r="AO34" i="18"/>
  <c r="AO30" i="18"/>
  <c r="AO26" i="18"/>
  <c r="AO22" i="18"/>
  <c r="AO43" i="18"/>
  <c r="AO39" i="18"/>
  <c r="AO35" i="18"/>
  <c r="AO17" i="18"/>
  <c r="AO13" i="18"/>
  <c r="AO9" i="18"/>
  <c r="AO5" i="18"/>
  <c r="AO23" i="18"/>
  <c r="AO18" i="18"/>
  <c r="AO14" i="18"/>
  <c r="AO10" i="18"/>
  <c r="AO6" i="18"/>
  <c r="AO2" i="18"/>
  <c r="AO31" i="18"/>
  <c r="AO21" i="18"/>
  <c r="AO20" i="18"/>
  <c r="AO19" i="18"/>
  <c r="AO15" i="18"/>
  <c r="AO11" i="18"/>
  <c r="AO7" i="18"/>
  <c r="AO3" i="18"/>
  <c r="AO27" i="18"/>
  <c r="AO16" i="18"/>
  <c r="AO12" i="18"/>
  <c r="AO8" i="18"/>
  <c r="AO4" i="18"/>
  <c r="K46" i="15"/>
  <c r="K38" i="15"/>
  <c r="K34" i="15"/>
  <c r="K30" i="15"/>
  <c r="K26" i="15"/>
  <c r="K22" i="15"/>
  <c r="K18" i="15"/>
  <c r="K43" i="15"/>
  <c r="K39" i="15"/>
  <c r="K35" i="15"/>
  <c r="K31" i="15"/>
  <c r="K27" i="15"/>
  <c r="K23" i="15"/>
  <c r="K19" i="15"/>
  <c r="K15" i="15"/>
  <c r="K11" i="15"/>
  <c r="K44" i="15"/>
  <c r="K40" i="15"/>
  <c r="K36" i="15"/>
  <c r="K32" i="15"/>
  <c r="K28" i="15"/>
  <c r="K24" i="15"/>
  <c r="K20" i="15"/>
  <c r="K16" i="15"/>
  <c r="K12" i="15"/>
  <c r="K45" i="15"/>
  <c r="K37" i="15"/>
  <c r="K33" i="15"/>
  <c r="K29" i="15"/>
  <c r="K25" i="15"/>
  <c r="K21" i="15"/>
  <c r="K17" i="15"/>
  <c r="K13" i="15"/>
  <c r="K9" i="15"/>
  <c r="K8" i="15"/>
  <c r="K14" i="15"/>
  <c r="K7" i="15"/>
  <c r="K6" i="15"/>
  <c r="K5" i="15"/>
  <c r="K4" i="15"/>
  <c r="K3" i="15"/>
  <c r="K2" i="15"/>
  <c r="K10" i="15"/>
  <c r="BA4" i="25"/>
  <c r="I45" i="16"/>
  <c r="I37" i="16"/>
  <c r="I33" i="16"/>
  <c r="I29" i="16"/>
  <c r="I25" i="16"/>
  <c r="I21" i="16"/>
  <c r="I46" i="16"/>
  <c r="I38" i="16"/>
  <c r="I34" i="16"/>
  <c r="I30" i="16"/>
  <c r="I26" i="16"/>
  <c r="I22" i="16"/>
  <c r="I18" i="16"/>
  <c r="I14" i="16"/>
  <c r="I10" i="16"/>
  <c r="I43" i="16"/>
  <c r="I39" i="16"/>
  <c r="I35" i="16"/>
  <c r="I31" i="16"/>
  <c r="I27" i="16"/>
  <c r="I23" i="16"/>
  <c r="I19" i="16"/>
  <c r="I44" i="16"/>
  <c r="I40" i="16"/>
  <c r="I36" i="16"/>
  <c r="I32" i="16"/>
  <c r="I28" i="16"/>
  <c r="I24" i="16"/>
  <c r="I20" i="16"/>
  <c r="I16" i="16"/>
  <c r="I12" i="16"/>
  <c r="I8" i="16"/>
  <c r="I13" i="16"/>
  <c r="I5" i="16"/>
  <c r="I15" i="16"/>
  <c r="I6" i="16"/>
  <c r="I2" i="16"/>
  <c r="I17" i="16"/>
  <c r="I3" i="16"/>
  <c r="I9" i="16"/>
  <c r="I11" i="16"/>
  <c r="I7" i="16"/>
  <c r="I4" i="16"/>
  <c r="B44" i="28"/>
  <c r="B40" i="28"/>
  <c r="B36" i="28"/>
  <c r="B46" i="28"/>
  <c r="B42" i="28"/>
  <c r="B38" i="28"/>
  <c r="B39" i="28"/>
  <c r="B33" i="28"/>
  <c r="B29" i="28"/>
  <c r="B34" i="28"/>
  <c r="B30" i="28"/>
  <c r="B43" i="28"/>
  <c r="B35" i="28"/>
  <c r="B31" i="28"/>
  <c r="B32" i="28"/>
  <c r="B25" i="28"/>
  <c r="B21" i="28"/>
  <c r="B26" i="28"/>
  <c r="B22" i="28"/>
  <c r="B27" i="28"/>
  <c r="B23" i="28"/>
  <c r="B45" i="28"/>
  <c r="B41" i="28"/>
  <c r="B28" i="28"/>
  <c r="B20" i="28"/>
  <c r="B24" i="28"/>
  <c r="B17" i="28"/>
  <c r="B18" i="28"/>
  <c r="B14" i="28"/>
  <c r="B37" i="28"/>
  <c r="B19" i="28"/>
  <c r="B15" i="28"/>
  <c r="B12" i="28"/>
  <c r="B8" i="28"/>
  <c r="B4" i="28"/>
  <c r="B2" i="28"/>
  <c r="B13" i="28"/>
  <c r="B7" i="28"/>
  <c r="B3" i="28"/>
  <c r="B16" i="28"/>
  <c r="B10" i="28"/>
  <c r="B9" i="28"/>
  <c r="B11" i="28"/>
  <c r="B5" i="28"/>
  <c r="B6" i="28"/>
  <c r="AJ42" i="25"/>
  <c r="AT41" i="16"/>
  <c r="X45" i="17"/>
  <c r="X37" i="17"/>
  <c r="X33" i="17"/>
  <c r="X29" i="17"/>
  <c r="X25" i="17"/>
  <c r="X21" i="17"/>
  <c r="X46" i="17"/>
  <c r="X38" i="17"/>
  <c r="X34" i="17"/>
  <c r="X43" i="17"/>
  <c r="X39" i="17"/>
  <c r="X35" i="17"/>
  <c r="X31" i="17"/>
  <c r="X27" i="17"/>
  <c r="X23" i="17"/>
  <c r="X19" i="17"/>
  <c r="X44" i="17"/>
  <c r="X40" i="17"/>
  <c r="X36" i="17"/>
  <c r="X32" i="17"/>
  <c r="X22" i="17"/>
  <c r="X16" i="17"/>
  <c r="X12" i="17"/>
  <c r="X8" i="17"/>
  <c r="X4" i="17"/>
  <c r="X24" i="17"/>
  <c r="X17" i="17"/>
  <c r="X13" i="17"/>
  <c r="X9" i="17"/>
  <c r="X5" i="17"/>
  <c r="X30" i="17"/>
  <c r="X18" i="17"/>
  <c r="X26" i="17"/>
  <c r="X14" i="17"/>
  <c r="X10" i="17"/>
  <c r="X6" i="17"/>
  <c r="X2" i="17"/>
  <c r="X28" i="17"/>
  <c r="X20" i="17"/>
  <c r="X15" i="17"/>
  <c r="X11" i="17"/>
  <c r="X7" i="17"/>
  <c r="X3" i="17"/>
  <c r="J41" i="16"/>
  <c r="P43" i="18"/>
  <c r="P39" i="18"/>
  <c r="P35" i="18"/>
  <c r="P31" i="18"/>
  <c r="P27" i="18"/>
  <c r="P23" i="18"/>
  <c r="P44" i="18"/>
  <c r="P40" i="18"/>
  <c r="P36" i="18"/>
  <c r="P32" i="18"/>
  <c r="P28" i="18"/>
  <c r="P24" i="18"/>
  <c r="P20" i="18"/>
  <c r="P45" i="18"/>
  <c r="P37" i="18"/>
  <c r="P33" i="18"/>
  <c r="P29" i="18"/>
  <c r="P25" i="18"/>
  <c r="P46" i="18"/>
  <c r="P38" i="18"/>
  <c r="P34" i="18"/>
  <c r="P30" i="18"/>
  <c r="P26" i="18"/>
  <c r="P22" i="18"/>
  <c r="P17" i="18"/>
  <c r="P13" i="18"/>
  <c r="P9" i="18"/>
  <c r="P5" i="18"/>
  <c r="P18" i="18"/>
  <c r="P14" i="18"/>
  <c r="P10" i="18"/>
  <c r="P6" i="18"/>
  <c r="P2" i="18"/>
  <c r="P19" i="18"/>
  <c r="P15" i="18"/>
  <c r="P11" i="18"/>
  <c r="P7" i="18"/>
  <c r="P3" i="18"/>
  <c r="P21" i="18"/>
  <c r="P16" i="18"/>
  <c r="P12" i="18"/>
  <c r="P8" i="18"/>
  <c r="P4" i="18"/>
  <c r="AP46" i="15"/>
  <c r="AP38" i="15"/>
  <c r="AP34" i="15"/>
  <c r="AP30" i="15"/>
  <c r="AP26" i="15"/>
  <c r="AP22" i="15"/>
  <c r="AP18" i="15"/>
  <c r="AP14" i="15"/>
  <c r="AP10" i="15"/>
  <c r="AP43" i="15"/>
  <c r="AP39" i="15"/>
  <c r="AP35" i="15"/>
  <c r="AP31" i="15"/>
  <c r="AP27" i="15"/>
  <c r="AP23" i="15"/>
  <c r="AP19" i="15"/>
  <c r="AP15" i="15"/>
  <c r="AP11" i="15"/>
  <c r="AP7" i="15"/>
  <c r="AP3" i="15"/>
  <c r="AP44" i="15"/>
  <c r="AP40" i="15"/>
  <c r="AP36" i="15"/>
  <c r="AP32" i="15"/>
  <c r="AP28" i="15"/>
  <c r="AP24" i="15"/>
  <c r="AP20" i="15"/>
  <c r="AP16" i="15"/>
  <c r="AP12" i="15"/>
  <c r="AP45" i="15"/>
  <c r="AP37" i="15"/>
  <c r="AP33" i="15"/>
  <c r="AP29" i="15"/>
  <c r="AP25" i="15"/>
  <c r="AP21" i="15"/>
  <c r="AP17" i="15"/>
  <c r="AP13" i="15"/>
  <c r="AP9" i="15"/>
  <c r="AP5" i="15"/>
  <c r="AP8" i="15"/>
  <c r="AP6" i="15"/>
  <c r="AP4" i="15"/>
  <c r="AP2" i="15"/>
  <c r="BC39" i="14"/>
  <c r="AU39" i="14"/>
  <c r="AM39" i="14"/>
  <c r="AE39" i="14"/>
  <c r="W39" i="14"/>
  <c r="O39" i="14"/>
  <c r="G39" i="14"/>
  <c r="BB39" i="14"/>
  <c r="AT39" i="14"/>
  <c r="AL39" i="14"/>
  <c r="AD39" i="14"/>
  <c r="V39" i="14"/>
  <c r="N39" i="14"/>
  <c r="F39" i="14"/>
  <c r="BA39" i="14"/>
  <c r="AS39" i="14"/>
  <c r="AK39" i="14"/>
  <c r="AC39" i="14"/>
  <c r="U39" i="14"/>
  <c r="M39" i="14"/>
  <c r="E39" i="14"/>
  <c r="AZ39" i="14"/>
  <c r="AR39" i="14"/>
  <c r="AJ39" i="14"/>
  <c r="AB39" i="14"/>
  <c r="T39" i="14"/>
  <c r="L39" i="14"/>
  <c r="D39" i="14"/>
  <c r="AY39" i="14"/>
  <c r="AQ39" i="14"/>
  <c r="AI39" i="14"/>
  <c r="AA39" i="14"/>
  <c r="S39" i="14"/>
  <c r="K39" i="14"/>
  <c r="C39" i="14"/>
  <c r="AX39" i="14"/>
  <c r="AP39" i="14"/>
  <c r="AH39" i="14"/>
  <c r="Z39" i="14"/>
  <c r="R39" i="14"/>
  <c r="J39" i="14"/>
  <c r="B39" i="14"/>
  <c r="AW39" i="14"/>
  <c r="AO39" i="14"/>
  <c r="AG39" i="14"/>
  <c r="Y39" i="14"/>
  <c r="Q39" i="14"/>
  <c r="I39" i="14"/>
  <c r="AF39" i="14"/>
  <c r="X39" i="14"/>
  <c r="P39" i="14"/>
  <c r="H39" i="14"/>
  <c r="AV39" i="14"/>
  <c r="AN39" i="14"/>
  <c r="X43" i="28"/>
  <c r="X39" i="28"/>
  <c r="X35" i="28"/>
  <c r="X45" i="28"/>
  <c r="X41" i="28"/>
  <c r="X37" i="28"/>
  <c r="X46" i="28"/>
  <c r="X38" i="28"/>
  <c r="X32" i="28"/>
  <c r="X28" i="28"/>
  <c r="X33" i="28"/>
  <c r="X29" i="28"/>
  <c r="X42" i="28"/>
  <c r="X34" i="28"/>
  <c r="X30" i="28"/>
  <c r="X24" i="28"/>
  <c r="X20" i="28"/>
  <c r="X25" i="28"/>
  <c r="X21" i="28"/>
  <c r="X36" i="28"/>
  <c r="X31" i="28"/>
  <c r="X26" i="28"/>
  <c r="X22" i="28"/>
  <c r="X40" i="28"/>
  <c r="X16" i="28"/>
  <c r="X44" i="28"/>
  <c r="X17" i="28"/>
  <c r="X13" i="28"/>
  <c r="X19" i="28"/>
  <c r="X15" i="28"/>
  <c r="X23" i="28"/>
  <c r="X27" i="28"/>
  <c r="X18" i="28"/>
  <c r="X12" i="28"/>
  <c r="X11" i="28"/>
  <c r="X7" i="28"/>
  <c r="X10" i="28"/>
  <c r="X14" i="28"/>
  <c r="X6" i="28"/>
  <c r="X2" i="28"/>
  <c r="X9" i="28"/>
  <c r="X3" i="28"/>
  <c r="X8" i="28"/>
  <c r="X4" i="28"/>
  <c r="X5" i="28"/>
  <c r="AZ45" i="18"/>
  <c r="AZ37" i="18"/>
  <c r="AZ33" i="18"/>
  <c r="AZ29" i="18"/>
  <c r="AZ25" i="18"/>
  <c r="AZ46" i="18"/>
  <c r="AZ38" i="18"/>
  <c r="AZ34" i="18"/>
  <c r="AZ30" i="18"/>
  <c r="AZ26" i="18"/>
  <c r="AZ22" i="18"/>
  <c r="AZ43" i="18"/>
  <c r="AZ39" i="18"/>
  <c r="AZ35" i="18"/>
  <c r="AZ31" i="18"/>
  <c r="AZ27" i="18"/>
  <c r="AZ23" i="18"/>
  <c r="AZ44" i="18"/>
  <c r="AZ40" i="18"/>
  <c r="AZ36" i="18"/>
  <c r="AZ32" i="18"/>
  <c r="AZ28" i="18"/>
  <c r="AZ24" i="18"/>
  <c r="AZ20" i="18"/>
  <c r="AZ15" i="18"/>
  <c r="AZ11" i="18"/>
  <c r="AZ7" i="18"/>
  <c r="AZ3" i="18"/>
  <c r="AZ21" i="18"/>
  <c r="AZ16" i="18"/>
  <c r="AZ12" i="18"/>
  <c r="AZ8" i="18"/>
  <c r="AZ4" i="18"/>
  <c r="AZ19" i="18"/>
  <c r="AZ17" i="18"/>
  <c r="AZ13" i="18"/>
  <c r="AZ9" i="18"/>
  <c r="AZ5" i="18"/>
  <c r="AZ18" i="18"/>
  <c r="AZ14" i="18"/>
  <c r="AZ10" i="18"/>
  <c r="AZ6" i="18"/>
  <c r="AZ2" i="18"/>
  <c r="BC43" i="18"/>
  <c r="BC39" i="18"/>
  <c r="BC35" i="18"/>
  <c r="BC31" i="18"/>
  <c r="BC27" i="18"/>
  <c r="BC23" i="18"/>
  <c r="BC44" i="18"/>
  <c r="BC40" i="18"/>
  <c r="BC36" i="18"/>
  <c r="BC32" i="18"/>
  <c r="BC28" i="18"/>
  <c r="BC24" i="18"/>
  <c r="BC45" i="18"/>
  <c r="BC37" i="18"/>
  <c r="BC33" i="18"/>
  <c r="BC29" i="18"/>
  <c r="BC25" i="18"/>
  <c r="BC46" i="18"/>
  <c r="BC38" i="18"/>
  <c r="BC34" i="18"/>
  <c r="BC30" i="18"/>
  <c r="BC16" i="18"/>
  <c r="BC12" i="18"/>
  <c r="BC8" i="18"/>
  <c r="BC4" i="18"/>
  <c r="BC21" i="18"/>
  <c r="BC20" i="18"/>
  <c r="BC19" i="18"/>
  <c r="BC17" i="18"/>
  <c r="BC13" i="18"/>
  <c r="BC9" i="18"/>
  <c r="BC5" i="18"/>
  <c r="BC26" i="18"/>
  <c r="BC18" i="18"/>
  <c r="BC14" i="18"/>
  <c r="BC10" i="18"/>
  <c r="BC6" i="18"/>
  <c r="BC2" i="18"/>
  <c r="BC22" i="18"/>
  <c r="BC15" i="18"/>
  <c r="BC11" i="18"/>
  <c r="BC7" i="18"/>
  <c r="BC3" i="18"/>
  <c r="AW46" i="17"/>
  <c r="AW38" i="17"/>
  <c r="AW34" i="17"/>
  <c r="AW30" i="17"/>
  <c r="AW43" i="17"/>
  <c r="AW39" i="17"/>
  <c r="AW35" i="17"/>
  <c r="AW31" i="17"/>
  <c r="AW27" i="17"/>
  <c r="AW23" i="17"/>
  <c r="AW19" i="17"/>
  <c r="AW44" i="17"/>
  <c r="AW40" i="17"/>
  <c r="AW36" i="17"/>
  <c r="AW32" i="17"/>
  <c r="AW28" i="17"/>
  <c r="AW45" i="17"/>
  <c r="AW37" i="17"/>
  <c r="AW33" i="17"/>
  <c r="AW29" i="17"/>
  <c r="AW25" i="17"/>
  <c r="AW21" i="17"/>
  <c r="AW18" i="17"/>
  <c r="AW20" i="17"/>
  <c r="AW17" i="17"/>
  <c r="AW13" i="17"/>
  <c r="AW9" i="17"/>
  <c r="AW5" i="17"/>
  <c r="AW22" i="17"/>
  <c r="AW14" i="17"/>
  <c r="AW10" i="17"/>
  <c r="AW6" i="17"/>
  <c r="AW2" i="17"/>
  <c r="AW24" i="17"/>
  <c r="AW15" i="17"/>
  <c r="AW11" i="17"/>
  <c r="AW7" i="17"/>
  <c r="AW3" i="17"/>
  <c r="AW26" i="17"/>
  <c r="AW16" i="17"/>
  <c r="AW12" i="17"/>
  <c r="AW8" i="17"/>
  <c r="AW4" i="17"/>
  <c r="Z46" i="15"/>
  <c r="Z38" i="15"/>
  <c r="Z34" i="15"/>
  <c r="Z30" i="15"/>
  <c r="Z26" i="15"/>
  <c r="Z22" i="15"/>
  <c r="Z18" i="15"/>
  <c r="Z14" i="15"/>
  <c r="Z10" i="15"/>
  <c r="Z43" i="15"/>
  <c r="Z39" i="15"/>
  <c r="Z35" i="15"/>
  <c r="Z31" i="15"/>
  <c r="Z27" i="15"/>
  <c r="Z23" i="15"/>
  <c r="Z19" i="15"/>
  <c r="Z15" i="15"/>
  <c r="Z11" i="15"/>
  <c r="Z7" i="15"/>
  <c r="Z3" i="15"/>
  <c r="Z44" i="15"/>
  <c r="Z40" i="15"/>
  <c r="Z36" i="15"/>
  <c r="Z32" i="15"/>
  <c r="Z28" i="15"/>
  <c r="Z24" i="15"/>
  <c r="Z20" i="15"/>
  <c r="Z16" i="15"/>
  <c r="Z12" i="15"/>
  <c r="Z45" i="15"/>
  <c r="Z37" i="15"/>
  <c r="Z33" i="15"/>
  <c r="Z29" i="15"/>
  <c r="Z25" i="15"/>
  <c r="Z21" i="15"/>
  <c r="Z17" i="15"/>
  <c r="Z13" i="15"/>
  <c r="Z9" i="15"/>
  <c r="Z5" i="15"/>
  <c r="Z2" i="15"/>
  <c r="Z8" i="15"/>
  <c r="Z6" i="15"/>
  <c r="Z4" i="15"/>
  <c r="Z44" i="18"/>
  <c r="Z40" i="18"/>
  <c r="Z36" i="18"/>
  <c r="Z32" i="18"/>
  <c r="Z28" i="18"/>
  <c r="Z24" i="18"/>
  <c r="Z45" i="18"/>
  <c r="Z37" i="18"/>
  <c r="Z33" i="18"/>
  <c r="Z29" i="18"/>
  <c r="Z25" i="18"/>
  <c r="Z21" i="18"/>
  <c r="Z46" i="18"/>
  <c r="Z38" i="18"/>
  <c r="Z34" i="18"/>
  <c r="Z30" i="18"/>
  <c r="Z26" i="18"/>
  <c r="Z22" i="18"/>
  <c r="Z43" i="18"/>
  <c r="Z39" i="18"/>
  <c r="Z35" i="18"/>
  <c r="Z31" i="18"/>
  <c r="Z27" i="18"/>
  <c r="Z23" i="18"/>
  <c r="Z18" i="18"/>
  <c r="Z14" i="18"/>
  <c r="Z10" i="18"/>
  <c r="Z6" i="18"/>
  <c r="Z2" i="18"/>
  <c r="Z19" i="18"/>
  <c r="Z15" i="18"/>
  <c r="Z11" i="18"/>
  <c r="Z7" i="18"/>
  <c r="Z3" i="18"/>
  <c r="Z16" i="18"/>
  <c r="Z12" i="18"/>
  <c r="Z8" i="18"/>
  <c r="Z4" i="18"/>
  <c r="Z20" i="18"/>
  <c r="Z17" i="18"/>
  <c r="Z13" i="18"/>
  <c r="Z9" i="18"/>
  <c r="Z5" i="18"/>
  <c r="AV45" i="17"/>
  <c r="AV37" i="17"/>
  <c r="AV33" i="17"/>
  <c r="AV29" i="17"/>
  <c r="AV25" i="17"/>
  <c r="AV21" i="17"/>
  <c r="AV46" i="17"/>
  <c r="AV38" i="17"/>
  <c r="AV34" i="17"/>
  <c r="AV43" i="17"/>
  <c r="AV39" i="17"/>
  <c r="AV35" i="17"/>
  <c r="AV31" i="17"/>
  <c r="AV27" i="17"/>
  <c r="AV23" i="17"/>
  <c r="AV19" i="17"/>
  <c r="AV44" i="17"/>
  <c r="AV40" i="17"/>
  <c r="AV36" i="17"/>
  <c r="AV32" i="17"/>
  <c r="AV28" i="17"/>
  <c r="AV26" i="17"/>
  <c r="AV16" i="17"/>
  <c r="AV12" i="17"/>
  <c r="AV8" i="17"/>
  <c r="AV4" i="17"/>
  <c r="AV18" i="17"/>
  <c r="AV20" i="17"/>
  <c r="AV17" i="17"/>
  <c r="AV13" i="17"/>
  <c r="AV9" i="17"/>
  <c r="AV5" i="17"/>
  <c r="AV22" i="17"/>
  <c r="AV14" i="17"/>
  <c r="AV10" i="17"/>
  <c r="AV6" i="17"/>
  <c r="AV2" i="17"/>
  <c r="AV30" i="17"/>
  <c r="AV24" i="17"/>
  <c r="AV15" i="17"/>
  <c r="AV11" i="17"/>
  <c r="AV7" i="17"/>
  <c r="AV3" i="17"/>
  <c r="P45" i="17"/>
  <c r="P37" i="17"/>
  <c r="P33" i="17"/>
  <c r="P29" i="17"/>
  <c r="P25" i="17"/>
  <c r="P21" i="17"/>
  <c r="P46" i="17"/>
  <c r="P38" i="17"/>
  <c r="P34" i="17"/>
  <c r="P43" i="17"/>
  <c r="P39" i="17"/>
  <c r="P35" i="17"/>
  <c r="P31" i="17"/>
  <c r="P27" i="17"/>
  <c r="P23" i="17"/>
  <c r="P19" i="17"/>
  <c r="P44" i="17"/>
  <c r="P40" i="17"/>
  <c r="P36" i="17"/>
  <c r="P32" i="17"/>
  <c r="P28" i="17"/>
  <c r="P26" i="17"/>
  <c r="P16" i="17"/>
  <c r="P12" i="17"/>
  <c r="P8" i="17"/>
  <c r="P4" i="17"/>
  <c r="P18" i="17"/>
  <c r="P20" i="17"/>
  <c r="P17" i="17"/>
  <c r="P13" i="17"/>
  <c r="P9" i="17"/>
  <c r="P5" i="17"/>
  <c r="P22" i="17"/>
  <c r="P14" i="17"/>
  <c r="P10" i="17"/>
  <c r="P6" i="17"/>
  <c r="P2" i="17"/>
  <c r="P30" i="17"/>
  <c r="P24" i="17"/>
  <c r="P15" i="17"/>
  <c r="P11" i="17"/>
  <c r="P7" i="17"/>
  <c r="P3" i="17"/>
  <c r="AL44" i="16"/>
  <c r="AL40" i="16"/>
  <c r="AL36" i="16"/>
  <c r="AL32" i="16"/>
  <c r="AL28" i="16"/>
  <c r="AL24" i="16"/>
  <c r="AL45" i="16"/>
  <c r="AL37" i="16"/>
  <c r="AL33" i="16"/>
  <c r="AL29" i="16"/>
  <c r="AL25" i="16"/>
  <c r="AL21" i="16"/>
  <c r="AL17" i="16"/>
  <c r="AL13" i="16"/>
  <c r="AL46" i="16"/>
  <c r="AL38" i="16"/>
  <c r="AL34" i="16"/>
  <c r="AL30" i="16"/>
  <c r="AL26" i="16"/>
  <c r="AL22" i="16"/>
  <c r="AL43" i="16"/>
  <c r="AL39" i="16"/>
  <c r="AL35" i="16"/>
  <c r="AL31" i="16"/>
  <c r="AL27" i="16"/>
  <c r="AL23" i="16"/>
  <c r="AL19" i="16"/>
  <c r="AL15" i="16"/>
  <c r="AL11" i="16"/>
  <c r="AL14" i="16"/>
  <c r="AL9" i="16"/>
  <c r="AL3" i="16"/>
  <c r="AL20" i="16"/>
  <c r="AL8" i="16"/>
  <c r="AL7" i="16"/>
  <c r="AL16" i="16"/>
  <c r="AL6" i="16"/>
  <c r="AL4" i="16"/>
  <c r="AL18" i="16"/>
  <c r="AL10" i="16"/>
  <c r="AL5" i="16"/>
  <c r="AL12" i="16"/>
  <c r="AL2" i="16"/>
  <c r="F44" i="16"/>
  <c r="F40" i="16"/>
  <c r="F36" i="16"/>
  <c r="F32" i="16"/>
  <c r="F28" i="16"/>
  <c r="F24" i="16"/>
  <c r="F45" i="16"/>
  <c r="F37" i="16"/>
  <c r="F33" i="16"/>
  <c r="F29" i="16"/>
  <c r="F25" i="16"/>
  <c r="F21" i="16"/>
  <c r="F17" i="16"/>
  <c r="F13" i="16"/>
  <c r="F46" i="16"/>
  <c r="F38" i="16"/>
  <c r="F34" i="16"/>
  <c r="F30" i="16"/>
  <c r="F26" i="16"/>
  <c r="F22" i="16"/>
  <c r="F43" i="16"/>
  <c r="F39" i="16"/>
  <c r="F35" i="16"/>
  <c r="F31" i="16"/>
  <c r="F27" i="16"/>
  <c r="F23" i="16"/>
  <c r="F19" i="16"/>
  <c r="F15" i="16"/>
  <c r="F11" i="16"/>
  <c r="F14" i="16"/>
  <c r="F9" i="16"/>
  <c r="F3" i="16"/>
  <c r="F20" i="16"/>
  <c r="F8" i="16"/>
  <c r="F7" i="16"/>
  <c r="F16" i="16"/>
  <c r="F4" i="16"/>
  <c r="F18" i="16"/>
  <c r="F10" i="16"/>
  <c r="F5" i="16"/>
  <c r="F12" i="16"/>
  <c r="F6" i="16"/>
  <c r="F2" i="16"/>
  <c r="AB43" i="15"/>
  <c r="AB39" i="15"/>
  <c r="AB35" i="15"/>
  <c r="AB31" i="15"/>
  <c r="AB27" i="15"/>
  <c r="AB23" i="15"/>
  <c r="AB19" i="15"/>
  <c r="AB15" i="15"/>
  <c r="AB11" i="15"/>
  <c r="AB44" i="15"/>
  <c r="AB40" i="15"/>
  <c r="AB36" i="15"/>
  <c r="AB32" i="15"/>
  <c r="AB28" i="15"/>
  <c r="AB24" i="15"/>
  <c r="AB20" i="15"/>
  <c r="AB16" i="15"/>
  <c r="AB12" i="15"/>
  <c r="AB8" i="15"/>
  <c r="AB4" i="15"/>
  <c r="AB45" i="15"/>
  <c r="AB37" i="15"/>
  <c r="AB33" i="15"/>
  <c r="AB29" i="15"/>
  <c r="AB25" i="15"/>
  <c r="AB21" i="15"/>
  <c r="AB17" i="15"/>
  <c r="AB13" i="15"/>
  <c r="AB9" i="15"/>
  <c r="AB46" i="15"/>
  <c r="AB38" i="15"/>
  <c r="AB34" i="15"/>
  <c r="AB30" i="15"/>
  <c r="AB26" i="15"/>
  <c r="AB22" i="15"/>
  <c r="AB18" i="15"/>
  <c r="AB14" i="15"/>
  <c r="AB10" i="15"/>
  <c r="AB6" i="15"/>
  <c r="AB2" i="15"/>
  <c r="AB7" i="15"/>
  <c r="AB5" i="15"/>
  <c r="AB3" i="15"/>
  <c r="AW12" i="14"/>
  <c r="AO12" i="14"/>
  <c r="AG12" i="14"/>
  <c r="Y12" i="14"/>
  <c r="Q12" i="14"/>
  <c r="I12" i="14"/>
  <c r="AV12" i="14"/>
  <c r="AN12" i="14"/>
  <c r="AF12" i="14"/>
  <c r="X12" i="14"/>
  <c r="P12" i="14"/>
  <c r="H12" i="14"/>
  <c r="BC12" i="14"/>
  <c r="AU12" i="14"/>
  <c r="AM12" i="14"/>
  <c r="AE12" i="14"/>
  <c r="W12" i="14"/>
  <c r="O12" i="14"/>
  <c r="G12" i="14"/>
  <c r="BB12" i="14"/>
  <c r="AT12" i="14"/>
  <c r="AL12" i="14"/>
  <c r="AD12" i="14"/>
  <c r="V12" i="14"/>
  <c r="N12" i="14"/>
  <c r="F12" i="14"/>
  <c r="BA12" i="14"/>
  <c r="AS12" i="14"/>
  <c r="AK12" i="14"/>
  <c r="AC12" i="14"/>
  <c r="U12" i="14"/>
  <c r="M12" i="14"/>
  <c r="E12" i="14"/>
  <c r="AZ12" i="14"/>
  <c r="AR12" i="14"/>
  <c r="AJ12" i="14"/>
  <c r="AB12" i="14"/>
  <c r="T12" i="14"/>
  <c r="L12" i="14"/>
  <c r="D12" i="14"/>
  <c r="AY12" i="14"/>
  <c r="AQ12" i="14"/>
  <c r="AI12" i="14"/>
  <c r="AA12" i="14"/>
  <c r="S12" i="14"/>
  <c r="K12" i="14"/>
  <c r="C12" i="14"/>
  <c r="R12" i="14"/>
  <c r="J12" i="14"/>
  <c r="B12" i="14"/>
  <c r="AX12" i="14"/>
  <c r="AP12" i="14"/>
  <c r="AH12" i="14"/>
  <c r="Z12" i="14"/>
  <c r="AY13" i="14"/>
  <c r="AQ13" i="14"/>
  <c r="AI13" i="14"/>
  <c r="AA13" i="14"/>
  <c r="S13" i="14"/>
  <c r="K13" i="14"/>
  <c r="C13" i="14"/>
  <c r="AX13" i="14"/>
  <c r="AP13" i="14"/>
  <c r="AH13" i="14"/>
  <c r="Z13" i="14"/>
  <c r="R13" i="14"/>
  <c r="J13" i="14"/>
  <c r="B13" i="14"/>
  <c r="AW13" i="14"/>
  <c r="AO13" i="14"/>
  <c r="AG13" i="14"/>
  <c r="Y13" i="14"/>
  <c r="Q13" i="14"/>
  <c r="I13" i="14"/>
  <c r="AV13" i="14"/>
  <c r="AN13" i="14"/>
  <c r="AF13" i="14"/>
  <c r="X13" i="14"/>
  <c r="P13" i="14"/>
  <c r="H13" i="14"/>
  <c r="BC13" i="14"/>
  <c r="AU13" i="14"/>
  <c r="AM13" i="14"/>
  <c r="AE13" i="14"/>
  <c r="W13" i="14"/>
  <c r="O13" i="14"/>
  <c r="G13" i="14"/>
  <c r="BB13" i="14"/>
  <c r="AT13" i="14"/>
  <c r="AL13" i="14"/>
  <c r="AD13" i="14"/>
  <c r="V13" i="14"/>
  <c r="N13" i="14"/>
  <c r="F13" i="14"/>
  <c r="BA13" i="14"/>
  <c r="AS13" i="14"/>
  <c r="AK13" i="14"/>
  <c r="AC13" i="14"/>
  <c r="U13" i="14"/>
  <c r="M13" i="14"/>
  <c r="E13" i="14"/>
  <c r="AB13" i="14"/>
  <c r="T13" i="14"/>
  <c r="L13" i="14"/>
  <c r="D13" i="14"/>
  <c r="AJ13" i="14"/>
  <c r="AZ13" i="14"/>
  <c r="AR13" i="14"/>
  <c r="T42" i="16"/>
  <c r="I4" i="28"/>
  <c r="I14" i="28"/>
  <c r="BA36" i="26"/>
  <c r="AQ3" i="25"/>
  <c r="AQ10" i="25"/>
  <c r="C18" i="25"/>
  <c r="C42" i="25"/>
  <c r="C21" i="25"/>
  <c r="AY46" i="16"/>
  <c r="AY38" i="16"/>
  <c r="AY34" i="16"/>
  <c r="AY30" i="16"/>
  <c r="AY26" i="16"/>
  <c r="AY22" i="16"/>
  <c r="AY18" i="16"/>
  <c r="AY43" i="16"/>
  <c r="AY39" i="16"/>
  <c r="AY35" i="16"/>
  <c r="AY31" i="16"/>
  <c r="AY27" i="16"/>
  <c r="AY23" i="16"/>
  <c r="AY19" i="16"/>
  <c r="AY15" i="16"/>
  <c r="AY11" i="16"/>
  <c r="AY7" i="16"/>
  <c r="AY44" i="16"/>
  <c r="AY40" i="16"/>
  <c r="AY36" i="16"/>
  <c r="AY32" i="16"/>
  <c r="AY28" i="16"/>
  <c r="AY24" i="16"/>
  <c r="AY20" i="16"/>
  <c r="AY45" i="16"/>
  <c r="AY37" i="16"/>
  <c r="AY33" i="16"/>
  <c r="AY29" i="16"/>
  <c r="AY25" i="16"/>
  <c r="AY21" i="16"/>
  <c r="AY17" i="16"/>
  <c r="AY13" i="16"/>
  <c r="AY9" i="16"/>
  <c r="AY6" i="16"/>
  <c r="AY14" i="16"/>
  <c r="AY2" i="16"/>
  <c r="AY16" i="16"/>
  <c r="AY3" i="16"/>
  <c r="AY10" i="16"/>
  <c r="AY4" i="16"/>
  <c r="AY12" i="16"/>
  <c r="AY8" i="16"/>
  <c r="AY5" i="16"/>
  <c r="AX41" i="18"/>
  <c r="AG41" i="18"/>
  <c r="Q41" i="18"/>
  <c r="G39" i="17"/>
  <c r="AU44" i="28"/>
  <c r="AU40" i="28"/>
  <c r="AU36" i="28"/>
  <c r="AU45" i="28"/>
  <c r="AU41" i="28"/>
  <c r="AU37" i="28"/>
  <c r="AU42" i="28"/>
  <c r="AU34" i="28"/>
  <c r="AU32" i="28"/>
  <c r="AU39" i="28"/>
  <c r="AU46" i="28"/>
  <c r="AU38" i="28"/>
  <c r="AU30" i="28"/>
  <c r="AU43" i="28"/>
  <c r="AU35" i="28"/>
  <c r="AU24" i="28"/>
  <c r="AU28" i="28"/>
  <c r="AU31" i="28"/>
  <c r="AU29" i="28"/>
  <c r="AU26" i="28"/>
  <c r="AU22" i="28"/>
  <c r="AU19" i="28"/>
  <c r="AU15" i="28"/>
  <c r="AU20" i="28"/>
  <c r="AU16" i="28"/>
  <c r="AU12" i="28"/>
  <c r="AU8" i="28"/>
  <c r="AU18" i="28"/>
  <c r="AU14" i="28"/>
  <c r="AU10" i="28"/>
  <c r="AU27" i="28"/>
  <c r="AU13" i="28"/>
  <c r="AU5" i="28"/>
  <c r="AU33" i="28"/>
  <c r="AU11" i="28"/>
  <c r="AU9" i="28"/>
  <c r="AU21" i="28"/>
  <c r="AU17" i="28"/>
  <c r="AU6" i="28"/>
  <c r="AU23" i="28"/>
  <c r="AU4" i="28"/>
  <c r="AU3" i="28"/>
  <c r="AU25" i="28"/>
  <c r="AU2" i="28"/>
  <c r="AU7" i="28"/>
  <c r="O44" i="28"/>
  <c r="O40" i="28"/>
  <c r="O36" i="28"/>
  <c r="O45" i="28"/>
  <c r="O41" i="28"/>
  <c r="O37" i="28"/>
  <c r="O42" i="28"/>
  <c r="O32" i="28"/>
  <c r="O39" i="28"/>
  <c r="O46" i="28"/>
  <c r="O38" i="28"/>
  <c r="O34" i="28"/>
  <c r="O30" i="28"/>
  <c r="O31" i="28"/>
  <c r="O29" i="28"/>
  <c r="O24" i="28"/>
  <c r="O28" i="28"/>
  <c r="O26" i="28"/>
  <c r="O22" i="28"/>
  <c r="O27" i="28"/>
  <c r="O25" i="28"/>
  <c r="O19" i="28"/>
  <c r="O15" i="28"/>
  <c r="O33" i="28"/>
  <c r="O23" i="28"/>
  <c r="O21" i="28"/>
  <c r="O16" i="28"/>
  <c r="O12" i="28"/>
  <c r="O43" i="28"/>
  <c r="O18" i="28"/>
  <c r="O14" i="28"/>
  <c r="O10" i="28"/>
  <c r="O35" i="28"/>
  <c r="O5" i="28"/>
  <c r="O17" i="28"/>
  <c r="O11" i="28"/>
  <c r="O9" i="28"/>
  <c r="O7" i="28"/>
  <c r="O6" i="28"/>
  <c r="O8" i="28"/>
  <c r="O4" i="28"/>
  <c r="O13" i="28"/>
  <c r="O3" i="28"/>
  <c r="O2" i="28"/>
  <c r="O20" i="28"/>
  <c r="AK44" i="27"/>
  <c r="AK40" i="27"/>
  <c r="AK36" i="27"/>
  <c r="AK32" i="27"/>
  <c r="AK45" i="27"/>
  <c r="AK41" i="27"/>
  <c r="AK37" i="27"/>
  <c r="AK33" i="27"/>
  <c r="AK38" i="27"/>
  <c r="AK29" i="27"/>
  <c r="AK25" i="27"/>
  <c r="AK21" i="27"/>
  <c r="AK17" i="27"/>
  <c r="AK34" i="27"/>
  <c r="AK31" i="27"/>
  <c r="AK26" i="27"/>
  <c r="AK39" i="27"/>
  <c r="AK27" i="27"/>
  <c r="AK23" i="27"/>
  <c r="AK19" i="27"/>
  <c r="AK15" i="27"/>
  <c r="AK42" i="27"/>
  <c r="AK20" i="27"/>
  <c r="AK14" i="27"/>
  <c r="AK10" i="27"/>
  <c r="AK6" i="27"/>
  <c r="AK16" i="27"/>
  <c r="AK24" i="27"/>
  <c r="AK18" i="27"/>
  <c r="AK22" i="27"/>
  <c r="AK12" i="27"/>
  <c r="AK8" i="27"/>
  <c r="AK43" i="27"/>
  <c r="AK30" i="27"/>
  <c r="AK9" i="27"/>
  <c r="AK3" i="27"/>
  <c r="AK35" i="27"/>
  <c r="AK11" i="27"/>
  <c r="AK28" i="27"/>
  <c r="AK7" i="27"/>
  <c r="AK5" i="27"/>
  <c r="AK13" i="27"/>
  <c r="AK4" i="27"/>
  <c r="AK46" i="27"/>
  <c r="AK2" i="27"/>
  <c r="E44" i="27"/>
  <c r="E40" i="27"/>
  <c r="E36" i="27"/>
  <c r="E32" i="27"/>
  <c r="E45" i="27"/>
  <c r="E41" i="27"/>
  <c r="E37" i="27"/>
  <c r="E33" i="27"/>
  <c r="E39" i="27"/>
  <c r="E29" i="27"/>
  <c r="E25" i="27"/>
  <c r="E21" i="27"/>
  <c r="E17" i="27"/>
  <c r="E35" i="27"/>
  <c r="E46" i="27"/>
  <c r="E31" i="27"/>
  <c r="E26" i="27"/>
  <c r="E38" i="27"/>
  <c r="E27" i="27"/>
  <c r="E23" i="27"/>
  <c r="E19" i="27"/>
  <c r="E34" i="27"/>
  <c r="E22" i="27"/>
  <c r="E18" i="27"/>
  <c r="E14" i="27"/>
  <c r="E10" i="27"/>
  <c r="E6" i="27"/>
  <c r="E30" i="27"/>
  <c r="E16" i="27"/>
  <c r="E15" i="27"/>
  <c r="E43" i="27"/>
  <c r="E20" i="27"/>
  <c r="E12" i="27"/>
  <c r="E8" i="27"/>
  <c r="E42" i="27"/>
  <c r="E24" i="27"/>
  <c r="E9" i="27"/>
  <c r="E3" i="27"/>
  <c r="E11" i="27"/>
  <c r="E4" i="27"/>
  <c r="E7" i="27"/>
  <c r="E5" i="27"/>
  <c r="E28" i="27"/>
  <c r="E13" i="27"/>
  <c r="E2" i="27"/>
  <c r="AA46" i="26"/>
  <c r="AA42" i="26"/>
  <c r="AA38" i="26"/>
  <c r="AA34" i="26"/>
  <c r="AA43" i="26"/>
  <c r="AA39" i="26"/>
  <c r="AA45" i="26"/>
  <c r="AA36" i="26"/>
  <c r="AA30" i="26"/>
  <c r="AA26" i="26"/>
  <c r="AA22" i="26"/>
  <c r="AA41" i="26"/>
  <c r="AA31" i="26"/>
  <c r="AA27" i="26"/>
  <c r="AA23" i="26"/>
  <c r="AA40" i="26"/>
  <c r="AA32" i="26"/>
  <c r="AA28" i="26"/>
  <c r="AA24" i="26"/>
  <c r="AA20" i="26"/>
  <c r="AA25" i="26"/>
  <c r="AA16" i="26"/>
  <c r="AA12" i="26"/>
  <c r="AA8" i="26"/>
  <c r="AA29" i="26"/>
  <c r="AA37" i="26"/>
  <c r="AA17" i="26"/>
  <c r="AA13" i="26"/>
  <c r="AA9" i="26"/>
  <c r="AA19" i="26"/>
  <c r="AA44" i="26"/>
  <c r="AA35" i="26"/>
  <c r="AA18" i="26"/>
  <c r="AA14" i="26"/>
  <c r="AA10" i="26"/>
  <c r="AA15" i="26"/>
  <c r="AA11" i="26"/>
  <c r="AA7" i="26"/>
  <c r="AA21" i="26"/>
  <c r="AA6" i="26"/>
  <c r="AA4" i="26"/>
  <c r="AA33" i="26"/>
  <c r="AA2" i="26"/>
  <c r="AA5" i="26"/>
  <c r="AA3" i="26"/>
  <c r="AW45" i="25"/>
  <c r="AW44" i="25"/>
  <c r="AW28" i="25"/>
  <c r="AW24" i="25"/>
  <c r="AW20" i="25"/>
  <c r="AW43" i="25"/>
  <c r="AW42" i="25"/>
  <c r="AW41" i="25"/>
  <c r="AW40" i="25"/>
  <c r="AW29" i="25"/>
  <c r="AW25" i="25"/>
  <c r="AW39" i="25"/>
  <c r="AW38" i="25"/>
  <c r="AW37" i="25"/>
  <c r="AW36" i="25"/>
  <c r="AW30" i="25"/>
  <c r="AW26" i="25"/>
  <c r="AW22" i="25"/>
  <c r="AW35" i="25"/>
  <c r="AW34" i="25"/>
  <c r="AW33" i="25"/>
  <c r="AW32" i="25"/>
  <c r="AW27" i="25"/>
  <c r="AW23" i="25"/>
  <c r="AW46" i="25"/>
  <c r="AW31" i="25"/>
  <c r="AW21" i="25"/>
  <c r="AW5" i="25"/>
  <c r="AW4" i="25"/>
  <c r="AW18" i="25"/>
  <c r="AW3" i="25"/>
  <c r="AW2" i="25"/>
  <c r="AW17" i="25"/>
  <c r="AW16" i="25"/>
  <c r="AW15" i="25"/>
  <c r="AW14" i="25"/>
  <c r="AW13" i="25"/>
  <c r="AW12" i="25"/>
  <c r="AW11" i="25"/>
  <c r="AW10" i="25"/>
  <c r="AW19" i="25"/>
  <c r="AW9" i="25"/>
  <c r="AW8" i="25"/>
  <c r="AW7" i="25"/>
  <c r="AW6" i="25"/>
  <c r="Q45" i="25"/>
  <c r="Q44" i="25"/>
  <c r="Q28" i="25"/>
  <c r="Q24" i="25"/>
  <c r="Q20" i="25"/>
  <c r="Q43" i="25"/>
  <c r="Q42" i="25"/>
  <c r="Q41" i="25"/>
  <c r="Q40" i="25"/>
  <c r="Q29" i="25"/>
  <c r="Q25" i="25"/>
  <c r="Q39" i="25"/>
  <c r="Q38" i="25"/>
  <c r="Q37" i="25"/>
  <c r="Q36" i="25"/>
  <c r="Q30" i="25"/>
  <c r="Q26" i="25"/>
  <c r="Q22" i="25"/>
  <c r="Q35" i="25"/>
  <c r="Q34" i="25"/>
  <c r="Q33" i="25"/>
  <c r="Q32" i="25"/>
  <c r="Q27" i="25"/>
  <c r="Q23" i="25"/>
  <c r="Q46" i="25"/>
  <c r="Q31" i="25"/>
  <c r="Q21" i="25"/>
  <c r="Q5" i="25"/>
  <c r="Q4" i="25"/>
  <c r="Q18" i="25"/>
  <c r="Q3" i="25"/>
  <c r="Q17" i="25"/>
  <c r="Q16" i="25"/>
  <c r="Q15" i="25"/>
  <c r="Q14" i="25"/>
  <c r="Q2" i="25"/>
  <c r="Q13" i="25"/>
  <c r="Q12" i="25"/>
  <c r="Q11" i="25"/>
  <c r="Q10" i="25"/>
  <c r="Q19" i="25"/>
  <c r="Q9" i="25"/>
  <c r="Q8" i="25"/>
  <c r="Q7" i="25"/>
  <c r="Q6" i="25"/>
  <c r="AF22" i="25"/>
  <c r="AF10" i="25"/>
  <c r="AF23" i="25"/>
  <c r="BA10" i="14"/>
  <c r="AS10" i="14"/>
  <c r="AK10" i="14"/>
  <c r="AC10" i="14"/>
  <c r="U10" i="14"/>
  <c r="M10" i="14"/>
  <c r="E10" i="14"/>
  <c r="AZ10" i="14"/>
  <c r="AR10" i="14"/>
  <c r="AJ10" i="14"/>
  <c r="AB10" i="14"/>
  <c r="T10" i="14"/>
  <c r="L10" i="14"/>
  <c r="D10" i="14"/>
  <c r="AY10" i="14"/>
  <c r="AQ10" i="14"/>
  <c r="AI10" i="14"/>
  <c r="AA10" i="14"/>
  <c r="S10" i="14"/>
  <c r="K10" i="14"/>
  <c r="C10" i="14"/>
  <c r="AX10" i="14"/>
  <c r="AP10" i="14"/>
  <c r="AH10" i="14"/>
  <c r="Z10" i="14"/>
  <c r="R10" i="14"/>
  <c r="J10" i="14"/>
  <c r="B10" i="14"/>
  <c r="AW10" i="14"/>
  <c r="AO10" i="14"/>
  <c r="AG10" i="14"/>
  <c r="Y10" i="14"/>
  <c r="Q10" i="14"/>
  <c r="I10" i="14"/>
  <c r="AV10" i="14"/>
  <c r="AN10" i="14"/>
  <c r="AF10" i="14"/>
  <c r="X10" i="14"/>
  <c r="P10" i="14"/>
  <c r="H10" i="14"/>
  <c r="BC10" i="14"/>
  <c r="AU10" i="14"/>
  <c r="AM10" i="14"/>
  <c r="AE10" i="14"/>
  <c r="W10" i="14"/>
  <c r="O10" i="14"/>
  <c r="G10" i="14"/>
  <c r="BB10" i="14"/>
  <c r="AT10" i="14"/>
  <c r="AL10" i="14"/>
  <c r="AD10" i="14"/>
  <c r="V10" i="14"/>
  <c r="N10" i="14"/>
  <c r="F10" i="14"/>
  <c r="U18" i="18"/>
  <c r="U11" i="18"/>
  <c r="U39" i="18"/>
  <c r="G28" i="16"/>
  <c r="G24" i="16"/>
  <c r="G20" i="16"/>
  <c r="G29" i="16"/>
  <c r="G25" i="16"/>
  <c r="G21" i="16"/>
  <c r="G17" i="16"/>
  <c r="G13" i="16"/>
  <c r="G9" i="16"/>
  <c r="G26" i="16"/>
  <c r="G22" i="16"/>
  <c r="G27" i="16"/>
  <c r="G23" i="16"/>
  <c r="G19" i="16"/>
  <c r="G15" i="16"/>
  <c r="G11" i="16"/>
  <c r="G7" i="16"/>
  <c r="G8" i="16"/>
  <c r="G16" i="16"/>
  <c r="G4" i="16"/>
  <c r="G18" i="16"/>
  <c r="G10" i="16"/>
  <c r="G5" i="16"/>
  <c r="G12" i="16"/>
  <c r="G6" i="16"/>
  <c r="G2" i="16"/>
  <c r="G14" i="16"/>
  <c r="G3" i="16"/>
  <c r="G35" i="17"/>
  <c r="Q16" i="28"/>
  <c r="AN18" i="18"/>
  <c r="AN20" i="18"/>
  <c r="K43" i="17"/>
  <c r="K39" i="17"/>
  <c r="K35" i="17"/>
  <c r="K31" i="17"/>
  <c r="K44" i="17"/>
  <c r="K40" i="17"/>
  <c r="K36" i="17"/>
  <c r="K32" i="17"/>
  <c r="K28" i="17"/>
  <c r="K24" i="17"/>
  <c r="K20" i="17"/>
  <c r="K45" i="17"/>
  <c r="K37" i="17"/>
  <c r="K33" i="17"/>
  <c r="K29" i="17"/>
  <c r="K46" i="17"/>
  <c r="K38" i="17"/>
  <c r="K34" i="17"/>
  <c r="K30" i="17"/>
  <c r="K26" i="17"/>
  <c r="K22" i="17"/>
  <c r="K18" i="17"/>
  <c r="K21" i="17"/>
  <c r="K14" i="17"/>
  <c r="K10" i="17"/>
  <c r="K6" i="17"/>
  <c r="K2" i="17"/>
  <c r="K23" i="17"/>
  <c r="K15" i="17"/>
  <c r="K11" i="17"/>
  <c r="K7" i="17"/>
  <c r="K3" i="17"/>
  <c r="K25" i="17"/>
  <c r="K16" i="17"/>
  <c r="K12" i="17"/>
  <c r="K8" i="17"/>
  <c r="K4" i="17"/>
  <c r="K27" i="17"/>
  <c r="K19" i="17"/>
  <c r="K17" i="17"/>
  <c r="K13" i="17"/>
  <c r="K9" i="17"/>
  <c r="K5" i="17"/>
  <c r="AG42" i="18"/>
  <c r="AW41" i="17"/>
  <c r="AF41" i="17"/>
  <c r="P41" i="17"/>
  <c r="BB2" i="28"/>
  <c r="BB6" i="28"/>
  <c r="BB30" i="28"/>
  <c r="AT8" i="28"/>
  <c r="AT16" i="28"/>
  <c r="AT24" i="28"/>
  <c r="AL22" i="28"/>
  <c r="AL8" i="28"/>
  <c r="AL16" i="28"/>
  <c r="AL24" i="28"/>
  <c r="AL38" i="28"/>
  <c r="AD30" i="28"/>
  <c r="AD8" i="28"/>
  <c r="V2" i="28"/>
  <c r="N2" i="28"/>
  <c r="N30" i="28"/>
  <c r="F22" i="28"/>
  <c r="B36" i="26"/>
  <c r="AV12" i="25"/>
  <c r="AN26" i="25"/>
  <c r="X20" i="25"/>
  <c r="X23" i="25"/>
  <c r="P2" i="25"/>
  <c r="P3" i="25"/>
  <c r="P21" i="25"/>
  <c r="H10" i="25"/>
  <c r="H15" i="25"/>
  <c r="BA25" i="18"/>
  <c r="BA31" i="18"/>
  <c r="AO10" i="28"/>
  <c r="Y14" i="28"/>
  <c r="Y26" i="28"/>
  <c r="Y34" i="28"/>
  <c r="K7" i="25"/>
  <c r="K26" i="25"/>
  <c r="AO46" i="17"/>
  <c r="AO38" i="17"/>
  <c r="AO34" i="17"/>
  <c r="AO30" i="17"/>
  <c r="AO43" i="17"/>
  <c r="AO39" i="17"/>
  <c r="AO35" i="17"/>
  <c r="AO31" i="17"/>
  <c r="AO27" i="17"/>
  <c r="AO23" i="17"/>
  <c r="AO19" i="17"/>
  <c r="AO44" i="17"/>
  <c r="AO40" i="17"/>
  <c r="AO36" i="17"/>
  <c r="AO32" i="17"/>
  <c r="AO28" i="17"/>
  <c r="AO45" i="17"/>
  <c r="AO37" i="17"/>
  <c r="AO33" i="17"/>
  <c r="AO29" i="17"/>
  <c r="AO25" i="17"/>
  <c r="AO21" i="17"/>
  <c r="AO24" i="17"/>
  <c r="AO17" i="17"/>
  <c r="AO13" i="17"/>
  <c r="AO9" i="17"/>
  <c r="AO5" i="17"/>
  <c r="AO26" i="17"/>
  <c r="AO14" i="17"/>
  <c r="AO10" i="17"/>
  <c r="AO6" i="17"/>
  <c r="AO2" i="17"/>
  <c r="AO20" i="17"/>
  <c r="AO15" i="17"/>
  <c r="AO11" i="17"/>
  <c r="AO7" i="17"/>
  <c r="AO3" i="17"/>
  <c r="AO18" i="17"/>
  <c r="AO22" i="17"/>
  <c r="AO16" i="17"/>
  <c r="AO12" i="17"/>
  <c r="AO8" i="17"/>
  <c r="AO4" i="17"/>
  <c r="U43" i="15"/>
  <c r="U39" i="15"/>
  <c r="U35" i="15"/>
  <c r="U31" i="15"/>
  <c r="U27" i="15"/>
  <c r="U23" i="15"/>
  <c r="U19" i="15"/>
  <c r="U44" i="15"/>
  <c r="U40" i="15"/>
  <c r="U36" i="15"/>
  <c r="U32" i="15"/>
  <c r="U28" i="15"/>
  <c r="U24" i="15"/>
  <c r="U20" i="15"/>
  <c r="U16" i="15"/>
  <c r="U12" i="15"/>
  <c r="U45" i="15"/>
  <c r="U37" i="15"/>
  <c r="U33" i="15"/>
  <c r="U29" i="15"/>
  <c r="U25" i="15"/>
  <c r="U21" i="15"/>
  <c r="U17" i="15"/>
  <c r="U13" i="15"/>
  <c r="U9" i="15"/>
  <c r="U46" i="15"/>
  <c r="U38" i="15"/>
  <c r="U34" i="15"/>
  <c r="U30" i="15"/>
  <c r="U26" i="15"/>
  <c r="U22" i="15"/>
  <c r="U18" i="15"/>
  <c r="U14" i="15"/>
  <c r="U10" i="15"/>
  <c r="U15" i="15"/>
  <c r="U8" i="15"/>
  <c r="U7" i="15"/>
  <c r="U6" i="15"/>
  <c r="U5" i="15"/>
  <c r="U4" i="15"/>
  <c r="U3" i="15"/>
  <c r="U11" i="15"/>
  <c r="U2" i="15"/>
  <c r="G45" i="17"/>
  <c r="W41" i="15"/>
  <c r="G41" i="15"/>
  <c r="AK34" i="28"/>
  <c r="AC14" i="28"/>
  <c r="AC43" i="28"/>
  <c r="U10" i="28"/>
  <c r="M6" i="28"/>
  <c r="M8" i="28"/>
  <c r="E14" i="28"/>
  <c r="I36" i="26"/>
  <c r="I45" i="26"/>
  <c r="BC3" i="25"/>
  <c r="BC10" i="25"/>
  <c r="AU20" i="25"/>
  <c r="AM10" i="25"/>
  <c r="AM2" i="25"/>
  <c r="AM26" i="25"/>
  <c r="AE2" i="25"/>
  <c r="AE7" i="25"/>
  <c r="AE15" i="25"/>
  <c r="W7" i="25"/>
  <c r="W21" i="25"/>
  <c r="W28" i="25"/>
  <c r="O5" i="25"/>
  <c r="O45" i="25"/>
  <c r="G13" i="25"/>
  <c r="G20" i="25"/>
  <c r="G24" i="25"/>
  <c r="AG8" i="28"/>
  <c r="AG22" i="28"/>
  <c r="AG43" i="28"/>
  <c r="AR43" i="16"/>
  <c r="AR39" i="16"/>
  <c r="AR35" i="16"/>
  <c r="AR31" i="16"/>
  <c r="AR27" i="16"/>
  <c r="AR23" i="16"/>
  <c r="AR44" i="16"/>
  <c r="AR40" i="16"/>
  <c r="AR36" i="16"/>
  <c r="AR32" i="16"/>
  <c r="AR28" i="16"/>
  <c r="AR24" i="16"/>
  <c r="AR20" i="16"/>
  <c r="AR16" i="16"/>
  <c r="AR12" i="16"/>
  <c r="AR45" i="16"/>
  <c r="AR37" i="16"/>
  <c r="AR33" i="16"/>
  <c r="AR29" i="16"/>
  <c r="AR25" i="16"/>
  <c r="AR21" i="16"/>
  <c r="AR46" i="16"/>
  <c r="AR38" i="16"/>
  <c r="AR34" i="16"/>
  <c r="AR30" i="16"/>
  <c r="AR26" i="16"/>
  <c r="AR22" i="16"/>
  <c r="AR18" i="16"/>
  <c r="AR14" i="16"/>
  <c r="AR10" i="16"/>
  <c r="AR13" i="16"/>
  <c r="AR2" i="16"/>
  <c r="AR15" i="16"/>
  <c r="AR3" i="16"/>
  <c r="AR17" i="16"/>
  <c r="AR9" i="16"/>
  <c r="AR8" i="16"/>
  <c r="AR4" i="16"/>
  <c r="AR19" i="16"/>
  <c r="AR7" i="16"/>
  <c r="AR6" i="16"/>
  <c r="AR11" i="16"/>
  <c r="AR5" i="16"/>
  <c r="AV42" i="18"/>
  <c r="O42" i="18"/>
  <c r="G36" i="17"/>
  <c r="AJ45" i="28"/>
  <c r="AJ41" i="28"/>
  <c r="AJ37" i="28"/>
  <c r="AJ43" i="28"/>
  <c r="AJ39" i="28"/>
  <c r="AJ35" i="28"/>
  <c r="AJ44" i="28"/>
  <c r="AJ36" i="28"/>
  <c r="AJ30" i="28"/>
  <c r="AJ31" i="28"/>
  <c r="AJ40" i="28"/>
  <c r="AJ32" i="28"/>
  <c r="AJ29" i="28"/>
  <c r="AJ26" i="28"/>
  <c r="AJ22" i="28"/>
  <c r="AJ28" i="28"/>
  <c r="AJ27" i="28"/>
  <c r="AJ23" i="28"/>
  <c r="AJ46" i="28"/>
  <c r="AJ24" i="28"/>
  <c r="AJ20" i="28"/>
  <c r="AJ42" i="28"/>
  <c r="AJ38" i="28"/>
  <c r="AJ25" i="28"/>
  <c r="AJ21" i="28"/>
  <c r="AJ18" i="28"/>
  <c r="AJ14" i="28"/>
  <c r="AJ19" i="28"/>
  <c r="AJ15" i="28"/>
  <c r="AJ33" i="28"/>
  <c r="AJ16" i="28"/>
  <c r="AJ13" i="28"/>
  <c r="AJ34" i="28"/>
  <c r="AJ12" i="28"/>
  <c r="AJ11" i="28"/>
  <c r="AJ17" i="28"/>
  <c r="AJ10" i="28"/>
  <c r="AJ9" i="28"/>
  <c r="AJ5" i="28"/>
  <c r="AJ3" i="28"/>
  <c r="AJ6" i="28"/>
  <c r="AJ8" i="28"/>
  <c r="AJ4" i="28"/>
  <c r="AJ2" i="28"/>
  <c r="AJ7" i="28"/>
  <c r="D45" i="28"/>
  <c r="D41" i="28"/>
  <c r="D37" i="28"/>
  <c r="D43" i="28"/>
  <c r="D39" i="28"/>
  <c r="D35" i="28"/>
  <c r="D44" i="28"/>
  <c r="D36" i="28"/>
  <c r="D34" i="28"/>
  <c r="D30" i="28"/>
  <c r="D31" i="28"/>
  <c r="D40" i="28"/>
  <c r="D32" i="28"/>
  <c r="D26" i="28"/>
  <c r="D22" i="28"/>
  <c r="D46" i="28"/>
  <c r="D27" i="28"/>
  <c r="D23" i="28"/>
  <c r="D29" i="28"/>
  <c r="D28" i="28"/>
  <c r="D24" i="28"/>
  <c r="D18" i="28"/>
  <c r="D14" i="28"/>
  <c r="D38" i="28"/>
  <c r="D33" i="28"/>
  <c r="D42" i="28"/>
  <c r="D19" i="28"/>
  <c r="D15" i="28"/>
  <c r="D20" i="28"/>
  <c r="D17" i="28"/>
  <c r="D8" i="28"/>
  <c r="D12" i="28"/>
  <c r="D11" i="28"/>
  <c r="D21" i="28"/>
  <c r="D16" i="28"/>
  <c r="D13" i="28"/>
  <c r="D10" i="28"/>
  <c r="D9" i="28"/>
  <c r="D5" i="28"/>
  <c r="D3" i="28"/>
  <c r="D7" i="28"/>
  <c r="D6" i="28"/>
  <c r="D25" i="28"/>
  <c r="D4" i="28"/>
  <c r="D2" i="28"/>
  <c r="Z46" i="27"/>
  <c r="Z42" i="27"/>
  <c r="Z38" i="27"/>
  <c r="Z34" i="27"/>
  <c r="Z43" i="27"/>
  <c r="Z39" i="27"/>
  <c r="Z35" i="27"/>
  <c r="Z45" i="27"/>
  <c r="Z41" i="27"/>
  <c r="Z37" i="27"/>
  <c r="Z33" i="27"/>
  <c r="Z28" i="27"/>
  <c r="Z24" i="27"/>
  <c r="Z20" i="27"/>
  <c r="Z44" i="27"/>
  <c r="Z32" i="27"/>
  <c r="Z31" i="27"/>
  <c r="Z36" i="27"/>
  <c r="Z27" i="27"/>
  <c r="Z30" i="27"/>
  <c r="Z29" i="27"/>
  <c r="Z19" i="27"/>
  <c r="Z17" i="27"/>
  <c r="Z16" i="27"/>
  <c r="Z13" i="27"/>
  <c r="Z9" i="27"/>
  <c r="Z26" i="27"/>
  <c r="Z23" i="27"/>
  <c r="Z18" i="27"/>
  <c r="Z22" i="27"/>
  <c r="Z40" i="27"/>
  <c r="Z25" i="27"/>
  <c r="Z21" i="27"/>
  <c r="Z15" i="27"/>
  <c r="Z11" i="27"/>
  <c r="Z7" i="27"/>
  <c r="Z8" i="27"/>
  <c r="Z2" i="27"/>
  <c r="Z10" i="27"/>
  <c r="Z12" i="27"/>
  <c r="Z5" i="27"/>
  <c r="Z6" i="27"/>
  <c r="Z3" i="27"/>
  <c r="Z14" i="27"/>
  <c r="Z4" i="27"/>
  <c r="AV46" i="26"/>
  <c r="AV42" i="26"/>
  <c r="AV43" i="26"/>
  <c r="AV40" i="26"/>
  <c r="AV36" i="26"/>
  <c r="AV39" i="26"/>
  <c r="AV45" i="26"/>
  <c r="AV33" i="26"/>
  <c r="AV30" i="26"/>
  <c r="AV34" i="26"/>
  <c r="AV22" i="26"/>
  <c r="AV26" i="26"/>
  <c r="AV15" i="26"/>
  <c r="AV11" i="26"/>
  <c r="AV7" i="26"/>
  <c r="AV44" i="26"/>
  <c r="AV41" i="26"/>
  <c r="AV21" i="26"/>
  <c r="AV38" i="26"/>
  <c r="AV25" i="26"/>
  <c r="AV16" i="26"/>
  <c r="AV12" i="26"/>
  <c r="AV8" i="26"/>
  <c r="AV35" i="26"/>
  <c r="AV32" i="26"/>
  <c r="AV29" i="26"/>
  <c r="AV20" i="26"/>
  <c r="AV37" i="26"/>
  <c r="AV28" i="26"/>
  <c r="AV23" i="26"/>
  <c r="AV5" i="26"/>
  <c r="AV18" i="26"/>
  <c r="AV31" i="26"/>
  <c r="AV9" i="26"/>
  <c r="AV27" i="26"/>
  <c r="AV24" i="26"/>
  <c r="AV13" i="26"/>
  <c r="AV6" i="26"/>
  <c r="AV3" i="26"/>
  <c r="AV10" i="26"/>
  <c r="AV19" i="26"/>
  <c r="AV17" i="26"/>
  <c r="AV14" i="26"/>
  <c r="AV4" i="26"/>
  <c r="AV2" i="26"/>
  <c r="P46" i="26"/>
  <c r="P42" i="26"/>
  <c r="P43" i="26"/>
  <c r="P34" i="26"/>
  <c r="P41" i="26"/>
  <c r="P35" i="26"/>
  <c r="P33" i="26"/>
  <c r="P44" i="26"/>
  <c r="P36" i="26"/>
  <c r="P40" i="26"/>
  <c r="P45" i="26"/>
  <c r="P32" i="26"/>
  <c r="P29" i="26"/>
  <c r="P20" i="26"/>
  <c r="P38" i="26"/>
  <c r="P24" i="26"/>
  <c r="P15" i="26"/>
  <c r="P11" i="26"/>
  <c r="P7" i="26"/>
  <c r="P28" i="26"/>
  <c r="P23" i="26"/>
  <c r="P27" i="26"/>
  <c r="P19" i="26"/>
  <c r="P16" i="26"/>
  <c r="P12" i="26"/>
  <c r="P8" i="26"/>
  <c r="P37" i="26"/>
  <c r="P22" i="26"/>
  <c r="P30" i="26"/>
  <c r="P21" i="26"/>
  <c r="P26" i="26"/>
  <c r="P6" i="26"/>
  <c r="P5" i="26"/>
  <c r="P25" i="26"/>
  <c r="P18" i="26"/>
  <c r="P9" i="26"/>
  <c r="P39" i="26"/>
  <c r="P31" i="26"/>
  <c r="P13" i="26"/>
  <c r="P10" i="26"/>
  <c r="P17" i="26"/>
  <c r="P14" i="26"/>
  <c r="P4" i="26"/>
  <c r="P3" i="26"/>
  <c r="P2" i="26"/>
  <c r="AL46" i="25"/>
  <c r="AL42" i="25"/>
  <c r="AL38" i="25"/>
  <c r="AL34" i="25"/>
  <c r="AL44" i="25"/>
  <c r="AL40" i="25"/>
  <c r="AL36" i="25"/>
  <c r="AL32" i="25"/>
  <c r="AL45" i="25"/>
  <c r="AL43" i="25"/>
  <c r="AL27" i="25"/>
  <c r="AL23" i="25"/>
  <c r="AL41" i="25"/>
  <c r="AL39" i="25"/>
  <c r="AL28" i="25"/>
  <c r="AL24" i="25"/>
  <c r="AL20" i="25"/>
  <c r="AL16" i="25"/>
  <c r="AL12" i="25"/>
  <c r="AL8" i="25"/>
  <c r="AL4" i="25"/>
  <c r="AL37" i="25"/>
  <c r="AL35" i="25"/>
  <c r="AL29" i="25"/>
  <c r="AL33" i="25"/>
  <c r="AL31" i="25"/>
  <c r="AL30" i="25"/>
  <c r="AL26" i="25"/>
  <c r="AL22" i="25"/>
  <c r="AL18" i="25"/>
  <c r="AL14" i="25"/>
  <c r="AL10" i="25"/>
  <c r="AL6" i="25"/>
  <c r="AL2" i="25"/>
  <c r="AL5" i="25"/>
  <c r="AL3" i="25"/>
  <c r="AL25" i="25"/>
  <c r="AL17" i="25"/>
  <c r="AL21" i="25"/>
  <c r="AL19" i="25"/>
  <c r="AL15" i="25"/>
  <c r="AL13" i="25"/>
  <c r="AL11" i="25"/>
  <c r="AL9" i="25"/>
  <c r="AL7" i="25"/>
  <c r="F46" i="25"/>
  <c r="F42" i="25"/>
  <c r="F38" i="25"/>
  <c r="F34" i="25"/>
  <c r="F44" i="25"/>
  <c r="F40" i="25"/>
  <c r="F36" i="25"/>
  <c r="F32" i="25"/>
  <c r="F45" i="25"/>
  <c r="F43" i="25"/>
  <c r="F31" i="25"/>
  <c r="F27" i="25"/>
  <c r="F23" i="25"/>
  <c r="F41" i="25"/>
  <c r="F39" i="25"/>
  <c r="F28" i="25"/>
  <c r="F24" i="25"/>
  <c r="F20" i="25"/>
  <c r="F16" i="25"/>
  <c r="F12" i="25"/>
  <c r="F8" i="25"/>
  <c r="F4" i="25"/>
  <c r="F37" i="25"/>
  <c r="F35" i="25"/>
  <c r="F29" i="25"/>
  <c r="F33" i="25"/>
  <c r="F30" i="25"/>
  <c r="F26" i="25"/>
  <c r="F22" i="25"/>
  <c r="F18" i="25"/>
  <c r="F14" i="25"/>
  <c r="F10" i="25"/>
  <c r="F6" i="25"/>
  <c r="F5" i="25"/>
  <c r="F3" i="25"/>
  <c r="F17" i="25"/>
  <c r="F21" i="25"/>
  <c r="F19" i="25"/>
  <c r="F15" i="25"/>
  <c r="F13" i="25"/>
  <c r="F11" i="25"/>
  <c r="F25" i="25"/>
  <c r="F9" i="25"/>
  <c r="F2" i="25"/>
  <c r="F7" i="25"/>
  <c r="M23" i="25"/>
  <c r="M7" i="25"/>
  <c r="M21" i="25"/>
  <c r="M24" i="25"/>
  <c r="BC27" i="14"/>
  <c r="AU27" i="14"/>
  <c r="AM27" i="14"/>
  <c r="AE27" i="14"/>
  <c r="W27" i="14"/>
  <c r="O27" i="14"/>
  <c r="G27" i="14"/>
  <c r="BB27" i="14"/>
  <c r="AT27" i="14"/>
  <c r="AL27" i="14"/>
  <c r="AD27" i="14"/>
  <c r="V27" i="14"/>
  <c r="N27" i="14"/>
  <c r="F27" i="14"/>
  <c r="BA27" i="14"/>
  <c r="AS27" i="14"/>
  <c r="AK27" i="14"/>
  <c r="AC27" i="14"/>
  <c r="U27" i="14"/>
  <c r="M27" i="14"/>
  <c r="E27" i="14"/>
  <c r="AZ27" i="14"/>
  <c r="AR27" i="14"/>
  <c r="AJ27" i="14"/>
  <c r="AB27" i="14"/>
  <c r="T27" i="14"/>
  <c r="L27" i="14"/>
  <c r="D27" i="14"/>
  <c r="AY27" i="14"/>
  <c r="AQ27" i="14"/>
  <c r="AI27" i="14"/>
  <c r="AA27" i="14"/>
  <c r="S27" i="14"/>
  <c r="K27" i="14"/>
  <c r="C27" i="14"/>
  <c r="AX27" i="14"/>
  <c r="AP27" i="14"/>
  <c r="AH27" i="14"/>
  <c r="Z27" i="14"/>
  <c r="R27" i="14"/>
  <c r="J27" i="14"/>
  <c r="B27" i="14"/>
  <c r="AW27" i="14"/>
  <c r="AO27" i="14"/>
  <c r="AG27" i="14"/>
  <c r="Y27" i="14"/>
  <c r="Q27" i="14"/>
  <c r="I27" i="14"/>
  <c r="AN27" i="14"/>
  <c r="AF27" i="14"/>
  <c r="X27" i="14"/>
  <c r="P27" i="14"/>
  <c r="H27" i="14"/>
  <c r="AV27" i="14"/>
  <c r="AC35" i="26"/>
  <c r="AI15" i="25"/>
  <c r="AI24" i="25"/>
  <c r="AI27" i="25"/>
  <c r="AY33" i="14"/>
  <c r="AQ33" i="14"/>
  <c r="AI33" i="14"/>
  <c r="AA33" i="14"/>
  <c r="S33" i="14"/>
  <c r="K33" i="14"/>
  <c r="C33" i="14"/>
  <c r="AX33" i="14"/>
  <c r="AP33" i="14"/>
  <c r="AH33" i="14"/>
  <c r="Z33" i="14"/>
  <c r="R33" i="14"/>
  <c r="J33" i="14"/>
  <c r="B33" i="14"/>
  <c r="AW33" i="14"/>
  <c r="AO33" i="14"/>
  <c r="AG33" i="14"/>
  <c r="Y33" i="14"/>
  <c r="Q33" i="14"/>
  <c r="I33" i="14"/>
  <c r="AV33" i="14"/>
  <c r="AN33" i="14"/>
  <c r="AF33" i="14"/>
  <c r="X33" i="14"/>
  <c r="P33" i="14"/>
  <c r="H33" i="14"/>
  <c r="BC33" i="14"/>
  <c r="AU33" i="14"/>
  <c r="AM33" i="14"/>
  <c r="AE33" i="14"/>
  <c r="W33" i="14"/>
  <c r="O33" i="14"/>
  <c r="G33" i="14"/>
  <c r="BB33" i="14"/>
  <c r="AT33" i="14"/>
  <c r="AL33" i="14"/>
  <c r="AD33" i="14"/>
  <c r="V33" i="14"/>
  <c r="N33" i="14"/>
  <c r="F33" i="14"/>
  <c r="BA33" i="14"/>
  <c r="AS33" i="14"/>
  <c r="AK33" i="14"/>
  <c r="AC33" i="14"/>
  <c r="U33" i="14"/>
  <c r="M33" i="14"/>
  <c r="E33" i="14"/>
  <c r="AJ33" i="14"/>
  <c r="AB33" i="14"/>
  <c r="T33" i="14"/>
  <c r="L33" i="14"/>
  <c r="D33" i="14"/>
  <c r="AZ33" i="14"/>
  <c r="AR33" i="14"/>
  <c r="U44" i="17"/>
  <c r="U40" i="17"/>
  <c r="U36" i="17"/>
  <c r="U32" i="17"/>
  <c r="U28" i="17"/>
  <c r="U45" i="17"/>
  <c r="U37" i="17"/>
  <c r="U33" i="17"/>
  <c r="U29" i="17"/>
  <c r="U25" i="17"/>
  <c r="U21" i="17"/>
  <c r="U46" i="17"/>
  <c r="U38" i="17"/>
  <c r="U34" i="17"/>
  <c r="U30" i="17"/>
  <c r="U43" i="17"/>
  <c r="U39" i="17"/>
  <c r="U35" i="17"/>
  <c r="U31" i="17"/>
  <c r="U27" i="17"/>
  <c r="U23" i="17"/>
  <c r="U19" i="17"/>
  <c r="U22" i="17"/>
  <c r="U15" i="17"/>
  <c r="U11" i="17"/>
  <c r="U7" i="17"/>
  <c r="U3" i="17"/>
  <c r="U24" i="17"/>
  <c r="U16" i="17"/>
  <c r="U12" i="17"/>
  <c r="U8" i="17"/>
  <c r="U4" i="17"/>
  <c r="U26" i="17"/>
  <c r="U18" i="17"/>
  <c r="U17" i="17"/>
  <c r="U13" i="17"/>
  <c r="U9" i="17"/>
  <c r="U5" i="17"/>
  <c r="U20" i="17"/>
  <c r="U14" i="17"/>
  <c r="U10" i="17"/>
  <c r="U6" i="17"/>
  <c r="U2" i="17"/>
  <c r="B40" i="16"/>
  <c r="AY2" i="28"/>
  <c r="AY8" i="28"/>
  <c r="AY22" i="28"/>
  <c r="AQ2" i="28"/>
  <c r="AQ16" i="28"/>
  <c r="AQ24" i="28"/>
  <c r="AQ43" i="28"/>
  <c r="AI14" i="28"/>
  <c r="AI22" i="28"/>
  <c r="AI30" i="28"/>
  <c r="AA18" i="28"/>
  <c r="S16" i="28"/>
  <c r="S43" i="28"/>
  <c r="K26" i="28"/>
  <c r="K30" i="28"/>
  <c r="K46" i="28"/>
  <c r="C24" i="28"/>
  <c r="C26" i="28"/>
  <c r="AW38" i="27"/>
  <c r="AO35" i="27"/>
  <c r="AG30" i="27"/>
  <c r="AM36" i="26"/>
  <c r="AE32" i="26"/>
  <c r="W35" i="26"/>
  <c r="BA8" i="25"/>
  <c r="BA40" i="25"/>
  <c r="BA45" i="25"/>
  <c r="BA23" i="25"/>
  <c r="BA26" i="25"/>
  <c r="AS16" i="25"/>
  <c r="AS7" i="25"/>
  <c r="AS21" i="25"/>
  <c r="AS24" i="25"/>
  <c r="AK15" i="25"/>
  <c r="AK5" i="25"/>
  <c r="AK29" i="25"/>
  <c r="AK45" i="25"/>
  <c r="AC32" i="25"/>
  <c r="AC37" i="25"/>
  <c r="U4" i="25"/>
  <c r="U10" i="25"/>
  <c r="U21" i="25"/>
  <c r="U24" i="25"/>
  <c r="E2" i="25"/>
  <c r="E15" i="25"/>
  <c r="E45" i="25"/>
  <c r="AY7" i="25"/>
  <c r="AY22" i="25"/>
  <c r="AY20" i="25"/>
  <c r="AY23" i="25"/>
  <c r="AY37" i="25"/>
  <c r="AY42" i="25"/>
  <c r="AA5" i="25"/>
  <c r="AA33" i="25"/>
  <c r="AY9" i="14"/>
  <c r="AQ9" i="14"/>
  <c r="AI9" i="14"/>
  <c r="AA9" i="14"/>
  <c r="S9" i="14"/>
  <c r="K9" i="14"/>
  <c r="C9" i="14"/>
  <c r="AX9" i="14"/>
  <c r="AP9" i="14"/>
  <c r="AH9" i="14"/>
  <c r="Z9" i="14"/>
  <c r="R9" i="14"/>
  <c r="J9" i="14"/>
  <c r="B9" i="14"/>
  <c r="AW9" i="14"/>
  <c r="AO9" i="14"/>
  <c r="AG9" i="14"/>
  <c r="Y9" i="14"/>
  <c r="Q9" i="14"/>
  <c r="I9" i="14"/>
  <c r="AV9" i="14"/>
  <c r="AN9" i="14"/>
  <c r="AF9" i="14"/>
  <c r="X9" i="14"/>
  <c r="P9" i="14"/>
  <c r="H9" i="14"/>
  <c r="BC9" i="14"/>
  <c r="AU9" i="14"/>
  <c r="AM9" i="14"/>
  <c r="AE9" i="14"/>
  <c r="W9" i="14"/>
  <c r="O9" i="14"/>
  <c r="G9" i="14"/>
  <c r="BB9" i="14"/>
  <c r="AT9" i="14"/>
  <c r="AL9" i="14"/>
  <c r="AD9" i="14"/>
  <c r="V9" i="14"/>
  <c r="N9" i="14"/>
  <c r="F9" i="14"/>
  <c r="BA9" i="14"/>
  <c r="AS9" i="14"/>
  <c r="AK9" i="14"/>
  <c r="AC9" i="14"/>
  <c r="U9" i="14"/>
  <c r="M9" i="14"/>
  <c r="E9" i="14"/>
  <c r="AZ9" i="14"/>
  <c r="AR9" i="14"/>
  <c r="AJ9" i="14"/>
  <c r="AB9" i="14"/>
  <c r="T9" i="14"/>
  <c r="L9" i="14"/>
  <c r="D9" i="14"/>
  <c r="C43" i="17"/>
  <c r="C39" i="17"/>
  <c r="C35" i="17"/>
  <c r="C31" i="17"/>
  <c r="C44" i="17"/>
  <c r="C40" i="17"/>
  <c r="C36" i="17"/>
  <c r="C32" i="17"/>
  <c r="C28" i="17"/>
  <c r="C24" i="17"/>
  <c r="C20" i="17"/>
  <c r="C45" i="17"/>
  <c r="C37" i="17"/>
  <c r="C33" i="17"/>
  <c r="C29" i="17"/>
  <c r="C46" i="17"/>
  <c r="C38" i="17"/>
  <c r="C34" i="17"/>
  <c r="C30" i="17"/>
  <c r="C26" i="17"/>
  <c r="C22" i="17"/>
  <c r="C18" i="17"/>
  <c r="C25" i="17"/>
  <c r="C14" i="17"/>
  <c r="C10" i="17"/>
  <c r="C6" i="17"/>
  <c r="C2" i="17"/>
  <c r="C27" i="17"/>
  <c r="C19" i="17"/>
  <c r="C15" i="17"/>
  <c r="C11" i="17"/>
  <c r="C7" i="17"/>
  <c r="C3" i="17"/>
  <c r="C21" i="17"/>
  <c r="C16" i="17"/>
  <c r="C12" i="17"/>
  <c r="C8" i="17"/>
  <c r="C4" i="17"/>
  <c r="C23" i="17"/>
  <c r="C17" i="17"/>
  <c r="C13" i="17"/>
  <c r="C9" i="17"/>
  <c r="C5" i="17"/>
  <c r="BB41" i="18"/>
  <c r="AJ41" i="18"/>
  <c r="T41" i="18"/>
  <c r="D41" i="18"/>
  <c r="T45" i="18"/>
  <c r="T37" i="18"/>
  <c r="T33" i="18"/>
  <c r="T29" i="18"/>
  <c r="T25" i="18"/>
  <c r="T46" i="18"/>
  <c r="T38" i="18"/>
  <c r="T34" i="18"/>
  <c r="T30" i="18"/>
  <c r="T26" i="18"/>
  <c r="T22" i="18"/>
  <c r="T43" i="18"/>
  <c r="T39" i="18"/>
  <c r="T35" i="18"/>
  <c r="T31" i="18"/>
  <c r="T27" i="18"/>
  <c r="T23" i="18"/>
  <c r="T44" i="18"/>
  <c r="T40" i="18"/>
  <c r="T36" i="18"/>
  <c r="T32" i="18"/>
  <c r="T28" i="18"/>
  <c r="T24" i="18"/>
  <c r="T20" i="18"/>
  <c r="T19" i="18"/>
  <c r="T15" i="18"/>
  <c r="T11" i="18"/>
  <c r="T7" i="18"/>
  <c r="T3" i="18"/>
  <c r="T21" i="18"/>
  <c r="T16" i="18"/>
  <c r="T12" i="18"/>
  <c r="T8" i="18"/>
  <c r="T4" i="18"/>
  <c r="T17" i="18"/>
  <c r="T13" i="18"/>
  <c r="T9" i="18"/>
  <c r="T5" i="18"/>
  <c r="T18" i="18"/>
  <c r="T14" i="18"/>
  <c r="T10" i="18"/>
  <c r="T6" i="18"/>
  <c r="T2" i="18"/>
  <c r="AP46" i="17"/>
  <c r="AP38" i="17"/>
  <c r="AP34" i="17"/>
  <c r="AP30" i="17"/>
  <c r="AP26" i="17"/>
  <c r="AP22" i="17"/>
  <c r="AP43" i="17"/>
  <c r="AP39" i="17"/>
  <c r="AP35" i="17"/>
  <c r="AP44" i="17"/>
  <c r="AP40" i="17"/>
  <c r="AP36" i="17"/>
  <c r="AP32" i="17"/>
  <c r="AP28" i="17"/>
  <c r="AP24" i="17"/>
  <c r="AP20" i="17"/>
  <c r="AP45" i="17"/>
  <c r="AP37" i="17"/>
  <c r="AP33" i="17"/>
  <c r="AP27" i="17"/>
  <c r="AP19" i="17"/>
  <c r="AP17" i="17"/>
  <c r="AP13" i="17"/>
  <c r="AP9" i="17"/>
  <c r="AP5" i="17"/>
  <c r="AP21" i="17"/>
  <c r="AP14" i="17"/>
  <c r="AP10" i="17"/>
  <c r="AP6" i="17"/>
  <c r="AP2" i="17"/>
  <c r="AP29" i="17"/>
  <c r="AP23" i="17"/>
  <c r="AP15" i="17"/>
  <c r="AP11" i="17"/>
  <c r="AP7" i="17"/>
  <c r="AP3" i="17"/>
  <c r="AP18" i="17"/>
  <c r="AP31" i="17"/>
  <c r="AP25" i="17"/>
  <c r="AP16" i="17"/>
  <c r="AP12" i="17"/>
  <c r="AP8" i="17"/>
  <c r="AP4" i="17"/>
  <c r="J46" i="17"/>
  <c r="J38" i="17"/>
  <c r="J34" i="17"/>
  <c r="J30" i="17"/>
  <c r="J26" i="17"/>
  <c r="J22" i="17"/>
  <c r="J43" i="17"/>
  <c r="J39" i="17"/>
  <c r="J35" i="17"/>
  <c r="J44" i="17"/>
  <c r="J40" i="17"/>
  <c r="J36" i="17"/>
  <c r="J32" i="17"/>
  <c r="J28" i="17"/>
  <c r="J24" i="17"/>
  <c r="J20" i="17"/>
  <c r="J45" i="17"/>
  <c r="J37" i="17"/>
  <c r="J33" i="17"/>
  <c r="J27" i="17"/>
  <c r="J19" i="17"/>
  <c r="J17" i="17"/>
  <c r="J13" i="17"/>
  <c r="J9" i="17"/>
  <c r="J5" i="17"/>
  <c r="J31" i="17"/>
  <c r="J21" i="17"/>
  <c r="J14" i="17"/>
  <c r="J10" i="17"/>
  <c r="J6" i="17"/>
  <c r="J2" i="17"/>
  <c r="J29" i="17"/>
  <c r="J23" i="17"/>
  <c r="J15" i="17"/>
  <c r="J11" i="17"/>
  <c r="J7" i="17"/>
  <c r="J3" i="17"/>
  <c r="J18" i="17"/>
  <c r="J25" i="17"/>
  <c r="J16" i="17"/>
  <c r="J12" i="17"/>
  <c r="J8" i="17"/>
  <c r="J4" i="17"/>
  <c r="AF45" i="16"/>
  <c r="AF37" i="16"/>
  <c r="AF33" i="16"/>
  <c r="AF29" i="16"/>
  <c r="AF25" i="16"/>
  <c r="AF21" i="16"/>
  <c r="AF46" i="16"/>
  <c r="AF38" i="16"/>
  <c r="AF34" i="16"/>
  <c r="AF30" i="16"/>
  <c r="AF26" i="16"/>
  <c r="AF22" i="16"/>
  <c r="AF18" i="16"/>
  <c r="AF14" i="16"/>
  <c r="AF10" i="16"/>
  <c r="AF43" i="16"/>
  <c r="AF39" i="16"/>
  <c r="AF35" i="16"/>
  <c r="AF31" i="16"/>
  <c r="AF27" i="16"/>
  <c r="AF23" i="16"/>
  <c r="AF44" i="16"/>
  <c r="AF40" i="16"/>
  <c r="AF36" i="16"/>
  <c r="AF32" i="16"/>
  <c r="AF28" i="16"/>
  <c r="AF24" i="16"/>
  <c r="AF20" i="16"/>
  <c r="AF16" i="16"/>
  <c r="AF12" i="16"/>
  <c r="AF19" i="16"/>
  <c r="AF15" i="16"/>
  <c r="AF4" i="16"/>
  <c r="AF17" i="16"/>
  <c r="AF5" i="16"/>
  <c r="AF11" i="16"/>
  <c r="AF2" i="16"/>
  <c r="AF9" i="16"/>
  <c r="AF8" i="16"/>
  <c r="AF13" i="16"/>
  <c r="AF7" i="16"/>
  <c r="AF6" i="16"/>
  <c r="AF3" i="16"/>
  <c r="BB44" i="15"/>
  <c r="BB40" i="15"/>
  <c r="BB36" i="15"/>
  <c r="BB32" i="15"/>
  <c r="BB28" i="15"/>
  <c r="BB24" i="15"/>
  <c r="BB20" i="15"/>
  <c r="BB16" i="15"/>
  <c r="BB12" i="15"/>
  <c r="BB45" i="15"/>
  <c r="BB37" i="15"/>
  <c r="BB33" i="15"/>
  <c r="BB29" i="15"/>
  <c r="BB25" i="15"/>
  <c r="BB21" i="15"/>
  <c r="BB17" i="15"/>
  <c r="BB13" i="15"/>
  <c r="BB9" i="15"/>
  <c r="BB5" i="15"/>
  <c r="BB46" i="15"/>
  <c r="BB38" i="15"/>
  <c r="BB34" i="15"/>
  <c r="BB30" i="15"/>
  <c r="BB26" i="15"/>
  <c r="BB22" i="15"/>
  <c r="BB18" i="15"/>
  <c r="BB14" i="15"/>
  <c r="BB10" i="15"/>
  <c r="BB43" i="15"/>
  <c r="BB39" i="15"/>
  <c r="BB35" i="15"/>
  <c r="BB31" i="15"/>
  <c r="BB27" i="15"/>
  <c r="BB23" i="15"/>
  <c r="BB19" i="15"/>
  <c r="BB15" i="15"/>
  <c r="BB11" i="15"/>
  <c r="BB7" i="15"/>
  <c r="BB3" i="15"/>
  <c r="BB6" i="15"/>
  <c r="BB4" i="15"/>
  <c r="BB2" i="15"/>
  <c r="BB8" i="15"/>
  <c r="V44" i="15"/>
  <c r="V40" i="15"/>
  <c r="V36" i="15"/>
  <c r="V32" i="15"/>
  <c r="V28" i="15"/>
  <c r="V24" i="15"/>
  <c r="V20" i="15"/>
  <c r="V16" i="15"/>
  <c r="V12" i="15"/>
  <c r="V45" i="15"/>
  <c r="V37" i="15"/>
  <c r="V33" i="15"/>
  <c r="V29" i="15"/>
  <c r="V25" i="15"/>
  <c r="V21" i="15"/>
  <c r="V17" i="15"/>
  <c r="V13" i="15"/>
  <c r="V9" i="15"/>
  <c r="V5" i="15"/>
  <c r="V46" i="15"/>
  <c r="V38" i="15"/>
  <c r="V34" i="15"/>
  <c r="V30" i="15"/>
  <c r="V26" i="15"/>
  <c r="V22" i="15"/>
  <c r="V18" i="15"/>
  <c r="V14" i="15"/>
  <c r="V10" i="15"/>
  <c r="V43" i="15"/>
  <c r="V39" i="15"/>
  <c r="V35" i="15"/>
  <c r="V31" i="15"/>
  <c r="V27" i="15"/>
  <c r="V23" i="15"/>
  <c r="V19" i="15"/>
  <c r="V15" i="15"/>
  <c r="V11" i="15"/>
  <c r="V7" i="15"/>
  <c r="V3" i="15"/>
  <c r="V8" i="15"/>
  <c r="V6" i="15"/>
  <c r="V4" i="15"/>
  <c r="V2" i="15"/>
  <c r="AR12" i="25"/>
  <c r="AR25" i="25"/>
  <c r="AR7" i="25"/>
  <c r="AR22" i="25"/>
  <c r="AJ16" i="25"/>
  <c r="AJ5" i="25"/>
  <c r="AJ19" i="25"/>
  <c r="AJ41" i="25"/>
  <c r="AB16" i="25"/>
  <c r="AB17" i="25"/>
  <c r="T4" i="25"/>
  <c r="T2" i="25"/>
  <c r="T29" i="25"/>
  <c r="T11" i="25"/>
  <c r="T26" i="25"/>
  <c r="T33" i="25"/>
  <c r="L4" i="25"/>
  <c r="L9" i="25"/>
  <c r="L28" i="25"/>
  <c r="L23" i="25"/>
  <c r="L45" i="25"/>
  <c r="D6" i="25"/>
  <c r="D21" i="25"/>
  <c r="D3" i="25"/>
  <c r="D42" i="25"/>
  <c r="AZ41" i="16"/>
  <c r="AW14" i="28"/>
  <c r="AW22" i="28"/>
  <c r="AW38" i="28"/>
  <c r="W44" i="27"/>
  <c r="AD44" i="27"/>
  <c r="AD40" i="27"/>
  <c r="AD36" i="27"/>
  <c r="AD45" i="27"/>
  <c r="AD41" i="27"/>
  <c r="AD37" i="27"/>
  <c r="AD43" i="27"/>
  <c r="AD39" i="27"/>
  <c r="AD35" i="27"/>
  <c r="AD31" i="27"/>
  <c r="AD46" i="27"/>
  <c r="AD30" i="27"/>
  <c r="AD42" i="27"/>
  <c r="AD26" i="27"/>
  <c r="AD22" i="27"/>
  <c r="AD18" i="27"/>
  <c r="AD38" i="27"/>
  <c r="AD32" i="27"/>
  <c r="AD29" i="27"/>
  <c r="AD34" i="27"/>
  <c r="AD15" i="27"/>
  <c r="AD11" i="27"/>
  <c r="AD7" i="27"/>
  <c r="AD28" i="27"/>
  <c r="AD21" i="27"/>
  <c r="AD25" i="27"/>
  <c r="AD20" i="27"/>
  <c r="AD27" i="27"/>
  <c r="AD13" i="27"/>
  <c r="AD9" i="27"/>
  <c r="AD5" i="27"/>
  <c r="AD33" i="27"/>
  <c r="AD19" i="27"/>
  <c r="AD3" i="27"/>
  <c r="AD10" i="27"/>
  <c r="AD17" i="27"/>
  <c r="AD14" i="27"/>
  <c r="AD12" i="27"/>
  <c r="AD6" i="27"/>
  <c r="AD24" i="27"/>
  <c r="AD2" i="27"/>
  <c r="AD8" i="27"/>
  <c r="AD16" i="27"/>
  <c r="AD4" i="27"/>
  <c r="AD23" i="27"/>
  <c r="AS46" i="18"/>
  <c r="AS38" i="18"/>
  <c r="AS34" i="18"/>
  <c r="AS30" i="18"/>
  <c r="AS26" i="18"/>
  <c r="AS22" i="18"/>
  <c r="AS43" i="18"/>
  <c r="AS39" i="18"/>
  <c r="AS35" i="18"/>
  <c r="AS31" i="18"/>
  <c r="AS27" i="18"/>
  <c r="AS23" i="18"/>
  <c r="AS44" i="18"/>
  <c r="AS40" i="18"/>
  <c r="AS36" i="18"/>
  <c r="AS32" i="18"/>
  <c r="AS28" i="18"/>
  <c r="AS24" i="18"/>
  <c r="AS45" i="18"/>
  <c r="AS37" i="18"/>
  <c r="AS29" i="18"/>
  <c r="AS21" i="18"/>
  <c r="AS15" i="18"/>
  <c r="AS11" i="18"/>
  <c r="AS7" i="18"/>
  <c r="AS3" i="18"/>
  <c r="AS20" i="18"/>
  <c r="AS19" i="18"/>
  <c r="AS16" i="18"/>
  <c r="AS12" i="18"/>
  <c r="AS8" i="18"/>
  <c r="AS4" i="18"/>
  <c r="AS25" i="18"/>
  <c r="AS17" i="18"/>
  <c r="AS13" i="18"/>
  <c r="AS9" i="18"/>
  <c r="AS5" i="18"/>
  <c r="AS33" i="18"/>
  <c r="AS18" i="18"/>
  <c r="AS14" i="18"/>
  <c r="AS10" i="18"/>
  <c r="AS6" i="18"/>
  <c r="AS2" i="18"/>
  <c r="C46" i="16"/>
  <c r="C38" i="16"/>
  <c r="C34" i="16"/>
  <c r="C30" i="16"/>
  <c r="C26" i="16"/>
  <c r="C22" i="16"/>
  <c r="C43" i="16"/>
  <c r="C39" i="16"/>
  <c r="C35" i="16"/>
  <c r="C31" i="16"/>
  <c r="C27" i="16"/>
  <c r="C23" i="16"/>
  <c r="C19" i="16"/>
  <c r="C15" i="16"/>
  <c r="C11" i="16"/>
  <c r="C7" i="16"/>
  <c r="C44" i="16"/>
  <c r="C40" i="16"/>
  <c r="C36" i="16"/>
  <c r="C32" i="16"/>
  <c r="C28" i="16"/>
  <c r="C24" i="16"/>
  <c r="C20" i="16"/>
  <c r="C45" i="16"/>
  <c r="C37" i="16"/>
  <c r="C33" i="16"/>
  <c r="C29" i="16"/>
  <c r="C25" i="16"/>
  <c r="C21" i="16"/>
  <c r="C17" i="16"/>
  <c r="C13" i="16"/>
  <c r="C9" i="16"/>
  <c r="C14" i="16"/>
  <c r="C6" i="16"/>
  <c r="C2" i="16"/>
  <c r="C16" i="16"/>
  <c r="C8" i="16"/>
  <c r="C3" i="16"/>
  <c r="C18" i="16"/>
  <c r="C10" i="16"/>
  <c r="C4" i="16"/>
  <c r="C12" i="16"/>
  <c r="C5" i="16"/>
  <c r="U43" i="16"/>
  <c r="U39" i="16"/>
  <c r="U35" i="16"/>
  <c r="U31" i="16"/>
  <c r="U27" i="16"/>
  <c r="U23" i="16"/>
  <c r="U19" i="16"/>
  <c r="U44" i="16"/>
  <c r="U40" i="16"/>
  <c r="U36" i="16"/>
  <c r="U32" i="16"/>
  <c r="U28" i="16"/>
  <c r="U24" i="16"/>
  <c r="U20" i="16"/>
  <c r="U16" i="16"/>
  <c r="U12" i="16"/>
  <c r="U8" i="16"/>
  <c r="U45" i="16"/>
  <c r="U37" i="16"/>
  <c r="U33" i="16"/>
  <c r="U29" i="16"/>
  <c r="U25" i="16"/>
  <c r="U21" i="16"/>
  <c r="U46" i="16"/>
  <c r="U38" i="16"/>
  <c r="U34" i="16"/>
  <c r="U30" i="16"/>
  <c r="U26" i="16"/>
  <c r="U22" i="16"/>
  <c r="U18" i="16"/>
  <c r="U14" i="16"/>
  <c r="U10" i="16"/>
  <c r="U11" i="16"/>
  <c r="U3" i="16"/>
  <c r="U13" i="16"/>
  <c r="U4" i="16"/>
  <c r="U15" i="16"/>
  <c r="U9" i="16"/>
  <c r="U5" i="16"/>
  <c r="U7" i="16"/>
  <c r="U17" i="16"/>
  <c r="U6" i="16"/>
  <c r="U2" i="16"/>
  <c r="Q45" i="16"/>
  <c r="Q37" i="16"/>
  <c r="Q33" i="16"/>
  <c r="Q29" i="16"/>
  <c r="Q25" i="16"/>
  <c r="Q21" i="16"/>
  <c r="Q46" i="16"/>
  <c r="Q38" i="16"/>
  <c r="Q34" i="16"/>
  <c r="Q30" i="16"/>
  <c r="Q26" i="16"/>
  <c r="Q22" i="16"/>
  <c r="Q18" i="16"/>
  <c r="Q14" i="16"/>
  <c r="Q10" i="16"/>
  <c r="Q43" i="16"/>
  <c r="Q39" i="16"/>
  <c r="Q35" i="16"/>
  <c r="Q31" i="16"/>
  <c r="Q27" i="16"/>
  <c r="Q23" i="16"/>
  <c r="Q19" i="16"/>
  <c r="Q44" i="16"/>
  <c r="Q40" i="16"/>
  <c r="Q36" i="16"/>
  <c r="Q32" i="16"/>
  <c r="Q28" i="16"/>
  <c r="Q24" i="16"/>
  <c r="Q20" i="16"/>
  <c r="Q16" i="16"/>
  <c r="Q12" i="16"/>
  <c r="Q8" i="16"/>
  <c r="Q9" i="16"/>
  <c r="Q17" i="16"/>
  <c r="Q7" i="16"/>
  <c r="Q5" i="16"/>
  <c r="Q11" i="16"/>
  <c r="Q6" i="16"/>
  <c r="Q2" i="16"/>
  <c r="Q13" i="16"/>
  <c r="Q3" i="16"/>
  <c r="Q15" i="16"/>
  <c r="Q4" i="16"/>
  <c r="AA45" i="18"/>
  <c r="AA37" i="18"/>
  <c r="AA33" i="18"/>
  <c r="AA29" i="18"/>
  <c r="AA25" i="18"/>
  <c r="AA46" i="18"/>
  <c r="AA38" i="18"/>
  <c r="AA34" i="18"/>
  <c r="AA30" i="18"/>
  <c r="AA26" i="18"/>
  <c r="AA43" i="18"/>
  <c r="AA39" i="18"/>
  <c r="AA35" i="18"/>
  <c r="AA31" i="18"/>
  <c r="AA27" i="18"/>
  <c r="AA23" i="18"/>
  <c r="AA44" i="18"/>
  <c r="AA40" i="18"/>
  <c r="AA36" i="18"/>
  <c r="AA18" i="18"/>
  <c r="AA14" i="18"/>
  <c r="AA10" i="18"/>
  <c r="AA6" i="18"/>
  <c r="AA2" i="18"/>
  <c r="AA28" i="18"/>
  <c r="AA19" i="18"/>
  <c r="AA15" i="18"/>
  <c r="AA11" i="18"/>
  <c r="AA7" i="18"/>
  <c r="AA3" i="18"/>
  <c r="AA24" i="18"/>
  <c r="AA16" i="18"/>
  <c r="AA12" i="18"/>
  <c r="AA8" i="18"/>
  <c r="AA4" i="18"/>
  <c r="AA32" i="18"/>
  <c r="AA22" i="18"/>
  <c r="AA21" i="18"/>
  <c r="AA20" i="18"/>
  <c r="AA17" i="18"/>
  <c r="AA13" i="18"/>
  <c r="AA9" i="18"/>
  <c r="AA5" i="18"/>
  <c r="AU44" i="16"/>
  <c r="AU40" i="16"/>
  <c r="AU36" i="16"/>
  <c r="AU32" i="16"/>
  <c r="AU28" i="16"/>
  <c r="AU24" i="16"/>
  <c r="AU20" i="16"/>
  <c r="AU45" i="16"/>
  <c r="AU37" i="16"/>
  <c r="AU33" i="16"/>
  <c r="AU29" i="16"/>
  <c r="AU25" i="16"/>
  <c r="AU21" i="16"/>
  <c r="AU17" i="16"/>
  <c r="AU13" i="16"/>
  <c r="AU9" i="16"/>
  <c r="AU46" i="16"/>
  <c r="AU38" i="16"/>
  <c r="AU34" i="16"/>
  <c r="AU30" i="16"/>
  <c r="AU26" i="16"/>
  <c r="AU22" i="16"/>
  <c r="AU18" i="16"/>
  <c r="AU43" i="16"/>
  <c r="AU39" i="16"/>
  <c r="AU35" i="16"/>
  <c r="AU31" i="16"/>
  <c r="AU27" i="16"/>
  <c r="AU23" i="16"/>
  <c r="AU19" i="16"/>
  <c r="AU15" i="16"/>
  <c r="AU11" i="16"/>
  <c r="AU7" i="16"/>
  <c r="AU12" i="16"/>
  <c r="AU4" i="16"/>
  <c r="AU8" i="16"/>
  <c r="AU14" i="16"/>
  <c r="AU6" i="16"/>
  <c r="AU5" i="16"/>
  <c r="AU16" i="16"/>
  <c r="AU2" i="16"/>
  <c r="AU10" i="16"/>
  <c r="AU3" i="16"/>
  <c r="AE43" i="18"/>
  <c r="AE39" i="18"/>
  <c r="AE35" i="18"/>
  <c r="AE31" i="18"/>
  <c r="AE27" i="18"/>
  <c r="AE23" i="18"/>
  <c r="AE44" i="18"/>
  <c r="AE40" i="18"/>
  <c r="AE36" i="18"/>
  <c r="AE32" i="18"/>
  <c r="AE28" i="18"/>
  <c r="AE24" i="18"/>
  <c r="AE45" i="18"/>
  <c r="AE37" i="18"/>
  <c r="AE33" i="18"/>
  <c r="AE29" i="18"/>
  <c r="AE25" i="18"/>
  <c r="AE46" i="18"/>
  <c r="AE38" i="18"/>
  <c r="AE34" i="18"/>
  <c r="AE16" i="18"/>
  <c r="AE12" i="18"/>
  <c r="AE8" i="18"/>
  <c r="AE4" i="18"/>
  <c r="AE17" i="18"/>
  <c r="AE13" i="18"/>
  <c r="AE9" i="18"/>
  <c r="AE5" i="18"/>
  <c r="AE30" i="18"/>
  <c r="AE22" i="18"/>
  <c r="AE21" i="18"/>
  <c r="AE20" i="18"/>
  <c r="AE18" i="18"/>
  <c r="AE14" i="18"/>
  <c r="AE10" i="18"/>
  <c r="AE6" i="18"/>
  <c r="AE2" i="18"/>
  <c r="AE26" i="18"/>
  <c r="AE19" i="18"/>
  <c r="AE15" i="18"/>
  <c r="AE11" i="18"/>
  <c r="AE7" i="18"/>
  <c r="AE3" i="18"/>
  <c r="BC42" i="25"/>
  <c r="AU4" i="25"/>
  <c r="AE42" i="25"/>
  <c r="AD46" i="18"/>
  <c r="AD38" i="18"/>
  <c r="AD34" i="18"/>
  <c r="AD30" i="18"/>
  <c r="AD26" i="18"/>
  <c r="AD43" i="18"/>
  <c r="AD39" i="18"/>
  <c r="AD35" i="18"/>
  <c r="AD31" i="18"/>
  <c r="AD27" i="18"/>
  <c r="AD23" i="18"/>
  <c r="AD44" i="18"/>
  <c r="AD40" i="18"/>
  <c r="AD36" i="18"/>
  <c r="AD32" i="18"/>
  <c r="AD28" i="18"/>
  <c r="AD24" i="18"/>
  <c r="AD45" i="18"/>
  <c r="AD37" i="18"/>
  <c r="AD33" i="18"/>
  <c r="AD29" i="18"/>
  <c r="AD25" i="18"/>
  <c r="AD21" i="18"/>
  <c r="AD16" i="18"/>
  <c r="AD12" i="18"/>
  <c r="AD8" i="18"/>
  <c r="AD4" i="18"/>
  <c r="AD17" i="18"/>
  <c r="AD13" i="18"/>
  <c r="AD9" i="18"/>
  <c r="AD5" i="18"/>
  <c r="AD22" i="18"/>
  <c r="AD20" i="18"/>
  <c r="AD18" i="18"/>
  <c r="AD14" i="18"/>
  <c r="AD10" i="18"/>
  <c r="AD6" i="18"/>
  <c r="AD2" i="18"/>
  <c r="AD19" i="18"/>
  <c r="AD15" i="18"/>
  <c r="AD11" i="18"/>
  <c r="AD7" i="18"/>
  <c r="AD3" i="18"/>
  <c r="AF45" i="15"/>
  <c r="AF37" i="15"/>
  <c r="AF33" i="15"/>
  <c r="AF29" i="15"/>
  <c r="AF25" i="15"/>
  <c r="AF21" i="15"/>
  <c r="AF17" i="15"/>
  <c r="AF13" i="15"/>
  <c r="AF9" i="15"/>
  <c r="AF46" i="15"/>
  <c r="AF38" i="15"/>
  <c r="AF34" i="15"/>
  <c r="AF30" i="15"/>
  <c r="AF26" i="15"/>
  <c r="AF22" i="15"/>
  <c r="AF18" i="15"/>
  <c r="AF14" i="15"/>
  <c r="AF10" i="15"/>
  <c r="AF6" i="15"/>
  <c r="AF2" i="15"/>
  <c r="AF43" i="15"/>
  <c r="AF39" i="15"/>
  <c r="AF35" i="15"/>
  <c r="AF31" i="15"/>
  <c r="AF27" i="15"/>
  <c r="AF23" i="15"/>
  <c r="AF19" i="15"/>
  <c r="AF15" i="15"/>
  <c r="AF11" i="15"/>
  <c r="AF44" i="15"/>
  <c r="AF40" i="15"/>
  <c r="AF36" i="15"/>
  <c r="AF32" i="15"/>
  <c r="AF28" i="15"/>
  <c r="AF24" i="15"/>
  <c r="AF20" i="15"/>
  <c r="AF16" i="15"/>
  <c r="AF12" i="15"/>
  <c r="AF8" i="15"/>
  <c r="AF4" i="15"/>
  <c r="AF7" i="15"/>
  <c r="AF5" i="15"/>
  <c r="AF3" i="15"/>
  <c r="AA46" i="16"/>
  <c r="AA38" i="16"/>
  <c r="AA34" i="16"/>
  <c r="AA30" i="16"/>
  <c r="AA26" i="16"/>
  <c r="AA22" i="16"/>
  <c r="AA43" i="16"/>
  <c r="AA39" i="16"/>
  <c r="AA35" i="16"/>
  <c r="AA31" i="16"/>
  <c r="AA27" i="16"/>
  <c r="AA23" i="16"/>
  <c r="AA19" i="16"/>
  <c r="AA15" i="16"/>
  <c r="AA11" i="16"/>
  <c r="AA7" i="16"/>
  <c r="AA44" i="16"/>
  <c r="AA40" i="16"/>
  <c r="AA36" i="16"/>
  <c r="AA32" i="16"/>
  <c r="AA28" i="16"/>
  <c r="AA24" i="16"/>
  <c r="AA20" i="16"/>
  <c r="AA45" i="16"/>
  <c r="AA37" i="16"/>
  <c r="AA33" i="16"/>
  <c r="AA29" i="16"/>
  <c r="AA25" i="16"/>
  <c r="AA21" i="16"/>
  <c r="AA17" i="16"/>
  <c r="AA13" i="16"/>
  <c r="AA9" i="16"/>
  <c r="AA18" i="16"/>
  <c r="AA10" i="16"/>
  <c r="AA8" i="16"/>
  <c r="AA2" i="16"/>
  <c r="AA6" i="16"/>
  <c r="AA12" i="16"/>
  <c r="AA3" i="16"/>
  <c r="AA14" i="16"/>
  <c r="AA4" i="16"/>
  <c r="AA16" i="16"/>
  <c r="AA5" i="16"/>
  <c r="BC11" i="14"/>
  <c r="AU11" i="14"/>
  <c r="AM11" i="14"/>
  <c r="AE11" i="14"/>
  <c r="W11" i="14"/>
  <c r="O11" i="14"/>
  <c r="G11" i="14"/>
  <c r="BB11" i="14"/>
  <c r="AT11" i="14"/>
  <c r="AL11" i="14"/>
  <c r="AD11" i="14"/>
  <c r="V11" i="14"/>
  <c r="N11" i="14"/>
  <c r="F11" i="14"/>
  <c r="BA11" i="14"/>
  <c r="AS11" i="14"/>
  <c r="AK11" i="14"/>
  <c r="AC11" i="14"/>
  <c r="U11" i="14"/>
  <c r="M11" i="14"/>
  <c r="E11" i="14"/>
  <c r="AZ11" i="14"/>
  <c r="AR11" i="14"/>
  <c r="AJ11" i="14"/>
  <c r="AB11" i="14"/>
  <c r="T11" i="14"/>
  <c r="L11" i="14"/>
  <c r="D11" i="14"/>
  <c r="AY11" i="14"/>
  <c r="AQ11" i="14"/>
  <c r="AI11" i="14"/>
  <c r="AA11" i="14"/>
  <c r="S11" i="14"/>
  <c r="K11" i="14"/>
  <c r="C11" i="14"/>
  <c r="AX11" i="14"/>
  <c r="AP11" i="14"/>
  <c r="AH11" i="14"/>
  <c r="Z11" i="14"/>
  <c r="R11" i="14"/>
  <c r="J11" i="14"/>
  <c r="B11" i="14"/>
  <c r="AW11" i="14"/>
  <c r="AO11" i="14"/>
  <c r="AG11" i="14"/>
  <c r="Y11" i="14"/>
  <c r="Q11" i="14"/>
  <c r="I11" i="14"/>
  <c r="H11" i="14"/>
  <c r="P11" i="14"/>
  <c r="AV11" i="14"/>
  <c r="AN11" i="14"/>
  <c r="AF11" i="14"/>
  <c r="X11" i="14"/>
  <c r="AT45" i="26"/>
  <c r="AT41" i="26"/>
  <c r="AT46" i="26"/>
  <c r="AT42" i="26"/>
  <c r="AT44" i="26"/>
  <c r="AT38" i="26"/>
  <c r="AT37" i="26"/>
  <c r="AT40" i="26"/>
  <c r="AT36" i="26"/>
  <c r="AT32" i="26"/>
  <c r="AT39" i="26"/>
  <c r="AT43" i="26"/>
  <c r="AT33" i="26"/>
  <c r="AT23" i="26"/>
  <c r="AT31" i="26"/>
  <c r="AT27" i="26"/>
  <c r="AT22" i="26"/>
  <c r="AT18" i="26"/>
  <c r="AT14" i="26"/>
  <c r="AT10" i="26"/>
  <c r="AT6" i="26"/>
  <c r="AT26" i="26"/>
  <c r="AT30" i="26"/>
  <c r="AT21" i="26"/>
  <c r="AT15" i="26"/>
  <c r="AT11" i="26"/>
  <c r="AT7" i="26"/>
  <c r="AT25" i="26"/>
  <c r="AT35" i="26"/>
  <c r="AT24" i="26"/>
  <c r="AT8" i="26"/>
  <c r="AT4" i="26"/>
  <c r="AT29" i="26"/>
  <c r="AT12" i="26"/>
  <c r="AT34" i="26"/>
  <c r="AT28" i="26"/>
  <c r="AT9" i="26"/>
  <c r="AT16" i="26"/>
  <c r="AT13" i="26"/>
  <c r="AT20" i="26"/>
  <c r="AT19" i="26"/>
  <c r="AT17" i="26"/>
  <c r="AT3" i="26"/>
  <c r="AT2" i="26"/>
  <c r="AT5" i="26"/>
  <c r="F41" i="16"/>
  <c r="M41" i="16"/>
  <c r="AQ41" i="15"/>
  <c r="AH42" i="18"/>
  <c r="AV43" i="28"/>
  <c r="AV39" i="28"/>
  <c r="AV35" i="28"/>
  <c r="AV45" i="28"/>
  <c r="AV41" i="28"/>
  <c r="AV37" i="28"/>
  <c r="AV42" i="28"/>
  <c r="AV34" i="28"/>
  <c r="AV32" i="28"/>
  <c r="AV28" i="28"/>
  <c r="AV33" i="28"/>
  <c r="AV29" i="28"/>
  <c r="AV46" i="28"/>
  <c r="AV38" i="28"/>
  <c r="AV30" i="28"/>
  <c r="AV24" i="28"/>
  <c r="AV20" i="28"/>
  <c r="AV25" i="28"/>
  <c r="AV21" i="28"/>
  <c r="AV26" i="28"/>
  <c r="AV22" i="28"/>
  <c r="AV44" i="28"/>
  <c r="AV40" i="28"/>
  <c r="AV16" i="28"/>
  <c r="AV31" i="28"/>
  <c r="AV27" i="28"/>
  <c r="AV17" i="28"/>
  <c r="AV13" i="28"/>
  <c r="AV15" i="28"/>
  <c r="AV11" i="28"/>
  <c r="AV18" i="28"/>
  <c r="AV12" i="28"/>
  <c r="AV10" i="28"/>
  <c r="AV9" i="28"/>
  <c r="AV14" i="28"/>
  <c r="AV8" i="28"/>
  <c r="AV7" i="28"/>
  <c r="AV6" i="28"/>
  <c r="AV23" i="28"/>
  <c r="AV19" i="28"/>
  <c r="AV5" i="28"/>
  <c r="AV4" i="28"/>
  <c r="AV2" i="28"/>
  <c r="AV36" i="28"/>
  <c r="AV3" i="28"/>
  <c r="AL44" i="27"/>
  <c r="AL40" i="27"/>
  <c r="AL36" i="27"/>
  <c r="AL45" i="27"/>
  <c r="AL41" i="27"/>
  <c r="AL37" i="27"/>
  <c r="AL43" i="27"/>
  <c r="AL39" i="27"/>
  <c r="AL35" i="27"/>
  <c r="AL31" i="27"/>
  <c r="AL34" i="27"/>
  <c r="AL33" i="27"/>
  <c r="AL32" i="27"/>
  <c r="AL26" i="27"/>
  <c r="AL22" i="27"/>
  <c r="AL18" i="27"/>
  <c r="AL30" i="27"/>
  <c r="AL38" i="27"/>
  <c r="AL25" i="27"/>
  <c r="AL17" i="27"/>
  <c r="AL16" i="27"/>
  <c r="AL27" i="27"/>
  <c r="AL19" i="27"/>
  <c r="AL11" i="27"/>
  <c r="AL7" i="27"/>
  <c r="AL24" i="27"/>
  <c r="AL23" i="27"/>
  <c r="AL15" i="27"/>
  <c r="AL29" i="27"/>
  <c r="AL13" i="27"/>
  <c r="AL9" i="27"/>
  <c r="AL5" i="27"/>
  <c r="AL14" i="27"/>
  <c r="AL3" i="27"/>
  <c r="AL42" i="27"/>
  <c r="AL6" i="27"/>
  <c r="AL28" i="27"/>
  <c r="AL8" i="27"/>
  <c r="AL10" i="27"/>
  <c r="AL46" i="27"/>
  <c r="AL21" i="27"/>
  <c r="AL4" i="27"/>
  <c r="AL2" i="27"/>
  <c r="AL12" i="27"/>
  <c r="AL20" i="27"/>
  <c r="F44" i="27"/>
  <c r="F40" i="27"/>
  <c r="F36" i="27"/>
  <c r="F45" i="27"/>
  <c r="F41" i="27"/>
  <c r="F37" i="27"/>
  <c r="F43" i="27"/>
  <c r="F39" i="27"/>
  <c r="F35" i="27"/>
  <c r="F31" i="27"/>
  <c r="F46" i="27"/>
  <c r="F33" i="27"/>
  <c r="F32" i="27"/>
  <c r="F26" i="27"/>
  <c r="F22" i="27"/>
  <c r="F42" i="27"/>
  <c r="F30" i="27"/>
  <c r="F25" i="27"/>
  <c r="F17" i="27"/>
  <c r="F16" i="27"/>
  <c r="F27" i="27"/>
  <c r="F15" i="27"/>
  <c r="F11" i="27"/>
  <c r="F7" i="27"/>
  <c r="F21" i="27"/>
  <c r="F20" i="27"/>
  <c r="F29" i="27"/>
  <c r="F24" i="27"/>
  <c r="F38" i="27"/>
  <c r="F19" i="27"/>
  <c r="F13" i="27"/>
  <c r="F9" i="27"/>
  <c r="F5" i="27"/>
  <c r="F3" i="27"/>
  <c r="F23" i="27"/>
  <c r="F4" i="27"/>
  <c r="F8" i="27"/>
  <c r="F18" i="27"/>
  <c r="F10" i="27"/>
  <c r="F6" i="27"/>
  <c r="F28" i="27"/>
  <c r="F2" i="27"/>
  <c r="F14" i="27"/>
  <c r="F12" i="27"/>
  <c r="F34" i="27"/>
  <c r="AB44" i="26"/>
  <c r="AB40" i="26"/>
  <c r="AB45" i="26"/>
  <c r="AB46" i="26"/>
  <c r="AB36" i="26"/>
  <c r="AB41" i="26"/>
  <c r="AB43" i="26"/>
  <c r="AB32" i="26"/>
  <c r="AB29" i="26"/>
  <c r="AB20" i="26"/>
  <c r="AB37" i="26"/>
  <c r="AB24" i="26"/>
  <c r="AB17" i="26"/>
  <c r="AB13" i="26"/>
  <c r="AB9" i="26"/>
  <c r="AB31" i="26"/>
  <c r="AB28" i="26"/>
  <c r="AB19" i="26"/>
  <c r="AB35" i="26"/>
  <c r="AB23" i="26"/>
  <c r="AB18" i="26"/>
  <c r="AB14" i="26"/>
  <c r="AB10" i="26"/>
  <c r="AB6" i="26"/>
  <c r="AB27" i="26"/>
  <c r="AB39" i="26"/>
  <c r="AB34" i="26"/>
  <c r="AB42" i="26"/>
  <c r="AB33" i="26"/>
  <c r="AB26" i="26"/>
  <c r="AB21" i="26"/>
  <c r="AB22" i="26"/>
  <c r="AB16" i="26"/>
  <c r="AB7" i="26"/>
  <c r="AB11" i="26"/>
  <c r="AB5" i="26"/>
  <c r="AB38" i="26"/>
  <c r="AB8" i="26"/>
  <c r="AB15" i="26"/>
  <c r="AB30" i="26"/>
  <c r="AB25" i="26"/>
  <c r="AB12" i="26"/>
  <c r="AB4" i="26"/>
  <c r="AB3" i="26"/>
  <c r="AB2" i="26"/>
  <c r="AX44" i="25"/>
  <c r="AX40" i="25"/>
  <c r="AX36" i="25"/>
  <c r="AX32" i="25"/>
  <c r="AX46" i="25"/>
  <c r="AX42" i="25"/>
  <c r="AX38" i="25"/>
  <c r="AX34" i="25"/>
  <c r="AX43" i="25"/>
  <c r="AX41" i="25"/>
  <c r="AX29" i="25"/>
  <c r="AX25" i="25"/>
  <c r="AX21" i="25"/>
  <c r="AX39" i="25"/>
  <c r="AX37" i="25"/>
  <c r="AX30" i="25"/>
  <c r="AX26" i="25"/>
  <c r="AX22" i="25"/>
  <c r="AX18" i="25"/>
  <c r="AX14" i="25"/>
  <c r="AX10" i="25"/>
  <c r="AX6" i="25"/>
  <c r="AX2" i="25"/>
  <c r="AX35" i="25"/>
  <c r="AX33" i="25"/>
  <c r="AX27" i="25"/>
  <c r="AX31" i="25"/>
  <c r="AX45" i="25"/>
  <c r="AX28" i="25"/>
  <c r="AX24" i="25"/>
  <c r="AX20" i="25"/>
  <c r="AX16" i="25"/>
  <c r="AX12" i="25"/>
  <c r="AX8" i="25"/>
  <c r="AX4" i="25"/>
  <c r="AX3" i="25"/>
  <c r="AX17" i="25"/>
  <c r="AX15" i="25"/>
  <c r="AX13" i="25"/>
  <c r="AX11" i="25"/>
  <c r="AX19" i="25"/>
  <c r="AX9" i="25"/>
  <c r="AX23" i="25"/>
  <c r="AX7" i="25"/>
  <c r="AX5" i="25"/>
  <c r="J44" i="25"/>
  <c r="J40" i="25"/>
  <c r="J36" i="25"/>
  <c r="J32" i="25"/>
  <c r="J46" i="25"/>
  <c r="J42" i="25"/>
  <c r="J38" i="25"/>
  <c r="J34" i="25"/>
  <c r="J39" i="25"/>
  <c r="J37" i="25"/>
  <c r="J29" i="25"/>
  <c r="J25" i="25"/>
  <c r="J21" i="25"/>
  <c r="J35" i="25"/>
  <c r="J33" i="25"/>
  <c r="J30" i="25"/>
  <c r="J26" i="25"/>
  <c r="J22" i="25"/>
  <c r="J18" i="25"/>
  <c r="J14" i="25"/>
  <c r="J10" i="25"/>
  <c r="J6" i="25"/>
  <c r="J45" i="25"/>
  <c r="J31" i="25"/>
  <c r="J43" i="25"/>
  <c r="J41" i="25"/>
  <c r="J28" i="25"/>
  <c r="J24" i="25"/>
  <c r="J20" i="25"/>
  <c r="J16" i="25"/>
  <c r="J12" i="25"/>
  <c r="J8" i="25"/>
  <c r="J4" i="25"/>
  <c r="J27" i="25"/>
  <c r="J15" i="25"/>
  <c r="J19" i="25"/>
  <c r="J13" i="25"/>
  <c r="J11" i="25"/>
  <c r="J2" i="25"/>
  <c r="J9" i="25"/>
  <c r="J7" i="25"/>
  <c r="J5" i="25"/>
  <c r="J3" i="25"/>
  <c r="J23" i="25"/>
  <c r="J17" i="25"/>
  <c r="W44" i="16"/>
  <c r="W40" i="16"/>
  <c r="W36" i="16"/>
  <c r="W32" i="16"/>
  <c r="W28" i="16"/>
  <c r="W24" i="16"/>
  <c r="W20" i="16"/>
  <c r="W45" i="16"/>
  <c r="W37" i="16"/>
  <c r="W33" i="16"/>
  <c r="W29" i="16"/>
  <c r="W25" i="16"/>
  <c r="W21" i="16"/>
  <c r="W17" i="16"/>
  <c r="W13" i="16"/>
  <c r="W9" i="16"/>
  <c r="W46" i="16"/>
  <c r="W38" i="16"/>
  <c r="W34" i="16"/>
  <c r="W30" i="16"/>
  <c r="W26" i="16"/>
  <c r="W22" i="16"/>
  <c r="W43" i="16"/>
  <c r="W39" i="16"/>
  <c r="W35" i="16"/>
  <c r="W31" i="16"/>
  <c r="W27" i="16"/>
  <c r="W23" i="16"/>
  <c r="W19" i="16"/>
  <c r="W15" i="16"/>
  <c r="W11" i="16"/>
  <c r="W7" i="16"/>
  <c r="W16" i="16"/>
  <c r="W4" i="16"/>
  <c r="W18" i="16"/>
  <c r="W10" i="16"/>
  <c r="W5" i="16"/>
  <c r="W8" i="16"/>
  <c r="W12" i="16"/>
  <c r="W6" i="16"/>
  <c r="W2" i="16"/>
  <c r="W14" i="16"/>
  <c r="W3" i="16"/>
  <c r="T42" i="17"/>
  <c r="I6" i="28"/>
  <c r="AQ4" i="25"/>
  <c r="AQ28" i="25"/>
  <c r="C12" i="25"/>
  <c r="C3" i="25"/>
  <c r="AI46" i="16"/>
  <c r="AI38" i="16"/>
  <c r="AI34" i="16"/>
  <c r="AI30" i="16"/>
  <c r="AI26" i="16"/>
  <c r="AI22" i="16"/>
  <c r="AI43" i="16"/>
  <c r="AI39" i="16"/>
  <c r="AI35" i="16"/>
  <c r="AI31" i="16"/>
  <c r="AI27" i="16"/>
  <c r="AI23" i="16"/>
  <c r="AI19" i="16"/>
  <c r="AI15" i="16"/>
  <c r="AI11" i="16"/>
  <c r="AI7" i="16"/>
  <c r="AI44" i="16"/>
  <c r="AI40" i="16"/>
  <c r="AI36" i="16"/>
  <c r="AI32" i="16"/>
  <c r="AI28" i="16"/>
  <c r="AI24" i="16"/>
  <c r="AI20" i="16"/>
  <c r="AI45" i="16"/>
  <c r="AI37" i="16"/>
  <c r="AI33" i="16"/>
  <c r="AI29" i="16"/>
  <c r="AI25" i="16"/>
  <c r="AI21" i="16"/>
  <c r="AI17" i="16"/>
  <c r="AI13" i="16"/>
  <c r="AI9" i="16"/>
  <c r="AI14" i="16"/>
  <c r="AI2" i="16"/>
  <c r="AI16" i="16"/>
  <c r="AI8" i="16"/>
  <c r="AI3" i="16"/>
  <c r="AI6" i="16"/>
  <c r="AI18" i="16"/>
  <c r="AI10" i="16"/>
  <c r="AI4" i="16"/>
  <c r="AI12" i="16"/>
  <c r="AI5" i="16"/>
  <c r="AP41" i="15"/>
  <c r="I41" i="15"/>
  <c r="G39" i="18"/>
  <c r="AW44" i="18"/>
  <c r="AW40" i="18"/>
  <c r="AW36" i="18"/>
  <c r="AW32" i="18"/>
  <c r="AW28" i="18"/>
  <c r="AW24" i="18"/>
  <c r="AW45" i="18"/>
  <c r="AW37" i="18"/>
  <c r="AW33" i="18"/>
  <c r="AW29" i="18"/>
  <c r="AW25" i="18"/>
  <c r="AW46" i="18"/>
  <c r="AW38" i="18"/>
  <c r="AW34" i="18"/>
  <c r="AW30" i="18"/>
  <c r="AW26" i="18"/>
  <c r="AW22" i="18"/>
  <c r="AW43" i="18"/>
  <c r="AW39" i="18"/>
  <c r="AW35" i="18"/>
  <c r="AW23" i="18"/>
  <c r="AW17" i="18"/>
  <c r="AW13" i="18"/>
  <c r="AW9" i="18"/>
  <c r="AW5" i="18"/>
  <c r="AW31" i="18"/>
  <c r="AW18" i="18"/>
  <c r="AW14" i="18"/>
  <c r="AW10" i="18"/>
  <c r="AW6" i="18"/>
  <c r="AW2" i="18"/>
  <c r="AW15" i="18"/>
  <c r="AW11" i="18"/>
  <c r="AW7" i="18"/>
  <c r="AW3" i="18"/>
  <c r="AW27" i="18"/>
  <c r="AW21" i="18"/>
  <c r="AW20" i="18"/>
  <c r="AW19" i="18"/>
  <c r="AW16" i="18"/>
  <c r="AW12" i="18"/>
  <c r="AW8" i="18"/>
  <c r="AW4" i="18"/>
  <c r="Q44" i="18"/>
  <c r="Q40" i="18"/>
  <c r="Q36" i="18"/>
  <c r="Q32" i="18"/>
  <c r="Q28" i="18"/>
  <c r="Q24" i="18"/>
  <c r="Q45" i="18"/>
  <c r="Q37" i="18"/>
  <c r="Q33" i="18"/>
  <c r="Q29" i="18"/>
  <c r="Q25" i="18"/>
  <c r="Q46" i="18"/>
  <c r="Q38" i="18"/>
  <c r="Q34" i="18"/>
  <c r="Q30" i="18"/>
  <c r="Q26" i="18"/>
  <c r="Q43" i="18"/>
  <c r="Q39" i="18"/>
  <c r="Q35" i="18"/>
  <c r="Q17" i="18"/>
  <c r="Q13" i="18"/>
  <c r="Q9" i="18"/>
  <c r="Q5" i="18"/>
  <c r="Q27" i="18"/>
  <c r="Q18" i="18"/>
  <c r="Q14" i="18"/>
  <c r="Q10" i="18"/>
  <c r="Q6" i="18"/>
  <c r="Q2" i="18"/>
  <c r="Q23" i="18"/>
  <c r="Q19" i="18"/>
  <c r="Q15" i="18"/>
  <c r="Q11" i="18"/>
  <c r="Q7" i="18"/>
  <c r="Q3" i="18"/>
  <c r="Q22" i="18"/>
  <c r="Q21" i="18"/>
  <c r="Q31" i="18"/>
  <c r="Q20" i="18"/>
  <c r="Q16" i="18"/>
  <c r="Q12" i="18"/>
  <c r="Q8" i="18"/>
  <c r="Q4" i="18"/>
  <c r="AM45" i="17"/>
  <c r="AM41" i="17"/>
  <c r="AM37" i="17"/>
  <c r="AM33" i="17"/>
  <c r="AM29" i="17"/>
  <c r="AM46" i="17"/>
  <c r="AM42" i="17"/>
  <c r="AM38" i="17"/>
  <c r="AM34" i="17"/>
  <c r="AM30" i="17"/>
  <c r="AM26" i="17"/>
  <c r="AM22" i="17"/>
  <c r="AM18" i="17"/>
  <c r="AM43" i="17"/>
  <c r="AM39" i="17"/>
  <c r="AM35" i="17"/>
  <c r="AM31" i="17"/>
  <c r="AM44" i="17"/>
  <c r="AM40" i="17"/>
  <c r="AM36" i="17"/>
  <c r="AM32" i="17"/>
  <c r="AM28" i="17"/>
  <c r="AM24" i="17"/>
  <c r="AM20" i="17"/>
  <c r="AM27" i="17"/>
  <c r="AM19" i="17"/>
  <c r="AM16" i="17"/>
  <c r="AM12" i="17"/>
  <c r="AM8" i="17"/>
  <c r="AM4" i="17"/>
  <c r="AM21" i="17"/>
  <c r="AM17" i="17"/>
  <c r="AM13" i="17"/>
  <c r="AM9" i="17"/>
  <c r="AM5" i="17"/>
  <c r="AM23" i="17"/>
  <c r="AM14" i="17"/>
  <c r="AM10" i="17"/>
  <c r="AM6" i="17"/>
  <c r="AM2" i="17"/>
  <c r="AM25" i="17"/>
  <c r="AM15" i="17"/>
  <c r="AM11" i="17"/>
  <c r="AM7" i="17"/>
  <c r="AM3" i="17"/>
  <c r="G29" i="17"/>
  <c r="G26" i="17"/>
  <c r="G22" i="17"/>
  <c r="G18" i="17"/>
  <c r="G28" i="17"/>
  <c r="G24" i="17"/>
  <c r="G20" i="17"/>
  <c r="G27" i="17"/>
  <c r="G19" i="17"/>
  <c r="G16" i="17"/>
  <c r="G12" i="17"/>
  <c r="G8" i="17"/>
  <c r="G4" i="17"/>
  <c r="G21" i="17"/>
  <c r="G17" i="17"/>
  <c r="G13" i="17"/>
  <c r="G9" i="17"/>
  <c r="G5" i="17"/>
  <c r="G23" i="17"/>
  <c r="G14" i="17"/>
  <c r="G10" i="17"/>
  <c r="G6" i="17"/>
  <c r="G2" i="17"/>
  <c r="G25" i="17"/>
  <c r="G15" i="17"/>
  <c r="G11" i="17"/>
  <c r="G7" i="17"/>
  <c r="G3" i="17"/>
  <c r="AC43" i="16"/>
  <c r="AC39" i="16"/>
  <c r="AC35" i="16"/>
  <c r="AC31" i="16"/>
  <c r="AC27" i="16"/>
  <c r="AC23" i="16"/>
  <c r="AC19" i="16"/>
  <c r="AC44" i="16"/>
  <c r="AC40" i="16"/>
  <c r="AC36" i="16"/>
  <c r="AC32" i="16"/>
  <c r="AC28" i="16"/>
  <c r="AC24" i="16"/>
  <c r="AC20" i="16"/>
  <c r="AC16" i="16"/>
  <c r="AC12" i="16"/>
  <c r="AC8" i="16"/>
  <c r="AC45" i="16"/>
  <c r="AC37" i="16"/>
  <c r="AC33" i="16"/>
  <c r="AC29" i="16"/>
  <c r="AC25" i="16"/>
  <c r="AC21" i="16"/>
  <c r="AC46" i="16"/>
  <c r="AC38" i="16"/>
  <c r="AC34" i="16"/>
  <c r="AC30" i="16"/>
  <c r="AC26" i="16"/>
  <c r="AC22" i="16"/>
  <c r="AC18" i="16"/>
  <c r="AC14" i="16"/>
  <c r="AC10" i="16"/>
  <c r="AC6" i="16"/>
  <c r="AC7" i="16"/>
  <c r="AC15" i="16"/>
  <c r="AC3" i="16"/>
  <c r="AC17" i="16"/>
  <c r="AC4" i="16"/>
  <c r="AC11" i="16"/>
  <c r="AC5" i="16"/>
  <c r="AC13" i="16"/>
  <c r="AC9" i="16"/>
  <c r="AC2" i="16"/>
  <c r="AY46" i="15"/>
  <c r="AY38" i="15"/>
  <c r="AY34" i="15"/>
  <c r="AY30" i="15"/>
  <c r="AY26" i="15"/>
  <c r="AY22" i="15"/>
  <c r="AY18" i="15"/>
  <c r="AY43" i="15"/>
  <c r="AY39" i="15"/>
  <c r="AY35" i="15"/>
  <c r="AY31" i="15"/>
  <c r="AY27" i="15"/>
  <c r="AY23" i="15"/>
  <c r="AY19" i="15"/>
  <c r="AY15" i="15"/>
  <c r="AY11" i="15"/>
  <c r="AY44" i="15"/>
  <c r="AY40" i="15"/>
  <c r="AY36" i="15"/>
  <c r="AY32" i="15"/>
  <c r="AY28" i="15"/>
  <c r="AY24" i="15"/>
  <c r="AY20" i="15"/>
  <c r="AY16" i="15"/>
  <c r="AY12" i="15"/>
  <c r="AY8" i="15"/>
  <c r="AY45" i="15"/>
  <c r="AY37" i="15"/>
  <c r="AY33" i="15"/>
  <c r="AY29" i="15"/>
  <c r="AY25" i="15"/>
  <c r="AY21" i="15"/>
  <c r="AY17" i="15"/>
  <c r="AY13" i="15"/>
  <c r="AY9" i="15"/>
  <c r="AY7" i="15"/>
  <c r="AY6" i="15"/>
  <c r="AY14" i="15"/>
  <c r="AY5" i="15"/>
  <c r="AY4" i="15"/>
  <c r="AY3" i="15"/>
  <c r="AY2" i="15"/>
  <c r="AY10" i="15"/>
  <c r="S46" i="15"/>
  <c r="S38" i="15"/>
  <c r="S34" i="15"/>
  <c r="S30" i="15"/>
  <c r="S26" i="15"/>
  <c r="S22" i="15"/>
  <c r="S18" i="15"/>
  <c r="S43" i="15"/>
  <c r="S39" i="15"/>
  <c r="S35" i="15"/>
  <c r="S31" i="15"/>
  <c r="S27" i="15"/>
  <c r="S23" i="15"/>
  <c r="S19" i="15"/>
  <c r="S15" i="15"/>
  <c r="S11" i="15"/>
  <c r="S44" i="15"/>
  <c r="S40" i="15"/>
  <c r="S36" i="15"/>
  <c r="S32" i="15"/>
  <c r="S28" i="15"/>
  <c r="S24" i="15"/>
  <c r="S20" i="15"/>
  <c r="S16" i="15"/>
  <c r="S12" i="15"/>
  <c r="S45" i="15"/>
  <c r="S37" i="15"/>
  <c r="S33" i="15"/>
  <c r="S29" i="15"/>
  <c r="S25" i="15"/>
  <c r="S21" i="15"/>
  <c r="S17" i="15"/>
  <c r="S13" i="15"/>
  <c r="S9" i="15"/>
  <c r="S14" i="15"/>
  <c r="S8" i="15"/>
  <c r="S10" i="15"/>
  <c r="S7" i="15"/>
  <c r="S6" i="15"/>
  <c r="S5" i="15"/>
  <c r="S4" i="15"/>
  <c r="S3" i="15"/>
  <c r="S2" i="15"/>
  <c r="BC15" i="14"/>
  <c r="AU15" i="14"/>
  <c r="AM15" i="14"/>
  <c r="AE15" i="14"/>
  <c r="W15" i="14"/>
  <c r="O15" i="14"/>
  <c r="G15" i="14"/>
  <c r="BB15" i="14"/>
  <c r="AT15" i="14"/>
  <c r="AL15" i="14"/>
  <c r="AD15" i="14"/>
  <c r="V15" i="14"/>
  <c r="N15" i="14"/>
  <c r="F15" i="14"/>
  <c r="BA15" i="14"/>
  <c r="AS15" i="14"/>
  <c r="AK15" i="14"/>
  <c r="AC15" i="14"/>
  <c r="U15" i="14"/>
  <c r="M15" i="14"/>
  <c r="E15" i="14"/>
  <c r="AZ15" i="14"/>
  <c r="AR15" i="14"/>
  <c r="AJ15" i="14"/>
  <c r="AB15" i="14"/>
  <c r="T15" i="14"/>
  <c r="L15" i="14"/>
  <c r="D15" i="14"/>
  <c r="AY15" i="14"/>
  <c r="AQ15" i="14"/>
  <c r="AI15" i="14"/>
  <c r="AA15" i="14"/>
  <c r="S15" i="14"/>
  <c r="K15" i="14"/>
  <c r="C15" i="14"/>
  <c r="AX15" i="14"/>
  <c r="AP15" i="14"/>
  <c r="AH15" i="14"/>
  <c r="Z15" i="14"/>
  <c r="R15" i="14"/>
  <c r="J15" i="14"/>
  <c r="B15" i="14"/>
  <c r="AW15" i="14"/>
  <c r="AO15" i="14"/>
  <c r="AG15" i="14"/>
  <c r="Y15" i="14"/>
  <c r="Q15" i="14"/>
  <c r="I15" i="14"/>
  <c r="AV15" i="14"/>
  <c r="AN15" i="14"/>
  <c r="AF15" i="14"/>
  <c r="X15" i="14"/>
  <c r="P15" i="14"/>
  <c r="H15" i="14"/>
  <c r="AF12" i="25"/>
  <c r="AF13" i="25"/>
  <c r="AF28" i="25"/>
  <c r="U25" i="18"/>
  <c r="U15" i="18"/>
  <c r="U43" i="18"/>
  <c r="AC43" i="15"/>
  <c r="AC39" i="15"/>
  <c r="AC35" i="15"/>
  <c r="AC31" i="15"/>
  <c r="AC27" i="15"/>
  <c r="AC23" i="15"/>
  <c r="AC19" i="15"/>
  <c r="AC15" i="15"/>
  <c r="AC44" i="15"/>
  <c r="AC40" i="15"/>
  <c r="AC36" i="15"/>
  <c r="AC32" i="15"/>
  <c r="AC28" i="15"/>
  <c r="AC24" i="15"/>
  <c r="AC20" i="15"/>
  <c r="AC16" i="15"/>
  <c r="AC12" i="15"/>
  <c r="AC8" i="15"/>
  <c r="AC45" i="15"/>
  <c r="AC37" i="15"/>
  <c r="AC33" i="15"/>
  <c r="AC29" i="15"/>
  <c r="AC25" i="15"/>
  <c r="AC21" i="15"/>
  <c r="AC17" i="15"/>
  <c r="AC13" i="15"/>
  <c r="AC9" i="15"/>
  <c r="AC46" i="15"/>
  <c r="AC38" i="15"/>
  <c r="AC34" i="15"/>
  <c r="AC30" i="15"/>
  <c r="AC26" i="15"/>
  <c r="AC22" i="15"/>
  <c r="AC18" i="15"/>
  <c r="AC14" i="15"/>
  <c r="AC10" i="15"/>
  <c r="AC11" i="15"/>
  <c r="AC7" i="15"/>
  <c r="AC6" i="15"/>
  <c r="AC5" i="15"/>
  <c r="AC4" i="15"/>
  <c r="AC3" i="15"/>
  <c r="AC2" i="15"/>
  <c r="G35" i="18"/>
  <c r="Q8" i="28"/>
  <c r="Q38" i="28"/>
  <c r="AN15" i="18"/>
  <c r="AW45" i="16"/>
  <c r="AW37" i="16"/>
  <c r="AW33" i="16"/>
  <c r="AW29" i="16"/>
  <c r="AW25" i="16"/>
  <c r="AW21" i="16"/>
  <c r="AW46" i="16"/>
  <c r="AW38" i="16"/>
  <c r="AW34" i="16"/>
  <c r="AW30" i="16"/>
  <c r="AW26" i="16"/>
  <c r="AW22" i="16"/>
  <c r="AW18" i="16"/>
  <c r="AW14" i="16"/>
  <c r="AW10" i="16"/>
  <c r="AW6" i="16"/>
  <c r="AW43" i="16"/>
  <c r="AW39" i="16"/>
  <c r="AW35" i="16"/>
  <c r="AW31" i="16"/>
  <c r="AW27" i="16"/>
  <c r="AW23" i="16"/>
  <c r="AW19" i="16"/>
  <c r="AW44" i="16"/>
  <c r="AW40" i="16"/>
  <c r="AW36" i="16"/>
  <c r="AW32" i="16"/>
  <c r="AW28" i="16"/>
  <c r="AW24" i="16"/>
  <c r="AW20" i="16"/>
  <c r="AW16" i="16"/>
  <c r="AW12" i="16"/>
  <c r="AW8" i="16"/>
  <c r="AW17" i="16"/>
  <c r="AW9" i="16"/>
  <c r="AW7" i="16"/>
  <c r="AW5" i="16"/>
  <c r="AW11" i="16"/>
  <c r="AW2" i="16"/>
  <c r="AW13" i="16"/>
  <c r="AW3" i="16"/>
  <c r="AW15" i="16"/>
  <c r="AW4" i="16"/>
  <c r="AP42" i="15"/>
  <c r="Y42" i="15"/>
  <c r="I42" i="15"/>
  <c r="AW41" i="18"/>
  <c r="AF41" i="18"/>
  <c r="P41" i="18"/>
  <c r="BA34" i="14"/>
  <c r="AS34" i="14"/>
  <c r="AK34" i="14"/>
  <c r="AC34" i="14"/>
  <c r="U34" i="14"/>
  <c r="M34" i="14"/>
  <c r="E34" i="14"/>
  <c r="AZ34" i="14"/>
  <c r="AR34" i="14"/>
  <c r="AJ34" i="14"/>
  <c r="AB34" i="14"/>
  <c r="T34" i="14"/>
  <c r="L34" i="14"/>
  <c r="D34" i="14"/>
  <c r="AY34" i="14"/>
  <c r="AQ34" i="14"/>
  <c r="AI34" i="14"/>
  <c r="AA34" i="14"/>
  <c r="S34" i="14"/>
  <c r="K34" i="14"/>
  <c r="C34" i="14"/>
  <c r="AX34" i="14"/>
  <c r="AP34" i="14"/>
  <c r="AH34" i="14"/>
  <c r="Z34" i="14"/>
  <c r="R34" i="14"/>
  <c r="J34" i="14"/>
  <c r="B34" i="14"/>
  <c r="AW34" i="14"/>
  <c r="AO34" i="14"/>
  <c r="AG34" i="14"/>
  <c r="Y34" i="14"/>
  <c r="Q34" i="14"/>
  <c r="I34" i="14"/>
  <c r="AV34" i="14"/>
  <c r="AN34" i="14"/>
  <c r="AF34" i="14"/>
  <c r="X34" i="14"/>
  <c r="P34" i="14"/>
  <c r="H34" i="14"/>
  <c r="BC34" i="14"/>
  <c r="AU34" i="14"/>
  <c r="AM34" i="14"/>
  <c r="AE34" i="14"/>
  <c r="W34" i="14"/>
  <c r="O34" i="14"/>
  <c r="G34" i="14"/>
  <c r="AT34" i="14"/>
  <c r="AL34" i="14"/>
  <c r="AD34" i="14"/>
  <c r="V34" i="14"/>
  <c r="N34" i="14"/>
  <c r="F34" i="14"/>
  <c r="BB34" i="14"/>
  <c r="BB4" i="28"/>
  <c r="AT14" i="28"/>
  <c r="AT6" i="28"/>
  <c r="AL18" i="28"/>
  <c r="V18" i="28"/>
  <c r="N4" i="28"/>
  <c r="N24" i="28"/>
  <c r="F6" i="28"/>
  <c r="AV3" i="25"/>
  <c r="AV21" i="25"/>
  <c r="AN15" i="25"/>
  <c r="X22" i="25"/>
  <c r="X13" i="25"/>
  <c r="X28" i="25"/>
  <c r="P7" i="25"/>
  <c r="P25" i="25"/>
  <c r="H4" i="25"/>
  <c r="H12" i="25"/>
  <c r="BA10" i="18"/>
  <c r="BA3" i="18"/>
  <c r="BA28" i="18"/>
  <c r="AO2" i="28"/>
  <c r="Y38" i="28"/>
  <c r="AK36" i="26"/>
  <c r="K18" i="25"/>
  <c r="Y46" i="17"/>
  <c r="Y38" i="17"/>
  <c r="Y34" i="17"/>
  <c r="Y30" i="17"/>
  <c r="Y43" i="17"/>
  <c r="Y39" i="17"/>
  <c r="Y35" i="17"/>
  <c r="Y31" i="17"/>
  <c r="Y27" i="17"/>
  <c r="Y23" i="17"/>
  <c r="Y19" i="17"/>
  <c r="Y44" i="17"/>
  <c r="Y40" i="17"/>
  <c r="Y36" i="17"/>
  <c r="Y32" i="17"/>
  <c r="Y28" i="17"/>
  <c r="Y45" i="17"/>
  <c r="Y37" i="17"/>
  <c r="Y33" i="17"/>
  <c r="Y29" i="17"/>
  <c r="Y25" i="17"/>
  <c r="Y21" i="17"/>
  <c r="Y24" i="17"/>
  <c r="Y17" i="17"/>
  <c r="Y13" i="17"/>
  <c r="Y9" i="17"/>
  <c r="Y5" i="17"/>
  <c r="Y18" i="17"/>
  <c r="Y26" i="17"/>
  <c r="Y14" i="17"/>
  <c r="Y10" i="17"/>
  <c r="Y6" i="17"/>
  <c r="Y2" i="17"/>
  <c r="Y20" i="17"/>
  <c r="Y15" i="17"/>
  <c r="Y11" i="17"/>
  <c r="Y7" i="17"/>
  <c r="Y3" i="17"/>
  <c r="Y22" i="17"/>
  <c r="Y16" i="17"/>
  <c r="Y12" i="17"/>
  <c r="Y8" i="17"/>
  <c r="Y4" i="17"/>
  <c r="E43" i="15"/>
  <c r="E39" i="15"/>
  <c r="E35" i="15"/>
  <c r="E31" i="15"/>
  <c r="E27" i="15"/>
  <c r="E23" i="15"/>
  <c r="E19" i="15"/>
  <c r="E44" i="15"/>
  <c r="E40" i="15"/>
  <c r="E36" i="15"/>
  <c r="E32" i="15"/>
  <c r="E28" i="15"/>
  <c r="E24" i="15"/>
  <c r="E20" i="15"/>
  <c r="E16" i="15"/>
  <c r="E12" i="15"/>
  <c r="E45" i="15"/>
  <c r="E37" i="15"/>
  <c r="E33" i="15"/>
  <c r="E29" i="15"/>
  <c r="E25" i="15"/>
  <c r="E21" i="15"/>
  <c r="E17" i="15"/>
  <c r="E13" i="15"/>
  <c r="E9" i="15"/>
  <c r="E46" i="15"/>
  <c r="E38" i="15"/>
  <c r="E34" i="15"/>
  <c r="E30" i="15"/>
  <c r="E26" i="15"/>
  <c r="E22" i="15"/>
  <c r="E18" i="15"/>
  <c r="E14" i="15"/>
  <c r="E10" i="15"/>
  <c r="E2" i="15"/>
  <c r="E15" i="15"/>
  <c r="E8" i="15"/>
  <c r="E7" i="15"/>
  <c r="E11" i="15"/>
  <c r="E6" i="15"/>
  <c r="E5" i="15"/>
  <c r="E3" i="15"/>
  <c r="E4" i="15"/>
  <c r="X42" i="17"/>
  <c r="AN41" i="16"/>
  <c r="W41" i="16"/>
  <c r="G41" i="16"/>
  <c r="AM43" i="18"/>
  <c r="AM39" i="18"/>
  <c r="AM35" i="18"/>
  <c r="AM31" i="18"/>
  <c r="AM27" i="18"/>
  <c r="AM23" i="18"/>
  <c r="AM44" i="18"/>
  <c r="AM40" i="18"/>
  <c r="AM36" i="18"/>
  <c r="AM32" i="18"/>
  <c r="AM28" i="18"/>
  <c r="AM24" i="18"/>
  <c r="AM45" i="18"/>
  <c r="AM41" i="18"/>
  <c r="AM37" i="18"/>
  <c r="AM33" i="18"/>
  <c r="AM29" i="18"/>
  <c r="AM25" i="18"/>
  <c r="AM46" i="18"/>
  <c r="AM42" i="18"/>
  <c r="AM38" i="18"/>
  <c r="AM16" i="18"/>
  <c r="AM12" i="18"/>
  <c r="AM8" i="18"/>
  <c r="AM4" i="18"/>
  <c r="AM22" i="18"/>
  <c r="AM30" i="18"/>
  <c r="AM17" i="18"/>
  <c r="AM13" i="18"/>
  <c r="AM9" i="18"/>
  <c r="AM5" i="18"/>
  <c r="AM18" i="18"/>
  <c r="AM14" i="18"/>
  <c r="AM10" i="18"/>
  <c r="AM6" i="18"/>
  <c r="AM2" i="18"/>
  <c r="AM26" i="18"/>
  <c r="AM21" i="18"/>
  <c r="AM20" i="18"/>
  <c r="AM19" i="18"/>
  <c r="AM15" i="18"/>
  <c r="AM11" i="18"/>
  <c r="AM7" i="18"/>
  <c r="AM3" i="18"/>
  <c r="AM34" i="18"/>
  <c r="G27" i="18"/>
  <c r="G23" i="18"/>
  <c r="G28" i="18"/>
  <c r="G24" i="18"/>
  <c r="G29" i="18"/>
  <c r="G25" i="18"/>
  <c r="G16" i="18"/>
  <c r="G12" i="18"/>
  <c r="G8" i="18"/>
  <c r="G4" i="18"/>
  <c r="G26" i="18"/>
  <c r="G17" i="18"/>
  <c r="G13" i="18"/>
  <c r="G9" i="18"/>
  <c r="G5" i="18"/>
  <c r="G22" i="18"/>
  <c r="G18" i="18"/>
  <c r="G14" i="18"/>
  <c r="G10" i="18"/>
  <c r="G6" i="18"/>
  <c r="G2" i="18"/>
  <c r="G21" i="18"/>
  <c r="G20" i="18"/>
  <c r="G19" i="18"/>
  <c r="G15" i="18"/>
  <c r="G11" i="18"/>
  <c r="G7" i="18"/>
  <c r="G3" i="18"/>
  <c r="AK4" i="28"/>
  <c r="AK30" i="28"/>
  <c r="AC26" i="28"/>
  <c r="AC18" i="28"/>
  <c r="M16" i="28"/>
  <c r="M34" i="28"/>
  <c r="E18" i="28"/>
  <c r="E30" i="28"/>
  <c r="AW36" i="26"/>
  <c r="AG45" i="26"/>
  <c r="Y36" i="26"/>
  <c r="BC13" i="25"/>
  <c r="BC4" i="25"/>
  <c r="AU18" i="25"/>
  <c r="AU21" i="25"/>
  <c r="AU28" i="25"/>
  <c r="AE23" i="25"/>
  <c r="W2" i="25"/>
  <c r="W22" i="25"/>
  <c r="W25" i="25"/>
  <c r="O15" i="25"/>
  <c r="G7" i="25"/>
  <c r="G45" i="25"/>
  <c r="G21" i="25"/>
  <c r="G28" i="25"/>
  <c r="AG12" i="28"/>
  <c r="AG26" i="28"/>
  <c r="AG24" i="28"/>
  <c r="AG30" i="28"/>
  <c r="AG46" i="28"/>
  <c r="S7" i="25"/>
  <c r="S20" i="25"/>
  <c r="S23" i="25"/>
  <c r="S37" i="25"/>
  <c r="S42" i="25"/>
  <c r="AB43" i="16"/>
  <c r="AB39" i="16"/>
  <c r="AB35" i="16"/>
  <c r="AB31" i="16"/>
  <c r="AB27" i="16"/>
  <c r="AB23" i="16"/>
  <c r="AB44" i="16"/>
  <c r="AB40" i="16"/>
  <c r="AB36" i="16"/>
  <c r="AB32" i="16"/>
  <c r="AB28" i="16"/>
  <c r="AB24" i="16"/>
  <c r="AB20" i="16"/>
  <c r="AB16" i="16"/>
  <c r="AB12" i="16"/>
  <c r="AB45" i="16"/>
  <c r="AB37" i="16"/>
  <c r="AB33" i="16"/>
  <c r="AB29" i="16"/>
  <c r="AB25" i="16"/>
  <c r="AB21" i="16"/>
  <c r="AB46" i="16"/>
  <c r="AB38" i="16"/>
  <c r="AB34" i="16"/>
  <c r="AB30" i="16"/>
  <c r="AB26" i="16"/>
  <c r="AB22" i="16"/>
  <c r="AB18" i="16"/>
  <c r="AB14" i="16"/>
  <c r="AB10" i="16"/>
  <c r="AB13" i="16"/>
  <c r="AB9" i="16"/>
  <c r="AB8" i="16"/>
  <c r="AB2" i="16"/>
  <c r="AB19" i="16"/>
  <c r="AB7" i="16"/>
  <c r="AB6" i="16"/>
  <c r="AB15" i="16"/>
  <c r="AB3" i="16"/>
  <c r="AB17" i="16"/>
  <c r="AB4" i="16"/>
  <c r="AB11" i="16"/>
  <c r="AB5" i="16"/>
  <c r="W42" i="15"/>
  <c r="G42" i="15"/>
  <c r="G36" i="18"/>
  <c r="AL46" i="18"/>
  <c r="AL38" i="18"/>
  <c r="AL34" i="18"/>
  <c r="AL30" i="18"/>
  <c r="AL26" i="18"/>
  <c r="AL43" i="18"/>
  <c r="AL39" i="18"/>
  <c r="AL35" i="18"/>
  <c r="AL31" i="18"/>
  <c r="AL27" i="18"/>
  <c r="AL23" i="18"/>
  <c r="AL44" i="18"/>
  <c r="AL40" i="18"/>
  <c r="AL36" i="18"/>
  <c r="AL32" i="18"/>
  <c r="AL28" i="18"/>
  <c r="AL24" i="18"/>
  <c r="AL45" i="18"/>
  <c r="AL37" i="18"/>
  <c r="AL33" i="18"/>
  <c r="AL29" i="18"/>
  <c r="AL25" i="18"/>
  <c r="AL21" i="18"/>
  <c r="AL16" i="18"/>
  <c r="AL12" i="18"/>
  <c r="AL8" i="18"/>
  <c r="AL4" i="18"/>
  <c r="AL22" i="18"/>
  <c r="AL17" i="18"/>
  <c r="AL13" i="18"/>
  <c r="AL9" i="18"/>
  <c r="AL5" i="18"/>
  <c r="AL18" i="18"/>
  <c r="AL14" i="18"/>
  <c r="AL10" i="18"/>
  <c r="AL6" i="18"/>
  <c r="AL2" i="18"/>
  <c r="AL20" i="18"/>
  <c r="AL19" i="18"/>
  <c r="AL15" i="18"/>
  <c r="AL11" i="18"/>
  <c r="AL7" i="18"/>
  <c r="AL3" i="18"/>
  <c r="F46" i="18"/>
  <c r="F38" i="18"/>
  <c r="F34" i="18"/>
  <c r="F30" i="18"/>
  <c r="F26" i="18"/>
  <c r="F43" i="18"/>
  <c r="F39" i="18"/>
  <c r="F35" i="18"/>
  <c r="F31" i="18"/>
  <c r="F27" i="18"/>
  <c r="F23" i="18"/>
  <c r="F44" i="18"/>
  <c r="F40" i="18"/>
  <c r="F36" i="18"/>
  <c r="F32" i="18"/>
  <c r="F28" i="18"/>
  <c r="F24" i="18"/>
  <c r="F45" i="18"/>
  <c r="F37" i="18"/>
  <c r="F33" i="18"/>
  <c r="F29" i="18"/>
  <c r="F25" i="18"/>
  <c r="F21" i="18"/>
  <c r="F16" i="18"/>
  <c r="F12" i="18"/>
  <c r="F8" i="18"/>
  <c r="F4" i="18"/>
  <c r="F17" i="18"/>
  <c r="F13" i="18"/>
  <c r="F9" i="18"/>
  <c r="F5" i="18"/>
  <c r="F22" i="18"/>
  <c r="F18" i="18"/>
  <c r="F14" i="18"/>
  <c r="F10" i="18"/>
  <c r="F6" i="18"/>
  <c r="F2" i="18"/>
  <c r="F20" i="18"/>
  <c r="F19" i="18"/>
  <c r="F15" i="18"/>
  <c r="F11" i="18"/>
  <c r="F7" i="18"/>
  <c r="F3" i="18"/>
  <c r="AB43" i="17"/>
  <c r="AB39" i="17"/>
  <c r="AB35" i="17"/>
  <c r="AB31" i="17"/>
  <c r="AB27" i="17"/>
  <c r="AB23" i="17"/>
  <c r="AB19" i="17"/>
  <c r="AB44" i="17"/>
  <c r="AB40" i="17"/>
  <c r="AB36" i="17"/>
  <c r="AB45" i="17"/>
  <c r="AB37" i="17"/>
  <c r="AB33" i="17"/>
  <c r="AB29" i="17"/>
  <c r="AB25" i="17"/>
  <c r="AB21" i="17"/>
  <c r="AB46" i="17"/>
  <c r="AB38" i="17"/>
  <c r="AB34" i="17"/>
  <c r="AB24" i="17"/>
  <c r="AB18" i="17"/>
  <c r="AB14" i="17"/>
  <c r="AB10" i="17"/>
  <c r="AB6" i="17"/>
  <c r="AB2" i="17"/>
  <c r="AB32" i="17"/>
  <c r="AB30" i="17"/>
  <c r="AB26" i="17"/>
  <c r="AB15" i="17"/>
  <c r="AB11" i="17"/>
  <c r="AB7" i="17"/>
  <c r="AB3" i="17"/>
  <c r="AB20" i="17"/>
  <c r="AB16" i="17"/>
  <c r="AB12" i="17"/>
  <c r="AB8" i="17"/>
  <c r="AB4" i="17"/>
  <c r="AB28" i="17"/>
  <c r="AB22" i="17"/>
  <c r="AB17" i="17"/>
  <c r="AB13" i="17"/>
  <c r="AB9" i="17"/>
  <c r="AB5" i="17"/>
  <c r="AX46" i="16"/>
  <c r="AX38" i="16"/>
  <c r="AX34" i="16"/>
  <c r="AX30" i="16"/>
  <c r="AX26" i="16"/>
  <c r="AX22" i="16"/>
  <c r="AX43" i="16"/>
  <c r="AX39" i="16"/>
  <c r="AX35" i="16"/>
  <c r="AX31" i="16"/>
  <c r="AX27" i="16"/>
  <c r="AX23" i="16"/>
  <c r="AX19" i="16"/>
  <c r="AX15" i="16"/>
  <c r="AX11" i="16"/>
  <c r="AX44" i="16"/>
  <c r="AX40" i="16"/>
  <c r="AX36" i="16"/>
  <c r="AX32" i="16"/>
  <c r="AX28" i="16"/>
  <c r="AX24" i="16"/>
  <c r="AX20" i="16"/>
  <c r="AX45" i="16"/>
  <c r="AX37" i="16"/>
  <c r="AX33" i="16"/>
  <c r="AX29" i="16"/>
  <c r="AX25" i="16"/>
  <c r="AX21" i="16"/>
  <c r="AX17" i="16"/>
  <c r="AX13" i="16"/>
  <c r="AX9" i="16"/>
  <c r="AX12" i="16"/>
  <c r="AX8" i="16"/>
  <c r="AX7" i="16"/>
  <c r="AX5" i="16"/>
  <c r="AX18" i="16"/>
  <c r="AX6" i="16"/>
  <c r="AX14" i="16"/>
  <c r="AX2" i="16"/>
  <c r="AX16" i="16"/>
  <c r="AX3" i="16"/>
  <c r="AX10" i="16"/>
  <c r="AX4" i="16"/>
  <c r="R46" i="16"/>
  <c r="R38" i="16"/>
  <c r="R34" i="16"/>
  <c r="R30" i="16"/>
  <c r="R26" i="16"/>
  <c r="R22" i="16"/>
  <c r="R43" i="16"/>
  <c r="R39" i="16"/>
  <c r="R35" i="16"/>
  <c r="R31" i="16"/>
  <c r="R27" i="16"/>
  <c r="R23" i="16"/>
  <c r="R19" i="16"/>
  <c r="R15" i="16"/>
  <c r="R11" i="16"/>
  <c r="R44" i="16"/>
  <c r="R40" i="16"/>
  <c r="R36" i="16"/>
  <c r="R32" i="16"/>
  <c r="R28" i="16"/>
  <c r="R24" i="16"/>
  <c r="R45" i="16"/>
  <c r="R37" i="16"/>
  <c r="R33" i="16"/>
  <c r="R29" i="16"/>
  <c r="R25" i="16"/>
  <c r="R21" i="16"/>
  <c r="R17" i="16"/>
  <c r="R13" i="16"/>
  <c r="R12" i="16"/>
  <c r="R8" i="16"/>
  <c r="R7" i="16"/>
  <c r="R5" i="16"/>
  <c r="R14" i="16"/>
  <c r="R6" i="16"/>
  <c r="R2" i="16"/>
  <c r="R16" i="16"/>
  <c r="R3" i="16"/>
  <c r="R20" i="16"/>
  <c r="R18" i="16"/>
  <c r="R10" i="16"/>
  <c r="R4" i="16"/>
  <c r="R9" i="16"/>
  <c r="AN45" i="15"/>
  <c r="AN37" i="15"/>
  <c r="AN33" i="15"/>
  <c r="AN29" i="15"/>
  <c r="AN25" i="15"/>
  <c r="AN21" i="15"/>
  <c r="AN17" i="15"/>
  <c r="AN13" i="15"/>
  <c r="AN9" i="15"/>
  <c r="AN46" i="15"/>
  <c r="AN38" i="15"/>
  <c r="AN34" i="15"/>
  <c r="AN30" i="15"/>
  <c r="AN26" i="15"/>
  <c r="AN22" i="15"/>
  <c r="AN18" i="15"/>
  <c r="AN14" i="15"/>
  <c r="AN10" i="15"/>
  <c r="AN6" i="15"/>
  <c r="AN2" i="15"/>
  <c r="AN43" i="15"/>
  <c r="AN39" i="15"/>
  <c r="AN35" i="15"/>
  <c r="AN31" i="15"/>
  <c r="AN27" i="15"/>
  <c r="AN23" i="15"/>
  <c r="AN19" i="15"/>
  <c r="AN15" i="15"/>
  <c r="AN11" i="15"/>
  <c r="AN44" i="15"/>
  <c r="AN40" i="15"/>
  <c r="AN36" i="15"/>
  <c r="AN32" i="15"/>
  <c r="AN28" i="15"/>
  <c r="AN24" i="15"/>
  <c r="AN20" i="15"/>
  <c r="AN16" i="15"/>
  <c r="AN12" i="15"/>
  <c r="AN8" i="15"/>
  <c r="AN4" i="15"/>
  <c r="AN7" i="15"/>
  <c r="AN5" i="15"/>
  <c r="AN3" i="15"/>
  <c r="H45" i="15"/>
  <c r="H37" i="15"/>
  <c r="H33" i="15"/>
  <c r="H29" i="15"/>
  <c r="H25" i="15"/>
  <c r="H21" i="15"/>
  <c r="H17" i="15"/>
  <c r="H13" i="15"/>
  <c r="H9" i="15"/>
  <c r="H46" i="15"/>
  <c r="H38" i="15"/>
  <c r="H34" i="15"/>
  <c r="H30" i="15"/>
  <c r="H26" i="15"/>
  <c r="H22" i="15"/>
  <c r="H18" i="15"/>
  <c r="H14" i="15"/>
  <c r="H10" i="15"/>
  <c r="H6" i="15"/>
  <c r="H2" i="15"/>
  <c r="H43" i="15"/>
  <c r="H39" i="15"/>
  <c r="H35" i="15"/>
  <c r="H31" i="15"/>
  <c r="H27" i="15"/>
  <c r="H23" i="15"/>
  <c r="H19" i="15"/>
  <c r="H15" i="15"/>
  <c r="H11" i="15"/>
  <c r="H44" i="15"/>
  <c r="H40" i="15"/>
  <c r="H36" i="15"/>
  <c r="H32" i="15"/>
  <c r="H28" i="15"/>
  <c r="H24" i="15"/>
  <c r="H20" i="15"/>
  <c r="H16" i="15"/>
  <c r="H12" i="15"/>
  <c r="H8" i="15"/>
  <c r="H4" i="15"/>
  <c r="H7" i="15"/>
  <c r="H5" i="15"/>
  <c r="H3" i="15"/>
  <c r="AY40" i="14"/>
  <c r="AQ40" i="14"/>
  <c r="BC40" i="14"/>
  <c r="AU40" i="14"/>
  <c r="AM40" i="14"/>
  <c r="BA40" i="14"/>
  <c r="AP40" i="14"/>
  <c r="AG40" i="14"/>
  <c r="Y40" i="14"/>
  <c r="Q40" i="14"/>
  <c r="I40" i="14"/>
  <c r="AZ40" i="14"/>
  <c r="AO40" i="14"/>
  <c r="AF40" i="14"/>
  <c r="X40" i="14"/>
  <c r="P40" i="14"/>
  <c r="H40" i="14"/>
  <c r="AX40" i="14"/>
  <c r="AN40" i="14"/>
  <c r="AE40" i="14"/>
  <c r="W40" i="14"/>
  <c r="O40" i="14"/>
  <c r="G40" i="14"/>
  <c r="AW40" i="14"/>
  <c r="AL40" i="14"/>
  <c r="AD40" i="14"/>
  <c r="V40" i="14"/>
  <c r="N40" i="14"/>
  <c r="F40" i="14"/>
  <c r="AV40" i="14"/>
  <c r="AK40" i="14"/>
  <c r="AC40" i="14"/>
  <c r="U40" i="14"/>
  <c r="M40" i="14"/>
  <c r="E40" i="14"/>
  <c r="AT40" i="14"/>
  <c r="AJ40" i="14"/>
  <c r="AB40" i="14"/>
  <c r="T40" i="14"/>
  <c r="L40" i="14"/>
  <c r="D40" i="14"/>
  <c r="AS40" i="14"/>
  <c r="AI40" i="14"/>
  <c r="AA40" i="14"/>
  <c r="S40" i="14"/>
  <c r="K40" i="14"/>
  <c r="C40" i="14"/>
  <c r="AR40" i="14"/>
  <c r="AH40" i="14"/>
  <c r="Z40" i="14"/>
  <c r="R40" i="14"/>
  <c r="J40" i="14"/>
  <c r="B40" i="14"/>
  <c r="BB40" i="14"/>
  <c r="AW32" i="14"/>
  <c r="AO32" i="14"/>
  <c r="AG32" i="14"/>
  <c r="Y32" i="14"/>
  <c r="Q32" i="14"/>
  <c r="I32" i="14"/>
  <c r="AV32" i="14"/>
  <c r="AN32" i="14"/>
  <c r="AF32" i="14"/>
  <c r="X32" i="14"/>
  <c r="P32" i="14"/>
  <c r="H32" i="14"/>
  <c r="BC32" i="14"/>
  <c r="AU32" i="14"/>
  <c r="AM32" i="14"/>
  <c r="AE32" i="14"/>
  <c r="W32" i="14"/>
  <c r="O32" i="14"/>
  <c r="G32" i="14"/>
  <c r="BB32" i="14"/>
  <c r="AT32" i="14"/>
  <c r="AL32" i="14"/>
  <c r="AD32" i="14"/>
  <c r="V32" i="14"/>
  <c r="N32" i="14"/>
  <c r="F32" i="14"/>
  <c r="BA32" i="14"/>
  <c r="AS32" i="14"/>
  <c r="AK32" i="14"/>
  <c r="AC32" i="14"/>
  <c r="U32" i="14"/>
  <c r="M32" i="14"/>
  <c r="E32" i="14"/>
  <c r="AZ32" i="14"/>
  <c r="AR32" i="14"/>
  <c r="AJ32" i="14"/>
  <c r="AB32" i="14"/>
  <c r="T32" i="14"/>
  <c r="L32" i="14"/>
  <c r="D32" i="14"/>
  <c r="AY32" i="14"/>
  <c r="AQ32" i="14"/>
  <c r="AI32" i="14"/>
  <c r="AA32" i="14"/>
  <c r="S32" i="14"/>
  <c r="K32" i="14"/>
  <c r="C32" i="14"/>
  <c r="Z32" i="14"/>
  <c r="R32" i="14"/>
  <c r="J32" i="14"/>
  <c r="B32" i="14"/>
  <c r="AX32" i="14"/>
  <c r="AP32" i="14"/>
  <c r="AH32" i="14"/>
  <c r="AW8" i="14"/>
  <c r="AO8" i="14"/>
  <c r="AG8" i="14"/>
  <c r="Y8" i="14"/>
  <c r="Q8" i="14"/>
  <c r="I8" i="14"/>
  <c r="AV8" i="14"/>
  <c r="AN8" i="14"/>
  <c r="AF8" i="14"/>
  <c r="X8" i="14"/>
  <c r="P8" i="14"/>
  <c r="H8" i="14"/>
  <c r="BC8" i="14"/>
  <c r="AU8" i="14"/>
  <c r="AM8" i="14"/>
  <c r="AE8" i="14"/>
  <c r="W8" i="14"/>
  <c r="O8" i="14"/>
  <c r="G8" i="14"/>
  <c r="BB8" i="14"/>
  <c r="AT8" i="14"/>
  <c r="AL8" i="14"/>
  <c r="AD8" i="14"/>
  <c r="V8" i="14"/>
  <c r="N8" i="14"/>
  <c r="F8" i="14"/>
  <c r="BA8" i="14"/>
  <c r="AS8" i="14"/>
  <c r="AK8" i="14"/>
  <c r="AC8" i="14"/>
  <c r="U8" i="14"/>
  <c r="M8" i="14"/>
  <c r="E8" i="14"/>
  <c r="AZ8" i="14"/>
  <c r="AR8" i="14"/>
  <c r="AJ8" i="14"/>
  <c r="AB8" i="14"/>
  <c r="T8" i="14"/>
  <c r="L8" i="14"/>
  <c r="D8" i="14"/>
  <c r="AY8" i="14"/>
  <c r="AQ8" i="14"/>
  <c r="AI8" i="14"/>
  <c r="AA8" i="14"/>
  <c r="S8" i="14"/>
  <c r="K8" i="14"/>
  <c r="C8" i="14"/>
  <c r="AP8" i="14"/>
  <c r="AH8" i="14"/>
  <c r="AX8" i="14"/>
  <c r="Z8" i="14"/>
  <c r="R8" i="14"/>
  <c r="J8" i="14"/>
  <c r="B8" i="14"/>
  <c r="M25" i="25"/>
  <c r="M28" i="25"/>
  <c r="AA41" i="15"/>
  <c r="O35" i="27"/>
  <c r="AI16" i="25"/>
  <c r="AI7" i="25"/>
  <c r="AI28" i="25"/>
  <c r="E44" i="17"/>
  <c r="E40" i="17"/>
  <c r="E36" i="17"/>
  <c r="E32" i="17"/>
  <c r="E28" i="17"/>
  <c r="E45" i="17"/>
  <c r="E37" i="17"/>
  <c r="E33" i="17"/>
  <c r="E29" i="17"/>
  <c r="E25" i="17"/>
  <c r="E21" i="17"/>
  <c r="E46" i="17"/>
  <c r="E38" i="17"/>
  <c r="E34" i="17"/>
  <c r="E30" i="17"/>
  <c r="E43" i="17"/>
  <c r="E39" i="17"/>
  <c r="E35" i="17"/>
  <c r="E31" i="17"/>
  <c r="E27" i="17"/>
  <c r="E23" i="17"/>
  <c r="E19" i="17"/>
  <c r="E22" i="17"/>
  <c r="E18" i="17"/>
  <c r="E15" i="17"/>
  <c r="E11" i="17"/>
  <c r="E7" i="17"/>
  <c r="E3" i="17"/>
  <c r="E24" i="17"/>
  <c r="E16" i="17"/>
  <c r="E12" i="17"/>
  <c r="E8" i="17"/>
  <c r="E4" i="17"/>
  <c r="E26" i="17"/>
  <c r="E17" i="17"/>
  <c r="E13" i="17"/>
  <c r="E9" i="17"/>
  <c r="E5" i="17"/>
  <c r="E20" i="17"/>
  <c r="E14" i="17"/>
  <c r="E10" i="17"/>
  <c r="E6" i="17"/>
  <c r="E2" i="17"/>
  <c r="G31" i="18"/>
  <c r="AY4" i="28"/>
  <c r="AY12" i="28"/>
  <c r="AY26" i="28"/>
  <c r="AQ34" i="28"/>
  <c r="AI6" i="28"/>
  <c r="AI18" i="28"/>
  <c r="AI26" i="28"/>
  <c r="AI46" i="28"/>
  <c r="AA6" i="28"/>
  <c r="AA8" i="28"/>
  <c r="S33" i="28"/>
  <c r="S38" i="28"/>
  <c r="K4" i="28"/>
  <c r="K12" i="28"/>
  <c r="K34" i="28"/>
  <c r="C4" i="28"/>
  <c r="C12" i="28"/>
  <c r="Q43" i="27"/>
  <c r="I38" i="27"/>
  <c r="W32" i="26"/>
  <c r="W45" i="26"/>
  <c r="G35" i="26"/>
  <c r="BA2" i="25"/>
  <c r="BA20" i="25"/>
  <c r="BA27" i="25"/>
  <c r="AS8" i="25"/>
  <c r="AS25" i="25"/>
  <c r="AS28" i="25"/>
  <c r="AK8" i="25"/>
  <c r="AK22" i="25"/>
  <c r="AC7" i="25"/>
  <c r="AC15" i="25"/>
  <c r="AC33" i="25"/>
  <c r="AC27" i="25"/>
  <c r="AC42" i="25"/>
  <c r="U5" i="25"/>
  <c r="U11" i="25"/>
  <c r="U25" i="25"/>
  <c r="U28" i="25"/>
  <c r="E8" i="25"/>
  <c r="E7" i="25"/>
  <c r="E40" i="25"/>
  <c r="E22" i="25"/>
  <c r="BC19" i="14"/>
  <c r="AU19" i="14"/>
  <c r="AM19" i="14"/>
  <c r="AE19" i="14"/>
  <c r="W19" i="14"/>
  <c r="O19" i="14"/>
  <c r="G19" i="14"/>
  <c r="BB19" i="14"/>
  <c r="AT19" i="14"/>
  <c r="AL19" i="14"/>
  <c r="AD19" i="14"/>
  <c r="V19" i="14"/>
  <c r="N19" i="14"/>
  <c r="F19" i="14"/>
  <c r="BA19" i="14"/>
  <c r="AS19" i="14"/>
  <c r="AK19" i="14"/>
  <c r="AC19" i="14"/>
  <c r="U19" i="14"/>
  <c r="M19" i="14"/>
  <c r="E19" i="14"/>
  <c r="AZ19" i="14"/>
  <c r="AR19" i="14"/>
  <c r="AJ19" i="14"/>
  <c r="AB19" i="14"/>
  <c r="T19" i="14"/>
  <c r="L19" i="14"/>
  <c r="D19" i="14"/>
  <c r="AY19" i="14"/>
  <c r="AQ19" i="14"/>
  <c r="AI19" i="14"/>
  <c r="AA19" i="14"/>
  <c r="S19" i="14"/>
  <c r="K19" i="14"/>
  <c r="C19" i="14"/>
  <c r="AX19" i="14"/>
  <c r="AP19" i="14"/>
  <c r="AH19" i="14"/>
  <c r="Z19" i="14"/>
  <c r="R19" i="14"/>
  <c r="J19" i="14"/>
  <c r="B19" i="14"/>
  <c r="AW19" i="14"/>
  <c r="AO19" i="14"/>
  <c r="AG19" i="14"/>
  <c r="Y19" i="14"/>
  <c r="Q19" i="14"/>
  <c r="I19" i="14"/>
  <c r="X19" i="14"/>
  <c r="P19" i="14"/>
  <c r="AF19" i="14"/>
  <c r="H19" i="14"/>
  <c r="AV19" i="14"/>
  <c r="AN19" i="14"/>
  <c r="AB42" i="17"/>
  <c r="AS36" i="26"/>
  <c r="M35" i="26"/>
  <c r="AY8" i="25"/>
  <c r="AY15" i="25"/>
  <c r="AY24" i="25"/>
  <c r="AY27" i="25"/>
  <c r="AA7" i="25"/>
  <c r="AA15" i="25"/>
  <c r="AA21" i="25"/>
  <c r="AO45" i="16"/>
  <c r="AO37" i="16"/>
  <c r="AO33" i="16"/>
  <c r="AO29" i="16"/>
  <c r="AO25" i="16"/>
  <c r="AO21" i="16"/>
  <c r="AO46" i="16"/>
  <c r="AO38" i="16"/>
  <c r="AO34" i="16"/>
  <c r="AO30" i="16"/>
  <c r="AO26" i="16"/>
  <c r="AO22" i="16"/>
  <c r="AO18" i="16"/>
  <c r="AO14" i="16"/>
  <c r="AO10" i="16"/>
  <c r="AO6" i="16"/>
  <c r="AO43" i="16"/>
  <c r="AO39" i="16"/>
  <c r="AO35" i="16"/>
  <c r="AO31" i="16"/>
  <c r="AO27" i="16"/>
  <c r="AO23" i="16"/>
  <c r="AO19" i="16"/>
  <c r="AO44" i="16"/>
  <c r="AO40" i="16"/>
  <c r="AO36" i="16"/>
  <c r="AO32" i="16"/>
  <c r="AO28" i="16"/>
  <c r="AO24" i="16"/>
  <c r="AO20" i="16"/>
  <c r="AO16" i="16"/>
  <c r="AO12" i="16"/>
  <c r="AO8" i="16"/>
  <c r="AO13" i="16"/>
  <c r="AO5" i="16"/>
  <c r="AO15" i="16"/>
  <c r="AO2" i="16"/>
  <c r="AO17" i="16"/>
  <c r="AO3" i="16"/>
  <c r="AO9" i="16"/>
  <c r="AO11" i="16"/>
  <c r="AO7" i="16"/>
  <c r="AO4" i="16"/>
  <c r="AB41" i="15"/>
  <c r="L41" i="15"/>
  <c r="AP44" i="28"/>
  <c r="AP40" i="28"/>
  <c r="AP36" i="28"/>
  <c r="AP46" i="28"/>
  <c r="AP42" i="28"/>
  <c r="AP38" i="28"/>
  <c r="AP34" i="28"/>
  <c r="AP43" i="28"/>
  <c r="AP35" i="28"/>
  <c r="AP33" i="28"/>
  <c r="AP29" i="28"/>
  <c r="AP30" i="28"/>
  <c r="AP39" i="28"/>
  <c r="AP31" i="28"/>
  <c r="AP25" i="28"/>
  <c r="AP21" i="28"/>
  <c r="AP32" i="28"/>
  <c r="AP26" i="28"/>
  <c r="AP22" i="28"/>
  <c r="AP27" i="28"/>
  <c r="AP23" i="28"/>
  <c r="AP45" i="28"/>
  <c r="AP17" i="28"/>
  <c r="AP24" i="28"/>
  <c r="AP37" i="28"/>
  <c r="AP18" i="28"/>
  <c r="AP14" i="28"/>
  <c r="AP20" i="28"/>
  <c r="AP9" i="28"/>
  <c r="AP8" i="28"/>
  <c r="AP19" i="28"/>
  <c r="AP28" i="28"/>
  <c r="AP15" i="28"/>
  <c r="AP4" i="28"/>
  <c r="AP13" i="28"/>
  <c r="AP7" i="28"/>
  <c r="AP16" i="28"/>
  <c r="AP2" i="28"/>
  <c r="AP41" i="28"/>
  <c r="AP3" i="28"/>
  <c r="AP6" i="28"/>
  <c r="AP5" i="28"/>
  <c r="AP10" i="28"/>
  <c r="AP11" i="28"/>
  <c r="AP12" i="28"/>
  <c r="J44" i="28"/>
  <c r="J40" i="28"/>
  <c r="J36" i="28"/>
  <c r="J46" i="28"/>
  <c r="J42" i="28"/>
  <c r="J38" i="28"/>
  <c r="J43" i="28"/>
  <c r="J35" i="28"/>
  <c r="J33" i="28"/>
  <c r="J29" i="28"/>
  <c r="J34" i="28"/>
  <c r="J30" i="28"/>
  <c r="J39" i="28"/>
  <c r="J31" i="28"/>
  <c r="J25" i="28"/>
  <c r="J21" i="28"/>
  <c r="J26" i="28"/>
  <c r="J22" i="28"/>
  <c r="J41" i="28"/>
  <c r="J37" i="28"/>
  <c r="J27" i="28"/>
  <c r="J23" i="28"/>
  <c r="J32" i="28"/>
  <c r="J20" i="28"/>
  <c r="J17" i="28"/>
  <c r="J18" i="28"/>
  <c r="J14" i="28"/>
  <c r="J28" i="28"/>
  <c r="J24" i="28"/>
  <c r="J9" i="28"/>
  <c r="J13" i="28"/>
  <c r="J16" i="28"/>
  <c r="J45" i="28"/>
  <c r="J8" i="28"/>
  <c r="J4" i="28"/>
  <c r="J2" i="28"/>
  <c r="J3" i="28"/>
  <c r="J19" i="28"/>
  <c r="J12" i="28"/>
  <c r="J11" i="28"/>
  <c r="J6" i="28"/>
  <c r="J5" i="28"/>
  <c r="J10" i="28"/>
  <c r="J7" i="28"/>
  <c r="J15" i="28"/>
  <c r="AF45" i="27"/>
  <c r="AF41" i="27"/>
  <c r="AF37" i="27"/>
  <c r="AF33" i="27"/>
  <c r="AF46" i="27"/>
  <c r="AF42" i="27"/>
  <c r="AF38" i="27"/>
  <c r="AF34" i="27"/>
  <c r="AF44" i="27"/>
  <c r="AF40" i="27"/>
  <c r="AF36" i="27"/>
  <c r="AF32" i="27"/>
  <c r="AF27" i="27"/>
  <c r="AF23" i="27"/>
  <c r="AF19" i="27"/>
  <c r="AF43" i="27"/>
  <c r="AF26" i="27"/>
  <c r="AF22" i="27"/>
  <c r="AF28" i="27"/>
  <c r="AF21" i="27"/>
  <c r="AF12" i="27"/>
  <c r="AF8" i="27"/>
  <c r="AF25" i="27"/>
  <c r="AF31" i="27"/>
  <c r="AF20" i="27"/>
  <c r="AF17" i="27"/>
  <c r="AF24" i="27"/>
  <c r="AF16" i="27"/>
  <c r="AF14" i="27"/>
  <c r="AF10" i="27"/>
  <c r="AF6" i="27"/>
  <c r="AF39" i="27"/>
  <c r="AF18" i="27"/>
  <c r="AF7" i="27"/>
  <c r="AF5" i="27"/>
  <c r="AF4" i="27"/>
  <c r="AF35" i="27"/>
  <c r="AF9" i="27"/>
  <c r="AF11" i="27"/>
  <c r="AF3" i="27"/>
  <c r="AF2" i="27"/>
  <c r="AF15" i="27"/>
  <c r="AF30" i="27"/>
  <c r="AF13" i="27"/>
  <c r="AF29" i="27"/>
  <c r="BB45" i="26"/>
  <c r="BB41" i="26"/>
  <c r="BB46" i="26"/>
  <c r="BB42" i="26"/>
  <c r="BB43" i="26"/>
  <c r="BB35" i="26"/>
  <c r="BB38" i="26"/>
  <c r="BB37" i="26"/>
  <c r="BB32" i="26"/>
  <c r="BB36" i="26"/>
  <c r="BB40" i="26"/>
  <c r="BB44" i="26"/>
  <c r="BB29" i="26"/>
  <c r="BB20" i="26"/>
  <c r="BB39" i="26"/>
  <c r="BB24" i="26"/>
  <c r="BB18" i="26"/>
  <c r="BB14" i="26"/>
  <c r="BB10" i="26"/>
  <c r="BB6" i="26"/>
  <c r="BB28" i="26"/>
  <c r="BB19" i="26"/>
  <c r="BB23" i="26"/>
  <c r="BB15" i="26"/>
  <c r="BB11" i="26"/>
  <c r="BB7" i="26"/>
  <c r="BB27" i="26"/>
  <c r="BB22" i="26"/>
  <c r="BB34" i="26"/>
  <c r="BB33" i="26"/>
  <c r="BB31" i="26"/>
  <c r="BB21" i="26"/>
  <c r="BB12" i="26"/>
  <c r="BB4" i="26"/>
  <c r="BB9" i="26"/>
  <c r="BB26" i="26"/>
  <c r="BB16" i="26"/>
  <c r="BB25" i="26"/>
  <c r="BB13" i="26"/>
  <c r="BB30" i="26"/>
  <c r="BB17" i="26"/>
  <c r="BB8" i="26"/>
  <c r="BB2" i="26"/>
  <c r="BB5" i="26"/>
  <c r="BB3" i="26"/>
  <c r="V45" i="26"/>
  <c r="V41" i="26"/>
  <c r="V46" i="26"/>
  <c r="V42" i="26"/>
  <c r="V40" i="26"/>
  <c r="V44" i="26"/>
  <c r="V39" i="26"/>
  <c r="V38" i="26"/>
  <c r="V37" i="26"/>
  <c r="V32" i="26"/>
  <c r="V34" i="26"/>
  <c r="V33" i="26"/>
  <c r="V43" i="26"/>
  <c r="V36" i="26"/>
  <c r="V35" i="26"/>
  <c r="V27" i="26"/>
  <c r="V22" i="26"/>
  <c r="V26" i="26"/>
  <c r="V18" i="26"/>
  <c r="V14" i="26"/>
  <c r="V10" i="26"/>
  <c r="V6" i="26"/>
  <c r="V30" i="26"/>
  <c r="V21" i="26"/>
  <c r="V25" i="26"/>
  <c r="V15" i="26"/>
  <c r="V11" i="26"/>
  <c r="V7" i="26"/>
  <c r="V29" i="26"/>
  <c r="V20" i="26"/>
  <c r="V31" i="26"/>
  <c r="V28" i="26"/>
  <c r="V24" i="26"/>
  <c r="V12" i="26"/>
  <c r="V4" i="26"/>
  <c r="V23" i="26"/>
  <c r="V9" i="26"/>
  <c r="V16" i="26"/>
  <c r="V19" i="26"/>
  <c r="V13" i="26"/>
  <c r="V17" i="26"/>
  <c r="V8" i="26"/>
  <c r="V3" i="26"/>
  <c r="V2" i="26"/>
  <c r="V5" i="26"/>
  <c r="AR16" i="25"/>
  <c r="AR20" i="25"/>
  <c r="AR29" i="25"/>
  <c r="AR11" i="25"/>
  <c r="AR26" i="25"/>
  <c r="AR33" i="25"/>
  <c r="AJ2" i="25"/>
  <c r="AJ9" i="25"/>
  <c r="AJ28" i="25"/>
  <c r="AJ23" i="25"/>
  <c r="AJ32" i="25"/>
  <c r="AJ45" i="25"/>
  <c r="AB24" i="25"/>
  <c r="AB21" i="25"/>
  <c r="AB3" i="25"/>
  <c r="AB40" i="25"/>
  <c r="T16" i="25"/>
  <c r="T42" i="25"/>
  <c r="T15" i="25"/>
  <c r="T37" i="25"/>
  <c r="L24" i="25"/>
  <c r="L13" i="25"/>
  <c r="L42" i="25"/>
  <c r="L27" i="25"/>
  <c r="D10" i="25"/>
  <c r="D20" i="25"/>
  <c r="D25" i="25"/>
  <c r="D7" i="25"/>
  <c r="AG46" i="17"/>
  <c r="AG38" i="17"/>
  <c r="AG34" i="17"/>
  <c r="AG30" i="17"/>
  <c r="AG43" i="17"/>
  <c r="AG39" i="17"/>
  <c r="AG35" i="17"/>
  <c r="AG31" i="17"/>
  <c r="AG27" i="17"/>
  <c r="AG23" i="17"/>
  <c r="AG19" i="17"/>
  <c r="AG44" i="17"/>
  <c r="AG40" i="17"/>
  <c r="AG36" i="17"/>
  <c r="AG32" i="17"/>
  <c r="AG28" i="17"/>
  <c r="AG45" i="17"/>
  <c r="AG37" i="17"/>
  <c r="AG33" i="17"/>
  <c r="AG29" i="17"/>
  <c r="AG25" i="17"/>
  <c r="AG21" i="17"/>
  <c r="AG20" i="17"/>
  <c r="AG17" i="17"/>
  <c r="AG13" i="17"/>
  <c r="AG9" i="17"/>
  <c r="AG5" i="17"/>
  <c r="AG22" i="17"/>
  <c r="AG14" i="17"/>
  <c r="AG10" i="17"/>
  <c r="AG6" i="17"/>
  <c r="AG2" i="17"/>
  <c r="AG18" i="17"/>
  <c r="AG24" i="17"/>
  <c r="AG15" i="17"/>
  <c r="AG11" i="17"/>
  <c r="AG7" i="17"/>
  <c r="AG3" i="17"/>
  <c r="AG26" i="17"/>
  <c r="AG16" i="17"/>
  <c r="AG12" i="17"/>
  <c r="AG8" i="17"/>
  <c r="AG4" i="17"/>
  <c r="AW10" i="28"/>
  <c r="AW24" i="28"/>
  <c r="AW43" i="28"/>
  <c r="BC30" i="27"/>
  <c r="BC35" i="27"/>
  <c r="W38" i="27"/>
  <c r="Z44" i="25"/>
  <c r="Z40" i="25"/>
  <c r="Z36" i="25"/>
  <c r="Z32" i="25"/>
  <c r="Z46" i="25"/>
  <c r="Z42" i="25"/>
  <c r="Z38" i="25"/>
  <c r="Z34" i="25"/>
  <c r="Z31" i="25"/>
  <c r="Z45" i="25"/>
  <c r="Z29" i="25"/>
  <c r="Z25" i="25"/>
  <c r="Z21" i="25"/>
  <c r="Z43" i="25"/>
  <c r="Z41" i="25"/>
  <c r="Z30" i="25"/>
  <c r="Z26" i="25"/>
  <c r="Z22" i="25"/>
  <c r="Z18" i="25"/>
  <c r="Z14" i="25"/>
  <c r="Z10" i="25"/>
  <c r="Z6" i="25"/>
  <c r="Z2" i="25"/>
  <c r="Z39" i="25"/>
  <c r="Z37" i="25"/>
  <c r="Z35" i="25"/>
  <c r="Z33" i="25"/>
  <c r="Z28" i="25"/>
  <c r="Z24" i="25"/>
  <c r="Z20" i="25"/>
  <c r="Z16" i="25"/>
  <c r="Z12" i="25"/>
  <c r="Z8" i="25"/>
  <c r="Z4" i="25"/>
  <c r="Z7" i="25"/>
  <c r="Z19" i="25"/>
  <c r="Z5" i="25"/>
  <c r="Z3" i="25"/>
  <c r="Z23" i="25"/>
  <c r="Z17" i="25"/>
  <c r="Z15" i="25"/>
  <c r="Z13" i="25"/>
  <c r="Z27" i="25"/>
  <c r="Z11" i="25"/>
  <c r="Z9" i="25"/>
  <c r="B44" i="25"/>
  <c r="B40" i="25"/>
  <c r="B36" i="25"/>
  <c r="B32" i="25"/>
  <c r="B46" i="25"/>
  <c r="B42" i="25"/>
  <c r="B38" i="25"/>
  <c r="B34" i="25"/>
  <c r="B35" i="25"/>
  <c r="B33" i="25"/>
  <c r="B29" i="25"/>
  <c r="B25" i="25"/>
  <c r="B21" i="25"/>
  <c r="B45" i="25"/>
  <c r="B30" i="25"/>
  <c r="B26" i="25"/>
  <c r="B22" i="25"/>
  <c r="B18" i="25"/>
  <c r="B14" i="25"/>
  <c r="B10" i="25"/>
  <c r="B6" i="25"/>
  <c r="B43" i="25"/>
  <c r="B41" i="25"/>
  <c r="B31" i="25"/>
  <c r="B39" i="25"/>
  <c r="B37" i="25"/>
  <c r="B28" i="25"/>
  <c r="B24" i="25"/>
  <c r="B20" i="25"/>
  <c r="B16" i="25"/>
  <c r="B12" i="25"/>
  <c r="B8" i="25"/>
  <c r="B4" i="25"/>
  <c r="B11" i="25"/>
  <c r="B27" i="25"/>
  <c r="B23" i="25"/>
  <c r="B9" i="25"/>
  <c r="B7" i="25"/>
  <c r="B2" i="25"/>
  <c r="B5" i="25"/>
  <c r="B3" i="25"/>
  <c r="B19" i="25"/>
  <c r="B17" i="25"/>
  <c r="B15" i="25"/>
  <c r="B13" i="25"/>
  <c r="AE45" i="17"/>
  <c r="AE37" i="17"/>
  <c r="AE33" i="17"/>
  <c r="AE29" i="17"/>
  <c r="AE46" i="17"/>
  <c r="AE38" i="17"/>
  <c r="AE34" i="17"/>
  <c r="AE30" i="17"/>
  <c r="AE26" i="17"/>
  <c r="AE22" i="17"/>
  <c r="AE18" i="17"/>
  <c r="AE43" i="17"/>
  <c r="AE39" i="17"/>
  <c r="AE35" i="17"/>
  <c r="AE31" i="17"/>
  <c r="AE44" i="17"/>
  <c r="AE40" i="17"/>
  <c r="AE36" i="17"/>
  <c r="AE32" i="17"/>
  <c r="AE28" i="17"/>
  <c r="AE24" i="17"/>
  <c r="AE20" i="17"/>
  <c r="AE23" i="17"/>
  <c r="AE16" i="17"/>
  <c r="AE12" i="17"/>
  <c r="AE8" i="17"/>
  <c r="AE4" i="17"/>
  <c r="AE25" i="17"/>
  <c r="AE17" i="17"/>
  <c r="AE13" i="17"/>
  <c r="AE9" i="17"/>
  <c r="AE5" i="17"/>
  <c r="AE27" i="17"/>
  <c r="AE19" i="17"/>
  <c r="AE14" i="17"/>
  <c r="AE10" i="17"/>
  <c r="AE6" i="17"/>
  <c r="AE2" i="17"/>
  <c r="AE21" i="17"/>
  <c r="AE15" i="17"/>
  <c r="AE11" i="17"/>
  <c r="AE7" i="17"/>
  <c r="AE3" i="17"/>
  <c r="AX46" i="15"/>
  <c r="AX38" i="15"/>
  <c r="AX34" i="15"/>
  <c r="AX30" i="15"/>
  <c r="AX26" i="15"/>
  <c r="AX22" i="15"/>
  <c r="AX18" i="15"/>
  <c r="AX14" i="15"/>
  <c r="AX10" i="15"/>
  <c r="AX43" i="15"/>
  <c r="AX39" i="15"/>
  <c r="AX35" i="15"/>
  <c r="AX31" i="15"/>
  <c r="AX27" i="15"/>
  <c r="AX23" i="15"/>
  <c r="AX19" i="15"/>
  <c r="AX15" i="15"/>
  <c r="AX11" i="15"/>
  <c r="AX7" i="15"/>
  <c r="AX3" i="15"/>
  <c r="AX44" i="15"/>
  <c r="AX40" i="15"/>
  <c r="AX36" i="15"/>
  <c r="AX32" i="15"/>
  <c r="AX28" i="15"/>
  <c r="AX24" i="15"/>
  <c r="AX20" i="15"/>
  <c r="AX16" i="15"/>
  <c r="AX12" i="15"/>
  <c r="AX8" i="15"/>
  <c r="AX45" i="15"/>
  <c r="AX37" i="15"/>
  <c r="AX33" i="15"/>
  <c r="AX29" i="15"/>
  <c r="AX25" i="15"/>
  <c r="AX21" i="15"/>
  <c r="AX17" i="15"/>
  <c r="AX13" i="15"/>
  <c r="AX9" i="15"/>
  <c r="AX5" i="15"/>
  <c r="AX6" i="15"/>
  <c r="AX4" i="15"/>
  <c r="AX2" i="15"/>
  <c r="BC31" i="14"/>
  <c r="AU31" i="14"/>
  <c r="AM31" i="14"/>
  <c r="AE31" i="14"/>
  <c r="W31" i="14"/>
  <c r="O31" i="14"/>
  <c r="G31" i="14"/>
  <c r="BB31" i="14"/>
  <c r="AT31" i="14"/>
  <c r="AL31" i="14"/>
  <c r="AD31" i="14"/>
  <c r="V31" i="14"/>
  <c r="N31" i="14"/>
  <c r="F31" i="14"/>
  <c r="BA31" i="14"/>
  <c r="AS31" i="14"/>
  <c r="AK31" i="14"/>
  <c r="AC31" i="14"/>
  <c r="U31" i="14"/>
  <c r="M31" i="14"/>
  <c r="E31" i="14"/>
  <c r="AZ31" i="14"/>
  <c r="AR31" i="14"/>
  <c r="AJ31" i="14"/>
  <c r="AB31" i="14"/>
  <c r="T31" i="14"/>
  <c r="L31" i="14"/>
  <c r="D31" i="14"/>
  <c r="AY31" i="14"/>
  <c r="AQ31" i="14"/>
  <c r="AI31" i="14"/>
  <c r="AA31" i="14"/>
  <c r="S31" i="14"/>
  <c r="K31" i="14"/>
  <c r="C31" i="14"/>
  <c r="AX31" i="14"/>
  <c r="AP31" i="14"/>
  <c r="AH31" i="14"/>
  <c r="Z31" i="14"/>
  <c r="R31" i="14"/>
  <c r="J31" i="14"/>
  <c r="B31" i="14"/>
  <c r="AW31" i="14"/>
  <c r="AO31" i="14"/>
  <c r="AG31" i="14"/>
  <c r="Y31" i="14"/>
  <c r="Q31" i="14"/>
  <c r="I31" i="14"/>
  <c r="P31" i="14"/>
  <c r="H31" i="14"/>
  <c r="AV31" i="14"/>
  <c r="AN31" i="14"/>
  <c r="AF31" i="14"/>
  <c r="X31" i="14"/>
  <c r="AZ43" i="17"/>
  <c r="AZ39" i="17"/>
  <c r="AZ35" i="17"/>
  <c r="AZ31" i="17"/>
  <c r="AZ27" i="17"/>
  <c r="AZ23" i="17"/>
  <c r="AZ19" i="17"/>
  <c r="AZ44" i="17"/>
  <c r="AZ40" i="17"/>
  <c r="AZ36" i="17"/>
  <c r="AZ32" i="17"/>
  <c r="AZ45" i="17"/>
  <c r="AZ37" i="17"/>
  <c r="AZ33" i="17"/>
  <c r="AZ29" i="17"/>
  <c r="AZ25" i="17"/>
  <c r="AZ21" i="17"/>
  <c r="AZ46" i="17"/>
  <c r="AZ38" i="17"/>
  <c r="AZ34" i="17"/>
  <c r="AZ20" i="17"/>
  <c r="AZ14" i="17"/>
  <c r="AZ10" i="17"/>
  <c r="AZ6" i="17"/>
  <c r="AZ2" i="17"/>
  <c r="AZ22" i="17"/>
  <c r="AZ15" i="17"/>
  <c r="AZ11" i="17"/>
  <c r="AZ7" i="17"/>
  <c r="AZ3" i="17"/>
  <c r="AZ30" i="17"/>
  <c r="AZ24" i="17"/>
  <c r="AZ16" i="17"/>
  <c r="AZ12" i="17"/>
  <c r="AZ8" i="17"/>
  <c r="AZ4" i="17"/>
  <c r="AZ26" i="17"/>
  <c r="AZ18" i="17"/>
  <c r="AZ17" i="17"/>
  <c r="AZ13" i="17"/>
  <c r="AZ9" i="17"/>
  <c r="AZ5" i="17"/>
  <c r="AZ28" i="17"/>
  <c r="AP46" i="16"/>
  <c r="AP38" i="16"/>
  <c r="AP34" i="16"/>
  <c r="AP30" i="16"/>
  <c r="AP26" i="16"/>
  <c r="AP22" i="16"/>
  <c r="AP43" i="16"/>
  <c r="AP39" i="16"/>
  <c r="AP35" i="16"/>
  <c r="AP31" i="16"/>
  <c r="AP27" i="16"/>
  <c r="AP23" i="16"/>
  <c r="AP19" i="16"/>
  <c r="AP15" i="16"/>
  <c r="AP11" i="16"/>
  <c r="AP44" i="16"/>
  <c r="AP40" i="16"/>
  <c r="AP36" i="16"/>
  <c r="AP32" i="16"/>
  <c r="AP28" i="16"/>
  <c r="AP24" i="16"/>
  <c r="AP20" i="16"/>
  <c r="AP45" i="16"/>
  <c r="AP37" i="16"/>
  <c r="AP33" i="16"/>
  <c r="AP29" i="16"/>
  <c r="AP25" i="16"/>
  <c r="AP21" i="16"/>
  <c r="AP17" i="16"/>
  <c r="AP13" i="16"/>
  <c r="AP16" i="16"/>
  <c r="AP5" i="16"/>
  <c r="AP10" i="16"/>
  <c r="AP2" i="16"/>
  <c r="AP18" i="16"/>
  <c r="AP12" i="16"/>
  <c r="AP3" i="16"/>
  <c r="AP9" i="16"/>
  <c r="AP14" i="16"/>
  <c r="AP8" i="16"/>
  <c r="AP7" i="16"/>
  <c r="AP4" i="16"/>
  <c r="AP6" i="16"/>
  <c r="BC35" i="14"/>
  <c r="AU35" i="14"/>
  <c r="AM35" i="14"/>
  <c r="AE35" i="14"/>
  <c r="W35" i="14"/>
  <c r="O35" i="14"/>
  <c r="G35" i="14"/>
  <c r="BB35" i="14"/>
  <c r="AT35" i="14"/>
  <c r="AL35" i="14"/>
  <c r="AD35" i="14"/>
  <c r="V35" i="14"/>
  <c r="N35" i="14"/>
  <c r="F35" i="14"/>
  <c r="BA35" i="14"/>
  <c r="AS35" i="14"/>
  <c r="AK35" i="14"/>
  <c r="AC35" i="14"/>
  <c r="U35" i="14"/>
  <c r="M35" i="14"/>
  <c r="E35" i="14"/>
  <c r="AZ35" i="14"/>
  <c r="AR35" i="14"/>
  <c r="AJ35" i="14"/>
  <c r="AB35" i="14"/>
  <c r="T35" i="14"/>
  <c r="L35" i="14"/>
  <c r="D35" i="14"/>
  <c r="AY35" i="14"/>
  <c r="AQ35" i="14"/>
  <c r="AI35" i="14"/>
  <c r="AA35" i="14"/>
  <c r="S35" i="14"/>
  <c r="K35" i="14"/>
  <c r="C35" i="14"/>
  <c r="AX35" i="14"/>
  <c r="AP35" i="14"/>
  <c r="AH35" i="14"/>
  <c r="Z35" i="14"/>
  <c r="R35" i="14"/>
  <c r="J35" i="14"/>
  <c r="B35" i="14"/>
  <c r="AW35" i="14"/>
  <c r="AO35" i="14"/>
  <c r="AG35" i="14"/>
  <c r="Y35" i="14"/>
  <c r="Q35" i="14"/>
  <c r="I35" i="14"/>
  <c r="AV35" i="14"/>
  <c r="AN35" i="14"/>
  <c r="AF35" i="14"/>
  <c r="X35" i="14"/>
  <c r="P35" i="14"/>
  <c r="H35" i="14"/>
  <c r="AH44" i="28"/>
  <c r="AH40" i="28"/>
  <c r="AH36" i="28"/>
  <c r="AH46" i="28"/>
  <c r="AH42" i="28"/>
  <c r="AH38" i="28"/>
  <c r="AH34" i="28"/>
  <c r="AH39" i="28"/>
  <c r="AH33" i="28"/>
  <c r="AH29" i="28"/>
  <c r="AH30" i="28"/>
  <c r="AH43" i="28"/>
  <c r="AH35" i="28"/>
  <c r="AH31" i="28"/>
  <c r="AH37" i="28"/>
  <c r="AH25" i="28"/>
  <c r="AH21" i="28"/>
  <c r="AH26" i="28"/>
  <c r="AH22" i="28"/>
  <c r="AH32" i="28"/>
  <c r="AH28" i="28"/>
  <c r="AH27" i="28"/>
  <c r="AH23" i="28"/>
  <c r="AH17" i="28"/>
  <c r="AH18" i="28"/>
  <c r="AH14" i="28"/>
  <c r="AH45" i="28"/>
  <c r="AH41" i="28"/>
  <c r="AH24" i="28"/>
  <c r="AH20" i="28"/>
  <c r="AH16" i="28"/>
  <c r="AH13" i="28"/>
  <c r="AH19" i="28"/>
  <c r="AH12" i="28"/>
  <c r="AH4" i="28"/>
  <c r="AH15" i="28"/>
  <c r="AH2" i="28"/>
  <c r="AH3" i="28"/>
  <c r="AH11" i="28"/>
  <c r="AH9" i="28"/>
  <c r="AH10" i="28"/>
  <c r="AH5" i="28"/>
  <c r="AH6" i="28"/>
  <c r="AH7" i="28"/>
  <c r="AH8" i="28"/>
  <c r="V41" i="16"/>
  <c r="U42" i="16"/>
  <c r="AC41" i="16"/>
  <c r="N44" i="16"/>
  <c r="N40" i="16"/>
  <c r="N36" i="16"/>
  <c r="N32" i="16"/>
  <c r="N28" i="16"/>
  <c r="N24" i="16"/>
  <c r="N45" i="16"/>
  <c r="N37" i="16"/>
  <c r="N33" i="16"/>
  <c r="N29" i="16"/>
  <c r="N25" i="16"/>
  <c r="N21" i="16"/>
  <c r="N17" i="16"/>
  <c r="N13" i="16"/>
  <c r="N46" i="16"/>
  <c r="N38" i="16"/>
  <c r="N34" i="16"/>
  <c r="N30" i="16"/>
  <c r="N26" i="16"/>
  <c r="N22" i="16"/>
  <c r="N43" i="16"/>
  <c r="N39" i="16"/>
  <c r="N35" i="16"/>
  <c r="N31" i="16"/>
  <c r="N27" i="16"/>
  <c r="N23" i="16"/>
  <c r="N19" i="16"/>
  <c r="N15" i="16"/>
  <c r="N11" i="16"/>
  <c r="N18" i="16"/>
  <c r="N10" i="16"/>
  <c r="N3" i="16"/>
  <c r="N12" i="16"/>
  <c r="N9" i="16"/>
  <c r="N4" i="16"/>
  <c r="N8" i="16"/>
  <c r="N7" i="16"/>
  <c r="N14" i="16"/>
  <c r="N5" i="16"/>
  <c r="N16" i="16"/>
  <c r="N6" i="16"/>
  <c r="N2" i="16"/>
  <c r="N20" i="16"/>
  <c r="AU43" i="18"/>
  <c r="AU39" i="18"/>
  <c r="AU35" i="18"/>
  <c r="AU31" i="18"/>
  <c r="AU27" i="18"/>
  <c r="AU23" i="18"/>
  <c r="AU44" i="18"/>
  <c r="AU40" i="18"/>
  <c r="AU36" i="18"/>
  <c r="AU32" i="18"/>
  <c r="AU28" i="18"/>
  <c r="AU24" i="18"/>
  <c r="AU45" i="18"/>
  <c r="AU37" i="18"/>
  <c r="AU33" i="18"/>
  <c r="AU29" i="18"/>
  <c r="AU25" i="18"/>
  <c r="AU46" i="18"/>
  <c r="AU38" i="18"/>
  <c r="AU19" i="18"/>
  <c r="AU16" i="18"/>
  <c r="AU12" i="18"/>
  <c r="AU8" i="18"/>
  <c r="AU4" i="18"/>
  <c r="AU30" i="18"/>
  <c r="AU17" i="18"/>
  <c r="AU13" i="18"/>
  <c r="AU9" i="18"/>
  <c r="AU5" i="18"/>
  <c r="AU26" i="18"/>
  <c r="AU18" i="18"/>
  <c r="AU14" i="18"/>
  <c r="AU10" i="18"/>
  <c r="AU6" i="18"/>
  <c r="AU2" i="18"/>
  <c r="AU34" i="18"/>
  <c r="AU15" i="18"/>
  <c r="AU11" i="18"/>
  <c r="AU7" i="18"/>
  <c r="AU3" i="18"/>
  <c r="AU22" i="18"/>
  <c r="AU21" i="18"/>
  <c r="AU20" i="18"/>
  <c r="B42" i="18"/>
  <c r="AD44" i="17"/>
  <c r="AD40" i="17"/>
  <c r="AD36" i="17"/>
  <c r="AD32" i="17"/>
  <c r="AD28" i="17"/>
  <c r="AD24" i="17"/>
  <c r="AD20" i="17"/>
  <c r="AD45" i="17"/>
  <c r="AD37" i="17"/>
  <c r="AD33" i="17"/>
  <c r="AD46" i="17"/>
  <c r="AD38" i="17"/>
  <c r="AD34" i="17"/>
  <c r="AD30" i="17"/>
  <c r="AD26" i="17"/>
  <c r="AD22" i="17"/>
  <c r="AD43" i="17"/>
  <c r="AD39" i="17"/>
  <c r="AD35" i="17"/>
  <c r="AD31" i="17"/>
  <c r="AD21" i="17"/>
  <c r="AD15" i="17"/>
  <c r="AD11" i="17"/>
  <c r="AD7" i="17"/>
  <c r="AD3" i="17"/>
  <c r="AD23" i="17"/>
  <c r="AD16" i="17"/>
  <c r="AD12" i="17"/>
  <c r="AD8" i="17"/>
  <c r="AD4" i="17"/>
  <c r="AD25" i="17"/>
  <c r="AD17" i="17"/>
  <c r="AD13" i="17"/>
  <c r="AD9" i="17"/>
  <c r="AD5" i="17"/>
  <c r="AD27" i="17"/>
  <c r="AD19" i="17"/>
  <c r="AD18" i="17"/>
  <c r="AD14" i="17"/>
  <c r="AD10" i="17"/>
  <c r="AD6" i="17"/>
  <c r="AD2" i="17"/>
  <c r="AD29" i="17"/>
  <c r="J46" i="15"/>
  <c r="J38" i="15"/>
  <c r="J34" i="15"/>
  <c r="J30" i="15"/>
  <c r="J26" i="15"/>
  <c r="J22" i="15"/>
  <c r="J18" i="15"/>
  <c r="J14" i="15"/>
  <c r="J10" i="15"/>
  <c r="J43" i="15"/>
  <c r="J39" i="15"/>
  <c r="J35" i="15"/>
  <c r="J31" i="15"/>
  <c r="J27" i="15"/>
  <c r="J23" i="15"/>
  <c r="J19" i="15"/>
  <c r="J15" i="15"/>
  <c r="J11" i="15"/>
  <c r="J7" i="15"/>
  <c r="J3" i="15"/>
  <c r="J44" i="15"/>
  <c r="J40" i="15"/>
  <c r="J36" i="15"/>
  <c r="J32" i="15"/>
  <c r="J28" i="15"/>
  <c r="J24" i="15"/>
  <c r="J20" i="15"/>
  <c r="J16" i="15"/>
  <c r="J12" i="15"/>
  <c r="J45" i="15"/>
  <c r="J37" i="15"/>
  <c r="J33" i="15"/>
  <c r="J29" i="15"/>
  <c r="J25" i="15"/>
  <c r="J21" i="15"/>
  <c r="J17" i="15"/>
  <c r="J13" i="15"/>
  <c r="J9" i="15"/>
  <c r="J5" i="15"/>
  <c r="J8" i="15"/>
  <c r="J6" i="15"/>
  <c r="J4" i="15"/>
  <c r="J2" i="15"/>
  <c r="P43" i="28"/>
  <c r="P39" i="28"/>
  <c r="P35" i="28"/>
  <c r="P45" i="28"/>
  <c r="P41" i="28"/>
  <c r="P37" i="28"/>
  <c r="P42" i="28"/>
  <c r="P32" i="28"/>
  <c r="P28" i="28"/>
  <c r="P33" i="28"/>
  <c r="P29" i="28"/>
  <c r="P46" i="28"/>
  <c r="P38" i="28"/>
  <c r="P34" i="28"/>
  <c r="P30" i="28"/>
  <c r="P24" i="28"/>
  <c r="P20" i="28"/>
  <c r="P25" i="28"/>
  <c r="P21" i="28"/>
  <c r="P44" i="28"/>
  <c r="P26" i="28"/>
  <c r="P22" i="28"/>
  <c r="P40" i="28"/>
  <c r="P36" i="28"/>
  <c r="P31" i="28"/>
  <c r="P23" i="28"/>
  <c r="P16" i="28"/>
  <c r="P17" i="28"/>
  <c r="P13" i="28"/>
  <c r="P14" i="28"/>
  <c r="P12" i="28"/>
  <c r="P11" i="28"/>
  <c r="P19" i="28"/>
  <c r="P10" i="28"/>
  <c r="P9" i="28"/>
  <c r="P15" i="28"/>
  <c r="P7" i="28"/>
  <c r="P27" i="28"/>
  <c r="P6" i="28"/>
  <c r="P8" i="28"/>
  <c r="P5" i="28"/>
  <c r="P4" i="28"/>
  <c r="P2" i="28"/>
  <c r="P18" i="28"/>
  <c r="P3" i="28"/>
  <c r="AU42" i="16"/>
  <c r="N42" i="16"/>
  <c r="AU41" i="16"/>
  <c r="AD41" i="16"/>
  <c r="N41" i="16"/>
  <c r="AT42" i="16"/>
  <c r="BC41" i="16"/>
  <c r="AK41" i="16"/>
  <c r="U41" i="16"/>
  <c r="E41" i="16"/>
  <c r="AV21" i="18"/>
  <c r="AQ42" i="15"/>
  <c r="J42" i="15"/>
  <c r="N44" i="17"/>
  <c r="N40" i="17"/>
  <c r="N36" i="17"/>
  <c r="N32" i="17"/>
  <c r="N28" i="17"/>
  <c r="N24" i="17"/>
  <c r="N20" i="17"/>
  <c r="N45" i="17"/>
  <c r="N37" i="17"/>
  <c r="N33" i="17"/>
  <c r="N46" i="17"/>
  <c r="N38" i="17"/>
  <c r="N34" i="17"/>
  <c r="N30" i="17"/>
  <c r="N26" i="17"/>
  <c r="N22" i="17"/>
  <c r="N43" i="17"/>
  <c r="N39" i="17"/>
  <c r="N35" i="17"/>
  <c r="N31" i="17"/>
  <c r="N21" i="17"/>
  <c r="N15" i="17"/>
  <c r="N11" i="17"/>
  <c r="N7" i="17"/>
  <c r="N3" i="17"/>
  <c r="N23" i="17"/>
  <c r="N18" i="17"/>
  <c r="N16" i="17"/>
  <c r="N12" i="17"/>
  <c r="N8" i="17"/>
  <c r="N29" i="17"/>
  <c r="N25" i="17"/>
  <c r="N17" i="17"/>
  <c r="N13" i="17"/>
  <c r="N9" i="17"/>
  <c r="N5" i="17"/>
  <c r="N27" i="17"/>
  <c r="N19" i="17"/>
  <c r="N14" i="17"/>
  <c r="N10" i="17"/>
  <c r="N6" i="17"/>
  <c r="N2" i="17"/>
  <c r="AA42" i="18"/>
  <c r="AX44" i="18"/>
  <c r="AX40" i="18"/>
  <c r="AX36" i="18"/>
  <c r="AX32" i="18"/>
  <c r="AX28" i="18"/>
  <c r="AX24" i="18"/>
  <c r="AX45" i="18"/>
  <c r="AX37" i="18"/>
  <c r="AX33" i="18"/>
  <c r="AX29" i="18"/>
  <c r="AX25" i="18"/>
  <c r="AX21" i="18"/>
  <c r="AX46" i="18"/>
  <c r="AX38" i="18"/>
  <c r="AX34" i="18"/>
  <c r="AX30" i="18"/>
  <c r="AX26" i="18"/>
  <c r="AX22" i="18"/>
  <c r="AX43" i="18"/>
  <c r="AX39" i="18"/>
  <c r="AX35" i="18"/>
  <c r="AX31" i="18"/>
  <c r="AX27" i="18"/>
  <c r="AX23" i="18"/>
  <c r="AX19" i="18"/>
  <c r="AX18" i="18"/>
  <c r="AX14" i="18"/>
  <c r="AX10" i="18"/>
  <c r="AX6" i="18"/>
  <c r="AX2" i="18"/>
  <c r="AX15" i="18"/>
  <c r="AX11" i="18"/>
  <c r="AX7" i="18"/>
  <c r="AX3" i="18"/>
  <c r="AX20" i="18"/>
  <c r="AX16" i="18"/>
  <c r="AX12" i="18"/>
  <c r="AX8" i="18"/>
  <c r="AX4" i="18"/>
  <c r="AX17" i="18"/>
  <c r="AX13" i="18"/>
  <c r="AX9" i="18"/>
  <c r="AX5" i="18"/>
  <c r="R44" i="18"/>
  <c r="R40" i="18"/>
  <c r="R36" i="18"/>
  <c r="R32" i="18"/>
  <c r="R28" i="18"/>
  <c r="R24" i="18"/>
  <c r="R45" i="18"/>
  <c r="R37" i="18"/>
  <c r="R33" i="18"/>
  <c r="R29" i="18"/>
  <c r="R25" i="18"/>
  <c r="R21" i="18"/>
  <c r="R46" i="18"/>
  <c r="R38" i="18"/>
  <c r="R34" i="18"/>
  <c r="R30" i="18"/>
  <c r="R26" i="18"/>
  <c r="R43" i="18"/>
  <c r="R39" i="18"/>
  <c r="R35" i="18"/>
  <c r="R31" i="18"/>
  <c r="R27" i="18"/>
  <c r="R23" i="18"/>
  <c r="R18" i="18"/>
  <c r="R14" i="18"/>
  <c r="R10" i="18"/>
  <c r="R6" i="18"/>
  <c r="R2" i="18"/>
  <c r="R19" i="18"/>
  <c r="R15" i="18"/>
  <c r="R11" i="18"/>
  <c r="R7" i="18"/>
  <c r="R3" i="18"/>
  <c r="R22" i="18"/>
  <c r="R20" i="18"/>
  <c r="R16" i="18"/>
  <c r="R12" i="18"/>
  <c r="R8" i="18"/>
  <c r="R4" i="18"/>
  <c r="R17" i="18"/>
  <c r="R13" i="18"/>
  <c r="R9" i="18"/>
  <c r="R5" i="18"/>
  <c r="AN45" i="17"/>
  <c r="AN37" i="17"/>
  <c r="AN33" i="17"/>
  <c r="AN29" i="17"/>
  <c r="AN25" i="17"/>
  <c r="AN21" i="17"/>
  <c r="AN46" i="17"/>
  <c r="AN38" i="17"/>
  <c r="AN34" i="17"/>
  <c r="AN43" i="17"/>
  <c r="AN39" i="17"/>
  <c r="AN35" i="17"/>
  <c r="AN31" i="17"/>
  <c r="AN27" i="17"/>
  <c r="AN23" i="17"/>
  <c r="AN19" i="17"/>
  <c r="AN44" i="17"/>
  <c r="AN40" i="17"/>
  <c r="AN36" i="17"/>
  <c r="AN32" i="17"/>
  <c r="AN22" i="17"/>
  <c r="AN16" i="17"/>
  <c r="AN12" i="17"/>
  <c r="AN8" i="17"/>
  <c r="AN4" i="17"/>
  <c r="AN28" i="17"/>
  <c r="AN24" i="17"/>
  <c r="AN17" i="17"/>
  <c r="AN13" i="17"/>
  <c r="AN9" i="17"/>
  <c r="AN5" i="17"/>
  <c r="AN26" i="17"/>
  <c r="AN14" i="17"/>
  <c r="AN10" i="17"/>
  <c r="AN6" i="17"/>
  <c r="AN2" i="17"/>
  <c r="AN20" i="17"/>
  <c r="AN15" i="17"/>
  <c r="AN11" i="17"/>
  <c r="AN7" i="17"/>
  <c r="AN3" i="17"/>
  <c r="AN30" i="17"/>
  <c r="AN18" i="17"/>
  <c r="H45" i="17"/>
  <c r="H37" i="17"/>
  <c r="H33" i="17"/>
  <c r="H29" i="17"/>
  <c r="H25" i="17"/>
  <c r="H21" i="17"/>
  <c r="H46" i="17"/>
  <c r="H38" i="17"/>
  <c r="H34" i="17"/>
  <c r="H43" i="17"/>
  <c r="H39" i="17"/>
  <c r="H35" i="17"/>
  <c r="H31" i="17"/>
  <c r="H27" i="17"/>
  <c r="H23" i="17"/>
  <c r="H19" i="17"/>
  <c r="H44" i="17"/>
  <c r="H40" i="17"/>
  <c r="H36" i="17"/>
  <c r="H32" i="17"/>
  <c r="H22" i="17"/>
  <c r="H16" i="17"/>
  <c r="H12" i="17"/>
  <c r="H8" i="17"/>
  <c r="H4" i="17"/>
  <c r="H28" i="17"/>
  <c r="H24" i="17"/>
  <c r="H17" i="17"/>
  <c r="H13" i="17"/>
  <c r="H9" i="17"/>
  <c r="H5" i="17"/>
  <c r="H26" i="17"/>
  <c r="H14" i="17"/>
  <c r="H10" i="17"/>
  <c r="H6" i="17"/>
  <c r="H2" i="17"/>
  <c r="H20" i="17"/>
  <c r="H15" i="17"/>
  <c r="H11" i="17"/>
  <c r="H7" i="17"/>
  <c r="H3" i="17"/>
  <c r="H30" i="17"/>
  <c r="H18" i="17"/>
  <c r="AD44" i="16"/>
  <c r="AD40" i="16"/>
  <c r="AD36" i="16"/>
  <c r="AD32" i="16"/>
  <c r="AD28" i="16"/>
  <c r="AD24" i="16"/>
  <c r="AD45" i="16"/>
  <c r="AD37" i="16"/>
  <c r="AD33" i="16"/>
  <c r="AD29" i="16"/>
  <c r="AD25" i="16"/>
  <c r="AD21" i="16"/>
  <c r="AD17" i="16"/>
  <c r="AD13" i="16"/>
  <c r="AD46" i="16"/>
  <c r="AD38" i="16"/>
  <c r="AD34" i="16"/>
  <c r="AD30" i="16"/>
  <c r="AD26" i="16"/>
  <c r="AD22" i="16"/>
  <c r="AD43" i="16"/>
  <c r="AD39" i="16"/>
  <c r="AD35" i="16"/>
  <c r="AD31" i="16"/>
  <c r="AD27" i="16"/>
  <c r="AD23" i="16"/>
  <c r="AD19" i="16"/>
  <c r="AD15" i="16"/>
  <c r="AD11" i="16"/>
  <c r="AD18" i="16"/>
  <c r="AD10" i="16"/>
  <c r="AD6" i="16"/>
  <c r="AD3" i="16"/>
  <c r="AD12" i="16"/>
  <c r="AD4" i="16"/>
  <c r="AD20" i="16"/>
  <c r="AD14" i="16"/>
  <c r="AD5" i="16"/>
  <c r="AD16" i="16"/>
  <c r="AD9" i="16"/>
  <c r="AD2" i="16"/>
  <c r="AD8" i="16"/>
  <c r="AD7" i="16"/>
  <c r="AZ43" i="15"/>
  <c r="AZ39" i="15"/>
  <c r="AZ35" i="15"/>
  <c r="AZ31" i="15"/>
  <c r="AZ27" i="15"/>
  <c r="AZ23" i="15"/>
  <c r="AZ19" i="15"/>
  <c r="AZ15" i="15"/>
  <c r="AZ11" i="15"/>
  <c r="AZ44" i="15"/>
  <c r="AZ40" i="15"/>
  <c r="AZ36" i="15"/>
  <c r="AZ32" i="15"/>
  <c r="AZ28" i="15"/>
  <c r="AZ24" i="15"/>
  <c r="AZ20" i="15"/>
  <c r="AZ16" i="15"/>
  <c r="AZ12" i="15"/>
  <c r="AZ8" i="15"/>
  <c r="AZ4" i="15"/>
  <c r="AZ45" i="15"/>
  <c r="AZ37" i="15"/>
  <c r="AZ33" i="15"/>
  <c r="AZ29" i="15"/>
  <c r="AZ25" i="15"/>
  <c r="AZ21" i="15"/>
  <c r="AZ17" i="15"/>
  <c r="AZ13" i="15"/>
  <c r="AZ9" i="15"/>
  <c r="AZ46" i="15"/>
  <c r="AZ38" i="15"/>
  <c r="AZ34" i="15"/>
  <c r="AZ30" i="15"/>
  <c r="AZ26" i="15"/>
  <c r="AZ22" i="15"/>
  <c r="AZ18" i="15"/>
  <c r="AZ14" i="15"/>
  <c r="AZ10" i="15"/>
  <c r="AZ6" i="15"/>
  <c r="AZ2" i="15"/>
  <c r="AZ7" i="15"/>
  <c r="AZ5" i="15"/>
  <c r="AZ3" i="15"/>
  <c r="T43" i="15"/>
  <c r="T39" i="15"/>
  <c r="T35" i="15"/>
  <c r="T31" i="15"/>
  <c r="T27" i="15"/>
  <c r="T23" i="15"/>
  <c r="T19" i="15"/>
  <c r="T15" i="15"/>
  <c r="T11" i="15"/>
  <c r="T44" i="15"/>
  <c r="T40" i="15"/>
  <c r="T36" i="15"/>
  <c r="T32" i="15"/>
  <c r="T28" i="15"/>
  <c r="T24" i="15"/>
  <c r="T20" i="15"/>
  <c r="T16" i="15"/>
  <c r="T12" i="15"/>
  <c r="T8" i="15"/>
  <c r="T4" i="15"/>
  <c r="T45" i="15"/>
  <c r="T37" i="15"/>
  <c r="T33" i="15"/>
  <c r="T29" i="15"/>
  <c r="T25" i="15"/>
  <c r="T21" i="15"/>
  <c r="T17" i="15"/>
  <c r="T13" i="15"/>
  <c r="T9" i="15"/>
  <c r="T46" i="15"/>
  <c r="T38" i="15"/>
  <c r="T34" i="15"/>
  <c r="T30" i="15"/>
  <c r="T26" i="15"/>
  <c r="T22" i="15"/>
  <c r="T18" i="15"/>
  <c r="T14" i="15"/>
  <c r="T10" i="15"/>
  <c r="T6" i="15"/>
  <c r="T2" i="15"/>
  <c r="T7" i="15"/>
  <c r="T5" i="15"/>
  <c r="T3" i="15"/>
  <c r="AW4" i="14"/>
  <c r="AO4" i="14"/>
  <c r="AG4" i="14"/>
  <c r="Y4" i="14"/>
  <c r="Q4" i="14"/>
  <c r="I4" i="14"/>
  <c r="AV4" i="14"/>
  <c r="AN4" i="14"/>
  <c r="AF4" i="14"/>
  <c r="X4" i="14"/>
  <c r="P4" i="14"/>
  <c r="H4" i="14"/>
  <c r="BC4" i="14"/>
  <c r="AU4" i="14"/>
  <c r="AM4" i="14"/>
  <c r="AE4" i="14"/>
  <c r="W4" i="14"/>
  <c r="O4" i="14"/>
  <c r="G4" i="14"/>
  <c r="BB4" i="14"/>
  <c r="AT4" i="14"/>
  <c r="AL4" i="14"/>
  <c r="AD4" i="14"/>
  <c r="V4" i="14"/>
  <c r="N4" i="14"/>
  <c r="F4" i="14"/>
  <c r="BA4" i="14"/>
  <c r="AS4" i="14"/>
  <c r="AK4" i="14"/>
  <c r="AC4" i="14"/>
  <c r="U4" i="14"/>
  <c r="M4" i="14"/>
  <c r="E4" i="14"/>
  <c r="AZ4" i="14"/>
  <c r="AR4" i="14"/>
  <c r="AJ4" i="14"/>
  <c r="AB4" i="14"/>
  <c r="T4" i="14"/>
  <c r="L4" i="14"/>
  <c r="D4" i="14"/>
  <c r="AY4" i="14"/>
  <c r="AQ4" i="14"/>
  <c r="AI4" i="14"/>
  <c r="AA4" i="14"/>
  <c r="S4" i="14"/>
  <c r="K4" i="14"/>
  <c r="C4" i="14"/>
  <c r="B4" i="14"/>
  <c r="J4" i="14"/>
  <c r="AX4" i="14"/>
  <c r="AP4" i="14"/>
  <c r="AH4" i="14"/>
  <c r="Z4" i="14"/>
  <c r="R4" i="14"/>
  <c r="M43" i="15"/>
  <c r="M39" i="15"/>
  <c r="M35" i="15"/>
  <c r="M31" i="15"/>
  <c r="M27" i="15"/>
  <c r="M23" i="15"/>
  <c r="M19" i="15"/>
  <c r="M44" i="15"/>
  <c r="M40" i="15"/>
  <c r="M36" i="15"/>
  <c r="M32" i="15"/>
  <c r="M28" i="15"/>
  <c r="M24" i="15"/>
  <c r="M20" i="15"/>
  <c r="M16" i="15"/>
  <c r="M12" i="15"/>
  <c r="M45" i="15"/>
  <c r="M37" i="15"/>
  <c r="M33" i="15"/>
  <c r="M29" i="15"/>
  <c r="M25" i="15"/>
  <c r="M21" i="15"/>
  <c r="M17" i="15"/>
  <c r="M13" i="15"/>
  <c r="M9" i="15"/>
  <c r="M46" i="15"/>
  <c r="M38" i="15"/>
  <c r="M34" i="15"/>
  <c r="M30" i="15"/>
  <c r="M26" i="15"/>
  <c r="M22" i="15"/>
  <c r="M18" i="15"/>
  <c r="M14" i="15"/>
  <c r="M10" i="15"/>
  <c r="M6" i="15"/>
  <c r="M5" i="15"/>
  <c r="M4" i="15"/>
  <c r="M3" i="15"/>
  <c r="M15" i="15"/>
  <c r="M2" i="15"/>
  <c r="M11" i="15"/>
  <c r="M8" i="15"/>
  <c r="M7" i="15"/>
  <c r="I34" i="28"/>
  <c r="AQ12" i="25"/>
  <c r="C13" i="25"/>
  <c r="C4" i="25"/>
  <c r="C10" i="25"/>
  <c r="S46" i="16"/>
  <c r="S38" i="16"/>
  <c r="S34" i="16"/>
  <c r="S30" i="16"/>
  <c r="S26" i="16"/>
  <c r="S22" i="16"/>
  <c r="S43" i="16"/>
  <c r="S39" i="16"/>
  <c r="S35" i="16"/>
  <c r="S31" i="16"/>
  <c r="S27" i="16"/>
  <c r="S23" i="16"/>
  <c r="S19" i="16"/>
  <c r="S15" i="16"/>
  <c r="S11" i="16"/>
  <c r="S7" i="16"/>
  <c r="S44" i="16"/>
  <c r="S40" i="16"/>
  <c r="S36" i="16"/>
  <c r="S32" i="16"/>
  <c r="S28" i="16"/>
  <c r="S24" i="16"/>
  <c r="S20" i="16"/>
  <c r="S45" i="16"/>
  <c r="S37" i="16"/>
  <c r="S33" i="16"/>
  <c r="S29" i="16"/>
  <c r="S25" i="16"/>
  <c r="S21" i="16"/>
  <c r="S17" i="16"/>
  <c r="S13" i="16"/>
  <c r="S9" i="16"/>
  <c r="S14" i="16"/>
  <c r="S6" i="16"/>
  <c r="S2" i="16"/>
  <c r="S16" i="16"/>
  <c r="S3" i="16"/>
  <c r="S18" i="16"/>
  <c r="S10" i="16"/>
  <c r="S4" i="16"/>
  <c r="S12" i="16"/>
  <c r="S8" i="16"/>
  <c r="S5" i="16"/>
  <c r="AP41" i="16"/>
  <c r="I41" i="16"/>
  <c r="AM44" i="28"/>
  <c r="AM40" i="28"/>
  <c r="AM36" i="28"/>
  <c r="AM45" i="28"/>
  <c r="AM41" i="28"/>
  <c r="AM37" i="28"/>
  <c r="AM46" i="28"/>
  <c r="AM38" i="28"/>
  <c r="AM32" i="28"/>
  <c r="AM43" i="28"/>
  <c r="AM35" i="28"/>
  <c r="AM42" i="28"/>
  <c r="AM34" i="28"/>
  <c r="AM30" i="28"/>
  <c r="AM28" i="28"/>
  <c r="AM24" i="28"/>
  <c r="AM39" i="28"/>
  <c r="AM26" i="28"/>
  <c r="AM22" i="28"/>
  <c r="AM23" i="28"/>
  <c r="AM21" i="28"/>
  <c r="AM20" i="28"/>
  <c r="AM19" i="28"/>
  <c r="AM15" i="28"/>
  <c r="AM16" i="28"/>
  <c r="AM12" i="28"/>
  <c r="AM8" i="28"/>
  <c r="AM18" i="28"/>
  <c r="AM14" i="28"/>
  <c r="AM10" i="28"/>
  <c r="AM25" i="28"/>
  <c r="AM11" i="28"/>
  <c r="AM5" i="28"/>
  <c r="AM31" i="28"/>
  <c r="AM27" i="28"/>
  <c r="AM17" i="28"/>
  <c r="AM9" i="28"/>
  <c r="AM33" i="28"/>
  <c r="AM6" i="28"/>
  <c r="AM13" i="28"/>
  <c r="AM7" i="28"/>
  <c r="AM4" i="28"/>
  <c r="AM3" i="28"/>
  <c r="AM29" i="28"/>
  <c r="AM2" i="28"/>
  <c r="G44" i="28"/>
  <c r="G40" i="28"/>
  <c r="G36" i="28"/>
  <c r="G45" i="28"/>
  <c r="G41" i="28"/>
  <c r="G37" i="28"/>
  <c r="G46" i="28"/>
  <c r="G38" i="28"/>
  <c r="G32" i="28"/>
  <c r="G43" i="28"/>
  <c r="G35" i="28"/>
  <c r="G42" i="28"/>
  <c r="G34" i="28"/>
  <c r="G30" i="28"/>
  <c r="G39" i="28"/>
  <c r="G28" i="28"/>
  <c r="G24" i="28"/>
  <c r="G33" i="28"/>
  <c r="G26" i="28"/>
  <c r="G22" i="28"/>
  <c r="G29" i="28"/>
  <c r="G19" i="28"/>
  <c r="G15" i="28"/>
  <c r="G31" i="28"/>
  <c r="G16" i="28"/>
  <c r="G12" i="28"/>
  <c r="G27" i="28"/>
  <c r="G25" i="28"/>
  <c r="G20" i="28"/>
  <c r="G18" i="28"/>
  <c r="G14" i="28"/>
  <c r="G10" i="28"/>
  <c r="G11" i="28"/>
  <c r="G5" i="28"/>
  <c r="G13" i="28"/>
  <c r="G9" i="28"/>
  <c r="G21" i="28"/>
  <c r="G23" i="28"/>
  <c r="G6" i="28"/>
  <c r="G4" i="28"/>
  <c r="G17" i="28"/>
  <c r="G8" i="28"/>
  <c r="G3" i="28"/>
  <c r="G2" i="28"/>
  <c r="G7" i="28"/>
  <c r="AC44" i="27"/>
  <c r="AC40" i="27"/>
  <c r="AC36" i="27"/>
  <c r="AC32" i="27"/>
  <c r="AC45" i="27"/>
  <c r="AC41" i="27"/>
  <c r="AC37" i="27"/>
  <c r="AC33" i="27"/>
  <c r="AC35" i="27"/>
  <c r="AC31" i="27"/>
  <c r="AC29" i="27"/>
  <c r="AC25" i="27"/>
  <c r="AC21" i="27"/>
  <c r="AC17" i="27"/>
  <c r="AC46" i="27"/>
  <c r="AC30" i="27"/>
  <c r="AC42" i="27"/>
  <c r="AC26" i="27"/>
  <c r="AC34" i="27"/>
  <c r="AC27" i="27"/>
  <c r="AC23" i="27"/>
  <c r="AC19" i="27"/>
  <c r="AC39" i="27"/>
  <c r="AC18" i="27"/>
  <c r="AC14" i="27"/>
  <c r="AC10" i="27"/>
  <c r="AC6" i="27"/>
  <c r="AC38" i="27"/>
  <c r="AC22" i="27"/>
  <c r="AC15" i="27"/>
  <c r="AC28" i="27"/>
  <c r="AC12" i="27"/>
  <c r="AC8" i="27"/>
  <c r="AC20" i="27"/>
  <c r="AC13" i="27"/>
  <c r="AC3" i="27"/>
  <c r="AC7" i="27"/>
  <c r="AC16" i="27"/>
  <c r="AC4" i="27"/>
  <c r="AC11" i="27"/>
  <c r="AC43" i="27"/>
  <c r="AC2" i="27"/>
  <c r="AC5" i="27"/>
  <c r="AC24" i="27"/>
  <c r="AC9" i="27"/>
  <c r="AY46" i="26"/>
  <c r="AY42" i="26"/>
  <c r="AY38" i="26"/>
  <c r="AY34" i="26"/>
  <c r="AY43" i="26"/>
  <c r="AY39" i="26"/>
  <c r="AY45" i="26"/>
  <c r="AY30" i="26"/>
  <c r="AY26" i="26"/>
  <c r="AY22" i="26"/>
  <c r="AY33" i="26"/>
  <c r="AY35" i="26"/>
  <c r="AY31" i="26"/>
  <c r="AY27" i="26"/>
  <c r="AY23" i="26"/>
  <c r="AY19" i="26"/>
  <c r="AY41" i="26"/>
  <c r="AY40" i="26"/>
  <c r="AY37" i="26"/>
  <c r="AY36" i="26"/>
  <c r="AY32" i="26"/>
  <c r="AY28" i="26"/>
  <c r="AY24" i="26"/>
  <c r="AY20" i="26"/>
  <c r="AY21" i="26"/>
  <c r="AY16" i="26"/>
  <c r="AY12" i="26"/>
  <c r="AY8" i="26"/>
  <c r="AY44" i="26"/>
  <c r="AY25" i="26"/>
  <c r="AY29" i="26"/>
  <c r="AY17" i="26"/>
  <c r="AY13" i="26"/>
  <c r="AY9" i="26"/>
  <c r="AY5" i="26"/>
  <c r="AY18" i="26"/>
  <c r="AY14" i="26"/>
  <c r="AY10" i="26"/>
  <c r="AY15" i="26"/>
  <c r="AY11" i="26"/>
  <c r="AY7" i="26"/>
  <c r="AY6" i="26"/>
  <c r="AY4" i="26"/>
  <c r="AY2" i="26"/>
  <c r="AY3" i="26"/>
  <c r="S46" i="26"/>
  <c r="S42" i="26"/>
  <c r="S38" i="26"/>
  <c r="S34" i="26"/>
  <c r="S43" i="26"/>
  <c r="S39" i="26"/>
  <c r="S45" i="26"/>
  <c r="S41" i="26"/>
  <c r="S36" i="26"/>
  <c r="S40" i="26"/>
  <c r="S30" i="26"/>
  <c r="S26" i="26"/>
  <c r="S22" i="26"/>
  <c r="S44" i="26"/>
  <c r="S31" i="26"/>
  <c r="S27" i="26"/>
  <c r="S23" i="26"/>
  <c r="S37" i="26"/>
  <c r="S32" i="26"/>
  <c r="S28" i="26"/>
  <c r="S24" i="26"/>
  <c r="S20" i="26"/>
  <c r="S16" i="26"/>
  <c r="S12" i="26"/>
  <c r="S8" i="26"/>
  <c r="S19" i="26"/>
  <c r="S33" i="26"/>
  <c r="S17" i="26"/>
  <c r="S13" i="26"/>
  <c r="S9" i="26"/>
  <c r="S21" i="26"/>
  <c r="S18" i="26"/>
  <c r="S14" i="26"/>
  <c r="S10" i="26"/>
  <c r="S35" i="26"/>
  <c r="S29" i="26"/>
  <c r="S15" i="26"/>
  <c r="S11" i="26"/>
  <c r="S7" i="26"/>
  <c r="S25" i="26"/>
  <c r="S4" i="26"/>
  <c r="S6" i="26"/>
  <c r="S2" i="26"/>
  <c r="S3" i="26"/>
  <c r="S5" i="26"/>
  <c r="AO41" i="25"/>
  <c r="AO40" i="25"/>
  <c r="AO28" i="25"/>
  <c r="AO24" i="25"/>
  <c r="AO20" i="25"/>
  <c r="AO39" i="25"/>
  <c r="AO38" i="25"/>
  <c r="AO37" i="25"/>
  <c r="AO36" i="25"/>
  <c r="AO29" i="25"/>
  <c r="AO25" i="25"/>
  <c r="AO35" i="25"/>
  <c r="AO34" i="25"/>
  <c r="AO33" i="25"/>
  <c r="AO32" i="25"/>
  <c r="AO30" i="25"/>
  <c r="AO26" i="25"/>
  <c r="AO22" i="25"/>
  <c r="AO46" i="25"/>
  <c r="AO31" i="25"/>
  <c r="AO45" i="25"/>
  <c r="AO44" i="25"/>
  <c r="AO27" i="25"/>
  <c r="AO23" i="25"/>
  <c r="AO43" i="25"/>
  <c r="AO42" i="25"/>
  <c r="AO17" i="25"/>
  <c r="AO16" i="25"/>
  <c r="AO15" i="25"/>
  <c r="AO14" i="25"/>
  <c r="AO21" i="25"/>
  <c r="AO19" i="25"/>
  <c r="AO13" i="25"/>
  <c r="AO12" i="25"/>
  <c r="AO11" i="25"/>
  <c r="AO10" i="25"/>
  <c r="AO9" i="25"/>
  <c r="AO8" i="25"/>
  <c r="AO7" i="25"/>
  <c r="AO6" i="25"/>
  <c r="AO5" i="25"/>
  <c r="AO4" i="25"/>
  <c r="AO18" i="25"/>
  <c r="AO3" i="25"/>
  <c r="AO2" i="25"/>
  <c r="I41" i="25"/>
  <c r="I40" i="25"/>
  <c r="I28" i="25"/>
  <c r="I24" i="25"/>
  <c r="I20" i="25"/>
  <c r="I39" i="25"/>
  <c r="I38" i="25"/>
  <c r="I37" i="25"/>
  <c r="I36" i="25"/>
  <c r="I29" i="25"/>
  <c r="I25" i="25"/>
  <c r="I35" i="25"/>
  <c r="I34" i="25"/>
  <c r="I33" i="25"/>
  <c r="I32" i="25"/>
  <c r="I30" i="25"/>
  <c r="I26" i="25"/>
  <c r="I22" i="25"/>
  <c r="I46" i="25"/>
  <c r="I45" i="25"/>
  <c r="I44" i="25"/>
  <c r="I31" i="25"/>
  <c r="I27" i="25"/>
  <c r="I23" i="25"/>
  <c r="I43" i="25"/>
  <c r="I42" i="25"/>
  <c r="I17" i="25"/>
  <c r="I16" i="25"/>
  <c r="I15" i="25"/>
  <c r="I14" i="25"/>
  <c r="I21" i="25"/>
  <c r="I19" i="25"/>
  <c r="I13" i="25"/>
  <c r="I12" i="25"/>
  <c r="I11" i="25"/>
  <c r="I10" i="25"/>
  <c r="I2" i="25"/>
  <c r="I9" i="25"/>
  <c r="I8" i="25"/>
  <c r="I7" i="25"/>
  <c r="I6" i="25"/>
  <c r="I5" i="25"/>
  <c r="I4" i="25"/>
  <c r="I18" i="25"/>
  <c r="I3" i="25"/>
  <c r="AF18" i="25"/>
  <c r="U12" i="18"/>
  <c r="U26" i="18"/>
  <c r="G44" i="15"/>
  <c r="S41" i="15"/>
  <c r="AN4" i="18"/>
  <c r="AN28" i="18"/>
  <c r="AN35" i="18"/>
  <c r="AG45" i="16"/>
  <c r="AG37" i="16"/>
  <c r="AG33" i="16"/>
  <c r="AG29" i="16"/>
  <c r="AG25" i="16"/>
  <c r="AG21" i="16"/>
  <c r="AG46" i="16"/>
  <c r="AG38" i="16"/>
  <c r="AG34" i="16"/>
  <c r="AG30" i="16"/>
  <c r="AG26" i="16"/>
  <c r="AG22" i="16"/>
  <c r="AG18" i="16"/>
  <c r="AG14" i="16"/>
  <c r="AG10" i="16"/>
  <c r="AG6" i="16"/>
  <c r="AG43" i="16"/>
  <c r="AG39" i="16"/>
  <c r="AG35" i="16"/>
  <c r="AG31" i="16"/>
  <c r="AG27" i="16"/>
  <c r="AG23" i="16"/>
  <c r="AG19" i="16"/>
  <c r="AG44" i="16"/>
  <c r="AG40" i="16"/>
  <c r="AG36" i="16"/>
  <c r="AG32" i="16"/>
  <c r="AG28" i="16"/>
  <c r="AG24" i="16"/>
  <c r="AG20" i="16"/>
  <c r="AG16" i="16"/>
  <c r="AG12" i="16"/>
  <c r="AG8" i="16"/>
  <c r="AG17" i="16"/>
  <c r="AG5" i="16"/>
  <c r="AG11" i="16"/>
  <c r="AG2" i="16"/>
  <c r="AG9" i="16"/>
  <c r="AG13" i="16"/>
  <c r="AG7" i="16"/>
  <c r="AG3" i="16"/>
  <c r="AG15" i="16"/>
  <c r="AG4" i="16"/>
  <c r="AP42" i="16"/>
  <c r="I42" i="16"/>
  <c r="AO41" i="15"/>
  <c r="BB14" i="28"/>
  <c r="AT2" i="28"/>
  <c r="AT10" i="28"/>
  <c r="AT34" i="28"/>
  <c r="AL4" i="28"/>
  <c r="AD4" i="28"/>
  <c r="V10" i="28"/>
  <c r="V16" i="28"/>
  <c r="V24" i="28"/>
  <c r="V38" i="28"/>
  <c r="N16" i="28"/>
  <c r="F14" i="28"/>
  <c r="F8" i="28"/>
  <c r="AV7" i="25"/>
  <c r="AV25" i="25"/>
  <c r="X10" i="25"/>
  <c r="H20" i="25"/>
  <c r="H23" i="25"/>
  <c r="BC42" i="14"/>
  <c r="AU42" i="14"/>
  <c r="AM42" i="14"/>
  <c r="AE42" i="14"/>
  <c r="W42" i="14"/>
  <c r="O42" i="14"/>
  <c r="G42" i="14"/>
  <c r="AY42" i="14"/>
  <c r="AQ42" i="14"/>
  <c r="AI42" i="14"/>
  <c r="AA42" i="14"/>
  <c r="S42" i="14"/>
  <c r="K42" i="14"/>
  <c r="C42" i="14"/>
  <c r="AZ42" i="14"/>
  <c r="AO42" i="14"/>
  <c r="AD42" i="14"/>
  <c r="T42" i="14"/>
  <c r="I42" i="14"/>
  <c r="AX42" i="14"/>
  <c r="AN42" i="14"/>
  <c r="AC42" i="14"/>
  <c r="R42" i="14"/>
  <c r="H42" i="14"/>
  <c r="AW42" i="14"/>
  <c r="AL42" i="14"/>
  <c r="AB42" i="14"/>
  <c r="Q42" i="14"/>
  <c r="F42" i="14"/>
  <c r="AV42" i="14"/>
  <c r="AK42" i="14"/>
  <c r="Z42" i="14"/>
  <c r="P42" i="14"/>
  <c r="E42" i="14"/>
  <c r="AT42" i="14"/>
  <c r="AJ42" i="14"/>
  <c r="Y42" i="14"/>
  <c r="N42" i="14"/>
  <c r="D42" i="14"/>
  <c r="AS42" i="14"/>
  <c r="AH42" i="14"/>
  <c r="X42" i="14"/>
  <c r="M42" i="14"/>
  <c r="B42" i="14"/>
  <c r="BB42" i="14"/>
  <c r="AR42" i="14"/>
  <c r="AG42" i="14"/>
  <c r="V42" i="14"/>
  <c r="L42" i="14"/>
  <c r="U42" i="14"/>
  <c r="J42" i="14"/>
  <c r="BA42" i="14"/>
  <c r="AP42" i="14"/>
  <c r="AF42" i="14"/>
  <c r="BA20" i="18"/>
  <c r="BA7" i="18"/>
  <c r="BA39" i="18"/>
  <c r="AO43" i="28"/>
  <c r="E45" i="26"/>
  <c r="K20" i="25"/>
  <c r="K23" i="25"/>
  <c r="I46" i="17"/>
  <c r="I38" i="17"/>
  <c r="I34" i="17"/>
  <c r="I30" i="17"/>
  <c r="I43" i="17"/>
  <c r="I39" i="17"/>
  <c r="I35" i="17"/>
  <c r="I31" i="17"/>
  <c r="I27" i="17"/>
  <c r="I23" i="17"/>
  <c r="I19" i="17"/>
  <c r="I44" i="17"/>
  <c r="I40" i="17"/>
  <c r="I36" i="17"/>
  <c r="I32" i="17"/>
  <c r="I28" i="17"/>
  <c r="I45" i="17"/>
  <c r="I37" i="17"/>
  <c r="I33" i="17"/>
  <c r="I29" i="17"/>
  <c r="I25" i="17"/>
  <c r="I21" i="17"/>
  <c r="I24" i="17"/>
  <c r="I17" i="17"/>
  <c r="I13" i="17"/>
  <c r="I9" i="17"/>
  <c r="I5" i="17"/>
  <c r="I26" i="17"/>
  <c r="I14" i="17"/>
  <c r="I10" i="17"/>
  <c r="I6" i="17"/>
  <c r="I2" i="17"/>
  <c r="I20" i="17"/>
  <c r="I15" i="17"/>
  <c r="I11" i="17"/>
  <c r="I7" i="17"/>
  <c r="I3" i="17"/>
  <c r="I18" i="17"/>
  <c r="I22" i="17"/>
  <c r="I16" i="17"/>
  <c r="I12" i="17"/>
  <c r="I8" i="17"/>
  <c r="I4" i="17"/>
  <c r="AO42" i="18"/>
  <c r="X42" i="18"/>
  <c r="H42" i="18"/>
  <c r="AN41" i="17"/>
  <c r="W41" i="17"/>
  <c r="G41" i="17"/>
  <c r="AK16" i="28"/>
  <c r="AK38" i="28"/>
  <c r="AC8" i="28"/>
  <c r="U6" i="28"/>
  <c r="M10" i="28"/>
  <c r="M43" i="28"/>
  <c r="E24" i="28"/>
  <c r="AO36" i="26"/>
  <c r="BC20" i="25"/>
  <c r="BC12" i="25"/>
  <c r="BC23" i="25"/>
  <c r="AU12" i="25"/>
  <c r="AU3" i="25"/>
  <c r="AU22" i="25"/>
  <c r="AU25" i="25"/>
  <c r="AM12" i="25"/>
  <c r="AM18" i="25"/>
  <c r="AM42" i="25"/>
  <c r="AE18" i="25"/>
  <c r="W26" i="25"/>
  <c r="W29" i="25"/>
  <c r="O7" i="25"/>
  <c r="G15" i="25"/>
  <c r="G25" i="25"/>
  <c r="L42" i="15"/>
  <c r="AG6" i="28"/>
  <c r="S22" i="25"/>
  <c r="S24" i="25"/>
  <c r="S27" i="25"/>
  <c r="L43" i="16"/>
  <c r="L39" i="16"/>
  <c r="L35" i="16"/>
  <c r="L31" i="16"/>
  <c r="L27" i="16"/>
  <c r="L23" i="16"/>
  <c r="L44" i="16"/>
  <c r="L40" i="16"/>
  <c r="L36" i="16"/>
  <c r="L32" i="16"/>
  <c r="L28" i="16"/>
  <c r="L24" i="16"/>
  <c r="L20" i="16"/>
  <c r="L16" i="16"/>
  <c r="L12" i="16"/>
  <c r="L45" i="16"/>
  <c r="L37" i="16"/>
  <c r="L33" i="16"/>
  <c r="L29" i="16"/>
  <c r="L25" i="16"/>
  <c r="L21" i="16"/>
  <c r="L46" i="16"/>
  <c r="L38" i="16"/>
  <c r="L34" i="16"/>
  <c r="L30" i="16"/>
  <c r="L26" i="16"/>
  <c r="L22" i="16"/>
  <c r="L18" i="16"/>
  <c r="L14" i="16"/>
  <c r="L10" i="16"/>
  <c r="L13" i="16"/>
  <c r="L6" i="16"/>
  <c r="L2" i="16"/>
  <c r="L15" i="16"/>
  <c r="L3" i="16"/>
  <c r="L17" i="16"/>
  <c r="L9" i="16"/>
  <c r="L8" i="16"/>
  <c r="L4" i="16"/>
  <c r="L19" i="16"/>
  <c r="L7" i="16"/>
  <c r="L11" i="16"/>
  <c r="L5" i="16"/>
  <c r="W42" i="16"/>
  <c r="G42" i="16"/>
  <c r="AB45" i="28"/>
  <c r="AB41" i="28"/>
  <c r="AB37" i="28"/>
  <c r="AB43" i="28"/>
  <c r="AB39" i="28"/>
  <c r="AB35" i="28"/>
  <c r="AB40" i="28"/>
  <c r="AB30" i="28"/>
  <c r="AB31" i="28"/>
  <c r="AB44" i="28"/>
  <c r="AB36" i="28"/>
  <c r="AB32" i="28"/>
  <c r="AB28" i="28"/>
  <c r="AB26" i="28"/>
  <c r="AB22" i="28"/>
  <c r="AB33" i="28"/>
  <c r="AB27" i="28"/>
  <c r="AB23" i="28"/>
  <c r="AB24" i="28"/>
  <c r="AB34" i="28"/>
  <c r="AB42" i="28"/>
  <c r="AB38" i="28"/>
  <c r="AB20" i="28"/>
  <c r="AB18" i="28"/>
  <c r="AB14" i="28"/>
  <c r="AB46" i="28"/>
  <c r="AB25" i="28"/>
  <c r="AB19" i="28"/>
  <c r="AB15" i="28"/>
  <c r="AB29" i="28"/>
  <c r="AB21" i="28"/>
  <c r="AB12" i="28"/>
  <c r="AB11" i="28"/>
  <c r="AB10" i="28"/>
  <c r="AB9" i="28"/>
  <c r="AB16" i="28"/>
  <c r="AB8" i="28"/>
  <c r="AB5" i="28"/>
  <c r="AB6" i="28"/>
  <c r="AB7" i="28"/>
  <c r="AB4" i="28"/>
  <c r="AB3" i="28"/>
  <c r="AB13" i="28"/>
  <c r="AB2" i="28"/>
  <c r="AB17" i="28"/>
  <c r="AX46" i="27"/>
  <c r="AX42" i="27"/>
  <c r="AX38" i="27"/>
  <c r="AX34" i="27"/>
  <c r="AX43" i="27"/>
  <c r="AX39" i="27"/>
  <c r="AX35" i="27"/>
  <c r="AX45" i="27"/>
  <c r="AX41" i="27"/>
  <c r="AX37" i="27"/>
  <c r="AX33" i="27"/>
  <c r="AX32" i="27"/>
  <c r="AX31" i="27"/>
  <c r="AX44" i="27"/>
  <c r="AX30" i="27"/>
  <c r="AX28" i="27"/>
  <c r="AX24" i="27"/>
  <c r="AX20" i="27"/>
  <c r="AX40" i="27"/>
  <c r="AX15" i="27"/>
  <c r="AX36" i="27"/>
  <c r="AX25" i="27"/>
  <c r="AX13" i="27"/>
  <c r="AX9" i="27"/>
  <c r="AX19" i="27"/>
  <c r="AX23" i="27"/>
  <c r="AX18" i="27"/>
  <c r="AX27" i="27"/>
  <c r="AX22" i="27"/>
  <c r="AX29" i="27"/>
  <c r="AX11" i="27"/>
  <c r="AX7" i="27"/>
  <c r="AX16" i="27"/>
  <c r="AX12" i="27"/>
  <c r="AX2" i="27"/>
  <c r="AX14" i="27"/>
  <c r="AX6" i="27"/>
  <c r="AX8" i="27"/>
  <c r="AX4" i="27"/>
  <c r="AX26" i="27"/>
  <c r="AX5" i="27"/>
  <c r="AX21" i="27"/>
  <c r="AX17" i="27"/>
  <c r="AX10" i="27"/>
  <c r="AX3" i="27"/>
  <c r="R46" i="27"/>
  <c r="R42" i="27"/>
  <c r="R38" i="27"/>
  <c r="R34" i="27"/>
  <c r="R43" i="27"/>
  <c r="R39" i="27"/>
  <c r="R35" i="27"/>
  <c r="R45" i="27"/>
  <c r="R41" i="27"/>
  <c r="R37" i="27"/>
  <c r="R33" i="27"/>
  <c r="R32" i="27"/>
  <c r="R31" i="27"/>
  <c r="R30" i="27"/>
  <c r="R28" i="27"/>
  <c r="R24" i="27"/>
  <c r="R20" i="27"/>
  <c r="R36" i="27"/>
  <c r="R22" i="27"/>
  <c r="R25" i="27"/>
  <c r="R13" i="27"/>
  <c r="R9" i="27"/>
  <c r="R21" i="27"/>
  <c r="R27" i="27"/>
  <c r="R29" i="27"/>
  <c r="R15" i="27"/>
  <c r="R11" i="27"/>
  <c r="R7" i="27"/>
  <c r="R23" i="27"/>
  <c r="R12" i="27"/>
  <c r="R26" i="27"/>
  <c r="R19" i="27"/>
  <c r="R2" i="27"/>
  <c r="R18" i="27"/>
  <c r="R17" i="27"/>
  <c r="R8" i="27"/>
  <c r="R4" i="27"/>
  <c r="R44" i="27"/>
  <c r="R10" i="27"/>
  <c r="R40" i="27"/>
  <c r="R6" i="27"/>
  <c r="R3" i="27"/>
  <c r="R16" i="27"/>
  <c r="R5" i="27"/>
  <c r="R14" i="27"/>
  <c r="AN46" i="26"/>
  <c r="AN42" i="26"/>
  <c r="AN43" i="26"/>
  <c r="AN44" i="26"/>
  <c r="AN41" i="26"/>
  <c r="AN33" i="26"/>
  <c r="AN38" i="26"/>
  <c r="AN34" i="26"/>
  <c r="AN40" i="26"/>
  <c r="AN37" i="26"/>
  <c r="AN35" i="26"/>
  <c r="AN25" i="26"/>
  <c r="AN36" i="26"/>
  <c r="AN29" i="26"/>
  <c r="AN20" i="26"/>
  <c r="AN15" i="26"/>
  <c r="AN11" i="26"/>
  <c r="AN7" i="26"/>
  <c r="AN24" i="26"/>
  <c r="AN19" i="26"/>
  <c r="AN39" i="26"/>
  <c r="AN31" i="26"/>
  <c r="AN28" i="26"/>
  <c r="AN23" i="26"/>
  <c r="AN16" i="26"/>
  <c r="AN12" i="26"/>
  <c r="AN8" i="26"/>
  <c r="AN27" i="26"/>
  <c r="AN45" i="26"/>
  <c r="AN26" i="26"/>
  <c r="AN32" i="26"/>
  <c r="AN17" i="26"/>
  <c r="AN14" i="26"/>
  <c r="AN18" i="26"/>
  <c r="AN9" i="26"/>
  <c r="AN5" i="26"/>
  <c r="AN30" i="26"/>
  <c r="AN22" i="26"/>
  <c r="AN13" i="26"/>
  <c r="AN21" i="26"/>
  <c r="AN10" i="26"/>
  <c r="AN6" i="26"/>
  <c r="AN3" i="26"/>
  <c r="AN2" i="26"/>
  <c r="AN4" i="26"/>
  <c r="H46" i="26"/>
  <c r="H42" i="26"/>
  <c r="H43" i="26"/>
  <c r="H40" i="26"/>
  <c r="H35" i="26"/>
  <c r="H45" i="26"/>
  <c r="H36" i="26"/>
  <c r="H33" i="26"/>
  <c r="H39" i="26"/>
  <c r="H38" i="26"/>
  <c r="H37" i="26"/>
  <c r="H41" i="26"/>
  <c r="H27" i="26"/>
  <c r="H22" i="26"/>
  <c r="H19" i="26"/>
  <c r="H15" i="26"/>
  <c r="H11" i="26"/>
  <c r="H7" i="26"/>
  <c r="H26" i="26"/>
  <c r="H32" i="26"/>
  <c r="H31" i="26"/>
  <c r="H30" i="26"/>
  <c r="H21" i="26"/>
  <c r="H16" i="26"/>
  <c r="H12" i="26"/>
  <c r="H8" i="26"/>
  <c r="H34" i="26"/>
  <c r="H25" i="26"/>
  <c r="H44" i="26"/>
  <c r="H24" i="26"/>
  <c r="H29" i="26"/>
  <c r="H17" i="26"/>
  <c r="H5" i="26"/>
  <c r="H28" i="26"/>
  <c r="H14" i="26"/>
  <c r="H23" i="26"/>
  <c r="H18" i="26"/>
  <c r="H6" i="26"/>
  <c r="H20" i="26"/>
  <c r="H9" i="26"/>
  <c r="H13" i="26"/>
  <c r="H10" i="26"/>
  <c r="H3" i="26"/>
  <c r="H2" i="26"/>
  <c r="H4" i="26"/>
  <c r="AD46" i="25"/>
  <c r="AD42" i="25"/>
  <c r="AD38" i="25"/>
  <c r="AD34" i="25"/>
  <c r="AD44" i="25"/>
  <c r="AD40" i="25"/>
  <c r="AD36" i="25"/>
  <c r="AD32" i="25"/>
  <c r="AD41" i="25"/>
  <c r="AD39" i="25"/>
  <c r="AD27" i="25"/>
  <c r="AD23" i="25"/>
  <c r="AD37" i="25"/>
  <c r="AD35" i="25"/>
  <c r="AD28" i="25"/>
  <c r="AD24" i="25"/>
  <c r="AD20" i="25"/>
  <c r="AD16" i="25"/>
  <c r="AD12" i="25"/>
  <c r="AD8" i="25"/>
  <c r="AD4" i="25"/>
  <c r="AD33" i="25"/>
  <c r="AD31" i="25"/>
  <c r="AD29" i="25"/>
  <c r="AD45" i="25"/>
  <c r="AD43" i="25"/>
  <c r="AD30" i="25"/>
  <c r="AD26" i="25"/>
  <c r="AD22" i="25"/>
  <c r="AD18" i="25"/>
  <c r="AD14" i="25"/>
  <c r="AD10" i="25"/>
  <c r="AD6" i="25"/>
  <c r="AD2" i="25"/>
  <c r="AD17" i="25"/>
  <c r="AD15" i="25"/>
  <c r="AD13" i="25"/>
  <c r="AD25" i="25"/>
  <c r="AD11" i="25"/>
  <c r="AD9" i="25"/>
  <c r="AD21" i="25"/>
  <c r="AD7" i="25"/>
  <c r="AD5" i="25"/>
  <c r="AD19" i="25"/>
  <c r="AD3" i="25"/>
  <c r="M29" i="25"/>
  <c r="M42" i="25"/>
  <c r="M33" i="25"/>
  <c r="AA41" i="16"/>
  <c r="AI2" i="25"/>
  <c r="AI8" i="25"/>
  <c r="AI37" i="25"/>
  <c r="AI42" i="25"/>
  <c r="AI32" i="25"/>
  <c r="AQ46" i="16"/>
  <c r="AQ38" i="16"/>
  <c r="AQ34" i="16"/>
  <c r="AQ30" i="16"/>
  <c r="AQ26" i="16"/>
  <c r="AQ22" i="16"/>
  <c r="AQ18" i="16"/>
  <c r="AQ43" i="16"/>
  <c r="AQ39" i="16"/>
  <c r="AQ35" i="16"/>
  <c r="AQ31" i="16"/>
  <c r="AQ27" i="16"/>
  <c r="AQ23" i="16"/>
  <c r="AQ19" i="16"/>
  <c r="AQ15" i="16"/>
  <c r="AQ11" i="16"/>
  <c r="AQ7" i="16"/>
  <c r="AQ44" i="16"/>
  <c r="AQ40" i="16"/>
  <c r="AQ36" i="16"/>
  <c r="AQ32" i="16"/>
  <c r="AQ28" i="16"/>
  <c r="AQ24" i="16"/>
  <c r="AQ20" i="16"/>
  <c r="AQ45" i="16"/>
  <c r="AQ37" i="16"/>
  <c r="AQ33" i="16"/>
  <c r="AQ29" i="16"/>
  <c r="AQ25" i="16"/>
  <c r="AQ21" i="16"/>
  <c r="AQ17" i="16"/>
  <c r="AQ13" i="16"/>
  <c r="AQ9" i="16"/>
  <c r="AQ10" i="16"/>
  <c r="AQ2" i="16"/>
  <c r="AQ12" i="16"/>
  <c r="AQ3" i="16"/>
  <c r="AQ14" i="16"/>
  <c r="AQ8" i="16"/>
  <c r="AQ4" i="16"/>
  <c r="AQ6" i="16"/>
  <c r="AQ16" i="16"/>
  <c r="AQ5" i="16"/>
  <c r="B40" i="18"/>
  <c r="AY16" i="28"/>
  <c r="AA33" i="28"/>
  <c r="AA2" i="28"/>
  <c r="AA12" i="28"/>
  <c r="AA43" i="28"/>
  <c r="S2" i="28"/>
  <c r="S30" i="28"/>
  <c r="K16" i="28"/>
  <c r="C2" i="28"/>
  <c r="Y35" i="27"/>
  <c r="BC35" i="26"/>
  <c r="BA24" i="25"/>
  <c r="AS2" i="25"/>
  <c r="AS29" i="25"/>
  <c r="AK16" i="25"/>
  <c r="AK7" i="25"/>
  <c r="AK40" i="25"/>
  <c r="AK26" i="25"/>
  <c r="AC8" i="25"/>
  <c r="AC23" i="25"/>
  <c r="U12" i="25"/>
  <c r="U29" i="25"/>
  <c r="U37" i="25"/>
  <c r="E16" i="25"/>
  <c r="AB42" i="18"/>
  <c r="C41" i="18"/>
  <c r="AY16" i="25"/>
  <c r="AY33" i="25"/>
  <c r="AA8" i="25"/>
  <c r="AA22" i="25"/>
  <c r="AA25" i="25"/>
  <c r="Y45" i="16"/>
  <c r="Y37" i="16"/>
  <c r="Y33" i="16"/>
  <c r="Y29" i="16"/>
  <c r="Y25" i="16"/>
  <c r="Y21" i="16"/>
  <c r="Y46" i="16"/>
  <c r="Y38" i="16"/>
  <c r="Y34" i="16"/>
  <c r="Y30" i="16"/>
  <c r="Y26" i="16"/>
  <c r="Y22" i="16"/>
  <c r="Y18" i="16"/>
  <c r="Y14" i="16"/>
  <c r="Y10" i="16"/>
  <c r="Y6" i="16"/>
  <c r="Y43" i="16"/>
  <c r="Y39" i="16"/>
  <c r="Y35" i="16"/>
  <c r="Y31" i="16"/>
  <c r="Y27" i="16"/>
  <c r="Y23" i="16"/>
  <c r="Y19" i="16"/>
  <c r="Y44" i="16"/>
  <c r="Y40" i="16"/>
  <c r="Y36" i="16"/>
  <c r="Y32" i="16"/>
  <c r="Y28" i="16"/>
  <c r="Y24" i="16"/>
  <c r="Y20" i="16"/>
  <c r="Y16" i="16"/>
  <c r="Y12" i="16"/>
  <c r="Y8" i="16"/>
  <c r="Y13" i="16"/>
  <c r="Y5" i="16"/>
  <c r="Y9" i="16"/>
  <c r="Y15" i="16"/>
  <c r="Y7" i="16"/>
  <c r="Y2" i="16"/>
  <c r="Y17" i="16"/>
  <c r="Y3" i="16"/>
  <c r="Y11" i="16"/>
  <c r="Y4" i="16"/>
  <c r="AS41" i="16"/>
  <c r="AB41" i="16"/>
  <c r="L41" i="16"/>
  <c r="AR45" i="18"/>
  <c r="AR37" i="18"/>
  <c r="AR33" i="18"/>
  <c r="AR29" i="18"/>
  <c r="AR25" i="18"/>
  <c r="AR46" i="18"/>
  <c r="AR38" i="18"/>
  <c r="AR34" i="18"/>
  <c r="AR30" i="18"/>
  <c r="AR26" i="18"/>
  <c r="AR22" i="18"/>
  <c r="AR43" i="18"/>
  <c r="AR39" i="18"/>
  <c r="AR35" i="18"/>
  <c r="AR31" i="18"/>
  <c r="AR27" i="18"/>
  <c r="AR23" i="18"/>
  <c r="AR44" i="18"/>
  <c r="AR40" i="18"/>
  <c r="AR36" i="18"/>
  <c r="AR32" i="18"/>
  <c r="AR28" i="18"/>
  <c r="AR24" i="18"/>
  <c r="AR20" i="18"/>
  <c r="AR21" i="18"/>
  <c r="AR15" i="18"/>
  <c r="AR11" i="18"/>
  <c r="AR7" i="18"/>
  <c r="AR3" i="18"/>
  <c r="AR19" i="18"/>
  <c r="AR16" i="18"/>
  <c r="AR12" i="18"/>
  <c r="AR8" i="18"/>
  <c r="AR4" i="18"/>
  <c r="AR17" i="18"/>
  <c r="AR13" i="18"/>
  <c r="AR9" i="18"/>
  <c r="AR5" i="18"/>
  <c r="AR18" i="18"/>
  <c r="AR14" i="18"/>
  <c r="AR10" i="18"/>
  <c r="AR6" i="18"/>
  <c r="AR2" i="18"/>
  <c r="L45" i="18"/>
  <c r="L37" i="18"/>
  <c r="L33" i="18"/>
  <c r="L29" i="18"/>
  <c r="L25" i="18"/>
  <c r="L46" i="18"/>
  <c r="L38" i="18"/>
  <c r="L34" i="18"/>
  <c r="L30" i="18"/>
  <c r="L26" i="18"/>
  <c r="L22" i="18"/>
  <c r="L43" i="18"/>
  <c r="L39" i="18"/>
  <c r="L35" i="18"/>
  <c r="L31" i="18"/>
  <c r="L27" i="18"/>
  <c r="L23" i="18"/>
  <c r="L44" i="18"/>
  <c r="L40" i="18"/>
  <c r="L36" i="18"/>
  <c r="L32" i="18"/>
  <c r="L28" i="18"/>
  <c r="L24" i="18"/>
  <c r="L20" i="18"/>
  <c r="L21" i="18"/>
  <c r="L19" i="18"/>
  <c r="L15" i="18"/>
  <c r="L11" i="18"/>
  <c r="L7" i="18"/>
  <c r="L3" i="18"/>
  <c r="L16" i="18"/>
  <c r="L12" i="18"/>
  <c r="L8" i="18"/>
  <c r="L4" i="18"/>
  <c r="L17" i="18"/>
  <c r="L13" i="18"/>
  <c r="L9" i="18"/>
  <c r="L5" i="18"/>
  <c r="L18" i="18"/>
  <c r="L14" i="18"/>
  <c r="L10" i="18"/>
  <c r="L6" i="18"/>
  <c r="L2" i="18"/>
  <c r="AH46" i="17"/>
  <c r="AH38" i="17"/>
  <c r="AH34" i="17"/>
  <c r="AH30" i="17"/>
  <c r="AH26" i="17"/>
  <c r="AH22" i="17"/>
  <c r="AH43" i="17"/>
  <c r="AH39" i="17"/>
  <c r="AH35" i="17"/>
  <c r="AH44" i="17"/>
  <c r="AH40" i="17"/>
  <c r="AH36" i="17"/>
  <c r="AH32" i="17"/>
  <c r="AH28" i="17"/>
  <c r="AH24" i="17"/>
  <c r="AH20" i="17"/>
  <c r="AH45" i="17"/>
  <c r="AH37" i="17"/>
  <c r="AH33" i="17"/>
  <c r="AH23" i="17"/>
  <c r="AH17" i="17"/>
  <c r="AH13" i="17"/>
  <c r="AH9" i="17"/>
  <c r="AH5" i="17"/>
  <c r="AH25" i="17"/>
  <c r="AH14" i="17"/>
  <c r="AH10" i="17"/>
  <c r="AH6" i="17"/>
  <c r="AH2" i="17"/>
  <c r="AH18" i="17"/>
  <c r="AH27" i="17"/>
  <c r="AH19" i="17"/>
  <c r="AH15" i="17"/>
  <c r="AH11" i="17"/>
  <c r="AH7" i="17"/>
  <c r="AH3" i="17"/>
  <c r="AH29" i="17"/>
  <c r="AH21" i="17"/>
  <c r="AH16" i="17"/>
  <c r="AH12" i="17"/>
  <c r="AH8" i="17"/>
  <c r="AH4" i="17"/>
  <c r="AH31" i="17"/>
  <c r="B46" i="17"/>
  <c r="B38" i="17"/>
  <c r="B34" i="17"/>
  <c r="B30" i="17"/>
  <c r="B26" i="17"/>
  <c r="B22" i="17"/>
  <c r="B43" i="17"/>
  <c r="B39" i="17"/>
  <c r="B35" i="17"/>
  <c r="B44" i="17"/>
  <c r="B36" i="17"/>
  <c r="B32" i="17"/>
  <c r="B28" i="17"/>
  <c r="B24" i="17"/>
  <c r="B20" i="17"/>
  <c r="B45" i="17"/>
  <c r="B37" i="17"/>
  <c r="B33" i="17"/>
  <c r="B23" i="17"/>
  <c r="B17" i="17"/>
  <c r="B13" i="17"/>
  <c r="B9" i="17"/>
  <c r="B5" i="17"/>
  <c r="B25" i="17"/>
  <c r="B14" i="17"/>
  <c r="B10" i="17"/>
  <c r="B6" i="17"/>
  <c r="B2" i="17"/>
  <c r="B31" i="17"/>
  <c r="B18" i="17"/>
  <c r="B27" i="17"/>
  <c r="B19" i="17"/>
  <c r="B15" i="17"/>
  <c r="B11" i="17"/>
  <c r="B7" i="17"/>
  <c r="B3" i="17"/>
  <c r="B29" i="17"/>
  <c r="B21" i="17"/>
  <c r="B16" i="17"/>
  <c r="B12" i="17"/>
  <c r="B8" i="17"/>
  <c r="B4" i="17"/>
  <c r="X45" i="16"/>
  <c r="X37" i="16"/>
  <c r="X33" i="16"/>
  <c r="X29" i="16"/>
  <c r="X25" i="16"/>
  <c r="X21" i="16"/>
  <c r="X46" i="16"/>
  <c r="X38" i="16"/>
  <c r="X34" i="16"/>
  <c r="X30" i="16"/>
  <c r="X26" i="16"/>
  <c r="X22" i="16"/>
  <c r="X18" i="16"/>
  <c r="X14" i="16"/>
  <c r="X10" i="16"/>
  <c r="X43" i="16"/>
  <c r="X39" i="16"/>
  <c r="X35" i="16"/>
  <c r="X31" i="16"/>
  <c r="X27" i="16"/>
  <c r="X23" i="16"/>
  <c r="X44" i="16"/>
  <c r="X40" i="16"/>
  <c r="X36" i="16"/>
  <c r="X32" i="16"/>
  <c r="X28" i="16"/>
  <c r="X24" i="16"/>
  <c r="X20" i="16"/>
  <c r="X16" i="16"/>
  <c r="X12" i="16"/>
  <c r="X11" i="16"/>
  <c r="X4" i="16"/>
  <c r="X19" i="16"/>
  <c r="X13" i="16"/>
  <c r="X5" i="16"/>
  <c r="X9" i="16"/>
  <c r="X8" i="16"/>
  <c r="X15" i="16"/>
  <c r="X7" i="16"/>
  <c r="X6" i="16"/>
  <c r="X2" i="16"/>
  <c r="X17" i="16"/>
  <c r="X3" i="16"/>
  <c r="AT44" i="15"/>
  <c r="AT40" i="15"/>
  <c r="AT36" i="15"/>
  <c r="AT32" i="15"/>
  <c r="AT28" i="15"/>
  <c r="AT24" i="15"/>
  <c r="AT20" i="15"/>
  <c r="AT16" i="15"/>
  <c r="AT12" i="15"/>
  <c r="AT45" i="15"/>
  <c r="AT37" i="15"/>
  <c r="AT33" i="15"/>
  <c r="AT29" i="15"/>
  <c r="AT25" i="15"/>
  <c r="AT21" i="15"/>
  <c r="AT17" i="15"/>
  <c r="AT13" i="15"/>
  <c r="AT9" i="15"/>
  <c r="AT5" i="15"/>
  <c r="AT46" i="15"/>
  <c r="AT38" i="15"/>
  <c r="AT34" i="15"/>
  <c r="AT30" i="15"/>
  <c r="AT26" i="15"/>
  <c r="AT22" i="15"/>
  <c r="AT18" i="15"/>
  <c r="AT14" i="15"/>
  <c r="AT10" i="15"/>
  <c r="AT43" i="15"/>
  <c r="AT39" i="15"/>
  <c r="AT35" i="15"/>
  <c r="AT31" i="15"/>
  <c r="AT27" i="15"/>
  <c r="AT23" i="15"/>
  <c r="AT19" i="15"/>
  <c r="AT15" i="15"/>
  <c r="AT11" i="15"/>
  <c r="AT7" i="15"/>
  <c r="AT3" i="15"/>
  <c r="AT4" i="15"/>
  <c r="AT2" i="15"/>
  <c r="AT6" i="15"/>
  <c r="AT8" i="15"/>
  <c r="N44" i="15"/>
  <c r="N40" i="15"/>
  <c r="N36" i="15"/>
  <c r="N32" i="15"/>
  <c r="N28" i="15"/>
  <c r="N24" i="15"/>
  <c r="N20" i="15"/>
  <c r="N16" i="15"/>
  <c r="N12" i="15"/>
  <c r="N45" i="15"/>
  <c r="N37" i="15"/>
  <c r="N33" i="15"/>
  <c r="N29" i="15"/>
  <c r="N25" i="15"/>
  <c r="N21" i="15"/>
  <c r="N17" i="15"/>
  <c r="N13" i="15"/>
  <c r="N9" i="15"/>
  <c r="N5" i="15"/>
  <c r="N46" i="15"/>
  <c r="N38" i="15"/>
  <c r="N34" i="15"/>
  <c r="N30" i="15"/>
  <c r="N26" i="15"/>
  <c r="N22" i="15"/>
  <c r="N18" i="15"/>
  <c r="N14" i="15"/>
  <c r="N10" i="15"/>
  <c r="N43" i="15"/>
  <c r="N39" i="15"/>
  <c r="N35" i="15"/>
  <c r="N31" i="15"/>
  <c r="N27" i="15"/>
  <c r="N23" i="15"/>
  <c r="N19" i="15"/>
  <c r="N15" i="15"/>
  <c r="N11" i="15"/>
  <c r="N7" i="15"/>
  <c r="N3" i="15"/>
  <c r="N4" i="15"/>
  <c r="N2" i="15"/>
  <c r="N8" i="15"/>
  <c r="N6" i="15"/>
  <c r="AR2" i="25"/>
  <c r="AB2" i="25"/>
  <c r="AB22" i="25"/>
  <c r="BA22" i="14"/>
  <c r="AS22" i="14"/>
  <c r="AK22" i="14"/>
  <c r="AC22" i="14"/>
  <c r="U22" i="14"/>
  <c r="M22" i="14"/>
  <c r="E22" i="14"/>
  <c r="AZ22" i="14"/>
  <c r="AR22" i="14"/>
  <c r="AJ22" i="14"/>
  <c r="AB22" i="14"/>
  <c r="T22" i="14"/>
  <c r="L22" i="14"/>
  <c r="D22" i="14"/>
  <c r="AY22" i="14"/>
  <c r="AQ22" i="14"/>
  <c r="AI22" i="14"/>
  <c r="AA22" i="14"/>
  <c r="S22" i="14"/>
  <c r="K22" i="14"/>
  <c r="C22" i="14"/>
  <c r="AX22" i="14"/>
  <c r="AP22" i="14"/>
  <c r="AH22" i="14"/>
  <c r="Z22" i="14"/>
  <c r="R22" i="14"/>
  <c r="J22" i="14"/>
  <c r="B22" i="14"/>
  <c r="AW22" i="14"/>
  <c r="AO22" i="14"/>
  <c r="AG22" i="14"/>
  <c r="Y22" i="14"/>
  <c r="Q22" i="14"/>
  <c r="I22" i="14"/>
  <c r="AV22" i="14"/>
  <c r="AN22" i="14"/>
  <c r="AF22" i="14"/>
  <c r="X22" i="14"/>
  <c r="P22" i="14"/>
  <c r="H22" i="14"/>
  <c r="BC22" i="14"/>
  <c r="AU22" i="14"/>
  <c r="AM22" i="14"/>
  <c r="AE22" i="14"/>
  <c r="W22" i="14"/>
  <c r="O22" i="14"/>
  <c r="G22" i="14"/>
  <c r="BB22" i="14"/>
  <c r="AT22" i="14"/>
  <c r="AL22" i="14"/>
  <c r="AD22" i="14"/>
  <c r="V22" i="14"/>
  <c r="N22" i="14"/>
  <c r="F22" i="14"/>
  <c r="AS43" i="15"/>
  <c r="AS39" i="15"/>
  <c r="AS35" i="15"/>
  <c r="AS31" i="15"/>
  <c r="AS27" i="15"/>
  <c r="AS23" i="15"/>
  <c r="AS19" i="15"/>
  <c r="AS15" i="15"/>
  <c r="AS44" i="15"/>
  <c r="AS40" i="15"/>
  <c r="AS36" i="15"/>
  <c r="AS32" i="15"/>
  <c r="AS28" i="15"/>
  <c r="AS24" i="15"/>
  <c r="AS20" i="15"/>
  <c r="AS16" i="15"/>
  <c r="AS12" i="15"/>
  <c r="AS8" i="15"/>
  <c r="AS45" i="15"/>
  <c r="AS37" i="15"/>
  <c r="AS33" i="15"/>
  <c r="AS29" i="15"/>
  <c r="AS25" i="15"/>
  <c r="AS21" i="15"/>
  <c r="AS17" i="15"/>
  <c r="AS13" i="15"/>
  <c r="AS9" i="15"/>
  <c r="AS46" i="15"/>
  <c r="AS38" i="15"/>
  <c r="AS34" i="15"/>
  <c r="AS30" i="15"/>
  <c r="AS26" i="15"/>
  <c r="AS22" i="15"/>
  <c r="AS18" i="15"/>
  <c r="AS14" i="15"/>
  <c r="AS10" i="15"/>
  <c r="AS6" i="15"/>
  <c r="AS5" i="15"/>
  <c r="AS11" i="15"/>
  <c r="AS4" i="15"/>
  <c r="AS3" i="15"/>
  <c r="AS2" i="15"/>
  <c r="AS7" i="15"/>
  <c r="AZ41" i="18"/>
  <c r="BC31" i="27"/>
</calcChain>
</file>

<file path=xl/sharedStrings.xml><?xml version="1.0" encoding="utf-8"?>
<sst xmlns="http://schemas.openxmlformats.org/spreadsheetml/2006/main" count="4180" uniqueCount="280">
  <si>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</si>
  <si>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</si>
  <si>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</si>
  <si>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</si>
  <si>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</si>
  <si>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</si>
  <si>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</si>
  <si>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</si>
  <si>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</si>
  <si>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</si>
  <si>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</si>
  <si>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</si>
  <si>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</si>
  <si>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</si>
  <si>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</si>
  <si>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</si>
  <si>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</si>
  <si>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</si>
  <si>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</si>
  <si>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</si>
  <si>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</si>
  <si>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</si>
  <si>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</si>
  <si>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</si>
  <si>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</si>
  <si>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</si>
  <si>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</si>
  <si>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</si>
  <si>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</si>
  <si>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</si>
  <si>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</si>
  <si>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</si>
  <si>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</si>
  <si>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</si>
  <si>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</si>
  <si>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</si>
  <si>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</si>
  <si>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</si>
  <si>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</si>
  <si>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</si>
  <si>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</si>
  <si>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</si>
  <si>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</si>
  <si>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</si>
  <si>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</si>
  <si>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</si>
  <si>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</si>
  <si>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L1</t>
  </si>
  <si>
    <t>L2</t>
  </si>
  <si>
    <t>S1</t>
  </si>
  <si>
    <t>S2</t>
  </si>
  <si>
    <t>U1</t>
  </si>
  <si>
    <t>U2</t>
  </si>
  <si>
    <t>U3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</si>
  <si>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</si>
  <si>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</si>
  <si>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</si>
  <si>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</si>
  <si>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</si>
  <si>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</si>
  <si>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</si>
  <si>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</si>
  <si>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</si>
  <si>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</si>
  <si>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</si>
  <si>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</si>
  <si>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</si>
  <si>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</si>
  <si>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</si>
  <si>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</si>
  <si>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</si>
  <si>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</si>
  <si>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</si>
  <si>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</si>
  <si>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</si>
  <si>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</si>
  <si>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</si>
  <si>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</si>
  <si>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</si>
  <si>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</si>
  <si>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</si>
  <si>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</si>
  <si>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</si>
  <si>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</si>
  <si>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</si>
  <si>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</si>
  <si>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</si>
  <si>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</si>
  <si>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</si>
  <si>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</si>
  <si>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</si>
  <si>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</si>
  <si>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</si>
  <si>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</si>
  <si>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</si>
  <si>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</si>
  <si>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</si>
  <si>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</si>
  <si>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Sede1</t>
  </si>
  <si>
    <t>Sede2</t>
  </si>
  <si>
    <t>Sede3</t>
  </si>
  <si>
    <t>Sede4</t>
  </si>
  <si>
    <t>Sede 1</t>
  </si>
  <si>
    <t>Sede 2</t>
  </si>
  <si>
    <t>Sede 3</t>
  </si>
  <si>
    <t>Sede 4</t>
  </si>
  <si>
    <t>Sede 5</t>
  </si>
  <si>
    <t>OP 7</t>
  </si>
  <si>
    <t>C10</t>
  </si>
  <si>
    <t>C11</t>
  </si>
  <si>
    <t>C12</t>
  </si>
  <si>
    <t>T1</t>
  </si>
  <si>
    <t>OP 9</t>
  </si>
  <si>
    <t>S3</t>
  </si>
  <si>
    <t>S4</t>
  </si>
  <si>
    <t>S5</t>
  </si>
  <si>
    <t>Consultorio 2</t>
  </si>
  <si>
    <t>SIAU</t>
  </si>
  <si>
    <t>Consultorio 1</t>
  </si>
  <si>
    <t>Consultorio 3</t>
  </si>
  <si>
    <t>Consultorio 4</t>
  </si>
  <si>
    <t>Consultorio 5</t>
  </si>
  <si>
    <t>Consultiorio 4</t>
  </si>
  <si>
    <t>NA</t>
  </si>
  <si>
    <t>Consultorio 18</t>
  </si>
  <si>
    <t>Consultorio 19</t>
  </si>
  <si>
    <t>Consultorio 20</t>
  </si>
  <si>
    <t>Consultorio 6</t>
  </si>
  <si>
    <t>Consultorio 22</t>
  </si>
  <si>
    <t>Consultorio 7</t>
  </si>
  <si>
    <t>Quirofano 1</t>
  </si>
  <si>
    <t>Consultorio 8</t>
  </si>
  <si>
    <t>Quirofano 2</t>
  </si>
  <si>
    <t>Consultorio 9</t>
  </si>
  <si>
    <t>Consultorio 21 (Spa)</t>
  </si>
  <si>
    <t>LUIS MIGUEL GIRON</t>
  </si>
  <si>
    <t>DIEGO GUARIN</t>
  </si>
  <si>
    <t>NICOHOL ANDRES TOVAR</t>
  </si>
  <si>
    <t>MARYUDI VELANDIA</t>
  </si>
  <si>
    <t>GERMAN HERNANDEZ</t>
  </si>
  <si>
    <t>ADRIANA BAYONA</t>
  </si>
  <si>
    <t>JOSE LUIS MEJIA</t>
  </si>
  <si>
    <t>LUIS EDUARDO PAZ</t>
  </si>
  <si>
    <t>ANA SANMIGUEL</t>
  </si>
  <si>
    <t>NATALIA CORREA</t>
  </si>
  <si>
    <t>TERESA ORDOÑEZ</t>
  </si>
  <si>
    <t>MARIA CAMILA PLATA</t>
  </si>
  <si>
    <t>SERGIO MORENO</t>
  </si>
  <si>
    <t>DAVID SANTANA</t>
  </si>
  <si>
    <t>ESMERALDA GOMEZ</t>
  </si>
  <si>
    <t>JUAN JOSE MIRO</t>
  </si>
  <si>
    <t>SAMUEL DUARTE</t>
  </si>
  <si>
    <t>NELSON RUEDA</t>
  </si>
  <si>
    <t>CARLOS FERNANDEZ</t>
  </si>
  <si>
    <t>ANNY CUELLO</t>
  </si>
  <si>
    <t>MARIA JOSE GUERRERO</t>
  </si>
  <si>
    <t>SARA ESPINOSA</t>
  </si>
  <si>
    <t>NATALI DELGADO</t>
  </si>
  <si>
    <t>YURLEY PEÑA</t>
  </si>
  <si>
    <t>CAMILO DAZA</t>
  </si>
  <si>
    <t>ALEJANDRO ARENALES</t>
  </si>
  <si>
    <t>LEONARDO BECERRA</t>
  </si>
  <si>
    <t>JUAN MIGUEL GIRON</t>
  </si>
  <si>
    <t>LEONARDO ALVAREZ</t>
  </si>
  <si>
    <t>UBALDINO PADILLA</t>
  </si>
  <si>
    <t>CAMILO DIAZ</t>
  </si>
  <si>
    <t>TECNICO 1 (CARLOS JAIMES)</t>
  </si>
  <si>
    <t>ENRIQUE FRAGOSO</t>
  </si>
  <si>
    <t xml:space="preserve">PRACTICANTE 1 </t>
  </si>
  <si>
    <t>YORLENIS FUENTES</t>
  </si>
  <si>
    <t>CAMILO ACOSTA</t>
  </si>
  <si>
    <t>PRACTICANTE BARRANCA</t>
  </si>
  <si>
    <t>NATALIA GARCIA</t>
  </si>
  <si>
    <t>JUAN SEBASTIAN ARCINIEGAS</t>
  </si>
  <si>
    <t>OLIVIA NARVAEZ</t>
  </si>
  <si>
    <t>PRACTICANTE 2</t>
  </si>
  <si>
    <t>PRACTICANTE 3</t>
  </si>
  <si>
    <t>PRACTICANTE 5</t>
  </si>
  <si>
    <t>Retina</t>
  </si>
  <si>
    <t>Glaucoma</t>
  </si>
  <si>
    <t>Oculoplastia</t>
  </si>
  <si>
    <t>Cornea y segemento</t>
  </si>
  <si>
    <t>Estrabología y pediatría</t>
  </si>
  <si>
    <t>Oftalmología paquete</t>
  </si>
  <si>
    <t>Pre retina</t>
  </si>
  <si>
    <t>Pre glaucoma</t>
  </si>
  <si>
    <t>Oftalmología normal</t>
  </si>
  <si>
    <t>Anamnesis</t>
  </si>
  <si>
    <t>Constroles consulta</t>
  </si>
  <si>
    <t>Controles Post</t>
  </si>
  <si>
    <t>Pre quirurgico</t>
  </si>
  <si>
    <t>Retina espejo</t>
  </si>
  <si>
    <t>Glaucoma espejo</t>
  </si>
  <si>
    <t>Lectura examenes</t>
  </si>
  <si>
    <t>Oftalmo VIP</t>
  </si>
  <si>
    <t>Eval. Optortica</t>
  </si>
  <si>
    <t>Sesion ortoptica espejo</t>
  </si>
  <si>
    <t>Optometría y cicloplegia</t>
  </si>
  <si>
    <t>Optometría pediatrica</t>
  </si>
  <si>
    <t>Optometria espejo</t>
  </si>
  <si>
    <t>Eval. Optortica espejo</t>
  </si>
  <si>
    <t>Contactología</t>
  </si>
  <si>
    <t>Optometría VIP</t>
  </si>
  <si>
    <t>Toma de visión</t>
  </si>
  <si>
    <t>Sesion optoptica</t>
  </si>
  <si>
    <t>Paquimetría</t>
  </si>
  <si>
    <t>Biometría inmersión</t>
  </si>
  <si>
    <t>Biometría óptica</t>
  </si>
  <si>
    <t>Topografía</t>
  </si>
  <si>
    <t>Campos visuales</t>
  </si>
  <si>
    <t>Recuento de células</t>
  </si>
  <si>
    <t>Tomografía</t>
  </si>
  <si>
    <t>Angiografía</t>
  </si>
  <si>
    <t>Fotografía color</t>
  </si>
  <si>
    <t>Ecografía</t>
  </si>
  <si>
    <t>Multidiagnóstico Barranca</t>
  </si>
  <si>
    <t>Cirugía Oculoplastia</t>
  </si>
  <si>
    <t>Cirugía de estrabismo</t>
  </si>
  <si>
    <t>Cirugía de catarata (FACOS)</t>
  </si>
  <si>
    <t>Cirugía locales</t>
  </si>
  <si>
    <t>Cirugía de retina</t>
  </si>
  <si>
    <t>Inyeccciones</t>
  </si>
  <si>
    <t>Crosslinking</t>
  </si>
  <si>
    <t>Cirugia de glaucoma</t>
  </si>
  <si>
    <t>Preanestesicos</t>
  </si>
  <si>
    <t>Laser argon</t>
  </si>
  <si>
    <t>YAG laser</t>
  </si>
  <si>
    <t>Spa/blefaritis</t>
  </si>
  <si>
    <t>Botox</t>
  </si>
  <si>
    <t>Neurooftalmo</t>
  </si>
  <si>
    <t>Oftalmologia UIS</t>
  </si>
  <si>
    <t>Optometría UIS</t>
  </si>
  <si>
    <t>T01</t>
  </si>
  <si>
    <t>AM Y PM</t>
  </si>
  <si>
    <t>AM</t>
  </si>
  <si>
    <t>NO ASISTE</t>
  </si>
  <si>
    <t>T02</t>
  </si>
  <si>
    <t>T03</t>
  </si>
  <si>
    <t>T04</t>
  </si>
  <si>
    <t>T06</t>
  </si>
  <si>
    <t>T07</t>
  </si>
  <si>
    <t>T08</t>
  </si>
  <si>
    <t>T09</t>
  </si>
  <si>
    <t>PM</t>
  </si>
  <si>
    <t>T05</t>
  </si>
  <si>
    <t xml:space="preserve">                   </t>
  </si>
  <si>
    <t>SEDE 1</t>
  </si>
  <si>
    <t>SEDE 2</t>
  </si>
  <si>
    <t>SEDE 3</t>
  </si>
  <si>
    <t>SEDE 4</t>
  </si>
  <si>
    <t>SEDE 5</t>
  </si>
  <si>
    <t xml:space="preserve">LISI DANIELA </t>
  </si>
  <si>
    <t>[Jueves 01/01/2026]</t>
  </si>
  <si>
    <t>[Viernes 02/01/2026]</t>
  </si>
  <si>
    <t>[Sábado 03/01/2026]</t>
  </si>
  <si>
    <t>Domingo</t>
  </si>
  <si>
    <t>[Lunes 05/01/2026]</t>
  </si>
  <si>
    <t>[Martes 06/01/2026]</t>
  </si>
  <si>
    <t>[Miércoles 07/01/2026]</t>
  </si>
  <si>
    <t>[Jueves 08/01/2026]</t>
  </si>
  <si>
    <t>[Viernes 09/01/2026]</t>
  </si>
  <si>
    <t>[Sábado 10/01/2026]</t>
  </si>
  <si>
    <t>[Lunes 12/01/2026]</t>
  </si>
  <si>
    <t>[Martes 13/01/2026]</t>
  </si>
  <si>
    <t>[Miércoles 14/01/2026]</t>
  </si>
  <si>
    <t>[Jueves 15/01/2026]</t>
  </si>
  <si>
    <t>[Viernes 16/01/2026]</t>
  </si>
  <si>
    <t>[Sábado 17/01/2026]</t>
  </si>
  <si>
    <t>[Lunes 19/01/2026]</t>
  </si>
  <si>
    <t>[Martes 20/01/2026]</t>
  </si>
  <si>
    <t>[Miércoles 21/01/2026]</t>
  </si>
  <si>
    <t>[Jueves 22/01/2026]</t>
  </si>
  <si>
    <t>[Viernes 23/01/2026]</t>
  </si>
  <si>
    <t>[Sábado 24/01/2026]</t>
  </si>
  <si>
    <t>[Lunes 26/01/2026]</t>
  </si>
  <si>
    <t>[Martes 27/01/2026]</t>
  </si>
  <si>
    <t>[Miércoles 28/01/2026]</t>
  </si>
  <si>
    <t>[Jueves 29/01/2026]</t>
  </si>
  <si>
    <t>[Viernes 30/01/2026]</t>
  </si>
  <si>
    <t>[Sábado 31/01/2026]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</si>
</sst>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charset val="238"/>
      <scheme val="minor"/>
    </font>
    <font>
      <sz val="11"/>
      <color theme="1"/>
      <name val="Cambria"/>
      <family val="1"/>
      <scheme val="major"/>
    </font>
    <font>
      <sz val="11"/>
      <color theme="1" tint="0.34998626667073579"/>
      <name val="Calibri"/>
      <family val="2"/>
      <charset val="238"/>
      <scheme val="minor"/>
    </font>
    <font>
      <sz val="35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00B05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 style="thin">
        <color rgb="FFC6C6C6"/>
      </top>
      <bottom style="medium">
        <color rgb="FF000000"/>
      </bottom>
      <diagonal/>
    </border>
  </borders>
  <cellStyleXfs count="8">
    <xf numFmtId="0" fontId="0" fillId="0" borderId="0"/>
    <xf numFmtId="0" fontId="3" fillId="0" borderId="3"/>
    <xf numFmtId="0" fontId="5" fillId="0" borderId="3">
      <alignment vertical="top"/>
    </xf>
    <xf numFmtId="164" fontId="6" fillId="9" borderId="3">
      <alignment horizontal="left" wrapText="1" indent="1"/>
    </xf>
    <xf numFmtId="164" fontId="7" fillId="0" borderId="3">
      <alignment horizontal="left" indent="1"/>
    </xf>
    <xf numFmtId="0" fontId="8" fillId="0" borderId="23">
      <alignment horizontal="left" vertical="center" indent="1"/>
    </xf>
    <xf numFmtId="0" fontId="9" fillId="0" borderId="3" applyAlignment="0">
      <alignment horizontal="left"/>
    </xf>
    <xf numFmtId="0" fontId="10" fillId="10" borderId="3">
      <alignment vertical="center"/>
    </xf>
  </cellStyleXfs>
  <cellXfs count="84">
    <xf numFmtId="0" fontId="0" fillId="0" borderId="0" xfId="0"/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0" fillId="0" borderId="0" xfId="0" applyNumberFormat="1"/>
    <xf numFmtId="3" fontId="2" fillId="0" borderId="11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3" xfId="1"/>
    <xf numFmtId="0" fontId="3" fillId="0" borderId="22" xfId="1" applyBorder="1"/>
    <xf numFmtId="0" fontId="4" fillId="6" borderId="3" xfId="1" applyFont="1" applyFill="1"/>
    <xf numFmtId="0" fontId="3" fillId="6" borderId="3" xfId="1" applyFill="1"/>
    <xf numFmtId="0" fontId="3" fillId="7" borderId="3" xfId="1" applyFill="1"/>
    <xf numFmtId="0" fontId="0" fillId="0" borderId="6" xfId="0" applyBorder="1" applyAlignment="1">
      <alignment horizontal="center"/>
    </xf>
    <xf numFmtId="0" fontId="5" fillId="0" borderId="15" xfId="2" applyBorder="1" applyAlignment="1">
      <alignment horizontal="center"/>
    </xf>
    <xf numFmtId="0" fontId="5" fillId="0" borderId="16" xfId="2" applyBorder="1" applyAlignment="1">
      <alignment horizontal="center"/>
    </xf>
    <xf numFmtId="0" fontId="5" fillId="0" borderId="17" xfId="2" applyBorder="1" applyAlignment="1">
      <alignment horizontal="center"/>
    </xf>
    <xf numFmtId="0" fontId="5" fillId="0" borderId="3" xfId="2" applyAlignment="1">
      <alignment horizontal="center"/>
    </xf>
    <xf numFmtId="0" fontId="5" fillId="0" borderId="18" xfId="2" applyBorder="1" applyAlignment="1">
      <alignment horizontal="center"/>
    </xf>
    <xf numFmtId="0" fontId="5" fillId="0" borderId="19" xfId="2" applyBorder="1" applyAlignment="1">
      <alignment horizontal="center"/>
    </xf>
    <xf numFmtId="0" fontId="5" fillId="0" borderId="20" xfId="2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3" fontId="1" fillId="4" borderId="24" xfId="0" applyNumberFormat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2" fillId="0" borderId="29" xfId="0" applyNumberFormat="1" applyFont="1" applyBorder="1" applyAlignment="1">
      <alignment horizontal="center"/>
    </xf>
    <xf numFmtId="0" fontId="1" fillId="3" borderId="30" xfId="0" applyFont="1" applyFill="1" applyBorder="1" applyAlignment="1">
      <alignment horizontal="left"/>
    </xf>
    <xf numFmtId="0" fontId="1" fillId="3" borderId="31" xfId="0" applyFont="1" applyFill="1" applyBorder="1" applyAlignment="1">
      <alignment horizontal="left"/>
    </xf>
    <xf numFmtId="0" fontId="1" fillId="3" borderId="32" xfId="0" applyFont="1" applyFill="1" applyBorder="1" applyAlignment="1">
      <alignment horizontal="left"/>
    </xf>
    <xf numFmtId="3" fontId="1" fillId="2" borderId="24" xfId="0" applyNumberFormat="1" applyFont="1" applyFill="1" applyBorder="1" applyAlignment="1">
      <alignment horizontal="center"/>
    </xf>
    <xf numFmtId="0" fontId="5" fillId="0" borderId="14" xfId="2" applyBorder="1" applyAlignment="1">
      <alignment horizontal="center"/>
    </xf>
    <xf numFmtId="0" fontId="5" fillId="0" borderId="21" xfId="2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</cellXfs>
  <cellStyles count="8">
    <cellStyle name="Con bandas" xfId="3" xr:uid="{E4588D17-3318-4B58-908B-88F922C38BF4}"/>
    <cellStyle name="Día" xfId="4" xr:uid="{3C64A05D-A21E-434D-AC2D-A595E3415C29}"/>
    <cellStyle name="Día: nombre" xfId="5" xr:uid="{1A566426-A96F-476B-9577-3464696B1CC0}"/>
    <cellStyle name="Entrada de configuración" xfId="6" xr:uid="{21DD9998-88DD-4A05-A8FB-1EE0F2D8085C}"/>
    <cellStyle name="Mes" xfId="7" xr:uid="{BD163F72-80A9-4646-99AE-E3DCA383505B}"/>
    <cellStyle name="Normal" xfId="0" builtinId="0"/>
    <cellStyle name="Normal 2" xfId="1" xr:uid="{6DDEA72E-4944-472D-A7D8-2AF9D6F3EA04}"/>
    <cellStyle name="Normal 3" xfId="2" xr:uid="{D35481F7-C9D6-466A-8C8C-82468BB7C549}"/>
  </cellStyles>
  <dxfs count="3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4"/>
  <sheetViews>
    <sheetView workbookViewId="0">
      <selection activeCell="D1" sqref="D1:D1048576"/>
    </sheetView>
    <sheetView workbookViewId="1"/>
  </sheetViews>
  <sheetFormatPr baseColWidth="10" defaultColWidth="9.140625" defaultRowHeight="15" x14ac:dyDescent="0.25"/>
  <cols>
    <col min="1" max="1" width="13.5703125" style="20" bestFit="1" customWidth="1"/>
    <col min="2" max="2" width="25.28515625" style="20" bestFit="1" customWidth="1"/>
    <col min="3" max="3" width="14.140625" bestFit="1" customWidth="1"/>
  </cols>
  <sheetData>
    <row r="1" spans="1:2" ht="18.75" customHeight="1" x14ac:dyDescent="0.25">
      <c r="A1" s="29" t="s">
        <v>0</v>
      </c>
      <c r="B1" s="26" t="s">
        <v>178</v>
      </c>
    </row>
    <row r="2" spans="1:2" ht="18.75" customHeight="1" x14ac:dyDescent="0.25">
      <c r="A2" s="30" t="s">
        <v>1</v>
      </c>
      <c r="B2" s="27" t="s">
        <v>179</v>
      </c>
    </row>
    <row r="3" spans="1:2" ht="18.75" customHeight="1" x14ac:dyDescent="0.25">
      <c r="A3" s="30" t="s">
        <v>2</v>
      </c>
      <c r="B3" s="27" t="s">
        <v>180</v>
      </c>
    </row>
    <row r="4" spans="1:2" ht="18.75" customHeight="1" x14ac:dyDescent="0.25">
      <c r="A4" s="30" t="s">
        <v>3</v>
      </c>
      <c r="B4" s="27" t="s">
        <v>181</v>
      </c>
    </row>
    <row r="5" spans="1:2" ht="18.75" customHeight="1" x14ac:dyDescent="0.25">
      <c r="A5" s="30" t="s">
        <v>4</v>
      </c>
      <c r="B5" s="27" t="s">
        <v>182</v>
      </c>
    </row>
    <row r="6" spans="1:2" ht="18.75" customHeight="1" x14ac:dyDescent="0.25">
      <c r="A6" s="30" t="s">
        <v>5</v>
      </c>
      <c r="B6" s="27" t="s">
        <v>183</v>
      </c>
    </row>
    <row r="7" spans="1:2" ht="18.75" customHeight="1" x14ac:dyDescent="0.25">
      <c r="A7" s="30" t="s">
        <v>6</v>
      </c>
      <c r="B7" s="27" t="s">
        <v>184</v>
      </c>
    </row>
    <row r="8" spans="1:2" ht="18.75" customHeight="1" x14ac:dyDescent="0.25">
      <c r="A8" s="30" t="s">
        <v>7</v>
      </c>
      <c r="B8" s="27" t="s">
        <v>185</v>
      </c>
    </row>
    <row r="9" spans="1:2" ht="18.75" customHeight="1" x14ac:dyDescent="0.25">
      <c r="A9" s="30" t="s">
        <v>8</v>
      </c>
      <c r="B9" s="27" t="s">
        <v>186</v>
      </c>
    </row>
    <row r="10" spans="1:2" ht="18.75" customHeight="1" x14ac:dyDescent="0.25">
      <c r="A10" s="30" t="s">
        <v>9</v>
      </c>
      <c r="B10" s="27" t="s">
        <v>187</v>
      </c>
    </row>
    <row r="11" spans="1:2" ht="18.75" customHeight="1" x14ac:dyDescent="0.25">
      <c r="A11" s="30" t="s">
        <v>10</v>
      </c>
      <c r="B11" s="27" t="s">
        <v>188</v>
      </c>
    </row>
    <row r="12" spans="1:2" ht="18.75" customHeight="1" x14ac:dyDescent="0.25">
      <c r="A12" s="30" t="s">
        <v>11</v>
      </c>
      <c r="B12" s="27" t="s">
        <v>189</v>
      </c>
    </row>
    <row r="13" spans="1:2" ht="18.75" customHeight="1" x14ac:dyDescent="0.25">
      <c r="A13" s="30" t="s">
        <v>12</v>
      </c>
      <c r="B13" s="27" t="s">
        <v>190</v>
      </c>
    </row>
    <row r="14" spans="1:2" ht="18.75" customHeight="1" x14ac:dyDescent="0.25">
      <c r="A14" s="30" t="s">
        <v>13</v>
      </c>
      <c r="B14" s="27" t="s">
        <v>191</v>
      </c>
    </row>
    <row r="15" spans="1:2" ht="18.75" customHeight="1" x14ac:dyDescent="0.25">
      <c r="A15" s="30" t="s">
        <v>14</v>
      </c>
      <c r="B15" s="27" t="s">
        <v>192</v>
      </c>
    </row>
    <row r="16" spans="1:2" ht="18.75" customHeight="1" x14ac:dyDescent="0.25">
      <c r="A16" s="30" t="s">
        <v>15</v>
      </c>
      <c r="B16" s="27" t="s">
        <v>193</v>
      </c>
    </row>
    <row r="17" spans="1:2" ht="18.75" customHeight="1" x14ac:dyDescent="0.25">
      <c r="A17" s="31" t="s">
        <v>16</v>
      </c>
      <c r="B17" s="28" t="s">
        <v>194</v>
      </c>
    </row>
    <row r="18" spans="1:2" ht="18.75" customHeight="1" x14ac:dyDescent="0.25">
      <c r="A18" s="30" t="s">
        <v>17</v>
      </c>
      <c r="B18" s="27" t="s">
        <v>195</v>
      </c>
    </row>
    <row r="19" spans="1:2" ht="18.75" customHeight="1" x14ac:dyDescent="0.25">
      <c r="A19" s="30" t="s">
        <v>18</v>
      </c>
      <c r="B19" s="27" t="s">
        <v>196</v>
      </c>
    </row>
    <row r="20" spans="1:2" ht="18.75" customHeight="1" x14ac:dyDescent="0.25">
      <c r="A20" s="30" t="s">
        <v>19</v>
      </c>
      <c r="B20" s="27" t="s">
        <v>197</v>
      </c>
    </row>
    <row r="21" spans="1:2" ht="18.75" customHeight="1" x14ac:dyDescent="0.25">
      <c r="A21" s="30" t="s">
        <v>20</v>
      </c>
      <c r="B21" s="27" t="s">
        <v>198</v>
      </c>
    </row>
    <row r="22" spans="1:2" ht="18.75" customHeight="1" x14ac:dyDescent="0.25">
      <c r="A22" s="30" t="s">
        <v>21</v>
      </c>
      <c r="B22" s="27" t="s">
        <v>199</v>
      </c>
    </row>
    <row r="23" spans="1:2" ht="18.75" customHeight="1" x14ac:dyDescent="0.25">
      <c r="A23" s="30" t="s">
        <v>22</v>
      </c>
      <c r="B23" s="27" t="s">
        <v>200</v>
      </c>
    </row>
    <row r="24" spans="1:2" ht="18.75" customHeight="1" x14ac:dyDescent="0.25">
      <c r="A24" s="30" t="s">
        <v>23</v>
      </c>
      <c r="B24" s="27" t="s">
        <v>201</v>
      </c>
    </row>
    <row r="25" spans="1:2" ht="18.75" customHeight="1" x14ac:dyDescent="0.25">
      <c r="A25" s="30" t="s">
        <v>24</v>
      </c>
      <c r="B25" s="27" t="s">
        <v>202</v>
      </c>
    </row>
    <row r="26" spans="1:2" ht="18.75" customHeight="1" x14ac:dyDescent="0.25">
      <c r="A26" s="30" t="s">
        <v>112</v>
      </c>
      <c r="B26" s="27" t="s">
        <v>203</v>
      </c>
    </row>
    <row r="27" spans="1:2" ht="18.75" customHeight="1" x14ac:dyDescent="0.25">
      <c r="A27" s="30" t="s">
        <v>26</v>
      </c>
      <c r="B27" s="27" t="s">
        <v>204</v>
      </c>
    </row>
    <row r="28" spans="1:2" ht="18.75" customHeight="1" x14ac:dyDescent="0.25">
      <c r="A28" s="29" t="s">
        <v>27</v>
      </c>
      <c r="B28" s="26" t="s">
        <v>205</v>
      </c>
    </row>
    <row r="29" spans="1:2" ht="18.75" customHeight="1" x14ac:dyDescent="0.25">
      <c r="A29" s="30" t="s">
        <v>28</v>
      </c>
      <c r="B29" s="27" t="s">
        <v>206</v>
      </c>
    </row>
    <row r="30" spans="1:2" ht="18.75" customHeight="1" x14ac:dyDescent="0.25">
      <c r="A30" s="30" t="s">
        <v>29</v>
      </c>
      <c r="B30" s="27" t="s">
        <v>207</v>
      </c>
    </row>
    <row r="31" spans="1:2" ht="18.75" customHeight="1" x14ac:dyDescent="0.25">
      <c r="A31" s="30" t="s">
        <v>30</v>
      </c>
      <c r="B31" s="27" t="s">
        <v>208</v>
      </c>
    </row>
    <row r="32" spans="1:2" ht="18.75" customHeight="1" x14ac:dyDescent="0.25">
      <c r="A32" s="30" t="s">
        <v>31</v>
      </c>
      <c r="B32" s="27" t="s">
        <v>209</v>
      </c>
    </row>
    <row r="33" spans="1:2" ht="18.75" customHeight="1" x14ac:dyDescent="0.25">
      <c r="A33" s="30" t="s">
        <v>32</v>
      </c>
      <c r="B33" s="27" t="s">
        <v>210</v>
      </c>
    </row>
    <row r="34" spans="1:2" ht="18.75" customHeight="1" x14ac:dyDescent="0.25">
      <c r="A34" s="30" t="s">
        <v>33</v>
      </c>
      <c r="B34" s="27" t="s">
        <v>211</v>
      </c>
    </row>
    <row r="35" spans="1:2" ht="18.75" customHeight="1" x14ac:dyDescent="0.25">
      <c r="A35" s="30" t="s">
        <v>34</v>
      </c>
      <c r="B35" s="27" t="s">
        <v>212</v>
      </c>
    </row>
    <row r="36" spans="1:2" ht="18.75" customHeight="1" x14ac:dyDescent="0.25">
      <c r="A36" s="30" t="s">
        <v>35</v>
      </c>
      <c r="B36" s="27" t="s">
        <v>213</v>
      </c>
    </row>
    <row r="37" spans="1:2" ht="18.75" customHeight="1" x14ac:dyDescent="0.25">
      <c r="A37" s="30" t="s">
        <v>36</v>
      </c>
      <c r="B37" s="27" t="s">
        <v>214</v>
      </c>
    </row>
    <row r="38" spans="1:2" ht="18.75" customHeight="1" x14ac:dyDescent="0.25">
      <c r="A38" s="31" t="s">
        <v>37</v>
      </c>
      <c r="B38" s="28" t="s">
        <v>215</v>
      </c>
    </row>
    <row r="39" spans="1:2" ht="18.75" customHeight="1" x14ac:dyDescent="0.25">
      <c r="A39" s="29" t="s">
        <v>38</v>
      </c>
      <c r="B39" s="26" t="s">
        <v>216</v>
      </c>
    </row>
    <row r="40" spans="1:2" ht="18.75" customHeight="1" x14ac:dyDescent="0.25">
      <c r="A40" s="30" t="s">
        <v>39</v>
      </c>
      <c r="B40" s="27" t="s">
        <v>217</v>
      </c>
    </row>
    <row r="41" spans="1:2" ht="18.75" customHeight="1" x14ac:dyDescent="0.25">
      <c r="A41" s="30" t="s">
        <v>40</v>
      </c>
      <c r="B41" s="27" t="s">
        <v>218</v>
      </c>
    </row>
    <row r="42" spans="1:2" ht="18.75" customHeight="1" x14ac:dyDescent="0.25">
      <c r="A42" s="30" t="s">
        <v>41</v>
      </c>
      <c r="B42" s="27" t="s">
        <v>219</v>
      </c>
    </row>
    <row r="43" spans="1:2" ht="18.75" customHeight="1" x14ac:dyDescent="0.25">
      <c r="A43" s="30" t="s">
        <v>42</v>
      </c>
      <c r="B43" s="27" t="s">
        <v>220</v>
      </c>
    </row>
    <row r="44" spans="1:2" ht="18.75" customHeight="1" x14ac:dyDescent="0.25">
      <c r="A44" s="30" t="s">
        <v>43</v>
      </c>
      <c r="B44" s="27" t="s">
        <v>221</v>
      </c>
    </row>
    <row r="45" spans="1:2" ht="18.75" customHeight="1" x14ac:dyDescent="0.25">
      <c r="A45" s="30" t="s">
        <v>44</v>
      </c>
      <c r="B45" s="27" t="s">
        <v>222</v>
      </c>
    </row>
    <row r="46" spans="1:2" ht="18.75" customHeight="1" x14ac:dyDescent="0.25">
      <c r="A46" s="30" t="s">
        <v>45</v>
      </c>
      <c r="B46" s="27" t="s">
        <v>223</v>
      </c>
    </row>
    <row r="47" spans="1:2" ht="18.75" customHeight="1" x14ac:dyDescent="0.25">
      <c r="A47" s="31" t="s">
        <v>46</v>
      </c>
      <c r="B47" s="28" t="s">
        <v>224</v>
      </c>
    </row>
    <row r="48" spans="1:2" ht="18.75" customHeight="1" x14ac:dyDescent="0.25">
      <c r="A48" s="30" t="s">
        <v>47</v>
      </c>
      <c r="B48" s="27" t="s">
        <v>225</v>
      </c>
    </row>
    <row r="49" spans="1:2" ht="18.75" customHeight="1" x14ac:dyDescent="0.25">
      <c r="A49" s="30" t="s">
        <v>48</v>
      </c>
      <c r="B49" s="27" t="s">
        <v>226</v>
      </c>
    </row>
    <row r="50" spans="1:2" ht="18.75" customHeight="1" x14ac:dyDescent="0.25">
      <c r="A50" s="29" t="s">
        <v>49</v>
      </c>
      <c r="B50" s="26" t="s">
        <v>227</v>
      </c>
    </row>
    <row r="51" spans="1:2" ht="18.75" customHeight="1" x14ac:dyDescent="0.25">
      <c r="A51" s="31" t="s">
        <v>50</v>
      </c>
      <c r="B51" s="28" t="s">
        <v>228</v>
      </c>
    </row>
    <row r="52" spans="1:2" ht="18.75" customHeight="1" x14ac:dyDescent="0.25">
      <c r="A52" s="30" t="s">
        <v>51</v>
      </c>
      <c r="B52" s="28" t="s">
        <v>229</v>
      </c>
    </row>
    <row r="53" spans="1:2" ht="18.75" customHeight="1" x14ac:dyDescent="0.25">
      <c r="A53" s="30" t="s">
        <v>52</v>
      </c>
      <c r="B53" s="27" t="s">
        <v>230</v>
      </c>
    </row>
    <row r="54" spans="1:2" ht="18.75" customHeight="1" x14ac:dyDescent="0.25">
      <c r="A54" s="31" t="s">
        <v>53</v>
      </c>
      <c r="B54" s="28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45"/>
  <sheetViews>
    <sheetView zoomScale="90" zoomScaleNormal="90" workbookViewId="0">
      <selection activeCell="D39" sqref="D39"/>
    </sheetView>
    <sheetView tabSelected="1" topLeftCell="A20" workbookViewId="1"/>
  </sheetViews>
  <sheetFormatPr baseColWidth="10" defaultColWidth="9.140625" defaultRowHeight="15" x14ac:dyDescent="0.25"/>
  <cols>
    <col min="1" max="1" width="13.5703125" style="1" bestFit="1" customWidth="1"/>
    <col min="2" max="2" width="31.7109375" style="20" bestFit="1" customWidth="1"/>
  </cols>
  <sheetData>
    <row r="1" spans="1:2" ht="18.75" customHeight="1" x14ac:dyDescent="0.25">
      <c r="A1" s="3" t="str">
        <f>"T"&amp;_xlfn.SEQUENCE(36,1,1,1)</f>
        <v>T1</v>
      </c>
      <c r="B1" s="26" t="s">
        <v>135</v>
      </c>
    </row>
    <row r="2" spans="1:2" ht="18.75" customHeight="1" x14ac:dyDescent="0.25">
      <c r="A2" s="5" t="s">
        <v>54</v>
      </c>
      <c r="B2" s="27" t="s">
        <v>136</v>
      </c>
    </row>
    <row r="3" spans="1:2" ht="18.75" customHeight="1" x14ac:dyDescent="0.25">
      <c r="A3" s="5" t="s">
        <v>55</v>
      </c>
      <c r="B3" s="27" t="s">
        <v>137</v>
      </c>
    </row>
    <row r="4" spans="1:2" ht="18.75" customHeight="1" x14ac:dyDescent="0.25">
      <c r="A4" s="5" t="s">
        <v>56</v>
      </c>
      <c r="B4" s="27" t="s">
        <v>138</v>
      </c>
    </row>
    <row r="5" spans="1:2" ht="18.75" customHeight="1" x14ac:dyDescent="0.25">
      <c r="A5" s="5" t="s">
        <v>57</v>
      </c>
      <c r="B5" s="27" t="s">
        <v>139</v>
      </c>
    </row>
    <row r="6" spans="1:2" ht="18.75" customHeight="1" x14ac:dyDescent="0.25">
      <c r="A6" s="5" t="s">
        <v>58</v>
      </c>
      <c r="B6" s="27" t="s">
        <v>140</v>
      </c>
    </row>
    <row r="7" spans="1:2" ht="18.75" customHeight="1" x14ac:dyDescent="0.25">
      <c r="A7" s="5" t="s">
        <v>59</v>
      </c>
      <c r="B7" s="27" t="s">
        <v>141</v>
      </c>
    </row>
    <row r="8" spans="1:2" ht="18.75" customHeight="1" x14ac:dyDescent="0.25">
      <c r="A8" s="5" t="s">
        <v>60</v>
      </c>
      <c r="B8" s="27" t="s">
        <v>142</v>
      </c>
    </row>
    <row r="9" spans="1:2" ht="18.75" customHeight="1" x14ac:dyDescent="0.25">
      <c r="A9" s="5" t="s">
        <v>61</v>
      </c>
      <c r="B9" s="27" t="s">
        <v>143</v>
      </c>
    </row>
    <row r="10" spans="1:2" ht="18.75" customHeight="1" x14ac:dyDescent="0.25">
      <c r="A10" s="5" t="s">
        <v>62</v>
      </c>
      <c r="B10" s="27" t="s">
        <v>144</v>
      </c>
    </row>
    <row r="11" spans="1:2" ht="18.75" customHeight="1" x14ac:dyDescent="0.25">
      <c r="A11" s="5" t="s">
        <v>63</v>
      </c>
      <c r="B11" s="27" t="s">
        <v>145</v>
      </c>
    </row>
    <row r="12" spans="1:2" ht="18.75" customHeight="1" x14ac:dyDescent="0.25">
      <c r="A12" s="5" t="s">
        <v>64</v>
      </c>
      <c r="B12" s="27" t="s">
        <v>146</v>
      </c>
    </row>
    <row r="13" spans="1:2" ht="18.75" customHeight="1" x14ac:dyDescent="0.25">
      <c r="A13" s="5" t="s">
        <v>65</v>
      </c>
      <c r="B13" s="27" t="s">
        <v>147</v>
      </c>
    </row>
    <row r="14" spans="1:2" ht="18.75" customHeight="1" x14ac:dyDescent="0.25">
      <c r="A14" s="5" t="s">
        <v>66</v>
      </c>
      <c r="B14" s="27" t="s">
        <v>148</v>
      </c>
    </row>
    <row r="15" spans="1:2" ht="18.75" customHeight="1" x14ac:dyDescent="0.25">
      <c r="A15" s="5" t="s">
        <v>67</v>
      </c>
      <c r="B15" s="27" t="s">
        <v>149</v>
      </c>
    </row>
    <row r="16" spans="1:2" ht="18.75" customHeight="1" x14ac:dyDescent="0.25">
      <c r="A16" s="5" t="s">
        <v>68</v>
      </c>
      <c r="B16" s="27" t="s">
        <v>150</v>
      </c>
    </row>
    <row r="17" spans="1:2" ht="18.75" customHeight="1" x14ac:dyDescent="0.25">
      <c r="A17" s="5" t="s">
        <v>69</v>
      </c>
      <c r="B17" s="27" t="s">
        <v>151</v>
      </c>
    </row>
    <row r="18" spans="1:2" ht="18.75" customHeight="1" x14ac:dyDescent="0.25">
      <c r="A18" s="5" t="s">
        <v>70</v>
      </c>
      <c r="B18" s="27" t="s">
        <v>152</v>
      </c>
    </row>
    <row r="19" spans="1:2" ht="18.75" customHeight="1" x14ac:dyDescent="0.25">
      <c r="A19" s="5" t="s">
        <v>71</v>
      </c>
      <c r="B19" s="27" t="s">
        <v>153</v>
      </c>
    </row>
    <row r="20" spans="1:2" ht="18.75" customHeight="1" x14ac:dyDescent="0.25">
      <c r="A20" s="5" t="s">
        <v>72</v>
      </c>
      <c r="B20" s="27" t="s">
        <v>154</v>
      </c>
    </row>
    <row r="21" spans="1:2" ht="18.75" customHeight="1" x14ac:dyDescent="0.25">
      <c r="A21" s="5" t="s">
        <v>73</v>
      </c>
      <c r="B21" s="27" t="s">
        <v>155</v>
      </c>
    </row>
    <row r="22" spans="1:2" ht="18.75" customHeight="1" x14ac:dyDescent="0.25">
      <c r="A22" s="5" t="s">
        <v>74</v>
      </c>
      <c r="B22" s="27" t="s">
        <v>156</v>
      </c>
    </row>
    <row r="23" spans="1:2" ht="18.75" customHeight="1" x14ac:dyDescent="0.25">
      <c r="A23" s="5" t="s">
        <v>75</v>
      </c>
      <c r="B23" s="27" t="s">
        <v>157</v>
      </c>
    </row>
    <row r="24" spans="1:2" ht="18.75" customHeight="1" x14ac:dyDescent="0.25">
      <c r="A24" s="5" t="s">
        <v>76</v>
      </c>
      <c r="B24" s="27" t="s">
        <v>158</v>
      </c>
    </row>
    <row r="25" spans="1:2" ht="18.75" customHeight="1" x14ac:dyDescent="0.25">
      <c r="A25" s="5" t="s">
        <v>77</v>
      </c>
      <c r="B25" s="27" t="s">
        <v>159</v>
      </c>
    </row>
    <row r="26" spans="1:2" ht="18.75" customHeight="1" x14ac:dyDescent="0.25">
      <c r="A26" s="5" t="s">
        <v>78</v>
      </c>
      <c r="B26" s="27" t="s">
        <v>160</v>
      </c>
    </row>
    <row r="27" spans="1:2" ht="18.75" customHeight="1" x14ac:dyDescent="0.25">
      <c r="A27" s="5" t="s">
        <v>79</v>
      </c>
      <c r="B27" s="27" t="s">
        <v>161</v>
      </c>
    </row>
    <row r="28" spans="1:2" ht="18.75" customHeight="1" x14ac:dyDescent="0.25">
      <c r="A28" s="5" t="s">
        <v>80</v>
      </c>
      <c r="B28" s="27" t="s">
        <v>162</v>
      </c>
    </row>
    <row r="29" spans="1:2" ht="18.75" customHeight="1" x14ac:dyDescent="0.25">
      <c r="A29" s="5" t="s">
        <v>81</v>
      </c>
      <c r="B29" s="27" t="s">
        <v>163</v>
      </c>
    </row>
    <row r="30" spans="1:2" ht="18.75" customHeight="1" x14ac:dyDescent="0.25">
      <c r="A30" s="5" t="s">
        <v>82</v>
      </c>
      <c r="B30" s="27" t="s">
        <v>164</v>
      </c>
    </row>
    <row r="31" spans="1:2" ht="18.75" customHeight="1" x14ac:dyDescent="0.25">
      <c r="A31" s="5" t="s">
        <v>83</v>
      </c>
      <c r="B31" s="27" t="s">
        <v>165</v>
      </c>
    </row>
    <row r="32" spans="1:2" ht="18.75" customHeight="1" x14ac:dyDescent="0.25">
      <c r="A32" s="5" t="s">
        <v>84</v>
      </c>
      <c r="B32" s="27" t="s">
        <v>166</v>
      </c>
    </row>
    <row r="33" spans="1:2" ht="18.75" customHeight="1" x14ac:dyDescent="0.25">
      <c r="A33" s="5" t="s">
        <v>85</v>
      </c>
      <c r="B33" s="27" t="s">
        <v>167</v>
      </c>
    </row>
    <row r="34" spans="1:2" ht="18.75" customHeight="1" x14ac:dyDescent="0.25">
      <c r="A34" s="5" t="s">
        <v>86</v>
      </c>
      <c r="B34" s="27" t="s">
        <v>168</v>
      </c>
    </row>
    <row r="35" spans="1:2" ht="18.75" customHeight="1" x14ac:dyDescent="0.25">
      <c r="A35" s="5" t="s">
        <v>87</v>
      </c>
      <c r="B35" s="27" t="s">
        <v>169</v>
      </c>
    </row>
    <row r="36" spans="1:2" ht="18.75" customHeight="1" x14ac:dyDescent="0.25">
      <c r="A36" s="5" t="s">
        <v>88</v>
      </c>
      <c r="B36" s="27" t="s">
        <v>170</v>
      </c>
    </row>
    <row r="37" spans="1:2" ht="18.75" customHeight="1" x14ac:dyDescent="0.25">
      <c r="A37" s="5" t="s">
        <v>89</v>
      </c>
      <c r="B37" s="27" t="s">
        <v>171</v>
      </c>
    </row>
    <row r="38" spans="1:2" ht="18.75" customHeight="1" x14ac:dyDescent="0.25">
      <c r="A38" s="5" t="s">
        <v>90</v>
      </c>
      <c r="B38" s="27" t="s">
        <v>171</v>
      </c>
    </row>
    <row r="39" spans="1:2" ht="18.75" customHeight="1" x14ac:dyDescent="0.25">
      <c r="A39" s="5" t="s">
        <v>91</v>
      </c>
      <c r="B39" s="27" t="s">
        <v>172</v>
      </c>
    </row>
    <row r="40" spans="1:2" ht="18.75" customHeight="1" x14ac:dyDescent="0.25">
      <c r="A40" s="5" t="s">
        <v>92</v>
      </c>
      <c r="B40" s="27" t="s">
        <v>173</v>
      </c>
    </row>
    <row r="41" spans="1:2" ht="18.75" customHeight="1" x14ac:dyDescent="0.25">
      <c r="A41" s="5" t="s">
        <v>93</v>
      </c>
      <c r="B41" s="27" t="s">
        <v>174</v>
      </c>
    </row>
    <row r="42" spans="1:2" ht="18.75" customHeight="1" x14ac:dyDescent="0.25">
      <c r="A42" s="5" t="s">
        <v>94</v>
      </c>
      <c r="B42" s="27" t="s">
        <v>175</v>
      </c>
    </row>
    <row r="43" spans="1:2" ht="18.75" customHeight="1" x14ac:dyDescent="0.25">
      <c r="A43" s="5" t="s">
        <v>95</v>
      </c>
      <c r="B43" s="27" t="s">
        <v>176</v>
      </c>
    </row>
    <row r="44" spans="1:2" ht="18.75" customHeight="1" x14ac:dyDescent="0.25">
      <c r="A44" s="5" t="s">
        <v>96</v>
      </c>
      <c r="B44" s="27" t="s">
        <v>251</v>
      </c>
    </row>
    <row r="45" spans="1:2" ht="18.75" customHeight="1" x14ac:dyDescent="0.25">
      <c r="A45" s="6" t="s">
        <v>97</v>
      </c>
      <c r="B45" s="28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3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6" width="16.140625" style="1" bestFit="1" customWidth="1"/>
  </cols>
  <sheetData>
    <row r="1" spans="1:6" ht="18.75" customHeight="1" x14ac:dyDescent="0.25">
      <c r="B1" s="24" t="s">
        <v>49</v>
      </c>
      <c r="C1" s="24" t="s">
        <v>50</v>
      </c>
      <c r="D1" s="24" t="s">
        <v>113</v>
      </c>
      <c r="E1" s="24" t="s">
        <v>114</v>
      </c>
      <c r="F1" s="24" t="s">
        <v>115</v>
      </c>
    </row>
    <row r="2" spans="1:6" ht="18.75" customHeight="1" x14ac:dyDescent="0.25">
      <c r="A2" s="18" t="s">
        <v>38</v>
      </c>
      <c r="B2" s="25" t="s">
        <v>116</v>
      </c>
      <c r="C2" s="25" t="s">
        <v>117</v>
      </c>
      <c r="D2" s="25" t="s">
        <v>118</v>
      </c>
      <c r="E2" s="25" t="s">
        <v>118</v>
      </c>
      <c r="F2" s="25" t="s">
        <v>118</v>
      </c>
    </row>
    <row r="3" spans="1:6" ht="18.75" customHeight="1" x14ac:dyDescent="0.25">
      <c r="A3" s="18" t="s">
        <v>39</v>
      </c>
      <c r="B3" s="25" t="s">
        <v>119</v>
      </c>
      <c r="C3" s="25" t="s">
        <v>118</v>
      </c>
      <c r="D3" s="25" t="s">
        <v>116</v>
      </c>
      <c r="E3" s="25" t="s">
        <v>116</v>
      </c>
      <c r="F3" s="25" t="s">
        <v>116</v>
      </c>
    </row>
    <row r="4" spans="1:6" ht="18.75" customHeight="1" x14ac:dyDescent="0.25">
      <c r="A4" s="18" t="s">
        <v>40</v>
      </c>
      <c r="B4" s="25" t="s">
        <v>120</v>
      </c>
      <c r="C4" s="25" t="s">
        <v>116</v>
      </c>
      <c r="D4" s="25" t="s">
        <v>119</v>
      </c>
      <c r="E4" s="25" t="s">
        <v>119</v>
      </c>
      <c r="F4" s="25" t="s">
        <v>119</v>
      </c>
    </row>
    <row r="5" spans="1:6" ht="18.75" customHeight="1" x14ac:dyDescent="0.25">
      <c r="A5" s="18" t="s">
        <v>41</v>
      </c>
      <c r="B5" s="25" t="s">
        <v>121</v>
      </c>
      <c r="C5" s="25" t="s">
        <v>119</v>
      </c>
      <c r="D5" s="25" t="s">
        <v>122</v>
      </c>
      <c r="E5" s="25" t="s">
        <v>123</v>
      </c>
      <c r="F5" s="25" t="s">
        <v>123</v>
      </c>
    </row>
    <row r="6" spans="1:6" ht="18.75" customHeight="1" x14ac:dyDescent="0.25">
      <c r="A6" s="18" t="s">
        <v>42</v>
      </c>
      <c r="B6" s="25" t="s">
        <v>124</v>
      </c>
      <c r="C6" s="25" t="s">
        <v>120</v>
      </c>
      <c r="D6" s="25" t="s">
        <v>123</v>
      </c>
      <c r="E6" s="25" t="s">
        <v>123</v>
      </c>
      <c r="F6" s="25" t="s">
        <v>123</v>
      </c>
    </row>
    <row r="7" spans="1:6" ht="18.75" customHeight="1" x14ac:dyDescent="0.25">
      <c r="A7" s="18" t="s">
        <v>43</v>
      </c>
      <c r="B7" s="25" t="s">
        <v>125</v>
      </c>
      <c r="C7" s="25" t="s">
        <v>121</v>
      </c>
      <c r="D7" s="25" t="s">
        <v>123</v>
      </c>
      <c r="E7" s="25" t="s">
        <v>123</v>
      </c>
      <c r="F7" s="25" t="s">
        <v>123</v>
      </c>
    </row>
    <row r="8" spans="1:6" ht="18.75" customHeight="1" x14ac:dyDescent="0.25">
      <c r="A8" s="18" t="s">
        <v>44</v>
      </c>
      <c r="B8" s="25" t="s">
        <v>126</v>
      </c>
      <c r="C8" s="25" t="s">
        <v>127</v>
      </c>
      <c r="D8" s="25" t="s">
        <v>123</v>
      </c>
      <c r="E8" s="25" t="s">
        <v>123</v>
      </c>
      <c r="F8" s="25" t="s">
        <v>123</v>
      </c>
    </row>
    <row r="9" spans="1:6" ht="18.75" customHeight="1" x14ac:dyDescent="0.25">
      <c r="A9" s="18" t="s">
        <v>45</v>
      </c>
      <c r="B9" s="25" t="s">
        <v>128</v>
      </c>
      <c r="C9" s="25" t="s">
        <v>129</v>
      </c>
      <c r="D9" s="25" t="s">
        <v>123</v>
      </c>
      <c r="E9" s="25" t="s">
        <v>123</v>
      </c>
      <c r="F9" s="25" t="s">
        <v>123</v>
      </c>
    </row>
    <row r="10" spans="1:6" ht="18.75" customHeight="1" x14ac:dyDescent="0.25">
      <c r="A10" s="18" t="s">
        <v>46</v>
      </c>
      <c r="B10" s="25" t="s">
        <v>130</v>
      </c>
      <c r="C10" s="25" t="s">
        <v>131</v>
      </c>
      <c r="D10" s="25" t="s">
        <v>123</v>
      </c>
      <c r="E10" s="25" t="s">
        <v>123</v>
      </c>
      <c r="F10" s="25" t="s">
        <v>123</v>
      </c>
    </row>
    <row r="11" spans="1:6" ht="18.75" customHeight="1" x14ac:dyDescent="0.25">
      <c r="A11" s="18" t="s">
        <v>108</v>
      </c>
      <c r="B11" s="25" t="s">
        <v>132</v>
      </c>
      <c r="C11" s="25" t="s">
        <v>133</v>
      </c>
      <c r="D11" s="25" t="s">
        <v>123</v>
      </c>
      <c r="E11" s="25" t="s">
        <v>123</v>
      </c>
      <c r="F11" s="25" t="s">
        <v>123</v>
      </c>
    </row>
    <row r="12" spans="1:6" ht="18.75" customHeight="1" x14ac:dyDescent="0.25">
      <c r="A12" s="18" t="s">
        <v>109</v>
      </c>
      <c r="B12" s="25" t="s">
        <v>134</v>
      </c>
      <c r="C12" s="25" t="s">
        <v>123</v>
      </c>
      <c r="D12" s="25" t="s">
        <v>123</v>
      </c>
      <c r="E12" s="25" t="s">
        <v>123</v>
      </c>
      <c r="F12" s="25" t="s">
        <v>123</v>
      </c>
    </row>
    <row r="13" spans="1:6" ht="18.75" customHeight="1" x14ac:dyDescent="0.25">
      <c r="A13" s="18" t="s">
        <v>110</v>
      </c>
      <c r="B13" s="25" t="s">
        <v>129</v>
      </c>
      <c r="C13" s="25" t="s">
        <v>123</v>
      </c>
      <c r="D13" s="25" t="s">
        <v>123</v>
      </c>
      <c r="E13" s="25" t="s">
        <v>123</v>
      </c>
      <c r="F13" s="25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46"/>
  <sheetViews>
    <sheetView topLeftCell="A3" workbookViewId="0">
      <selection activeCell="F31" sqref="F31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6" width="13.5703125" style="7" bestFit="1" customWidth="1"/>
  </cols>
  <sheetData>
    <row r="1" spans="1:6" ht="18.75" customHeight="1" x14ac:dyDescent="0.25">
      <c r="B1" s="2" t="s">
        <v>49</v>
      </c>
      <c r="C1" s="2" t="s">
        <v>50</v>
      </c>
      <c r="D1" s="2" t="s">
        <v>113</v>
      </c>
      <c r="E1" s="2" t="s">
        <v>114</v>
      </c>
      <c r="F1" s="2" t="s">
        <v>115</v>
      </c>
    </row>
    <row r="2" spans="1:6" ht="18.75" customHeight="1" x14ac:dyDescent="0.25">
      <c r="A2" s="3" t="str">
        <f>"T"&amp;_xlfn.SEQUENCE(36,1,1,1)</f>
        <v>T1</v>
      </c>
      <c r="B2" s="4">
        <v>1</v>
      </c>
      <c r="C2" s="4">
        <v>1</v>
      </c>
      <c r="D2" s="4">
        <v>1</v>
      </c>
      <c r="E2" s="4">
        <v>0</v>
      </c>
      <c r="F2" s="4">
        <v>1</v>
      </c>
    </row>
    <row r="3" spans="1:6" ht="18.75" customHeight="1" x14ac:dyDescent="0.25">
      <c r="A3" s="5" t="s">
        <v>54</v>
      </c>
      <c r="B3" s="4">
        <v>1</v>
      </c>
      <c r="C3" s="4">
        <v>1</v>
      </c>
      <c r="D3" s="4">
        <v>1</v>
      </c>
      <c r="E3" s="4">
        <v>0</v>
      </c>
      <c r="F3" s="4">
        <v>0</v>
      </c>
    </row>
    <row r="4" spans="1:6" ht="18.75" customHeight="1" x14ac:dyDescent="0.25">
      <c r="A4" s="5" t="s">
        <v>55</v>
      </c>
      <c r="B4" s="4">
        <v>1</v>
      </c>
      <c r="C4" s="4">
        <v>1</v>
      </c>
      <c r="D4" s="4">
        <v>1</v>
      </c>
      <c r="E4" s="4">
        <v>1</v>
      </c>
      <c r="F4" s="4">
        <v>0</v>
      </c>
    </row>
    <row r="5" spans="1:6" ht="18.75" customHeight="1" x14ac:dyDescent="0.25">
      <c r="A5" s="5" t="s">
        <v>56</v>
      </c>
      <c r="B5" s="4">
        <v>1</v>
      </c>
      <c r="C5" s="4">
        <v>1</v>
      </c>
      <c r="D5" s="4">
        <v>1</v>
      </c>
      <c r="E5" s="4">
        <v>0</v>
      </c>
      <c r="F5" s="4">
        <v>0</v>
      </c>
    </row>
    <row r="6" spans="1:6" ht="18.75" customHeight="1" x14ac:dyDescent="0.25">
      <c r="A6" s="5" t="s">
        <v>57</v>
      </c>
      <c r="B6" s="4">
        <v>1</v>
      </c>
      <c r="C6" s="4">
        <v>1</v>
      </c>
      <c r="D6" s="4">
        <v>0</v>
      </c>
      <c r="E6" s="4">
        <v>1</v>
      </c>
      <c r="F6" s="4">
        <v>0</v>
      </c>
    </row>
    <row r="7" spans="1:6" ht="18.75" customHeight="1" x14ac:dyDescent="0.25">
      <c r="A7" s="5" t="s">
        <v>58</v>
      </c>
      <c r="B7" s="4">
        <v>1</v>
      </c>
      <c r="C7" s="4">
        <v>1</v>
      </c>
      <c r="D7" s="4">
        <v>1</v>
      </c>
      <c r="E7" s="4">
        <v>1</v>
      </c>
      <c r="F7" s="4">
        <v>0</v>
      </c>
    </row>
    <row r="8" spans="1:6" ht="18.75" customHeight="1" x14ac:dyDescent="0.25">
      <c r="A8" s="5" t="s">
        <v>59</v>
      </c>
      <c r="B8" s="4">
        <v>1</v>
      </c>
      <c r="C8" s="4">
        <v>1</v>
      </c>
      <c r="D8" s="4">
        <v>1</v>
      </c>
      <c r="E8" s="4">
        <v>0</v>
      </c>
      <c r="F8" s="4">
        <v>1</v>
      </c>
    </row>
    <row r="9" spans="1:6" ht="18.75" customHeight="1" x14ac:dyDescent="0.25">
      <c r="A9" s="5" t="s">
        <v>60</v>
      </c>
      <c r="B9" s="4">
        <v>1</v>
      </c>
      <c r="C9" s="4">
        <v>1</v>
      </c>
      <c r="D9" s="4">
        <v>1</v>
      </c>
      <c r="E9" s="4">
        <v>0</v>
      </c>
      <c r="F9" s="4">
        <v>1</v>
      </c>
    </row>
    <row r="10" spans="1:6" ht="18.75" customHeight="1" x14ac:dyDescent="0.25">
      <c r="A10" s="5" t="s">
        <v>61</v>
      </c>
      <c r="B10" s="4">
        <v>1</v>
      </c>
      <c r="C10" s="4">
        <v>1</v>
      </c>
      <c r="D10" s="4">
        <v>0</v>
      </c>
      <c r="E10" s="4">
        <v>0</v>
      </c>
      <c r="F10" s="4">
        <v>0</v>
      </c>
    </row>
    <row r="11" spans="1:6" ht="18.75" customHeight="1" x14ac:dyDescent="0.25">
      <c r="A11" s="5" t="s">
        <v>62</v>
      </c>
      <c r="B11" s="4">
        <v>1</v>
      </c>
      <c r="C11" s="4">
        <v>1</v>
      </c>
      <c r="D11" s="4">
        <v>0</v>
      </c>
      <c r="E11" s="4">
        <v>1</v>
      </c>
      <c r="F11" s="4">
        <v>0</v>
      </c>
    </row>
    <row r="12" spans="1:6" ht="18.75" customHeight="1" x14ac:dyDescent="0.25">
      <c r="A12" s="5" t="s">
        <v>63</v>
      </c>
      <c r="B12" s="4">
        <v>1</v>
      </c>
      <c r="C12" s="4">
        <v>1</v>
      </c>
      <c r="D12" s="4">
        <v>1</v>
      </c>
      <c r="E12" s="4">
        <v>0</v>
      </c>
      <c r="F12" s="4">
        <v>0</v>
      </c>
    </row>
    <row r="13" spans="1:6" ht="18.75" customHeight="1" x14ac:dyDescent="0.25">
      <c r="A13" s="5" t="s">
        <v>64</v>
      </c>
      <c r="B13" s="4">
        <v>1</v>
      </c>
      <c r="C13" s="4">
        <v>1</v>
      </c>
      <c r="D13" s="4">
        <v>0</v>
      </c>
      <c r="E13" s="4">
        <v>1</v>
      </c>
      <c r="F13" s="4">
        <v>0</v>
      </c>
    </row>
    <row r="14" spans="1:6" ht="18.75" customHeight="1" x14ac:dyDescent="0.25">
      <c r="A14" s="5" t="s">
        <v>65</v>
      </c>
      <c r="B14" s="4">
        <v>1</v>
      </c>
      <c r="C14" s="4">
        <v>0</v>
      </c>
      <c r="D14" s="4">
        <v>0</v>
      </c>
      <c r="E14" s="4">
        <v>0</v>
      </c>
      <c r="F14" s="4">
        <v>0</v>
      </c>
    </row>
    <row r="15" spans="1:6" ht="18.75" customHeight="1" x14ac:dyDescent="0.25">
      <c r="A15" s="5" t="s">
        <v>66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</row>
    <row r="16" spans="1:6" ht="18.75" customHeight="1" x14ac:dyDescent="0.25">
      <c r="A16" s="5" t="s">
        <v>67</v>
      </c>
      <c r="B16" s="4">
        <v>1</v>
      </c>
      <c r="C16" s="4">
        <v>1</v>
      </c>
      <c r="D16" s="4">
        <v>1</v>
      </c>
      <c r="E16" s="4">
        <v>1</v>
      </c>
      <c r="F16" s="4">
        <v>0</v>
      </c>
    </row>
    <row r="17" spans="1:6" ht="18.75" customHeight="1" x14ac:dyDescent="0.25">
      <c r="A17" s="5" t="s">
        <v>68</v>
      </c>
      <c r="B17" s="4">
        <v>1</v>
      </c>
      <c r="C17" s="4">
        <v>0</v>
      </c>
      <c r="D17" s="4">
        <v>0</v>
      </c>
      <c r="E17" s="4">
        <v>0</v>
      </c>
      <c r="F17" s="4">
        <v>0</v>
      </c>
    </row>
    <row r="18" spans="1:6" ht="18.75" customHeight="1" x14ac:dyDescent="0.25">
      <c r="A18" s="5" t="s">
        <v>69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</row>
    <row r="19" spans="1:6" ht="18.75" customHeight="1" x14ac:dyDescent="0.25">
      <c r="A19" s="5" t="s">
        <v>70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</row>
    <row r="20" spans="1:6" ht="18.75" customHeight="1" x14ac:dyDescent="0.25">
      <c r="A20" s="5" t="s">
        <v>71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</row>
    <row r="21" spans="1:6" ht="18.75" customHeight="1" x14ac:dyDescent="0.25">
      <c r="A21" s="5" t="s">
        <v>72</v>
      </c>
      <c r="B21" s="4">
        <v>1</v>
      </c>
      <c r="C21" s="4">
        <v>1</v>
      </c>
      <c r="D21" s="4">
        <v>1</v>
      </c>
      <c r="E21" s="4">
        <v>0</v>
      </c>
      <c r="F21" s="4">
        <v>1</v>
      </c>
    </row>
    <row r="22" spans="1:6" ht="18.75" customHeight="1" x14ac:dyDescent="0.25">
      <c r="A22" s="5" t="s">
        <v>73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</row>
    <row r="23" spans="1:6" ht="18.75" customHeight="1" x14ac:dyDescent="0.25">
      <c r="A23" s="5" t="s">
        <v>74</v>
      </c>
      <c r="B23" s="4">
        <v>1</v>
      </c>
      <c r="C23" s="4">
        <v>1</v>
      </c>
      <c r="D23" s="4">
        <v>1</v>
      </c>
      <c r="E23" s="4">
        <v>0</v>
      </c>
      <c r="F23" s="4">
        <v>0</v>
      </c>
    </row>
    <row r="24" spans="1:6" ht="18.75" customHeight="1" x14ac:dyDescent="0.25">
      <c r="A24" s="5" t="s">
        <v>75</v>
      </c>
      <c r="B24" s="4">
        <v>1</v>
      </c>
      <c r="C24" s="4">
        <v>1</v>
      </c>
      <c r="D24" s="4">
        <v>1</v>
      </c>
      <c r="E24" s="4">
        <v>0</v>
      </c>
      <c r="F24" s="4">
        <v>1</v>
      </c>
    </row>
    <row r="25" spans="1:6" ht="18.75" customHeight="1" x14ac:dyDescent="0.25">
      <c r="A25" s="5" t="s">
        <v>76</v>
      </c>
      <c r="B25" s="4">
        <v>1</v>
      </c>
      <c r="C25" s="4">
        <v>1</v>
      </c>
      <c r="D25" s="4">
        <v>1</v>
      </c>
      <c r="E25" s="4">
        <v>0</v>
      </c>
      <c r="F25" s="4">
        <v>0</v>
      </c>
    </row>
    <row r="26" spans="1:6" ht="18.75" customHeight="1" x14ac:dyDescent="0.25">
      <c r="A26" s="5" t="s">
        <v>77</v>
      </c>
      <c r="B26" s="4">
        <v>1</v>
      </c>
      <c r="C26" s="4">
        <v>1</v>
      </c>
      <c r="D26" s="4">
        <v>1</v>
      </c>
      <c r="E26" s="4">
        <v>0</v>
      </c>
      <c r="F26" s="4">
        <v>0</v>
      </c>
    </row>
    <row r="27" spans="1:6" ht="18.75" customHeight="1" x14ac:dyDescent="0.25">
      <c r="A27" s="5" t="s">
        <v>78</v>
      </c>
      <c r="B27" s="4">
        <v>1</v>
      </c>
      <c r="C27" s="4">
        <v>1</v>
      </c>
      <c r="D27" s="4">
        <v>1</v>
      </c>
      <c r="E27" s="4">
        <v>0</v>
      </c>
      <c r="F27" s="4">
        <v>0</v>
      </c>
    </row>
    <row r="28" spans="1:6" ht="18.75" customHeight="1" x14ac:dyDescent="0.25">
      <c r="A28" s="5" t="s">
        <v>79</v>
      </c>
      <c r="B28" s="4">
        <v>1</v>
      </c>
      <c r="C28" s="4">
        <v>1</v>
      </c>
      <c r="D28" s="4">
        <v>1</v>
      </c>
      <c r="E28" s="4">
        <v>0</v>
      </c>
      <c r="F28" s="4">
        <v>1</v>
      </c>
    </row>
    <row r="29" spans="1:6" ht="18.75" customHeight="1" x14ac:dyDescent="0.25">
      <c r="A29" s="5" t="s">
        <v>80</v>
      </c>
      <c r="B29" s="4">
        <v>1</v>
      </c>
      <c r="C29" s="4">
        <v>1</v>
      </c>
      <c r="D29" s="4">
        <v>1</v>
      </c>
      <c r="E29" s="4">
        <v>0</v>
      </c>
      <c r="F29" s="4">
        <v>0</v>
      </c>
    </row>
    <row r="30" spans="1:6" ht="18.75" customHeight="1" x14ac:dyDescent="0.25">
      <c r="A30" s="5" t="s">
        <v>81</v>
      </c>
      <c r="B30" s="4">
        <v>1</v>
      </c>
      <c r="C30" s="4">
        <v>0</v>
      </c>
      <c r="D30" s="4">
        <v>0</v>
      </c>
      <c r="E30" s="4">
        <v>0</v>
      </c>
      <c r="F30" s="4">
        <v>1</v>
      </c>
    </row>
    <row r="31" spans="1:6" ht="18.75" customHeight="1" x14ac:dyDescent="0.25">
      <c r="A31" s="5" t="s">
        <v>82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</row>
    <row r="32" spans="1:6" ht="18.75" customHeight="1" x14ac:dyDescent="0.25">
      <c r="A32" s="5" t="s">
        <v>83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</row>
    <row r="33" spans="1:6" ht="18.75" customHeight="1" x14ac:dyDescent="0.25">
      <c r="A33" s="5" t="s">
        <v>84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</row>
    <row r="34" spans="1:6" ht="18.75" customHeight="1" x14ac:dyDescent="0.25">
      <c r="A34" s="5" t="s">
        <v>85</v>
      </c>
      <c r="B34" s="4">
        <v>1</v>
      </c>
      <c r="C34" s="4">
        <v>1</v>
      </c>
      <c r="D34" s="4">
        <v>1</v>
      </c>
      <c r="E34" s="4">
        <v>0</v>
      </c>
      <c r="F34" s="4">
        <v>0</v>
      </c>
    </row>
    <row r="35" spans="1:6" ht="18.75" customHeight="1" x14ac:dyDescent="0.25">
      <c r="A35" s="5" t="s">
        <v>86</v>
      </c>
      <c r="B35" s="4">
        <v>1</v>
      </c>
      <c r="C35" s="4">
        <v>1</v>
      </c>
      <c r="D35" s="4">
        <v>1</v>
      </c>
      <c r="E35" s="4">
        <v>0</v>
      </c>
      <c r="F35" s="4">
        <v>0</v>
      </c>
    </row>
    <row r="36" spans="1:6" ht="18.75" customHeight="1" x14ac:dyDescent="0.25">
      <c r="A36" s="5" t="s">
        <v>87</v>
      </c>
      <c r="B36" s="4">
        <v>1</v>
      </c>
      <c r="C36" s="4">
        <v>1</v>
      </c>
      <c r="D36" s="4">
        <v>0</v>
      </c>
      <c r="E36" s="4">
        <v>0</v>
      </c>
      <c r="F36" s="4">
        <v>0</v>
      </c>
    </row>
    <row r="37" spans="1:6" ht="18.75" customHeight="1" x14ac:dyDescent="0.25">
      <c r="A37" s="5" t="s">
        <v>88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</row>
    <row r="38" spans="1:6" ht="18.75" customHeight="1" x14ac:dyDescent="0.25">
      <c r="A38" s="5" t="s">
        <v>89</v>
      </c>
      <c r="B38" s="4">
        <v>0</v>
      </c>
      <c r="C38" s="4">
        <v>0</v>
      </c>
      <c r="D38" s="4">
        <v>0</v>
      </c>
      <c r="E38" s="4">
        <v>1</v>
      </c>
      <c r="F38" s="4">
        <v>0</v>
      </c>
    </row>
    <row r="39" spans="1:6" ht="18.75" customHeight="1" x14ac:dyDescent="0.25">
      <c r="A39" s="5" t="s">
        <v>90</v>
      </c>
      <c r="B39" s="4">
        <v>0</v>
      </c>
      <c r="C39" s="4">
        <v>0</v>
      </c>
      <c r="D39" s="4">
        <v>0</v>
      </c>
      <c r="E39" s="4">
        <v>1</v>
      </c>
      <c r="F39" s="4">
        <v>0</v>
      </c>
    </row>
    <row r="40" spans="1:6" ht="18.75" customHeight="1" x14ac:dyDescent="0.25">
      <c r="A40" s="5" t="s">
        <v>91</v>
      </c>
      <c r="B40" s="4">
        <v>1</v>
      </c>
      <c r="C40" s="4">
        <v>0</v>
      </c>
      <c r="D40" s="4">
        <v>0</v>
      </c>
      <c r="E40" s="4">
        <v>1</v>
      </c>
      <c r="F40" s="4">
        <v>0</v>
      </c>
    </row>
    <row r="41" spans="1:6" ht="18.75" customHeight="1" x14ac:dyDescent="0.25">
      <c r="A41" s="5" t="s">
        <v>92</v>
      </c>
      <c r="B41" s="4">
        <v>1</v>
      </c>
      <c r="C41" s="4">
        <v>1</v>
      </c>
      <c r="D41" s="4">
        <v>1</v>
      </c>
      <c r="E41" s="4">
        <v>0</v>
      </c>
      <c r="F41" s="4">
        <v>0</v>
      </c>
    </row>
    <row r="42" spans="1:6" ht="18.75" customHeight="1" x14ac:dyDescent="0.25">
      <c r="A42" s="5" t="s">
        <v>93</v>
      </c>
      <c r="B42" s="4">
        <v>0</v>
      </c>
      <c r="C42" s="4">
        <v>1</v>
      </c>
      <c r="D42" s="4">
        <v>0</v>
      </c>
      <c r="E42" s="4">
        <v>0</v>
      </c>
      <c r="F42" s="4">
        <v>0</v>
      </c>
    </row>
    <row r="43" spans="1:6" ht="18.75" customHeight="1" x14ac:dyDescent="0.25">
      <c r="A43" s="5" t="s">
        <v>94</v>
      </c>
      <c r="B43" s="4">
        <v>1</v>
      </c>
      <c r="C43" s="4">
        <v>1</v>
      </c>
      <c r="D43" s="4">
        <v>1</v>
      </c>
      <c r="E43" s="4">
        <v>0</v>
      </c>
      <c r="F43" s="4">
        <v>0</v>
      </c>
    </row>
    <row r="44" spans="1:6" ht="18.75" customHeight="1" x14ac:dyDescent="0.25">
      <c r="A44" s="5" t="s">
        <v>95</v>
      </c>
      <c r="B44" s="4">
        <v>1</v>
      </c>
      <c r="C44" s="4">
        <v>1</v>
      </c>
      <c r="D44" s="4">
        <v>1</v>
      </c>
      <c r="E44" s="4">
        <v>0</v>
      </c>
      <c r="F44" s="4">
        <v>0</v>
      </c>
    </row>
    <row r="45" spans="1:6" ht="18.75" customHeight="1" x14ac:dyDescent="0.25">
      <c r="A45" s="5" t="s">
        <v>96</v>
      </c>
      <c r="B45" s="4">
        <v>1</v>
      </c>
      <c r="C45" s="4">
        <v>1</v>
      </c>
      <c r="D45" s="4">
        <v>1</v>
      </c>
      <c r="E45" s="4">
        <v>0</v>
      </c>
      <c r="F45" s="4">
        <v>0</v>
      </c>
    </row>
    <row r="46" spans="1:6" ht="18.75" customHeight="1" x14ac:dyDescent="0.25">
      <c r="A46" s="6" t="s">
        <v>97</v>
      </c>
      <c r="B46" s="4">
        <v>1</v>
      </c>
      <c r="C46" s="4">
        <v>1</v>
      </c>
      <c r="D46" s="4">
        <v>1</v>
      </c>
      <c r="E46" s="4">
        <v>0</v>
      </c>
      <c r="F46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46"/>
  <sheetViews>
    <sheetView topLeftCell="A19" workbookViewId="0">
      <selection activeCell="K37" sqref="K37"/>
    </sheetView>
    <sheetView workbookViewId="1"/>
  </sheetViews>
  <sheetFormatPr baseColWidth="10" defaultColWidth="9.140625" defaultRowHeight="15" x14ac:dyDescent="0.25"/>
  <cols>
    <col min="1" max="1" width="14.140625" style="1" bestFit="1" customWidth="1"/>
    <col min="2" max="6" width="14.140625" style="7" bestFit="1" customWidth="1"/>
  </cols>
  <sheetData>
    <row r="1" spans="1:6" ht="19.5" customHeight="1" x14ac:dyDescent="0.25">
      <c r="B1" s="8" t="s">
        <v>98</v>
      </c>
      <c r="C1" s="8" t="s">
        <v>99</v>
      </c>
      <c r="D1" s="8" t="s">
        <v>100</v>
      </c>
      <c r="E1" s="8" t="s">
        <v>101</v>
      </c>
      <c r="F1" s="8" t="s">
        <v>106</v>
      </c>
    </row>
    <row r="2" spans="1:6" ht="19.5" customHeight="1" x14ac:dyDescent="0.25">
      <c r="A2" s="3" t="s">
        <v>111</v>
      </c>
      <c r="B2" s="4">
        <f>+Presencia_sede!B2</f>
        <v>1</v>
      </c>
      <c r="C2" s="4">
        <f>+Presencia_sede!C2</f>
        <v>1</v>
      </c>
      <c r="D2" s="4">
        <f>+Presencia_sede!D2</f>
        <v>1</v>
      </c>
      <c r="E2" s="4">
        <f>+Presencia_sede!E2</f>
        <v>0</v>
      </c>
      <c r="F2" s="4">
        <f>+Presencia_sede!F2</f>
        <v>1</v>
      </c>
    </row>
    <row r="3" spans="1:6" ht="19.5" customHeight="1" x14ac:dyDescent="0.25">
      <c r="A3" s="5" t="s">
        <v>54</v>
      </c>
      <c r="B3" s="4">
        <f>+Presencia_sede!B3</f>
        <v>1</v>
      </c>
      <c r="C3" s="4">
        <f>+Presencia_sede!C3</f>
        <v>1</v>
      </c>
      <c r="D3" s="4">
        <f>+Presencia_sede!D3</f>
        <v>1</v>
      </c>
      <c r="E3" s="4">
        <f>+Presencia_sede!E3</f>
        <v>0</v>
      </c>
      <c r="F3" s="4">
        <f>+Presencia_sede!F3</f>
        <v>0</v>
      </c>
    </row>
    <row r="4" spans="1:6" ht="19.5" customHeight="1" x14ac:dyDescent="0.25">
      <c r="A4" s="5" t="s">
        <v>55</v>
      </c>
      <c r="B4" s="4">
        <f>+Presencia_sede!B4</f>
        <v>1</v>
      </c>
      <c r="C4" s="4">
        <f>+Presencia_sede!C4</f>
        <v>1</v>
      </c>
      <c r="D4" s="4">
        <f>+Presencia_sede!D4</f>
        <v>1</v>
      </c>
      <c r="E4" s="4">
        <f>+Presencia_sede!E4</f>
        <v>1</v>
      </c>
      <c r="F4" s="4">
        <f>+Presencia_sede!F4</f>
        <v>0</v>
      </c>
    </row>
    <row r="5" spans="1:6" ht="19.5" customHeight="1" x14ac:dyDescent="0.25">
      <c r="A5" s="5" t="s">
        <v>56</v>
      </c>
      <c r="B5" s="4">
        <f>+Presencia_sede!B5</f>
        <v>1</v>
      </c>
      <c r="C5" s="4">
        <f>+Presencia_sede!C5</f>
        <v>1</v>
      </c>
      <c r="D5" s="4">
        <f>+Presencia_sede!D5</f>
        <v>1</v>
      </c>
      <c r="E5" s="4">
        <f>+Presencia_sede!E5</f>
        <v>0</v>
      </c>
      <c r="F5" s="4">
        <f>+Presencia_sede!F5</f>
        <v>0</v>
      </c>
    </row>
    <row r="6" spans="1:6" ht="19.5" customHeight="1" x14ac:dyDescent="0.25">
      <c r="A6" s="5" t="s">
        <v>57</v>
      </c>
      <c r="B6" s="4">
        <f>+Presencia_sede!B6</f>
        <v>1</v>
      </c>
      <c r="C6" s="4">
        <f>+Presencia_sede!C6</f>
        <v>1</v>
      </c>
      <c r="D6" s="4">
        <f>+Presencia_sede!D6</f>
        <v>0</v>
      </c>
      <c r="E6" s="4">
        <f>+Presencia_sede!E6</f>
        <v>1</v>
      </c>
      <c r="F6" s="4">
        <f>+Presencia_sede!F6</f>
        <v>0</v>
      </c>
    </row>
    <row r="7" spans="1:6" ht="19.5" customHeight="1" x14ac:dyDescent="0.25">
      <c r="A7" s="5" t="s">
        <v>58</v>
      </c>
      <c r="B7" s="4">
        <f>+Presencia_sede!B7</f>
        <v>1</v>
      </c>
      <c r="C7" s="4">
        <f>+Presencia_sede!C7</f>
        <v>1</v>
      </c>
      <c r="D7" s="4">
        <f>+Presencia_sede!D7</f>
        <v>1</v>
      </c>
      <c r="E7" s="4">
        <f>+Presencia_sede!E7</f>
        <v>1</v>
      </c>
      <c r="F7" s="4">
        <f>+Presencia_sede!F7</f>
        <v>0</v>
      </c>
    </row>
    <row r="8" spans="1:6" ht="19.5" customHeight="1" x14ac:dyDescent="0.25">
      <c r="A8" s="5" t="s">
        <v>59</v>
      </c>
      <c r="B8" s="4">
        <f>+Presencia_sede!B8</f>
        <v>1</v>
      </c>
      <c r="C8" s="4">
        <f>+Presencia_sede!C8</f>
        <v>1</v>
      </c>
      <c r="D8" s="4">
        <f>+Presencia_sede!D8</f>
        <v>1</v>
      </c>
      <c r="E8" s="4">
        <f>+Presencia_sede!E8</f>
        <v>0</v>
      </c>
      <c r="F8" s="4">
        <f>+Presencia_sede!F8</f>
        <v>1</v>
      </c>
    </row>
    <row r="9" spans="1:6" ht="19.5" customHeight="1" x14ac:dyDescent="0.25">
      <c r="A9" s="5" t="s">
        <v>60</v>
      </c>
      <c r="B9" s="4">
        <f>+Presencia_sede!B9</f>
        <v>1</v>
      </c>
      <c r="C9" s="4">
        <f>+Presencia_sede!C9</f>
        <v>1</v>
      </c>
      <c r="D9" s="4">
        <f>+Presencia_sede!D9</f>
        <v>1</v>
      </c>
      <c r="E9" s="4">
        <f>+Presencia_sede!E9</f>
        <v>0</v>
      </c>
      <c r="F9" s="4">
        <f>+Presencia_sede!F9</f>
        <v>1</v>
      </c>
    </row>
    <row r="10" spans="1:6" ht="19.5" customHeight="1" x14ac:dyDescent="0.25">
      <c r="A10" s="5" t="s">
        <v>61</v>
      </c>
      <c r="B10" s="4">
        <f>+Presencia_sede!B10</f>
        <v>1</v>
      </c>
      <c r="C10" s="4">
        <f>+Presencia_sede!C10</f>
        <v>1</v>
      </c>
      <c r="D10" s="4">
        <f>+Presencia_sede!D10</f>
        <v>0</v>
      </c>
      <c r="E10" s="4">
        <f>+Presencia_sede!E10</f>
        <v>0</v>
      </c>
      <c r="F10" s="4">
        <f>+Presencia_sede!F10</f>
        <v>0</v>
      </c>
    </row>
    <row r="11" spans="1:6" ht="19.5" customHeight="1" x14ac:dyDescent="0.25">
      <c r="A11" s="5" t="s">
        <v>62</v>
      </c>
      <c r="B11" s="4">
        <f>+Presencia_sede!B11</f>
        <v>1</v>
      </c>
      <c r="C11" s="4">
        <f>+Presencia_sede!C11</f>
        <v>1</v>
      </c>
      <c r="D11" s="4">
        <f>+Presencia_sede!D11</f>
        <v>0</v>
      </c>
      <c r="E11" s="4">
        <f>+Presencia_sede!E11</f>
        <v>1</v>
      </c>
      <c r="F11" s="4">
        <f>+Presencia_sede!F11</f>
        <v>0</v>
      </c>
    </row>
    <row r="12" spans="1:6" ht="19.5" customHeight="1" x14ac:dyDescent="0.25">
      <c r="A12" s="5" t="s">
        <v>63</v>
      </c>
      <c r="B12" s="4">
        <f>+Presencia_sede!B12</f>
        <v>1</v>
      </c>
      <c r="C12" s="4">
        <f>+Presencia_sede!C12</f>
        <v>1</v>
      </c>
      <c r="D12" s="4">
        <f>+Presencia_sede!D12</f>
        <v>1</v>
      </c>
      <c r="E12" s="4">
        <f>+Presencia_sede!E12</f>
        <v>0</v>
      </c>
      <c r="F12" s="4">
        <f>+Presencia_sede!F12</f>
        <v>0</v>
      </c>
    </row>
    <row r="13" spans="1:6" ht="19.5" customHeight="1" x14ac:dyDescent="0.25">
      <c r="A13" s="5" t="s">
        <v>64</v>
      </c>
      <c r="B13" s="4">
        <f>+Presencia_sede!B13</f>
        <v>1</v>
      </c>
      <c r="C13" s="4">
        <f>+Presencia_sede!C13</f>
        <v>1</v>
      </c>
      <c r="D13" s="4">
        <f>+Presencia_sede!D13</f>
        <v>0</v>
      </c>
      <c r="E13" s="4">
        <f>+Presencia_sede!E13</f>
        <v>1</v>
      </c>
      <c r="F13" s="4">
        <f>+Presencia_sede!F13</f>
        <v>0</v>
      </c>
    </row>
    <row r="14" spans="1:6" ht="19.5" customHeight="1" x14ac:dyDescent="0.25">
      <c r="A14" s="5" t="s">
        <v>65</v>
      </c>
      <c r="B14" s="4">
        <f>+Presencia_sede!B14</f>
        <v>1</v>
      </c>
      <c r="C14" s="4">
        <f>+Presencia_sede!C14</f>
        <v>0</v>
      </c>
      <c r="D14" s="4">
        <f>+Presencia_sede!D14</f>
        <v>0</v>
      </c>
      <c r="E14" s="4">
        <f>+Presencia_sede!E14</f>
        <v>0</v>
      </c>
      <c r="F14" s="4">
        <f>+Presencia_sede!F14</f>
        <v>0</v>
      </c>
    </row>
    <row r="15" spans="1:6" ht="19.5" customHeight="1" x14ac:dyDescent="0.25">
      <c r="A15" s="5" t="s">
        <v>66</v>
      </c>
      <c r="B15" s="4">
        <f>+Presencia_sede!B15</f>
        <v>1</v>
      </c>
      <c r="C15" s="4">
        <f>+Presencia_sede!C15</f>
        <v>0</v>
      </c>
      <c r="D15" s="4">
        <f>+Presencia_sede!D15</f>
        <v>0</v>
      </c>
      <c r="E15" s="4">
        <f>+Presencia_sede!E15</f>
        <v>0</v>
      </c>
      <c r="F15" s="4">
        <f>+Presencia_sede!F15</f>
        <v>0</v>
      </c>
    </row>
    <row r="16" spans="1:6" ht="19.5" customHeight="1" x14ac:dyDescent="0.25">
      <c r="A16" s="5" t="s">
        <v>67</v>
      </c>
      <c r="B16" s="4">
        <f>+Presencia_sede!B16</f>
        <v>1</v>
      </c>
      <c r="C16" s="4">
        <f>+Presencia_sede!C16</f>
        <v>1</v>
      </c>
      <c r="D16" s="4">
        <f>+Presencia_sede!D16</f>
        <v>1</v>
      </c>
      <c r="E16" s="4">
        <f>+Presencia_sede!E16</f>
        <v>1</v>
      </c>
      <c r="F16" s="4">
        <f>+Presencia_sede!F16</f>
        <v>0</v>
      </c>
    </row>
    <row r="17" spans="1:6" ht="19.5" customHeight="1" x14ac:dyDescent="0.25">
      <c r="A17" s="5" t="s">
        <v>68</v>
      </c>
      <c r="B17" s="4">
        <f>+Presencia_sede!B17</f>
        <v>1</v>
      </c>
      <c r="C17" s="4">
        <f>+Presencia_sede!C17</f>
        <v>0</v>
      </c>
      <c r="D17" s="4">
        <f>+Presencia_sede!D17</f>
        <v>0</v>
      </c>
      <c r="E17" s="4">
        <f>+Presencia_sede!E17</f>
        <v>0</v>
      </c>
      <c r="F17" s="4">
        <f>+Presencia_sede!F17</f>
        <v>0</v>
      </c>
    </row>
    <row r="18" spans="1:6" ht="19.5" customHeight="1" x14ac:dyDescent="0.25">
      <c r="A18" s="5" t="s">
        <v>69</v>
      </c>
      <c r="B18" s="4">
        <f>+Presencia_sede!B18</f>
        <v>1</v>
      </c>
      <c r="C18" s="4">
        <f>+Presencia_sede!C18</f>
        <v>0</v>
      </c>
      <c r="D18" s="4">
        <f>+Presencia_sede!D18</f>
        <v>0</v>
      </c>
      <c r="E18" s="4">
        <f>+Presencia_sede!E18</f>
        <v>0</v>
      </c>
      <c r="F18" s="4">
        <f>+Presencia_sede!F18</f>
        <v>0</v>
      </c>
    </row>
    <row r="19" spans="1:6" ht="19.5" customHeight="1" x14ac:dyDescent="0.25">
      <c r="A19" s="5" t="s">
        <v>70</v>
      </c>
      <c r="B19" s="4">
        <f>+Presencia_sede!B19</f>
        <v>1</v>
      </c>
      <c r="C19" s="4">
        <f>+Presencia_sede!C19</f>
        <v>0</v>
      </c>
      <c r="D19" s="4">
        <f>+Presencia_sede!D19</f>
        <v>0</v>
      </c>
      <c r="E19" s="4">
        <f>+Presencia_sede!E19</f>
        <v>0</v>
      </c>
      <c r="F19" s="4">
        <f>+Presencia_sede!F19</f>
        <v>0</v>
      </c>
    </row>
    <row r="20" spans="1:6" ht="19.5" customHeight="1" x14ac:dyDescent="0.25">
      <c r="A20" s="5" t="s">
        <v>71</v>
      </c>
      <c r="B20" s="4">
        <f>+Presencia_sede!B20</f>
        <v>1</v>
      </c>
      <c r="C20" s="4">
        <f>+Presencia_sede!C20</f>
        <v>0</v>
      </c>
      <c r="D20" s="4">
        <f>+Presencia_sede!D20</f>
        <v>0</v>
      </c>
      <c r="E20" s="4">
        <f>+Presencia_sede!E20</f>
        <v>0</v>
      </c>
      <c r="F20" s="4">
        <f>+Presencia_sede!F20</f>
        <v>0</v>
      </c>
    </row>
    <row r="21" spans="1:6" ht="19.5" customHeight="1" x14ac:dyDescent="0.25">
      <c r="A21" s="5" t="s">
        <v>72</v>
      </c>
      <c r="B21" s="4">
        <f>+Presencia_sede!B21</f>
        <v>1</v>
      </c>
      <c r="C21" s="4">
        <f>+Presencia_sede!C21</f>
        <v>1</v>
      </c>
      <c r="D21" s="4">
        <f>+Presencia_sede!D21</f>
        <v>1</v>
      </c>
      <c r="E21" s="4">
        <f>+Presencia_sede!E21</f>
        <v>0</v>
      </c>
      <c r="F21" s="4">
        <f>+Presencia_sede!F21</f>
        <v>1</v>
      </c>
    </row>
    <row r="22" spans="1:6" ht="19.5" customHeight="1" x14ac:dyDescent="0.25">
      <c r="A22" s="5" t="s">
        <v>73</v>
      </c>
      <c r="B22" s="4">
        <f>+Presencia_sede!B22</f>
        <v>1</v>
      </c>
      <c r="C22" s="4">
        <f>+Presencia_sede!C22</f>
        <v>1</v>
      </c>
      <c r="D22" s="4">
        <f>+Presencia_sede!D22</f>
        <v>0</v>
      </c>
      <c r="E22" s="4">
        <f>+Presencia_sede!E22</f>
        <v>0</v>
      </c>
      <c r="F22" s="4">
        <f>+Presencia_sede!F22</f>
        <v>0</v>
      </c>
    </row>
    <row r="23" spans="1:6" ht="19.5" customHeight="1" x14ac:dyDescent="0.25">
      <c r="A23" s="5" t="s">
        <v>74</v>
      </c>
      <c r="B23" s="4">
        <f>+Presencia_sede!B23</f>
        <v>1</v>
      </c>
      <c r="C23" s="4">
        <f>+Presencia_sede!C23</f>
        <v>1</v>
      </c>
      <c r="D23" s="4">
        <f>+Presencia_sede!D23</f>
        <v>1</v>
      </c>
      <c r="E23" s="4">
        <f>+Presencia_sede!E23</f>
        <v>0</v>
      </c>
      <c r="F23" s="4">
        <f>+Presencia_sede!F23</f>
        <v>0</v>
      </c>
    </row>
    <row r="24" spans="1:6" ht="19.5" customHeight="1" x14ac:dyDescent="0.25">
      <c r="A24" s="5" t="s">
        <v>75</v>
      </c>
      <c r="B24" s="4">
        <f>+Presencia_sede!B24</f>
        <v>1</v>
      </c>
      <c r="C24" s="4">
        <f>+Presencia_sede!C24</f>
        <v>1</v>
      </c>
      <c r="D24" s="4">
        <f>+Presencia_sede!D24</f>
        <v>1</v>
      </c>
      <c r="E24" s="4">
        <f>+Presencia_sede!E24</f>
        <v>0</v>
      </c>
      <c r="F24" s="4">
        <f>+Presencia_sede!F24</f>
        <v>1</v>
      </c>
    </row>
    <row r="25" spans="1:6" ht="19.5" customHeight="1" x14ac:dyDescent="0.25">
      <c r="A25" s="5" t="s">
        <v>76</v>
      </c>
      <c r="B25" s="4">
        <f>+Presencia_sede!B25</f>
        <v>1</v>
      </c>
      <c r="C25" s="4">
        <f>+Presencia_sede!C25</f>
        <v>1</v>
      </c>
      <c r="D25" s="4">
        <f>+Presencia_sede!D25</f>
        <v>1</v>
      </c>
      <c r="E25" s="4">
        <f>+Presencia_sede!E25</f>
        <v>0</v>
      </c>
      <c r="F25" s="4">
        <f>+Presencia_sede!F25</f>
        <v>0</v>
      </c>
    </row>
    <row r="26" spans="1:6" ht="19.5" customHeight="1" x14ac:dyDescent="0.25">
      <c r="A26" s="5" t="s">
        <v>77</v>
      </c>
      <c r="B26" s="4">
        <f>+Presencia_sede!B26</f>
        <v>1</v>
      </c>
      <c r="C26" s="4">
        <f>+Presencia_sede!C26</f>
        <v>1</v>
      </c>
      <c r="D26" s="4">
        <f>+Presencia_sede!D26</f>
        <v>1</v>
      </c>
      <c r="E26" s="4">
        <f>+Presencia_sede!E26</f>
        <v>0</v>
      </c>
      <c r="F26" s="4">
        <f>+Presencia_sede!F26</f>
        <v>0</v>
      </c>
    </row>
    <row r="27" spans="1:6" ht="19.5" customHeight="1" x14ac:dyDescent="0.25">
      <c r="A27" s="5" t="s">
        <v>78</v>
      </c>
      <c r="B27" s="4">
        <f>+Presencia_sede!B27</f>
        <v>1</v>
      </c>
      <c r="C27" s="4">
        <f>+Presencia_sede!C27</f>
        <v>1</v>
      </c>
      <c r="D27" s="4">
        <f>+Presencia_sede!D27</f>
        <v>1</v>
      </c>
      <c r="E27" s="4">
        <f>+Presencia_sede!E27</f>
        <v>0</v>
      </c>
      <c r="F27" s="4">
        <f>+Presencia_sede!F27</f>
        <v>0</v>
      </c>
    </row>
    <row r="28" spans="1:6" ht="19.5" customHeight="1" x14ac:dyDescent="0.25">
      <c r="A28" s="5" t="s">
        <v>79</v>
      </c>
      <c r="B28" s="4">
        <f>+Presencia_sede!B28</f>
        <v>1</v>
      </c>
      <c r="C28" s="4">
        <f>+Presencia_sede!C28</f>
        <v>1</v>
      </c>
      <c r="D28" s="4">
        <f>+Presencia_sede!D28</f>
        <v>1</v>
      </c>
      <c r="E28" s="4">
        <f>+Presencia_sede!E28</f>
        <v>0</v>
      </c>
      <c r="F28" s="4">
        <f>+Presencia_sede!F28</f>
        <v>1</v>
      </c>
    </row>
    <row r="29" spans="1:6" ht="19.5" customHeight="1" x14ac:dyDescent="0.25">
      <c r="A29" s="5" t="s">
        <v>80</v>
      </c>
      <c r="B29" s="4">
        <f>+Presencia_sede!B29</f>
        <v>1</v>
      </c>
      <c r="C29" s="4">
        <f>+Presencia_sede!C29</f>
        <v>1</v>
      </c>
      <c r="D29" s="4">
        <f>+Presencia_sede!D29</f>
        <v>1</v>
      </c>
      <c r="E29" s="4">
        <f>+Presencia_sede!E29</f>
        <v>0</v>
      </c>
      <c r="F29" s="4">
        <f>+Presencia_sede!F29</f>
        <v>0</v>
      </c>
    </row>
    <row r="30" spans="1:6" ht="19.5" customHeight="1" x14ac:dyDescent="0.25">
      <c r="A30" s="5" t="s">
        <v>81</v>
      </c>
      <c r="B30" s="4">
        <f>+Presencia_sede!B30</f>
        <v>1</v>
      </c>
      <c r="C30" s="4">
        <f>+Presencia_sede!C30</f>
        <v>0</v>
      </c>
      <c r="D30" s="4">
        <f>+Presencia_sede!D30</f>
        <v>0</v>
      </c>
      <c r="E30" s="4">
        <f>+Presencia_sede!E30</f>
        <v>0</v>
      </c>
      <c r="F30" s="4">
        <f>+Presencia_sede!F30</f>
        <v>1</v>
      </c>
    </row>
    <row r="31" spans="1:6" ht="19.5" customHeight="1" x14ac:dyDescent="0.25">
      <c r="A31" s="5" t="s">
        <v>82</v>
      </c>
      <c r="B31" s="4">
        <f>+Presencia_sede!B31</f>
        <v>1</v>
      </c>
      <c r="C31" s="4">
        <f>+Presencia_sede!C31</f>
        <v>0</v>
      </c>
      <c r="D31" s="4">
        <f>+Presencia_sede!D31</f>
        <v>0</v>
      </c>
      <c r="E31" s="4">
        <f>+Presencia_sede!E31</f>
        <v>0</v>
      </c>
      <c r="F31" s="4">
        <f>+Presencia_sede!F31</f>
        <v>0</v>
      </c>
    </row>
    <row r="32" spans="1:6" ht="19.5" customHeight="1" x14ac:dyDescent="0.25">
      <c r="A32" s="5" t="s">
        <v>83</v>
      </c>
      <c r="B32" s="4">
        <f>+Presencia_sede!B32</f>
        <v>1</v>
      </c>
      <c r="C32" s="4">
        <f>+Presencia_sede!C32</f>
        <v>0</v>
      </c>
      <c r="D32" s="4">
        <f>+Presencia_sede!D32</f>
        <v>0</v>
      </c>
      <c r="E32" s="4">
        <f>+Presencia_sede!E32</f>
        <v>0</v>
      </c>
      <c r="F32" s="4">
        <f>+Presencia_sede!F32</f>
        <v>0</v>
      </c>
    </row>
    <row r="33" spans="1:6" ht="19.5" customHeight="1" x14ac:dyDescent="0.25">
      <c r="A33" s="5" t="s">
        <v>84</v>
      </c>
      <c r="B33" s="4">
        <f>+Presencia_sede!B33</f>
        <v>1</v>
      </c>
      <c r="C33" s="4">
        <f>+Presencia_sede!C33</f>
        <v>0</v>
      </c>
      <c r="D33" s="4">
        <f>+Presencia_sede!D33</f>
        <v>0</v>
      </c>
      <c r="E33" s="4">
        <f>+Presencia_sede!E33</f>
        <v>0</v>
      </c>
      <c r="F33" s="4">
        <f>+Presencia_sede!F33</f>
        <v>0</v>
      </c>
    </row>
    <row r="34" spans="1:6" ht="19.5" customHeight="1" x14ac:dyDescent="0.25">
      <c r="A34" s="5" t="s">
        <v>85</v>
      </c>
      <c r="B34" s="4">
        <f>+Presencia_sede!B34</f>
        <v>1</v>
      </c>
      <c r="C34" s="4">
        <f>+Presencia_sede!C34</f>
        <v>1</v>
      </c>
      <c r="D34" s="4">
        <f>+Presencia_sede!D34</f>
        <v>1</v>
      </c>
      <c r="E34" s="4">
        <f>+Presencia_sede!E34</f>
        <v>0</v>
      </c>
      <c r="F34" s="4">
        <f>+Presencia_sede!F34</f>
        <v>0</v>
      </c>
    </row>
    <row r="35" spans="1:6" ht="19.5" customHeight="1" x14ac:dyDescent="0.25">
      <c r="A35" s="5" t="s">
        <v>86</v>
      </c>
      <c r="B35" s="4">
        <f>+Presencia_sede!B35</f>
        <v>1</v>
      </c>
      <c r="C35" s="4">
        <f>+Presencia_sede!C35</f>
        <v>1</v>
      </c>
      <c r="D35" s="4">
        <f>+Presencia_sede!D35</f>
        <v>1</v>
      </c>
      <c r="E35" s="4">
        <f>+Presencia_sede!E35</f>
        <v>0</v>
      </c>
      <c r="F35" s="4">
        <f>+Presencia_sede!F35</f>
        <v>0</v>
      </c>
    </row>
    <row r="36" spans="1:6" ht="19.5" customHeight="1" x14ac:dyDescent="0.25">
      <c r="A36" s="5" t="s">
        <v>87</v>
      </c>
      <c r="B36" s="4">
        <f>+Presencia_sede!B36</f>
        <v>1</v>
      </c>
      <c r="C36" s="4">
        <f>+Presencia_sede!C36</f>
        <v>1</v>
      </c>
      <c r="D36" s="4">
        <f>+Presencia_sede!D36</f>
        <v>0</v>
      </c>
      <c r="E36" s="4">
        <f>+Presencia_sede!E36</f>
        <v>0</v>
      </c>
      <c r="F36" s="4">
        <f>+Presencia_sede!F36</f>
        <v>0</v>
      </c>
    </row>
    <row r="37" spans="1:6" ht="19.5" customHeight="1" x14ac:dyDescent="0.25">
      <c r="A37" s="5" t="s">
        <v>88</v>
      </c>
      <c r="B37" s="4">
        <f>+Presencia_sede!B37</f>
        <v>1</v>
      </c>
      <c r="C37" s="4">
        <f>+Presencia_sede!C37</f>
        <v>1</v>
      </c>
      <c r="D37" s="4">
        <f>+Presencia_sede!D37</f>
        <v>0</v>
      </c>
      <c r="E37" s="4">
        <f>+Presencia_sede!E37</f>
        <v>0</v>
      </c>
      <c r="F37" s="4">
        <f>+Presencia_sede!F37</f>
        <v>0</v>
      </c>
    </row>
    <row r="38" spans="1:6" ht="19.5" customHeight="1" x14ac:dyDescent="0.25">
      <c r="A38" s="5" t="s">
        <v>89</v>
      </c>
      <c r="B38" s="4">
        <f>+Presencia_sede!B38</f>
        <v>0</v>
      </c>
      <c r="C38" s="4">
        <f>+Presencia_sede!C38</f>
        <v>0</v>
      </c>
      <c r="D38" s="4">
        <f>+Presencia_sede!D38</f>
        <v>0</v>
      </c>
      <c r="E38" s="4">
        <f>+Presencia_sede!E38</f>
        <v>1</v>
      </c>
      <c r="F38" s="4">
        <f>+Presencia_sede!F38</f>
        <v>0</v>
      </c>
    </row>
    <row r="39" spans="1:6" ht="19.5" customHeight="1" x14ac:dyDescent="0.25">
      <c r="A39" s="5" t="s">
        <v>90</v>
      </c>
      <c r="B39" s="4">
        <f>+Presencia_sede!B39</f>
        <v>0</v>
      </c>
      <c r="C39" s="4">
        <f>+Presencia_sede!C39</f>
        <v>0</v>
      </c>
      <c r="D39" s="4">
        <f>+Presencia_sede!D39</f>
        <v>0</v>
      </c>
      <c r="E39" s="4">
        <f>+Presencia_sede!E39</f>
        <v>1</v>
      </c>
      <c r="F39" s="4">
        <f>+Presencia_sede!F39</f>
        <v>0</v>
      </c>
    </row>
    <row r="40" spans="1:6" ht="19.5" customHeight="1" x14ac:dyDescent="0.25">
      <c r="A40" s="5" t="s">
        <v>91</v>
      </c>
      <c r="B40" s="4">
        <f>+Presencia_sede!B40</f>
        <v>1</v>
      </c>
      <c r="C40" s="4">
        <f>+Presencia_sede!C40</f>
        <v>0</v>
      </c>
      <c r="D40" s="4">
        <f>+Presencia_sede!D40</f>
        <v>0</v>
      </c>
      <c r="E40" s="4">
        <f>+Presencia_sede!E40</f>
        <v>1</v>
      </c>
      <c r="F40" s="4">
        <f>+Presencia_sede!F40</f>
        <v>0</v>
      </c>
    </row>
    <row r="41" spans="1:6" ht="19.5" customHeight="1" x14ac:dyDescent="0.25">
      <c r="A41" s="5" t="s">
        <v>92</v>
      </c>
      <c r="B41" s="4">
        <f>+Presencia_sede!B41</f>
        <v>1</v>
      </c>
      <c r="C41" s="4">
        <f>+Presencia_sede!C41</f>
        <v>1</v>
      </c>
      <c r="D41" s="4">
        <f>+Presencia_sede!D41</f>
        <v>1</v>
      </c>
      <c r="E41" s="4">
        <f>+Presencia_sede!E41</f>
        <v>0</v>
      </c>
      <c r="F41" s="4">
        <f>+Presencia_sede!F41</f>
        <v>0</v>
      </c>
    </row>
    <row r="42" spans="1:6" ht="19.5" customHeight="1" x14ac:dyDescent="0.25">
      <c r="A42" s="5" t="s">
        <v>93</v>
      </c>
      <c r="B42" s="4">
        <f>+Presencia_sede!B42</f>
        <v>0</v>
      </c>
      <c r="C42" s="4">
        <f>+Presencia_sede!C42</f>
        <v>1</v>
      </c>
      <c r="D42" s="4">
        <f>+Presencia_sede!D42</f>
        <v>0</v>
      </c>
      <c r="E42" s="4">
        <f>+Presencia_sede!E42</f>
        <v>0</v>
      </c>
      <c r="F42" s="4">
        <f>+Presencia_sede!F42</f>
        <v>0</v>
      </c>
    </row>
    <row r="43" spans="1:6" ht="19.5" customHeight="1" x14ac:dyDescent="0.25">
      <c r="A43" s="5" t="s">
        <v>94</v>
      </c>
      <c r="B43" s="4">
        <f>+Presencia_sede!B43</f>
        <v>1</v>
      </c>
      <c r="C43" s="4">
        <f>+Presencia_sede!C43</f>
        <v>1</v>
      </c>
      <c r="D43" s="4">
        <f>+Presencia_sede!D43</f>
        <v>1</v>
      </c>
      <c r="E43" s="4">
        <f>+Presencia_sede!E43</f>
        <v>0</v>
      </c>
      <c r="F43" s="4">
        <f>+Presencia_sede!F43</f>
        <v>0</v>
      </c>
    </row>
    <row r="44" spans="1:6" ht="19.5" customHeight="1" x14ac:dyDescent="0.25">
      <c r="A44" s="5" t="s">
        <v>95</v>
      </c>
      <c r="B44" s="4">
        <f>+Presencia_sede!B44</f>
        <v>1</v>
      </c>
      <c r="C44" s="4">
        <f>+Presencia_sede!C44</f>
        <v>1</v>
      </c>
      <c r="D44" s="4">
        <f>+Presencia_sede!D44</f>
        <v>1</v>
      </c>
      <c r="E44" s="4">
        <f>+Presencia_sede!E44</f>
        <v>0</v>
      </c>
      <c r="F44" s="4">
        <f>+Presencia_sede!F44</f>
        <v>0</v>
      </c>
    </row>
    <row r="45" spans="1:6" ht="19.5" customHeight="1" x14ac:dyDescent="0.25">
      <c r="A45" s="5" t="s">
        <v>96</v>
      </c>
      <c r="B45" s="4">
        <f>+Presencia_sede!B45</f>
        <v>1</v>
      </c>
      <c r="C45" s="4">
        <f>+Presencia_sede!C45</f>
        <v>1</v>
      </c>
      <c r="D45" s="4">
        <f>+Presencia_sede!D45</f>
        <v>1</v>
      </c>
      <c r="E45" s="4">
        <f>+Presencia_sede!E45</f>
        <v>0</v>
      </c>
      <c r="F45" s="4">
        <f>+Presencia_sede!F45</f>
        <v>0</v>
      </c>
    </row>
    <row r="46" spans="1:6" ht="19.5" customHeight="1" x14ac:dyDescent="0.25">
      <c r="A46" s="6" t="s">
        <v>97</v>
      </c>
      <c r="B46" s="4">
        <f>+Presencia_sede!B46</f>
        <v>1</v>
      </c>
      <c r="C46" s="4">
        <f>+Presencia_sede!C46</f>
        <v>1</v>
      </c>
      <c r="D46" s="4">
        <f>+Presencia_sede!D46</f>
        <v>1</v>
      </c>
      <c r="E46" s="4">
        <f>+Presencia_sede!E46</f>
        <v>0</v>
      </c>
      <c r="F46" s="4">
        <f>+Presencia_sede!F46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13A1-B050-4F07-AF76-FDB9BEB2A72B}">
  <dimension ref="A1:AF50"/>
  <sheetViews>
    <sheetView tabSelected="1" zoomScale="70" zoomScaleNormal="70" workbookViewId="0">
      <selection activeCell="AF38" sqref="AF38:AF39"/>
    </sheetView>
    <sheetView workbookViewId="1"/>
  </sheetViews>
  <sheetFormatPr baseColWidth="10" defaultRowHeight="15" x14ac:dyDescent="0.25"/>
  <sheetData>
    <row r="1" spans="1:32" x14ac:dyDescent="0.25">
      <c r="A1" s="38"/>
      <c r="B1" s="40" t="s">
        <v>252</v>
      </c>
      <c r="C1" s="40" t="s">
        <v>253</v>
      </c>
      <c r="D1" s="40" t="s">
        <v>254</v>
      </c>
      <c r="E1" s="40" t="s">
        <v>255</v>
      </c>
      <c r="F1" s="40" t="s">
        <v>256</v>
      </c>
      <c r="G1" s="40" t="s">
        <v>257</v>
      </c>
      <c r="H1" s="40" t="s">
        <v>258</v>
      </c>
      <c r="I1" s="40" t="s">
        <v>259</v>
      </c>
      <c r="J1" s="40" t="s">
        <v>260</v>
      </c>
      <c r="K1" s="40" t="s">
        <v>261</v>
      </c>
      <c r="L1" s="40" t="s">
        <v>255</v>
      </c>
      <c r="M1" s="40" t="s">
        <v>262</v>
      </c>
      <c r="N1" s="40" t="s">
        <v>263</v>
      </c>
      <c r="O1" s="40" t="s">
        <v>264</v>
      </c>
      <c r="P1" s="40" t="s">
        <v>265</v>
      </c>
      <c r="Q1" s="40" t="s">
        <v>266</v>
      </c>
      <c r="R1" s="40" t="s">
        <v>267</v>
      </c>
      <c r="S1" s="40" t="s">
        <v>255</v>
      </c>
      <c r="T1" s="40" t="s">
        <v>268</v>
      </c>
      <c r="U1" s="40" t="s">
        <v>269</v>
      </c>
      <c r="V1" s="40" t="s">
        <v>270</v>
      </c>
      <c r="W1" s="40" t="s">
        <v>271</v>
      </c>
      <c r="X1" s="40" t="s">
        <v>272</v>
      </c>
      <c r="Y1" s="40" t="s">
        <v>273</v>
      </c>
      <c r="Z1" s="40" t="s">
        <v>255</v>
      </c>
      <c r="AA1" s="41" t="s">
        <v>274</v>
      </c>
      <c r="AB1" s="41" t="s">
        <v>275</v>
      </c>
      <c r="AC1" s="41" t="s">
        <v>276</v>
      </c>
      <c r="AD1" s="41" t="s">
        <v>277</v>
      </c>
      <c r="AE1" s="41" t="s">
        <v>278</v>
      </c>
      <c r="AF1" s="41" t="s">
        <v>279</v>
      </c>
    </row>
    <row r="2" spans="1:32" x14ac:dyDescent="0.25">
      <c r="A2" s="42" t="s">
        <v>232</v>
      </c>
      <c r="B2" s="39" t="s">
        <v>235</v>
      </c>
      <c r="C2" s="39" t="s">
        <v>235</v>
      </c>
      <c r="D2" s="39" t="s">
        <v>235</v>
      </c>
      <c r="E2" s="39" t="s">
        <v>235</v>
      </c>
      <c r="F2" s="39" t="s">
        <v>233</v>
      </c>
      <c r="G2" s="39" t="s">
        <v>233</v>
      </c>
      <c r="H2" s="39" t="s">
        <v>233</v>
      </c>
      <c r="I2" s="39" t="s">
        <v>233</v>
      </c>
      <c r="J2" s="39" t="s">
        <v>233</v>
      </c>
      <c r="K2" s="39" t="s">
        <v>235</v>
      </c>
      <c r="L2" s="39" t="s">
        <v>235</v>
      </c>
      <c r="M2" s="39" t="s">
        <v>235</v>
      </c>
      <c r="N2" s="39" t="s">
        <v>233</v>
      </c>
      <c r="O2" s="39" t="s">
        <v>233</v>
      </c>
      <c r="P2" s="39" t="s">
        <v>233</v>
      </c>
      <c r="Q2" s="39" t="s">
        <v>233</v>
      </c>
      <c r="R2" s="39" t="s">
        <v>235</v>
      </c>
      <c r="S2" s="39" t="s">
        <v>235</v>
      </c>
      <c r="T2" s="39" t="s">
        <v>233</v>
      </c>
      <c r="U2" s="39" t="s">
        <v>233</v>
      </c>
      <c r="V2" s="39" t="s">
        <v>233</v>
      </c>
      <c r="W2" s="39" t="s">
        <v>233</v>
      </c>
      <c r="X2" s="39" t="s">
        <v>234</v>
      </c>
      <c r="Y2" s="39" t="s">
        <v>235</v>
      </c>
      <c r="Z2" s="39" t="s">
        <v>235</v>
      </c>
      <c r="AA2" s="39" t="s">
        <v>235</v>
      </c>
      <c r="AB2" s="39" t="s">
        <v>233</v>
      </c>
      <c r="AC2" s="39" t="s">
        <v>233</v>
      </c>
      <c r="AD2" s="39" t="s">
        <v>233</v>
      </c>
      <c r="AE2" s="39" t="s">
        <v>233</v>
      </c>
      <c r="AF2" s="39" t="s">
        <v>235</v>
      </c>
    </row>
    <row r="3" spans="1:32" x14ac:dyDescent="0.25">
      <c r="A3" s="42" t="s">
        <v>236</v>
      </c>
      <c r="B3" s="39" t="s">
        <v>235</v>
      </c>
      <c r="C3" s="39" t="s">
        <v>235</v>
      </c>
      <c r="D3" s="39" t="s">
        <v>235</v>
      </c>
      <c r="E3" s="39" t="s">
        <v>235</v>
      </c>
      <c r="F3" s="39" t="s">
        <v>233</v>
      </c>
      <c r="G3" s="39" t="s">
        <v>233</v>
      </c>
      <c r="H3" s="39" t="s">
        <v>233</v>
      </c>
      <c r="I3" s="39" t="s">
        <v>233</v>
      </c>
      <c r="J3" s="39" t="s">
        <v>233</v>
      </c>
      <c r="K3" s="39" t="s">
        <v>235</v>
      </c>
      <c r="L3" s="39" t="s">
        <v>235</v>
      </c>
      <c r="M3" s="39" t="s">
        <v>235</v>
      </c>
      <c r="N3" s="39" t="s">
        <v>233</v>
      </c>
      <c r="O3" s="39" t="s">
        <v>233</v>
      </c>
      <c r="P3" s="39" t="s">
        <v>233</v>
      </c>
      <c r="Q3" s="39" t="s">
        <v>233</v>
      </c>
      <c r="R3" s="39" t="s">
        <v>234</v>
      </c>
      <c r="S3" s="39" t="s">
        <v>235</v>
      </c>
      <c r="T3" s="39" t="s">
        <v>233</v>
      </c>
      <c r="U3" s="39" t="s">
        <v>233</v>
      </c>
      <c r="V3" s="39" t="s">
        <v>233</v>
      </c>
      <c r="W3" s="39" t="s">
        <v>233</v>
      </c>
      <c r="X3" s="39" t="s">
        <v>233</v>
      </c>
      <c r="Y3" s="39" t="s">
        <v>234</v>
      </c>
      <c r="Z3" s="39" t="s">
        <v>235</v>
      </c>
      <c r="AA3" s="39" t="s">
        <v>233</v>
      </c>
      <c r="AB3" s="39" t="s">
        <v>233</v>
      </c>
      <c r="AC3" s="39" t="s">
        <v>233</v>
      </c>
      <c r="AD3" s="39" t="s">
        <v>233</v>
      </c>
      <c r="AE3" s="39" t="s">
        <v>233</v>
      </c>
      <c r="AF3" s="39" t="s">
        <v>235</v>
      </c>
    </row>
    <row r="4" spans="1:32" x14ac:dyDescent="0.25">
      <c r="A4" s="42" t="s">
        <v>237</v>
      </c>
      <c r="B4" s="39" t="s">
        <v>235</v>
      </c>
      <c r="C4" s="39" t="s">
        <v>235</v>
      </c>
      <c r="D4" s="39" t="s">
        <v>235</v>
      </c>
      <c r="E4" s="39" t="s">
        <v>235</v>
      </c>
      <c r="F4" s="39" t="s">
        <v>233</v>
      </c>
      <c r="G4" s="39" t="s">
        <v>233</v>
      </c>
      <c r="H4" s="39" t="s">
        <v>233</v>
      </c>
      <c r="I4" s="39" t="s">
        <v>233</v>
      </c>
      <c r="J4" s="39" t="s">
        <v>233</v>
      </c>
      <c r="K4" s="39" t="s">
        <v>235</v>
      </c>
      <c r="L4" s="39" t="s">
        <v>235</v>
      </c>
      <c r="M4" s="39" t="s">
        <v>235</v>
      </c>
      <c r="N4" s="39" t="s">
        <v>233</v>
      </c>
      <c r="O4" s="39" t="s">
        <v>233</v>
      </c>
      <c r="P4" s="39" t="s">
        <v>233</v>
      </c>
      <c r="Q4" s="39" t="s">
        <v>233</v>
      </c>
      <c r="R4" s="39" t="s">
        <v>235</v>
      </c>
      <c r="S4" s="39" t="s">
        <v>235</v>
      </c>
      <c r="T4" s="39" t="s">
        <v>233</v>
      </c>
      <c r="U4" s="39" t="s">
        <v>233</v>
      </c>
      <c r="V4" s="39" t="s">
        <v>233</v>
      </c>
      <c r="W4" s="39" t="s">
        <v>233</v>
      </c>
      <c r="X4" s="39" t="s">
        <v>233</v>
      </c>
      <c r="Y4" s="39" t="s">
        <v>235</v>
      </c>
      <c r="Z4" s="39" t="s">
        <v>235</v>
      </c>
      <c r="AA4" s="39" t="s">
        <v>233</v>
      </c>
      <c r="AB4" s="39" t="s">
        <v>233</v>
      </c>
      <c r="AC4" s="39" t="s">
        <v>233</v>
      </c>
      <c r="AD4" s="39" t="s">
        <v>233</v>
      </c>
      <c r="AE4" s="39" t="s">
        <v>233</v>
      </c>
      <c r="AF4" s="39" t="s">
        <v>235</v>
      </c>
    </row>
    <row r="5" spans="1:32" x14ac:dyDescent="0.25">
      <c r="A5" s="42" t="s">
        <v>238</v>
      </c>
      <c r="B5" s="39" t="s">
        <v>235</v>
      </c>
      <c r="C5" s="39" t="s">
        <v>235</v>
      </c>
      <c r="D5" s="39" t="s">
        <v>235</v>
      </c>
      <c r="E5" s="39" t="s">
        <v>235</v>
      </c>
      <c r="F5" s="39" t="s">
        <v>235</v>
      </c>
      <c r="G5" s="39" t="s">
        <v>233</v>
      </c>
      <c r="H5" s="39" t="s">
        <v>233</v>
      </c>
      <c r="I5" s="39" t="s">
        <v>233</v>
      </c>
      <c r="J5" s="39" t="s">
        <v>233</v>
      </c>
      <c r="K5" s="39" t="s">
        <v>235</v>
      </c>
      <c r="L5" s="39" t="s">
        <v>235</v>
      </c>
      <c r="M5" s="39" t="s">
        <v>235</v>
      </c>
      <c r="N5" s="39" t="s">
        <v>233</v>
      </c>
      <c r="O5" s="39" t="s">
        <v>233</v>
      </c>
      <c r="P5" s="39" t="s">
        <v>233</v>
      </c>
      <c r="Q5" s="39" t="s">
        <v>233</v>
      </c>
      <c r="R5" s="39" t="s">
        <v>235</v>
      </c>
      <c r="S5" s="39" t="s">
        <v>235</v>
      </c>
      <c r="T5" s="39" t="s">
        <v>233</v>
      </c>
      <c r="U5" s="39" t="s">
        <v>233</v>
      </c>
      <c r="V5" s="39" t="s">
        <v>233</v>
      </c>
      <c r="W5" s="39" t="s">
        <v>233</v>
      </c>
      <c r="X5" s="39" t="s">
        <v>234</v>
      </c>
      <c r="Y5" s="39" t="s">
        <v>235</v>
      </c>
      <c r="Z5" s="39" t="s">
        <v>235</v>
      </c>
      <c r="AA5" s="39" t="s">
        <v>233</v>
      </c>
      <c r="AB5" s="39" t="s">
        <v>233</v>
      </c>
      <c r="AC5" s="39" t="s">
        <v>233</v>
      </c>
      <c r="AD5" s="39" t="s">
        <v>233</v>
      </c>
      <c r="AE5" s="39" t="s">
        <v>234</v>
      </c>
      <c r="AF5" s="39" t="s">
        <v>235</v>
      </c>
    </row>
    <row r="6" spans="1:32" x14ac:dyDescent="0.25">
      <c r="A6" s="42" t="s">
        <v>244</v>
      </c>
      <c r="B6" s="39" t="s">
        <v>235</v>
      </c>
      <c r="C6" s="39" t="s">
        <v>235</v>
      </c>
      <c r="D6" s="39" t="s">
        <v>235</v>
      </c>
      <c r="E6" s="39" t="s">
        <v>235</v>
      </c>
      <c r="F6" s="39" t="s">
        <v>235</v>
      </c>
      <c r="G6" s="39" t="s">
        <v>235</v>
      </c>
      <c r="H6" s="39" t="s">
        <v>235</v>
      </c>
      <c r="I6" s="39" t="s">
        <v>235</v>
      </c>
      <c r="J6" s="39" t="s">
        <v>235</v>
      </c>
      <c r="K6" s="39" t="s">
        <v>235</v>
      </c>
      <c r="L6" s="39" t="s">
        <v>235</v>
      </c>
      <c r="M6" s="39" t="s">
        <v>235</v>
      </c>
      <c r="N6" s="39" t="s">
        <v>235</v>
      </c>
      <c r="O6" s="39" t="s">
        <v>235</v>
      </c>
      <c r="P6" s="39" t="s">
        <v>235</v>
      </c>
      <c r="Q6" s="39" t="s">
        <v>235</v>
      </c>
      <c r="R6" s="39" t="s">
        <v>235</v>
      </c>
      <c r="S6" s="39" t="s">
        <v>235</v>
      </c>
      <c r="T6" s="39" t="s">
        <v>235</v>
      </c>
      <c r="U6" s="39" t="s">
        <v>235</v>
      </c>
      <c r="V6" s="39" t="s">
        <v>235</v>
      </c>
      <c r="W6" s="39" t="s">
        <v>235</v>
      </c>
      <c r="X6" s="39" t="s">
        <v>235</v>
      </c>
      <c r="Y6" s="39" t="s">
        <v>235</v>
      </c>
      <c r="Z6" s="39" t="s">
        <v>235</v>
      </c>
      <c r="AA6" s="39" t="s">
        <v>235</v>
      </c>
      <c r="AB6" s="39" t="s">
        <v>235</v>
      </c>
      <c r="AC6" s="39" t="s">
        <v>235</v>
      </c>
      <c r="AD6" s="39" t="s">
        <v>235</v>
      </c>
      <c r="AE6" s="39" t="s">
        <v>235</v>
      </c>
      <c r="AF6" s="39" t="s">
        <v>235</v>
      </c>
    </row>
    <row r="7" spans="1:32" x14ac:dyDescent="0.25">
      <c r="A7" s="42" t="s">
        <v>239</v>
      </c>
      <c r="B7" s="39" t="s">
        <v>235</v>
      </c>
      <c r="C7" s="39" t="s">
        <v>235</v>
      </c>
      <c r="D7" s="39" t="s">
        <v>235</v>
      </c>
      <c r="E7" s="39" t="s">
        <v>235</v>
      </c>
      <c r="F7" s="39" t="s">
        <v>235</v>
      </c>
      <c r="G7" s="39" t="s">
        <v>233</v>
      </c>
      <c r="H7" s="39" t="s">
        <v>233</v>
      </c>
      <c r="I7" s="39" t="s">
        <v>233</v>
      </c>
      <c r="J7" s="39" t="s">
        <v>233</v>
      </c>
      <c r="K7" s="39" t="s">
        <v>234</v>
      </c>
      <c r="L7" s="39" t="s">
        <v>235</v>
      </c>
      <c r="M7" s="39" t="s">
        <v>235</v>
      </c>
      <c r="N7" s="39" t="s">
        <v>233</v>
      </c>
      <c r="O7" s="39" t="s">
        <v>233</v>
      </c>
      <c r="P7" s="39" t="s">
        <v>233</v>
      </c>
      <c r="Q7" s="39" t="s">
        <v>243</v>
      </c>
      <c r="R7" s="39" t="s">
        <v>234</v>
      </c>
      <c r="S7" s="39" t="s">
        <v>235</v>
      </c>
      <c r="T7" s="39" t="s">
        <v>233</v>
      </c>
      <c r="U7" s="39" t="s">
        <v>233</v>
      </c>
      <c r="V7" s="39" t="s">
        <v>233</v>
      </c>
      <c r="W7" s="39" t="s">
        <v>233</v>
      </c>
      <c r="X7" s="39" t="s">
        <v>233</v>
      </c>
      <c r="Y7" s="39" t="s">
        <v>235</v>
      </c>
      <c r="Z7" s="39" t="s">
        <v>235</v>
      </c>
      <c r="AA7" s="39" t="s">
        <v>233</v>
      </c>
      <c r="AB7" s="39" t="s">
        <v>233</v>
      </c>
      <c r="AC7" s="39" t="s">
        <v>233</v>
      </c>
      <c r="AD7" s="39" t="s">
        <v>233</v>
      </c>
      <c r="AE7" s="39" t="s">
        <v>233</v>
      </c>
      <c r="AF7" s="39" t="s">
        <v>234</v>
      </c>
    </row>
    <row r="8" spans="1:32" x14ac:dyDescent="0.25">
      <c r="A8" s="42" t="s">
        <v>240</v>
      </c>
      <c r="B8" s="39" t="s">
        <v>235</v>
      </c>
      <c r="C8" s="39" t="s">
        <v>235</v>
      </c>
      <c r="D8" s="39" t="s">
        <v>235</v>
      </c>
      <c r="E8" s="39" t="s">
        <v>235</v>
      </c>
      <c r="F8" s="39" t="s">
        <v>233</v>
      </c>
      <c r="G8" s="39" t="s">
        <v>233</v>
      </c>
      <c r="H8" s="39" t="s">
        <v>233</v>
      </c>
      <c r="I8" s="39" t="s">
        <v>233</v>
      </c>
      <c r="J8" s="39" t="s">
        <v>233</v>
      </c>
      <c r="K8" s="39" t="s">
        <v>234</v>
      </c>
      <c r="L8" s="39" t="s">
        <v>235</v>
      </c>
      <c r="M8" s="39" t="s">
        <v>235</v>
      </c>
      <c r="N8" s="39" t="s">
        <v>233</v>
      </c>
      <c r="O8" s="39" t="s">
        <v>233</v>
      </c>
      <c r="P8" s="39" t="s">
        <v>233</v>
      </c>
      <c r="Q8" s="39" t="s">
        <v>233</v>
      </c>
      <c r="R8" s="39" t="s">
        <v>234</v>
      </c>
      <c r="S8" s="39" t="s">
        <v>235</v>
      </c>
      <c r="T8" s="39" t="s">
        <v>233</v>
      </c>
      <c r="U8" s="39" t="s">
        <v>233</v>
      </c>
      <c r="V8" s="39" t="s">
        <v>233</v>
      </c>
      <c r="W8" s="39" t="s">
        <v>233</v>
      </c>
      <c r="X8" s="39" t="s">
        <v>233</v>
      </c>
      <c r="Y8" s="39" t="s">
        <v>235</v>
      </c>
      <c r="Z8" s="39" t="s">
        <v>235</v>
      </c>
      <c r="AA8" s="39" t="s">
        <v>235</v>
      </c>
      <c r="AB8" s="39" t="s">
        <v>235</v>
      </c>
      <c r="AC8" s="39" t="s">
        <v>235</v>
      </c>
      <c r="AD8" s="39" t="s">
        <v>235</v>
      </c>
      <c r="AE8" s="39" t="s">
        <v>235</v>
      </c>
      <c r="AF8" s="39" t="s">
        <v>235</v>
      </c>
    </row>
    <row r="9" spans="1:32" x14ac:dyDescent="0.25">
      <c r="A9" s="42" t="s">
        <v>241</v>
      </c>
      <c r="B9" s="39" t="s">
        <v>235</v>
      </c>
      <c r="C9" s="39" t="s">
        <v>235</v>
      </c>
      <c r="D9" s="39" t="s">
        <v>235</v>
      </c>
      <c r="E9" s="39" t="s">
        <v>235</v>
      </c>
      <c r="F9" s="39" t="s">
        <v>235</v>
      </c>
      <c r="G9" s="39" t="s">
        <v>233</v>
      </c>
      <c r="H9" s="39" t="s">
        <v>233</v>
      </c>
      <c r="I9" s="39" t="s">
        <v>233</v>
      </c>
      <c r="J9" s="39" t="s">
        <v>233</v>
      </c>
      <c r="K9" s="39" t="s">
        <v>234</v>
      </c>
      <c r="L9" s="39" t="s">
        <v>235</v>
      </c>
      <c r="M9" s="39" t="s">
        <v>235</v>
      </c>
      <c r="N9" s="39" t="s">
        <v>233</v>
      </c>
      <c r="O9" s="39" t="s">
        <v>233</v>
      </c>
      <c r="P9" s="39" t="s">
        <v>233</v>
      </c>
      <c r="Q9" s="39" t="s">
        <v>233</v>
      </c>
      <c r="R9" s="39" t="s">
        <v>234</v>
      </c>
      <c r="S9" s="39" t="s">
        <v>235</v>
      </c>
      <c r="T9" s="39" t="s">
        <v>233</v>
      </c>
      <c r="U9" s="39" t="s">
        <v>233</v>
      </c>
      <c r="V9" s="39" t="s">
        <v>233</v>
      </c>
      <c r="W9" s="39" t="s">
        <v>233</v>
      </c>
      <c r="X9" s="39" t="s">
        <v>233</v>
      </c>
      <c r="Y9" s="39" t="s">
        <v>234</v>
      </c>
      <c r="Z9" s="39" t="s">
        <v>235</v>
      </c>
      <c r="AA9" s="39" t="s">
        <v>233</v>
      </c>
      <c r="AB9" s="39" t="s">
        <v>233</v>
      </c>
      <c r="AC9" s="39" t="s">
        <v>233</v>
      </c>
      <c r="AD9" s="39" t="s">
        <v>233</v>
      </c>
      <c r="AE9" s="39" t="s">
        <v>233</v>
      </c>
      <c r="AF9" s="39" t="s">
        <v>234</v>
      </c>
    </row>
    <row r="10" spans="1:32" x14ac:dyDescent="0.25">
      <c r="A10" s="42" t="s">
        <v>242</v>
      </c>
      <c r="B10" s="39" t="s">
        <v>235</v>
      </c>
      <c r="C10" s="39" t="s">
        <v>235</v>
      </c>
      <c r="D10" s="39" t="s">
        <v>235</v>
      </c>
      <c r="E10" s="39" t="s">
        <v>235</v>
      </c>
      <c r="F10" s="39" t="s">
        <v>235</v>
      </c>
      <c r="G10" s="39" t="s">
        <v>234</v>
      </c>
      <c r="H10" s="39" t="s">
        <v>234</v>
      </c>
      <c r="I10" s="39" t="s">
        <v>234</v>
      </c>
      <c r="J10" s="39" t="s">
        <v>235</v>
      </c>
      <c r="K10" s="39" t="s">
        <v>235</v>
      </c>
      <c r="L10" s="39" t="s">
        <v>235</v>
      </c>
      <c r="M10" s="39" t="s">
        <v>235</v>
      </c>
      <c r="N10" s="39" t="s">
        <v>233</v>
      </c>
      <c r="O10" s="39" t="s">
        <v>233</v>
      </c>
      <c r="P10" s="39" t="s">
        <v>233</v>
      </c>
      <c r="Q10" s="39" t="s">
        <v>234</v>
      </c>
      <c r="R10" s="39" t="s">
        <v>234</v>
      </c>
      <c r="S10" s="39" t="s">
        <v>235</v>
      </c>
      <c r="T10" s="39" t="s">
        <v>234</v>
      </c>
      <c r="U10" s="39" t="s">
        <v>234</v>
      </c>
      <c r="V10" s="39" t="s">
        <v>235</v>
      </c>
      <c r="W10" s="39" t="s">
        <v>235</v>
      </c>
      <c r="X10" s="39" t="s">
        <v>235</v>
      </c>
      <c r="Y10" s="39" t="s">
        <v>235</v>
      </c>
      <c r="Z10" s="39" t="s">
        <v>235</v>
      </c>
      <c r="AA10" s="39" t="s">
        <v>233</v>
      </c>
      <c r="AB10" s="39" t="s">
        <v>233</v>
      </c>
      <c r="AC10" s="39" t="s">
        <v>233</v>
      </c>
      <c r="AD10" s="39" t="s">
        <v>233</v>
      </c>
      <c r="AE10" s="39" t="s">
        <v>234</v>
      </c>
      <c r="AF10" s="39" t="s">
        <v>235</v>
      </c>
    </row>
    <row r="11" spans="1:32" x14ac:dyDescent="0.25">
      <c r="A11" s="42" t="s">
        <v>62</v>
      </c>
      <c r="B11" s="39" t="s">
        <v>235</v>
      </c>
      <c r="C11" s="39" t="s">
        <v>235</v>
      </c>
      <c r="D11" s="39" t="s">
        <v>235</v>
      </c>
      <c r="E11" s="39" t="s">
        <v>235</v>
      </c>
      <c r="F11" s="39" t="s">
        <v>235</v>
      </c>
      <c r="G11" s="39" t="s">
        <v>235</v>
      </c>
      <c r="H11" s="39" t="s">
        <v>235</v>
      </c>
      <c r="I11" s="39" t="s">
        <v>234</v>
      </c>
      <c r="J11" s="39" t="s">
        <v>234</v>
      </c>
      <c r="K11" s="39" t="s">
        <v>235</v>
      </c>
      <c r="L11" s="39" t="s">
        <v>235</v>
      </c>
      <c r="M11" s="39" t="s">
        <v>235</v>
      </c>
      <c r="N11" s="39" t="s">
        <v>243</v>
      </c>
      <c r="O11" s="39" t="s">
        <v>233</v>
      </c>
      <c r="P11" s="39" t="s">
        <v>234</v>
      </c>
      <c r="Q11" s="39" t="s">
        <v>233</v>
      </c>
      <c r="R11" s="39" t="s">
        <v>234</v>
      </c>
      <c r="S11" s="39" t="s">
        <v>235</v>
      </c>
      <c r="T11" s="39" t="s">
        <v>243</v>
      </c>
      <c r="U11" s="39" t="s">
        <v>235</v>
      </c>
      <c r="V11" s="39" t="s">
        <v>243</v>
      </c>
      <c r="W11" s="39" t="s">
        <v>235</v>
      </c>
      <c r="X11" s="39" t="s">
        <v>235</v>
      </c>
      <c r="Y11" s="39" t="s">
        <v>235</v>
      </c>
      <c r="Z11" s="39" t="s">
        <v>235</v>
      </c>
      <c r="AA11" s="39" t="s">
        <v>243</v>
      </c>
      <c r="AB11" s="39" t="s">
        <v>235</v>
      </c>
      <c r="AC11" s="39" t="s">
        <v>235</v>
      </c>
      <c r="AD11" s="39" t="s">
        <v>235</v>
      </c>
      <c r="AE11" s="39" t="s">
        <v>235</v>
      </c>
      <c r="AF11" s="39" t="s">
        <v>235</v>
      </c>
    </row>
    <row r="12" spans="1:32" x14ac:dyDescent="0.25">
      <c r="A12" s="42" t="s">
        <v>63</v>
      </c>
      <c r="B12" s="39" t="s">
        <v>235</v>
      </c>
      <c r="C12" s="39" t="s">
        <v>235</v>
      </c>
      <c r="D12" s="39" t="s">
        <v>235</v>
      </c>
      <c r="E12" s="39" t="s">
        <v>235</v>
      </c>
      <c r="F12" s="39" t="s">
        <v>235</v>
      </c>
      <c r="G12" s="39" t="s">
        <v>235</v>
      </c>
      <c r="H12" s="39" t="s">
        <v>235</v>
      </c>
      <c r="I12" s="39" t="s">
        <v>233</v>
      </c>
      <c r="J12" s="39" t="s">
        <v>233</v>
      </c>
      <c r="K12" s="39" t="s">
        <v>235</v>
      </c>
      <c r="L12" s="39" t="s">
        <v>235</v>
      </c>
      <c r="M12" s="39" t="s">
        <v>235</v>
      </c>
      <c r="N12" s="39" t="s">
        <v>234</v>
      </c>
      <c r="O12" s="39" t="s">
        <v>234</v>
      </c>
      <c r="P12" s="39" t="s">
        <v>233</v>
      </c>
      <c r="Q12" s="39" t="s">
        <v>233</v>
      </c>
      <c r="R12" s="39" t="s">
        <v>235</v>
      </c>
      <c r="S12" s="39" t="s">
        <v>235</v>
      </c>
      <c r="T12" s="39" t="s">
        <v>233</v>
      </c>
      <c r="U12" s="39" t="s">
        <v>233</v>
      </c>
      <c r="V12" s="39" t="s">
        <v>233</v>
      </c>
      <c r="W12" s="39" t="s">
        <v>233</v>
      </c>
      <c r="X12" s="39" t="s">
        <v>233</v>
      </c>
      <c r="Y12" s="39" t="s">
        <v>235</v>
      </c>
      <c r="Z12" s="39" t="s">
        <v>235</v>
      </c>
      <c r="AA12" s="39" t="s">
        <v>233</v>
      </c>
      <c r="AB12" s="39" t="s">
        <v>233</v>
      </c>
      <c r="AC12" s="39" t="s">
        <v>233</v>
      </c>
      <c r="AD12" s="39" t="s">
        <v>233</v>
      </c>
      <c r="AE12" s="39" t="s">
        <v>233</v>
      </c>
      <c r="AF12" s="39" t="s">
        <v>235</v>
      </c>
    </row>
    <row r="13" spans="1:32" x14ac:dyDescent="0.25">
      <c r="A13" s="42" t="s">
        <v>64</v>
      </c>
      <c r="B13" s="39" t="s">
        <v>235</v>
      </c>
      <c r="C13" s="39" t="s">
        <v>235</v>
      </c>
      <c r="D13" s="39" t="s">
        <v>235</v>
      </c>
      <c r="E13" s="39" t="s">
        <v>235</v>
      </c>
      <c r="F13" s="39" t="s">
        <v>234</v>
      </c>
      <c r="G13" s="39" t="s">
        <v>233</v>
      </c>
      <c r="H13" s="39" t="s">
        <v>233</v>
      </c>
      <c r="I13" s="39" t="s">
        <v>235</v>
      </c>
      <c r="J13" s="39" t="s">
        <v>235</v>
      </c>
      <c r="K13" s="39" t="s">
        <v>235</v>
      </c>
      <c r="L13" s="39" t="s">
        <v>235</v>
      </c>
      <c r="M13" s="39" t="s">
        <v>235</v>
      </c>
      <c r="N13" s="39" t="s">
        <v>234</v>
      </c>
      <c r="O13" s="39" t="s">
        <v>233</v>
      </c>
      <c r="P13" s="39" t="s">
        <v>243</v>
      </c>
      <c r="Q13" s="39" t="s">
        <v>233</v>
      </c>
      <c r="R13" s="39" t="s">
        <v>235</v>
      </c>
      <c r="S13" s="39" t="s">
        <v>235</v>
      </c>
      <c r="T13" s="39" t="s">
        <v>234</v>
      </c>
      <c r="U13" s="39" t="s">
        <v>233</v>
      </c>
      <c r="V13" s="39" t="s">
        <v>234</v>
      </c>
      <c r="W13" s="39" t="s">
        <v>243</v>
      </c>
      <c r="X13" s="39" t="s">
        <v>233</v>
      </c>
      <c r="Y13" s="39" t="s">
        <v>235</v>
      </c>
      <c r="Z13" s="39" t="s">
        <v>235</v>
      </c>
      <c r="AA13" s="39" t="s">
        <v>234</v>
      </c>
      <c r="AB13" s="39" t="s">
        <v>233</v>
      </c>
      <c r="AC13" s="39" t="s">
        <v>233</v>
      </c>
      <c r="AD13" s="39" t="s">
        <v>235</v>
      </c>
      <c r="AE13" s="39" t="s">
        <v>233</v>
      </c>
      <c r="AF13" s="39" t="s">
        <v>234</v>
      </c>
    </row>
    <row r="14" spans="1:32" x14ac:dyDescent="0.25">
      <c r="A14" s="42" t="s">
        <v>65</v>
      </c>
      <c r="B14" s="39" t="s">
        <v>235</v>
      </c>
      <c r="C14" s="39" t="s">
        <v>235</v>
      </c>
      <c r="D14" s="39" t="s">
        <v>235</v>
      </c>
      <c r="E14" s="39" t="s">
        <v>235</v>
      </c>
      <c r="F14" s="39" t="s">
        <v>235</v>
      </c>
      <c r="G14" s="39" t="s">
        <v>235</v>
      </c>
      <c r="H14" s="39" t="s">
        <v>234</v>
      </c>
      <c r="I14" s="39" t="s">
        <v>233</v>
      </c>
      <c r="J14" s="39" t="s">
        <v>234</v>
      </c>
      <c r="K14" s="39" t="s">
        <v>235</v>
      </c>
      <c r="L14" s="39" t="s">
        <v>235</v>
      </c>
      <c r="M14" s="39" t="s">
        <v>235</v>
      </c>
      <c r="N14" s="39" t="s">
        <v>243</v>
      </c>
      <c r="O14" s="39" t="s">
        <v>234</v>
      </c>
      <c r="P14" s="39" t="s">
        <v>243</v>
      </c>
      <c r="Q14" s="39" t="s">
        <v>234</v>
      </c>
      <c r="R14" s="39" t="s">
        <v>235</v>
      </c>
      <c r="S14" s="39" t="s">
        <v>235</v>
      </c>
      <c r="T14" s="39" t="s">
        <v>243</v>
      </c>
      <c r="U14" s="39" t="s">
        <v>233</v>
      </c>
      <c r="V14" s="39" t="s">
        <v>234</v>
      </c>
      <c r="W14" s="39" t="s">
        <v>235</v>
      </c>
      <c r="X14" s="39" t="s">
        <v>234</v>
      </c>
      <c r="Y14" s="39" t="s">
        <v>235</v>
      </c>
      <c r="Z14" s="39" t="s">
        <v>235</v>
      </c>
      <c r="AA14" s="39" t="s">
        <v>243</v>
      </c>
      <c r="AB14" s="39" t="s">
        <v>243</v>
      </c>
      <c r="AC14" s="39" t="s">
        <v>234</v>
      </c>
      <c r="AD14" s="39" t="s">
        <v>235</v>
      </c>
      <c r="AE14" s="39" t="s">
        <v>234</v>
      </c>
      <c r="AF14" s="39" t="s">
        <v>235</v>
      </c>
    </row>
    <row r="15" spans="1:32" x14ac:dyDescent="0.25">
      <c r="A15" s="42" t="s">
        <v>66</v>
      </c>
      <c r="B15" s="39" t="s">
        <v>235</v>
      </c>
      <c r="C15" s="39" t="s">
        <v>235</v>
      </c>
      <c r="D15" s="39" t="s">
        <v>235</v>
      </c>
      <c r="E15" s="39" t="s">
        <v>235</v>
      </c>
      <c r="F15" s="39" t="s">
        <v>235</v>
      </c>
      <c r="G15" s="39" t="s">
        <v>235</v>
      </c>
      <c r="H15" s="39" t="s">
        <v>235</v>
      </c>
      <c r="I15" s="39" t="s">
        <v>235</v>
      </c>
      <c r="J15" s="39" t="s">
        <v>235</v>
      </c>
      <c r="K15" s="39" t="s">
        <v>235</v>
      </c>
      <c r="L15" s="39" t="s">
        <v>235</v>
      </c>
      <c r="M15" s="39" t="s">
        <v>235</v>
      </c>
      <c r="N15" s="39" t="s">
        <v>235</v>
      </c>
      <c r="O15" s="39" t="s">
        <v>235</v>
      </c>
      <c r="P15" s="39" t="s">
        <v>235</v>
      </c>
      <c r="Q15" s="39" t="s">
        <v>235</v>
      </c>
      <c r="R15" s="39" t="s">
        <v>235</v>
      </c>
      <c r="S15" s="39" t="s">
        <v>235</v>
      </c>
      <c r="T15" s="39" t="s">
        <v>235</v>
      </c>
      <c r="U15" s="39" t="s">
        <v>235</v>
      </c>
      <c r="V15" s="39" t="s">
        <v>235</v>
      </c>
      <c r="W15" s="39" t="s">
        <v>233</v>
      </c>
      <c r="X15" s="39" t="s">
        <v>233</v>
      </c>
      <c r="Y15" s="39" t="s">
        <v>234</v>
      </c>
      <c r="Z15" s="39" t="s">
        <v>235</v>
      </c>
      <c r="AA15" s="39" t="s">
        <v>235</v>
      </c>
      <c r="AB15" s="39" t="s">
        <v>235</v>
      </c>
      <c r="AC15" s="39" t="s">
        <v>235</v>
      </c>
      <c r="AD15" s="39" t="s">
        <v>233</v>
      </c>
      <c r="AE15" s="39" t="s">
        <v>233</v>
      </c>
      <c r="AF15" s="39" t="s">
        <v>234</v>
      </c>
    </row>
    <row r="16" spans="1:32" x14ac:dyDescent="0.25">
      <c r="A16" s="42" t="s">
        <v>67</v>
      </c>
      <c r="B16" s="39" t="s">
        <v>235</v>
      </c>
      <c r="C16" s="39" t="s">
        <v>235</v>
      </c>
      <c r="D16" s="39" t="s">
        <v>235</v>
      </c>
      <c r="E16" s="39" t="s">
        <v>235</v>
      </c>
      <c r="F16" s="39" t="s">
        <v>235</v>
      </c>
      <c r="G16" s="39" t="s">
        <v>233</v>
      </c>
      <c r="H16" s="39" t="s">
        <v>233</v>
      </c>
      <c r="I16" s="39" t="s">
        <v>233</v>
      </c>
      <c r="J16" s="39" t="s">
        <v>233</v>
      </c>
      <c r="K16" s="39" t="s">
        <v>234</v>
      </c>
      <c r="L16" s="39" t="s">
        <v>235</v>
      </c>
      <c r="M16" s="39" t="s">
        <v>235</v>
      </c>
      <c r="N16" s="39" t="s">
        <v>233</v>
      </c>
      <c r="O16" s="39" t="s">
        <v>233</v>
      </c>
      <c r="P16" s="39" t="s">
        <v>233</v>
      </c>
      <c r="Q16" s="39" t="s">
        <v>235</v>
      </c>
      <c r="R16" s="39" t="s">
        <v>235</v>
      </c>
      <c r="S16" s="39" t="s">
        <v>235</v>
      </c>
      <c r="T16" s="39" t="s">
        <v>235</v>
      </c>
      <c r="U16" s="39" t="s">
        <v>233</v>
      </c>
      <c r="V16" s="39" t="s">
        <v>233</v>
      </c>
      <c r="W16" s="39" t="s">
        <v>233</v>
      </c>
      <c r="X16" s="39" t="s">
        <v>233</v>
      </c>
      <c r="Y16" s="39" t="s">
        <v>234</v>
      </c>
      <c r="Z16" s="39" t="s">
        <v>235</v>
      </c>
      <c r="AA16" s="39" t="s">
        <v>233</v>
      </c>
      <c r="AB16" s="39" t="s">
        <v>233</v>
      </c>
      <c r="AC16" s="39" t="s">
        <v>233</v>
      </c>
      <c r="AD16" s="39" t="s">
        <v>233</v>
      </c>
      <c r="AE16" s="39" t="s">
        <v>235</v>
      </c>
      <c r="AF16" s="39" t="s">
        <v>235</v>
      </c>
    </row>
    <row r="17" spans="1:32" x14ac:dyDescent="0.25">
      <c r="A17" s="42" t="s">
        <v>68</v>
      </c>
      <c r="B17" s="39" t="s">
        <v>235</v>
      </c>
      <c r="C17" s="39" t="s">
        <v>235</v>
      </c>
      <c r="D17" s="39" t="s">
        <v>235</v>
      </c>
      <c r="E17" s="39" t="s">
        <v>235</v>
      </c>
      <c r="F17" s="39" t="s">
        <v>235</v>
      </c>
      <c r="G17" s="39" t="s">
        <v>235</v>
      </c>
      <c r="H17" s="39" t="s">
        <v>235</v>
      </c>
      <c r="I17" s="39" t="s">
        <v>235</v>
      </c>
      <c r="J17" s="39" t="s">
        <v>235</v>
      </c>
      <c r="K17" s="39" t="s">
        <v>235</v>
      </c>
      <c r="L17" s="39" t="s">
        <v>235</v>
      </c>
      <c r="M17" s="39" t="s">
        <v>235</v>
      </c>
      <c r="N17" s="39" t="s">
        <v>235</v>
      </c>
      <c r="O17" s="39" t="s">
        <v>235</v>
      </c>
      <c r="P17" s="39" t="s">
        <v>235</v>
      </c>
      <c r="Q17" s="39" t="s">
        <v>235</v>
      </c>
      <c r="R17" s="39" t="s">
        <v>235</v>
      </c>
      <c r="S17" s="39" t="s">
        <v>235</v>
      </c>
      <c r="T17" s="39" t="s">
        <v>235</v>
      </c>
      <c r="U17" s="39" t="s">
        <v>235</v>
      </c>
      <c r="V17" s="39" t="s">
        <v>235</v>
      </c>
      <c r="W17" s="39" t="s">
        <v>235</v>
      </c>
      <c r="X17" s="39" t="s">
        <v>235</v>
      </c>
      <c r="Y17" s="39" t="s">
        <v>235</v>
      </c>
      <c r="Z17" s="39" t="s">
        <v>235</v>
      </c>
      <c r="AA17" s="39" t="s">
        <v>235</v>
      </c>
      <c r="AB17" s="39" t="s">
        <v>235</v>
      </c>
      <c r="AC17" s="39" t="s">
        <v>235</v>
      </c>
      <c r="AD17" s="39" t="s">
        <v>235</v>
      </c>
      <c r="AE17" s="39" t="s">
        <v>235</v>
      </c>
      <c r="AF17" s="39" t="s">
        <v>235</v>
      </c>
    </row>
    <row r="18" spans="1:32" x14ac:dyDescent="0.25">
      <c r="A18" s="42" t="s">
        <v>69</v>
      </c>
      <c r="B18" s="39" t="s">
        <v>235</v>
      </c>
      <c r="C18" s="39" t="s">
        <v>235</v>
      </c>
      <c r="D18" s="39" t="s">
        <v>235</v>
      </c>
      <c r="E18" s="39" t="s">
        <v>235</v>
      </c>
      <c r="F18" s="39" t="s">
        <v>235</v>
      </c>
      <c r="G18" s="39" t="s">
        <v>233</v>
      </c>
      <c r="H18" s="39" t="s">
        <v>235</v>
      </c>
      <c r="I18" s="39" t="s">
        <v>233</v>
      </c>
      <c r="J18" s="39" t="s">
        <v>235</v>
      </c>
      <c r="K18" s="39" t="s">
        <v>235</v>
      </c>
      <c r="L18" s="39" t="s">
        <v>235</v>
      </c>
      <c r="M18" s="39" t="s">
        <v>235</v>
      </c>
      <c r="N18" s="39" t="s">
        <v>235</v>
      </c>
      <c r="O18" s="39" t="s">
        <v>235</v>
      </c>
      <c r="P18" s="39" t="s">
        <v>233</v>
      </c>
      <c r="Q18" s="39" t="s">
        <v>235</v>
      </c>
      <c r="R18" s="39" t="s">
        <v>235</v>
      </c>
      <c r="S18" s="39" t="s">
        <v>235</v>
      </c>
      <c r="T18" s="39" t="s">
        <v>233</v>
      </c>
      <c r="U18" s="39" t="s">
        <v>233</v>
      </c>
      <c r="V18" s="39" t="s">
        <v>235</v>
      </c>
      <c r="W18" s="39" t="s">
        <v>235</v>
      </c>
      <c r="X18" s="39" t="s">
        <v>235</v>
      </c>
      <c r="Y18" s="39" t="s">
        <v>235</v>
      </c>
      <c r="Z18" s="39" t="s">
        <v>235</v>
      </c>
      <c r="AA18" s="39" t="s">
        <v>235</v>
      </c>
      <c r="AB18" s="39" t="s">
        <v>233</v>
      </c>
      <c r="AC18" s="39" t="s">
        <v>235</v>
      </c>
      <c r="AD18" s="39" t="s">
        <v>233</v>
      </c>
      <c r="AE18" s="39" t="s">
        <v>235</v>
      </c>
      <c r="AF18" s="39" t="s">
        <v>235</v>
      </c>
    </row>
    <row r="19" spans="1:32" x14ac:dyDescent="0.25">
      <c r="A19" s="42" t="s">
        <v>70</v>
      </c>
      <c r="B19" s="39" t="s">
        <v>235</v>
      </c>
      <c r="C19" s="39" t="s">
        <v>235</v>
      </c>
      <c r="D19" s="39" t="s">
        <v>235</v>
      </c>
      <c r="E19" s="39" t="s">
        <v>235</v>
      </c>
      <c r="F19" s="39" t="s">
        <v>235</v>
      </c>
      <c r="G19" s="39" t="s">
        <v>235</v>
      </c>
      <c r="H19" s="39" t="s">
        <v>233</v>
      </c>
      <c r="I19" s="39" t="s">
        <v>235</v>
      </c>
      <c r="J19" s="39" t="s">
        <v>235</v>
      </c>
      <c r="K19" s="39" t="s">
        <v>235</v>
      </c>
      <c r="L19" s="39" t="s">
        <v>235</v>
      </c>
      <c r="M19" s="39" t="s">
        <v>235</v>
      </c>
      <c r="N19" s="39" t="s">
        <v>235</v>
      </c>
      <c r="O19" s="39" t="s">
        <v>233</v>
      </c>
      <c r="P19" s="39" t="s">
        <v>235</v>
      </c>
      <c r="Q19" s="39" t="s">
        <v>235</v>
      </c>
      <c r="R19" s="39" t="s">
        <v>235</v>
      </c>
      <c r="S19" s="39" t="s">
        <v>235</v>
      </c>
      <c r="T19" s="39" t="s">
        <v>235</v>
      </c>
      <c r="U19" s="39" t="s">
        <v>235</v>
      </c>
      <c r="V19" s="39" t="s">
        <v>233</v>
      </c>
      <c r="W19" s="39" t="s">
        <v>235</v>
      </c>
      <c r="X19" s="39" t="s">
        <v>235</v>
      </c>
      <c r="Y19" s="39" t="s">
        <v>235</v>
      </c>
      <c r="Z19" s="39" t="s">
        <v>235</v>
      </c>
      <c r="AA19" s="39" t="s">
        <v>235</v>
      </c>
      <c r="AB19" s="39" t="s">
        <v>235</v>
      </c>
      <c r="AC19" s="39" t="s">
        <v>233</v>
      </c>
      <c r="AD19" s="39" t="s">
        <v>235</v>
      </c>
      <c r="AE19" s="39" t="s">
        <v>235</v>
      </c>
      <c r="AF19" s="39" t="s">
        <v>235</v>
      </c>
    </row>
    <row r="20" spans="1:32" x14ac:dyDescent="0.25">
      <c r="A20" s="42" t="s">
        <v>71</v>
      </c>
      <c r="B20" s="39" t="s">
        <v>235</v>
      </c>
      <c r="C20" s="39" t="s">
        <v>235</v>
      </c>
      <c r="D20" s="39" t="s">
        <v>235</v>
      </c>
      <c r="E20" s="39" t="s">
        <v>235</v>
      </c>
      <c r="F20" s="39" t="s">
        <v>235</v>
      </c>
      <c r="G20" s="39" t="s">
        <v>235</v>
      </c>
      <c r="H20" s="39" t="s">
        <v>235</v>
      </c>
      <c r="I20" s="39" t="s">
        <v>235</v>
      </c>
      <c r="J20" s="39" t="s">
        <v>233</v>
      </c>
      <c r="K20" s="39" t="s">
        <v>235</v>
      </c>
      <c r="L20" s="39" t="s">
        <v>235</v>
      </c>
      <c r="M20" s="39" t="s">
        <v>235</v>
      </c>
      <c r="N20" s="39" t="s">
        <v>233</v>
      </c>
      <c r="O20" s="39" t="s">
        <v>235</v>
      </c>
      <c r="P20" s="39" t="s">
        <v>235</v>
      </c>
      <c r="Q20" s="39" t="s">
        <v>233</v>
      </c>
      <c r="R20" s="39" t="s">
        <v>235</v>
      </c>
      <c r="S20" s="39" t="s">
        <v>235</v>
      </c>
      <c r="T20" s="39" t="s">
        <v>235</v>
      </c>
      <c r="U20" s="39" t="s">
        <v>235</v>
      </c>
      <c r="V20" s="39" t="s">
        <v>235</v>
      </c>
      <c r="W20" s="39" t="s">
        <v>235</v>
      </c>
      <c r="X20" s="39" t="s">
        <v>233</v>
      </c>
      <c r="Y20" s="39" t="s">
        <v>235</v>
      </c>
      <c r="Z20" s="39" t="s">
        <v>235</v>
      </c>
      <c r="AA20" s="39" t="s">
        <v>235</v>
      </c>
      <c r="AB20" s="39" t="s">
        <v>233</v>
      </c>
      <c r="AC20" s="39" t="s">
        <v>235</v>
      </c>
      <c r="AD20" s="39" t="s">
        <v>235</v>
      </c>
      <c r="AE20" s="39" t="s">
        <v>233</v>
      </c>
      <c r="AF20" s="39" t="s">
        <v>235</v>
      </c>
    </row>
    <row r="21" spans="1:32" x14ac:dyDescent="0.25">
      <c r="A21" s="42" t="s">
        <v>72</v>
      </c>
      <c r="B21" s="39" t="s">
        <v>235</v>
      </c>
      <c r="C21" s="39" t="s">
        <v>235</v>
      </c>
      <c r="D21" s="39" t="s">
        <v>235</v>
      </c>
      <c r="E21" s="39" t="s">
        <v>235</v>
      </c>
      <c r="F21" s="39" t="s">
        <v>235</v>
      </c>
      <c r="G21" s="39" t="s">
        <v>235</v>
      </c>
      <c r="H21" s="39" t="s">
        <v>233</v>
      </c>
      <c r="I21" s="39" t="s">
        <v>233</v>
      </c>
      <c r="J21" s="39" t="s">
        <v>233</v>
      </c>
      <c r="K21" s="39" t="s">
        <v>234</v>
      </c>
      <c r="L21" s="39" t="s">
        <v>235</v>
      </c>
      <c r="M21" s="39" t="s">
        <v>235</v>
      </c>
      <c r="N21" s="39" t="s">
        <v>233</v>
      </c>
      <c r="O21" s="39" t="s">
        <v>233</v>
      </c>
      <c r="P21" s="39" t="s">
        <v>233</v>
      </c>
      <c r="Q21" s="39" t="s">
        <v>233</v>
      </c>
      <c r="R21" s="39" t="s">
        <v>234</v>
      </c>
      <c r="S21" s="39" t="s">
        <v>235</v>
      </c>
      <c r="T21" s="39" t="s">
        <v>233</v>
      </c>
      <c r="U21" s="39" t="s">
        <v>233</v>
      </c>
      <c r="V21" s="39" t="s">
        <v>233</v>
      </c>
      <c r="W21" s="39" t="s">
        <v>233</v>
      </c>
      <c r="X21" s="39" t="s">
        <v>233</v>
      </c>
      <c r="Y21" s="39" t="s">
        <v>234</v>
      </c>
      <c r="Z21" s="39" t="s">
        <v>235</v>
      </c>
      <c r="AA21" s="39" t="s">
        <v>233</v>
      </c>
      <c r="AB21" s="39" t="s">
        <v>233</v>
      </c>
      <c r="AC21" s="39" t="s">
        <v>233</v>
      </c>
      <c r="AD21" s="39" t="s">
        <v>233</v>
      </c>
      <c r="AE21" s="39" t="s">
        <v>233</v>
      </c>
      <c r="AF21" s="39" t="s">
        <v>234</v>
      </c>
    </row>
    <row r="22" spans="1:32" x14ac:dyDescent="0.25">
      <c r="A22" s="42" t="s">
        <v>73</v>
      </c>
      <c r="B22" s="39" t="s">
        <v>235</v>
      </c>
      <c r="C22" s="39" t="s">
        <v>235</v>
      </c>
      <c r="D22" s="39" t="s">
        <v>235</v>
      </c>
      <c r="E22" s="39" t="s">
        <v>235</v>
      </c>
      <c r="F22" s="39" t="s">
        <v>235</v>
      </c>
      <c r="G22" s="39" t="s">
        <v>235</v>
      </c>
      <c r="H22" s="39" t="s">
        <v>235</v>
      </c>
      <c r="I22" s="39" t="s">
        <v>235</v>
      </c>
      <c r="J22" s="39" t="s">
        <v>235</v>
      </c>
      <c r="K22" s="39" t="s">
        <v>235</v>
      </c>
      <c r="L22" s="39" t="s">
        <v>235</v>
      </c>
      <c r="M22" s="39" t="s">
        <v>235</v>
      </c>
      <c r="N22" s="39" t="s">
        <v>234</v>
      </c>
      <c r="O22" s="39" t="s">
        <v>234</v>
      </c>
      <c r="P22" s="39" t="s">
        <v>233</v>
      </c>
      <c r="Q22" s="39" t="s">
        <v>233</v>
      </c>
      <c r="R22" s="39" t="s">
        <v>234</v>
      </c>
      <c r="S22" s="39" t="s">
        <v>235</v>
      </c>
      <c r="T22" s="39" t="s">
        <v>234</v>
      </c>
      <c r="U22" s="39" t="s">
        <v>234</v>
      </c>
      <c r="V22" s="39" t="s">
        <v>234</v>
      </c>
      <c r="W22" s="39" t="s">
        <v>235</v>
      </c>
      <c r="X22" s="39" t="s">
        <v>235</v>
      </c>
      <c r="Y22" s="39" t="s">
        <v>234</v>
      </c>
      <c r="Z22" s="39" t="s">
        <v>235</v>
      </c>
      <c r="AA22" s="39" t="s">
        <v>234</v>
      </c>
      <c r="AB22" s="39" t="s">
        <v>233</v>
      </c>
      <c r="AC22" s="39" t="s">
        <v>234</v>
      </c>
      <c r="AD22" s="39" t="s">
        <v>233</v>
      </c>
      <c r="AE22" s="39" t="s">
        <v>234</v>
      </c>
      <c r="AF22" s="39" t="s">
        <v>234</v>
      </c>
    </row>
    <row r="23" spans="1:32" x14ac:dyDescent="0.25">
      <c r="A23" s="42" t="s">
        <v>74</v>
      </c>
      <c r="B23" s="39" t="s">
        <v>235</v>
      </c>
      <c r="C23" s="39" t="s">
        <v>235</v>
      </c>
      <c r="D23" s="39" t="s">
        <v>235</v>
      </c>
      <c r="E23" s="39" t="s">
        <v>235</v>
      </c>
      <c r="F23" s="39" t="s">
        <v>235</v>
      </c>
      <c r="G23" s="39" t="s">
        <v>235</v>
      </c>
      <c r="H23" s="39" t="s">
        <v>235</v>
      </c>
      <c r="I23" s="39" t="s">
        <v>235</v>
      </c>
      <c r="J23" s="39" t="s">
        <v>235</v>
      </c>
      <c r="K23" s="39" t="s">
        <v>235</v>
      </c>
      <c r="L23" s="39" t="s">
        <v>235</v>
      </c>
      <c r="M23" s="39" t="s">
        <v>235</v>
      </c>
      <c r="N23" s="39" t="s">
        <v>243</v>
      </c>
      <c r="O23" s="39" t="s">
        <v>233</v>
      </c>
      <c r="P23" s="39" t="s">
        <v>233</v>
      </c>
      <c r="Q23" s="39" t="s">
        <v>233</v>
      </c>
      <c r="R23" s="39" t="s">
        <v>234</v>
      </c>
      <c r="S23" s="39" t="s">
        <v>235</v>
      </c>
      <c r="T23" s="39" t="s">
        <v>233</v>
      </c>
      <c r="U23" s="39" t="s">
        <v>233</v>
      </c>
      <c r="V23" s="39" t="s">
        <v>233</v>
      </c>
      <c r="W23" s="39" t="s">
        <v>233</v>
      </c>
      <c r="X23" s="39" t="s">
        <v>233</v>
      </c>
      <c r="Y23" s="39" t="s">
        <v>235</v>
      </c>
      <c r="Z23" s="39" t="s">
        <v>235</v>
      </c>
      <c r="AA23" s="39" t="s">
        <v>233</v>
      </c>
      <c r="AB23" s="39" t="s">
        <v>233</v>
      </c>
      <c r="AC23" s="39" t="s">
        <v>233</v>
      </c>
      <c r="AD23" s="39" t="s">
        <v>233</v>
      </c>
      <c r="AE23" s="39" t="s">
        <v>233</v>
      </c>
      <c r="AF23" s="39" t="s">
        <v>234</v>
      </c>
    </row>
    <row r="24" spans="1:32" x14ac:dyDescent="0.25">
      <c r="A24" s="42" t="s">
        <v>75</v>
      </c>
      <c r="B24" s="39" t="s">
        <v>235</v>
      </c>
      <c r="C24" s="39" t="s">
        <v>235</v>
      </c>
      <c r="D24" s="39" t="s">
        <v>235</v>
      </c>
      <c r="E24" s="39" t="s">
        <v>235</v>
      </c>
      <c r="F24" s="39" t="s">
        <v>233</v>
      </c>
      <c r="G24" s="39" t="s">
        <v>233</v>
      </c>
      <c r="H24" s="39" t="s">
        <v>233</v>
      </c>
      <c r="I24" s="39" t="s">
        <v>233</v>
      </c>
      <c r="J24" s="39" t="s">
        <v>235</v>
      </c>
      <c r="K24" s="39" t="s">
        <v>235</v>
      </c>
      <c r="L24" s="39" t="s">
        <v>235</v>
      </c>
      <c r="M24" s="39" t="s">
        <v>235</v>
      </c>
      <c r="N24" s="39" t="s">
        <v>233</v>
      </c>
      <c r="O24" s="39" t="s">
        <v>233</v>
      </c>
      <c r="P24" s="39" t="s">
        <v>233</v>
      </c>
      <c r="Q24" s="39" t="s">
        <v>233</v>
      </c>
      <c r="R24" s="39" t="s">
        <v>235</v>
      </c>
      <c r="S24" s="39" t="s">
        <v>235</v>
      </c>
      <c r="T24" s="39" t="s">
        <v>233</v>
      </c>
      <c r="U24" s="39" t="s">
        <v>233</v>
      </c>
      <c r="V24" s="39" t="s">
        <v>233</v>
      </c>
      <c r="W24" s="39" t="s">
        <v>233</v>
      </c>
      <c r="X24" s="39" t="s">
        <v>233</v>
      </c>
      <c r="Y24" s="39" t="s">
        <v>235</v>
      </c>
      <c r="Z24" s="39" t="s">
        <v>235</v>
      </c>
      <c r="AA24" s="39" t="s">
        <v>233</v>
      </c>
      <c r="AB24" s="39" t="s">
        <v>233</v>
      </c>
      <c r="AC24" s="39" t="s">
        <v>233</v>
      </c>
      <c r="AD24" s="39" t="s">
        <v>235</v>
      </c>
      <c r="AE24" s="39" t="s">
        <v>235</v>
      </c>
      <c r="AF24" s="39" t="s">
        <v>235</v>
      </c>
    </row>
    <row r="25" spans="1:32" x14ac:dyDescent="0.25">
      <c r="A25" s="42" t="s">
        <v>76</v>
      </c>
      <c r="B25" s="39" t="s">
        <v>235</v>
      </c>
      <c r="C25" s="39" t="s">
        <v>235</v>
      </c>
      <c r="D25" s="39" t="s">
        <v>235</v>
      </c>
      <c r="E25" s="39" t="s">
        <v>235</v>
      </c>
      <c r="F25" s="39" t="s">
        <v>235</v>
      </c>
      <c r="G25" s="39" t="s">
        <v>235</v>
      </c>
      <c r="H25" s="39" t="s">
        <v>235</v>
      </c>
      <c r="I25" s="39" t="s">
        <v>235</v>
      </c>
      <c r="J25" s="39" t="s">
        <v>235</v>
      </c>
      <c r="K25" s="39" t="s">
        <v>235</v>
      </c>
      <c r="L25" s="39" t="s">
        <v>235</v>
      </c>
      <c r="M25" s="39" t="s">
        <v>235</v>
      </c>
      <c r="N25" s="39" t="s">
        <v>233</v>
      </c>
      <c r="O25" s="39" t="s">
        <v>233</v>
      </c>
      <c r="P25" s="39" t="s">
        <v>233</v>
      </c>
      <c r="Q25" s="39" t="s">
        <v>233</v>
      </c>
      <c r="R25" s="39" t="s">
        <v>234</v>
      </c>
      <c r="S25" s="39" t="s">
        <v>235</v>
      </c>
      <c r="T25" s="39" t="s">
        <v>233</v>
      </c>
      <c r="U25" s="39" t="s">
        <v>233</v>
      </c>
      <c r="V25" s="39" t="s">
        <v>233</v>
      </c>
      <c r="W25" s="39" t="s">
        <v>233</v>
      </c>
      <c r="X25" s="39" t="s">
        <v>233</v>
      </c>
      <c r="Y25" s="39" t="s">
        <v>234</v>
      </c>
      <c r="Z25" s="39" t="s">
        <v>235</v>
      </c>
      <c r="AA25" s="39" t="s">
        <v>233</v>
      </c>
      <c r="AB25" s="39" t="s">
        <v>233</v>
      </c>
      <c r="AC25" s="39" t="s">
        <v>233</v>
      </c>
      <c r="AD25" s="39" t="s">
        <v>233</v>
      </c>
      <c r="AE25" s="39" t="s">
        <v>233</v>
      </c>
      <c r="AF25" s="39" t="s">
        <v>234</v>
      </c>
    </row>
    <row r="26" spans="1:32" x14ac:dyDescent="0.25">
      <c r="A26" s="42" t="s">
        <v>77</v>
      </c>
      <c r="B26" s="39" t="s">
        <v>235</v>
      </c>
      <c r="C26" s="39" t="s">
        <v>235</v>
      </c>
      <c r="D26" s="39" t="s">
        <v>235</v>
      </c>
      <c r="E26" s="39" t="s">
        <v>235</v>
      </c>
      <c r="F26" s="39" t="s">
        <v>235</v>
      </c>
      <c r="G26" s="39" t="s">
        <v>235</v>
      </c>
      <c r="H26" s="39" t="s">
        <v>235</v>
      </c>
      <c r="I26" s="39" t="s">
        <v>235</v>
      </c>
      <c r="J26" s="39" t="s">
        <v>235</v>
      </c>
      <c r="K26" s="39" t="s">
        <v>235</v>
      </c>
      <c r="L26" s="39" t="s">
        <v>235</v>
      </c>
      <c r="M26" s="39" t="s">
        <v>235</v>
      </c>
      <c r="N26" s="39" t="s">
        <v>235</v>
      </c>
      <c r="O26" s="39" t="s">
        <v>235</v>
      </c>
      <c r="P26" s="39" t="s">
        <v>235</v>
      </c>
      <c r="Q26" s="39" t="s">
        <v>243</v>
      </c>
      <c r="R26" s="39" t="s">
        <v>234</v>
      </c>
      <c r="S26" s="39" t="s">
        <v>235</v>
      </c>
      <c r="T26" s="39" t="s">
        <v>235</v>
      </c>
      <c r="U26" s="39" t="s">
        <v>243</v>
      </c>
      <c r="V26" s="39" t="s">
        <v>235</v>
      </c>
      <c r="W26" s="39" t="s">
        <v>235</v>
      </c>
      <c r="X26" s="39" t="s">
        <v>243</v>
      </c>
      <c r="Y26" s="39" t="s">
        <v>234</v>
      </c>
      <c r="Z26" s="39" t="s">
        <v>235</v>
      </c>
      <c r="AA26" s="39" t="s">
        <v>235</v>
      </c>
      <c r="AB26" s="39" t="s">
        <v>243</v>
      </c>
      <c r="AC26" s="39" t="s">
        <v>235</v>
      </c>
      <c r="AD26" s="39" t="s">
        <v>235</v>
      </c>
      <c r="AE26" s="39" t="s">
        <v>243</v>
      </c>
      <c r="AF26" s="39" t="s">
        <v>234</v>
      </c>
    </row>
    <row r="27" spans="1:32" x14ac:dyDescent="0.25">
      <c r="A27" s="42" t="s">
        <v>78</v>
      </c>
      <c r="B27" s="39" t="s">
        <v>235</v>
      </c>
      <c r="C27" s="39" t="s">
        <v>235</v>
      </c>
      <c r="D27" s="39" t="s">
        <v>235</v>
      </c>
      <c r="E27" s="39" t="s">
        <v>235</v>
      </c>
      <c r="F27" s="39" t="s">
        <v>235</v>
      </c>
      <c r="G27" s="39" t="s">
        <v>235</v>
      </c>
      <c r="H27" s="39" t="s">
        <v>235</v>
      </c>
      <c r="I27" s="39" t="s">
        <v>235</v>
      </c>
      <c r="J27" s="39" t="s">
        <v>235</v>
      </c>
      <c r="K27" s="39" t="s">
        <v>235</v>
      </c>
      <c r="L27" s="39" t="s">
        <v>235</v>
      </c>
      <c r="M27" s="39" t="s">
        <v>235</v>
      </c>
      <c r="N27" s="39" t="s">
        <v>233</v>
      </c>
      <c r="O27" s="39" t="s">
        <v>233</v>
      </c>
      <c r="P27" s="39" t="s">
        <v>233</v>
      </c>
      <c r="Q27" s="39" t="s">
        <v>233</v>
      </c>
      <c r="R27" s="39" t="s">
        <v>234</v>
      </c>
      <c r="S27" s="39" t="s">
        <v>235</v>
      </c>
      <c r="T27" s="39" t="s">
        <v>233</v>
      </c>
      <c r="U27" s="39" t="s">
        <v>233</v>
      </c>
      <c r="V27" s="39" t="s">
        <v>233</v>
      </c>
      <c r="W27" s="39" t="s">
        <v>233</v>
      </c>
      <c r="X27" s="39" t="s">
        <v>233</v>
      </c>
      <c r="Y27" s="39" t="s">
        <v>234</v>
      </c>
      <c r="Z27" s="39" t="s">
        <v>235</v>
      </c>
      <c r="AA27" s="39" t="s">
        <v>233</v>
      </c>
      <c r="AB27" s="39" t="s">
        <v>233</v>
      </c>
      <c r="AC27" s="39" t="s">
        <v>233</v>
      </c>
      <c r="AD27" s="39" t="s">
        <v>233</v>
      </c>
      <c r="AE27" s="39" t="s">
        <v>233</v>
      </c>
      <c r="AF27" s="39" t="s">
        <v>234</v>
      </c>
    </row>
    <row r="28" spans="1:32" x14ac:dyDescent="0.25">
      <c r="A28" s="42" t="s">
        <v>79</v>
      </c>
      <c r="B28" s="39" t="s">
        <v>235</v>
      </c>
      <c r="C28" s="39" t="s">
        <v>235</v>
      </c>
      <c r="D28" s="39" t="s">
        <v>235</v>
      </c>
      <c r="E28" s="39" t="s">
        <v>235</v>
      </c>
      <c r="F28" s="39" t="s">
        <v>235</v>
      </c>
      <c r="G28" s="39" t="s">
        <v>235</v>
      </c>
      <c r="H28" s="39" t="s">
        <v>233</v>
      </c>
      <c r="I28" s="39" t="s">
        <v>233</v>
      </c>
      <c r="J28" s="39" t="s">
        <v>233</v>
      </c>
      <c r="K28" s="39" t="s">
        <v>234</v>
      </c>
      <c r="L28" s="39" t="s">
        <v>235</v>
      </c>
      <c r="M28" s="39" t="s">
        <v>235</v>
      </c>
      <c r="N28" s="39" t="s">
        <v>233</v>
      </c>
      <c r="O28" s="39" t="s">
        <v>233</v>
      </c>
      <c r="P28" s="39" t="s">
        <v>233</v>
      </c>
      <c r="Q28" s="39" t="s">
        <v>233</v>
      </c>
      <c r="R28" s="39" t="s">
        <v>234</v>
      </c>
      <c r="S28" s="39" t="s">
        <v>235</v>
      </c>
      <c r="T28" s="39" t="s">
        <v>233</v>
      </c>
      <c r="U28" s="39" t="s">
        <v>233</v>
      </c>
      <c r="V28" s="39" t="s">
        <v>233</v>
      </c>
      <c r="W28" s="39" t="s">
        <v>233</v>
      </c>
      <c r="X28" s="39" t="s">
        <v>233</v>
      </c>
      <c r="Y28" s="39" t="s">
        <v>234</v>
      </c>
      <c r="Z28" s="39" t="s">
        <v>235</v>
      </c>
      <c r="AA28" s="39" t="s">
        <v>233</v>
      </c>
      <c r="AB28" s="39" t="s">
        <v>233</v>
      </c>
      <c r="AC28" s="39" t="s">
        <v>233</v>
      </c>
      <c r="AD28" s="39" t="s">
        <v>233</v>
      </c>
      <c r="AE28" s="39" t="s">
        <v>233</v>
      </c>
      <c r="AF28" s="39" t="s">
        <v>234</v>
      </c>
    </row>
    <row r="29" spans="1:32" x14ac:dyDescent="0.25">
      <c r="A29" s="42" t="s">
        <v>80</v>
      </c>
      <c r="B29" s="39" t="s">
        <v>235</v>
      </c>
      <c r="C29" s="39" t="s">
        <v>235</v>
      </c>
      <c r="D29" s="39" t="s">
        <v>235</v>
      </c>
      <c r="E29" s="39" t="s">
        <v>235</v>
      </c>
      <c r="F29" s="39" t="s">
        <v>235</v>
      </c>
      <c r="G29" s="39" t="s">
        <v>235</v>
      </c>
      <c r="H29" s="39" t="s">
        <v>235</v>
      </c>
      <c r="I29" s="39" t="s">
        <v>235</v>
      </c>
      <c r="J29" s="39" t="s">
        <v>235</v>
      </c>
      <c r="K29" s="39" t="s">
        <v>235</v>
      </c>
      <c r="L29" s="39" t="s">
        <v>235</v>
      </c>
      <c r="M29" s="39" t="s">
        <v>235</v>
      </c>
      <c r="N29" s="39" t="s">
        <v>235</v>
      </c>
      <c r="O29" s="39" t="s">
        <v>235</v>
      </c>
      <c r="P29" s="39" t="s">
        <v>235</v>
      </c>
      <c r="Q29" s="39" t="s">
        <v>235</v>
      </c>
      <c r="R29" s="39" t="s">
        <v>235</v>
      </c>
      <c r="S29" s="39" t="s">
        <v>235</v>
      </c>
      <c r="T29" s="39" t="s">
        <v>235</v>
      </c>
      <c r="U29" s="39" t="s">
        <v>235</v>
      </c>
      <c r="V29" s="39" t="s">
        <v>235</v>
      </c>
      <c r="W29" s="39" t="s">
        <v>235</v>
      </c>
      <c r="X29" s="39" t="s">
        <v>235</v>
      </c>
      <c r="Y29" s="39" t="s">
        <v>235</v>
      </c>
      <c r="Z29" s="39" t="s">
        <v>235</v>
      </c>
      <c r="AA29" s="39" t="s">
        <v>235</v>
      </c>
      <c r="AB29" s="39" t="s">
        <v>235</v>
      </c>
      <c r="AC29" s="39" t="s">
        <v>235</v>
      </c>
      <c r="AD29" s="39" t="s">
        <v>235</v>
      </c>
      <c r="AE29" s="39" t="s">
        <v>235</v>
      </c>
      <c r="AF29" s="39" t="s">
        <v>235</v>
      </c>
    </row>
    <row r="30" spans="1:32" x14ac:dyDescent="0.25">
      <c r="A30" s="42" t="s">
        <v>81</v>
      </c>
      <c r="B30" s="39" t="s">
        <v>235</v>
      </c>
      <c r="C30" s="39" t="s">
        <v>235</v>
      </c>
      <c r="D30" s="39" t="s">
        <v>235</v>
      </c>
      <c r="E30" s="39" t="s">
        <v>235</v>
      </c>
      <c r="F30" s="39" t="s">
        <v>235</v>
      </c>
      <c r="G30" s="39" t="s">
        <v>235</v>
      </c>
      <c r="H30" s="39" t="s">
        <v>235</v>
      </c>
      <c r="I30" s="39" t="s">
        <v>235</v>
      </c>
      <c r="J30" s="39" t="s">
        <v>235</v>
      </c>
      <c r="K30" s="39" t="s">
        <v>235</v>
      </c>
      <c r="L30" s="39" t="s">
        <v>235</v>
      </c>
      <c r="M30" s="39" t="s">
        <v>235</v>
      </c>
      <c r="N30" s="39" t="s">
        <v>235</v>
      </c>
      <c r="O30" s="39" t="s">
        <v>235</v>
      </c>
      <c r="P30" s="39" t="s">
        <v>235</v>
      </c>
      <c r="Q30" s="39" t="s">
        <v>235</v>
      </c>
      <c r="R30" s="39" t="s">
        <v>235</v>
      </c>
      <c r="S30" s="39" t="s">
        <v>235</v>
      </c>
      <c r="T30" s="39" t="s">
        <v>235</v>
      </c>
      <c r="U30" s="39" t="s">
        <v>234</v>
      </c>
      <c r="V30" s="39" t="s">
        <v>235</v>
      </c>
      <c r="W30" s="39" t="s">
        <v>235</v>
      </c>
      <c r="X30" s="39" t="s">
        <v>235</v>
      </c>
      <c r="Y30" s="39" t="s">
        <v>235</v>
      </c>
      <c r="Z30" s="39" t="s">
        <v>235</v>
      </c>
      <c r="AA30" s="39" t="s">
        <v>235</v>
      </c>
      <c r="AB30" s="39" t="s">
        <v>234</v>
      </c>
      <c r="AC30" s="39" t="s">
        <v>235</v>
      </c>
      <c r="AD30" s="39" t="s">
        <v>235</v>
      </c>
      <c r="AE30" s="39" t="s">
        <v>235</v>
      </c>
      <c r="AF30" s="39" t="s">
        <v>235</v>
      </c>
    </row>
    <row r="31" spans="1:32" x14ac:dyDescent="0.25">
      <c r="A31" s="42" t="s">
        <v>82</v>
      </c>
      <c r="B31" s="39" t="s">
        <v>235</v>
      </c>
      <c r="C31" s="39" t="s">
        <v>235</v>
      </c>
      <c r="D31" s="39" t="s">
        <v>235</v>
      </c>
      <c r="E31" s="39" t="s">
        <v>235</v>
      </c>
      <c r="F31" s="39" t="s">
        <v>235</v>
      </c>
      <c r="G31" s="39" t="s">
        <v>235</v>
      </c>
      <c r="H31" s="39" t="s">
        <v>233</v>
      </c>
      <c r="I31" s="39" t="s">
        <v>233</v>
      </c>
      <c r="J31" s="39" t="s">
        <v>233</v>
      </c>
      <c r="K31" s="39" t="s">
        <v>234</v>
      </c>
      <c r="L31" s="39" t="s">
        <v>235</v>
      </c>
      <c r="M31" s="39" t="s">
        <v>235</v>
      </c>
      <c r="N31" s="39" t="s">
        <v>233</v>
      </c>
      <c r="O31" s="39" t="s">
        <v>233</v>
      </c>
      <c r="P31" s="39" t="s">
        <v>233</v>
      </c>
      <c r="Q31" s="39" t="s">
        <v>233</v>
      </c>
      <c r="R31" s="39" t="s">
        <v>234</v>
      </c>
      <c r="S31" s="39" t="s">
        <v>235</v>
      </c>
      <c r="T31" s="39" t="s">
        <v>233</v>
      </c>
      <c r="U31" s="39" t="s">
        <v>233</v>
      </c>
      <c r="V31" s="39" t="s">
        <v>233</v>
      </c>
      <c r="W31" s="39" t="s">
        <v>233</v>
      </c>
      <c r="X31" s="39" t="s">
        <v>233</v>
      </c>
      <c r="Y31" s="39" t="s">
        <v>234</v>
      </c>
      <c r="Z31" s="39" t="s">
        <v>235</v>
      </c>
      <c r="AA31" s="39" t="s">
        <v>233</v>
      </c>
      <c r="AB31" s="39" t="s">
        <v>233</v>
      </c>
      <c r="AC31" s="39" t="s">
        <v>233</v>
      </c>
      <c r="AD31" s="39" t="s">
        <v>233</v>
      </c>
      <c r="AE31" s="39" t="s">
        <v>233</v>
      </c>
      <c r="AF31" s="38" t="s">
        <v>234</v>
      </c>
    </row>
    <row r="32" spans="1:32" x14ac:dyDescent="0.25">
      <c r="A32" s="42" t="s">
        <v>83</v>
      </c>
      <c r="B32" s="39" t="s">
        <v>235</v>
      </c>
      <c r="C32" s="39" t="s">
        <v>235</v>
      </c>
      <c r="D32" s="39" t="s">
        <v>235</v>
      </c>
      <c r="E32" s="39" t="s">
        <v>235</v>
      </c>
      <c r="F32" s="39" t="s">
        <v>235</v>
      </c>
      <c r="G32" s="39" t="s">
        <v>235</v>
      </c>
      <c r="H32" s="39" t="s">
        <v>233</v>
      </c>
      <c r="I32" s="39" t="s">
        <v>233</v>
      </c>
      <c r="J32" s="39" t="s">
        <v>233</v>
      </c>
      <c r="K32" s="39" t="s">
        <v>234</v>
      </c>
      <c r="L32" s="39" t="s">
        <v>235</v>
      </c>
      <c r="M32" s="39" t="s">
        <v>235</v>
      </c>
      <c r="N32" s="39" t="s">
        <v>233</v>
      </c>
      <c r="O32" s="39" t="s">
        <v>233</v>
      </c>
      <c r="P32" s="39" t="s">
        <v>233</v>
      </c>
      <c r="Q32" s="39" t="s">
        <v>233</v>
      </c>
      <c r="R32" s="39" t="s">
        <v>234</v>
      </c>
      <c r="S32" s="39" t="s">
        <v>235</v>
      </c>
      <c r="T32" s="39" t="s">
        <v>233</v>
      </c>
      <c r="U32" s="39" t="s">
        <v>233</v>
      </c>
      <c r="V32" s="39" t="s">
        <v>233</v>
      </c>
      <c r="W32" s="39" t="s">
        <v>233</v>
      </c>
      <c r="X32" s="39" t="s">
        <v>233</v>
      </c>
      <c r="Y32" s="39" t="s">
        <v>234</v>
      </c>
      <c r="Z32" s="39" t="s">
        <v>235</v>
      </c>
      <c r="AA32" s="39" t="s">
        <v>233</v>
      </c>
      <c r="AB32" s="39" t="s">
        <v>233</v>
      </c>
      <c r="AC32" s="39" t="s">
        <v>233</v>
      </c>
      <c r="AD32" s="39" t="s">
        <v>233</v>
      </c>
      <c r="AE32" s="39" t="s">
        <v>233</v>
      </c>
      <c r="AF32" s="39" t="s">
        <v>234</v>
      </c>
    </row>
    <row r="33" spans="1:32" x14ac:dyDescent="0.25">
      <c r="A33" s="42" t="s">
        <v>84</v>
      </c>
      <c r="B33" s="39" t="s">
        <v>235</v>
      </c>
      <c r="C33" s="39" t="s">
        <v>235</v>
      </c>
      <c r="D33" s="39" t="s">
        <v>235</v>
      </c>
      <c r="E33" s="39" t="s">
        <v>235</v>
      </c>
      <c r="F33" s="39" t="s">
        <v>235</v>
      </c>
      <c r="G33" s="39" t="s">
        <v>235</v>
      </c>
      <c r="H33" s="39" t="s">
        <v>235</v>
      </c>
      <c r="I33" s="39" t="s">
        <v>235</v>
      </c>
      <c r="J33" s="39" t="s">
        <v>235</v>
      </c>
      <c r="K33" s="39" t="s">
        <v>235</v>
      </c>
      <c r="L33" s="39" t="s">
        <v>235</v>
      </c>
      <c r="M33" s="39" t="s">
        <v>235</v>
      </c>
      <c r="N33" s="39" t="s">
        <v>235</v>
      </c>
      <c r="O33" s="39" t="s">
        <v>235</v>
      </c>
      <c r="P33" s="39" t="s">
        <v>235</v>
      </c>
      <c r="Q33" s="39" t="s">
        <v>235</v>
      </c>
      <c r="R33" s="39" t="s">
        <v>235</v>
      </c>
      <c r="S33" s="39" t="s">
        <v>235</v>
      </c>
      <c r="T33" s="39" t="s">
        <v>235</v>
      </c>
      <c r="U33" s="39" t="s">
        <v>235</v>
      </c>
      <c r="V33" s="39" t="s">
        <v>235</v>
      </c>
      <c r="W33" s="39" t="s">
        <v>235</v>
      </c>
      <c r="X33" s="39" t="s">
        <v>235</v>
      </c>
      <c r="Y33" s="39" t="s">
        <v>235</v>
      </c>
      <c r="Z33" s="39" t="s">
        <v>235</v>
      </c>
      <c r="AA33" s="39" t="s">
        <v>235</v>
      </c>
      <c r="AB33" s="39" t="s">
        <v>235</v>
      </c>
      <c r="AC33" s="39" t="s">
        <v>235</v>
      </c>
      <c r="AD33" s="39" t="s">
        <v>235</v>
      </c>
      <c r="AE33" s="39" t="s">
        <v>235</v>
      </c>
      <c r="AF33" s="39" t="s">
        <v>235</v>
      </c>
    </row>
    <row r="34" spans="1:32" x14ac:dyDescent="0.25">
      <c r="A34" s="42" t="s">
        <v>85</v>
      </c>
      <c r="B34" s="39" t="s">
        <v>235</v>
      </c>
      <c r="C34" s="39" t="s">
        <v>235</v>
      </c>
      <c r="D34" s="39" t="s">
        <v>235</v>
      </c>
      <c r="E34" s="39" t="s">
        <v>235</v>
      </c>
      <c r="F34" s="39" t="s">
        <v>235</v>
      </c>
      <c r="G34" s="39" t="s">
        <v>235</v>
      </c>
      <c r="H34" s="39" t="s">
        <v>235</v>
      </c>
      <c r="I34" s="39" t="s">
        <v>235</v>
      </c>
      <c r="J34" s="39" t="s">
        <v>235</v>
      </c>
      <c r="K34" s="39" t="s">
        <v>235</v>
      </c>
      <c r="L34" s="39" t="s">
        <v>235</v>
      </c>
      <c r="M34" s="39" t="s">
        <v>235</v>
      </c>
      <c r="N34" s="39" t="s">
        <v>235</v>
      </c>
      <c r="O34" s="39" t="s">
        <v>235</v>
      </c>
      <c r="P34" s="39" t="s">
        <v>235</v>
      </c>
      <c r="Q34" s="39" t="s">
        <v>235</v>
      </c>
      <c r="R34" s="39" t="s">
        <v>235</v>
      </c>
      <c r="S34" s="39" t="s">
        <v>235</v>
      </c>
      <c r="T34" s="39" t="s">
        <v>235</v>
      </c>
      <c r="U34" s="39" t="s">
        <v>235</v>
      </c>
      <c r="V34" s="39" t="s">
        <v>235</v>
      </c>
      <c r="W34" s="39" t="s">
        <v>235</v>
      </c>
      <c r="X34" s="39" t="s">
        <v>235</v>
      </c>
      <c r="Y34" s="39" t="s">
        <v>235</v>
      </c>
      <c r="Z34" s="39" t="s">
        <v>235</v>
      </c>
      <c r="AA34" s="39" t="s">
        <v>235</v>
      </c>
      <c r="AB34" s="39" t="s">
        <v>235</v>
      </c>
      <c r="AC34" s="39" t="s">
        <v>235</v>
      </c>
      <c r="AD34" s="39" t="s">
        <v>235</v>
      </c>
      <c r="AE34" s="39" t="s">
        <v>235</v>
      </c>
      <c r="AF34" s="39" t="s">
        <v>235</v>
      </c>
    </row>
    <row r="35" spans="1:32" x14ac:dyDescent="0.25">
      <c r="A35" s="42" t="s">
        <v>86</v>
      </c>
      <c r="B35" s="39" t="s">
        <v>235</v>
      </c>
      <c r="C35" s="39" t="s">
        <v>235</v>
      </c>
      <c r="D35" s="39" t="s">
        <v>235</v>
      </c>
      <c r="E35" s="39" t="s">
        <v>235</v>
      </c>
      <c r="F35" s="39" t="s">
        <v>233</v>
      </c>
      <c r="G35" s="39" t="s">
        <v>233</v>
      </c>
      <c r="H35" s="39" t="s">
        <v>233</v>
      </c>
      <c r="I35" s="39" t="s">
        <v>233</v>
      </c>
      <c r="J35" s="39" t="s">
        <v>233</v>
      </c>
      <c r="K35" s="39" t="s">
        <v>234</v>
      </c>
      <c r="L35" s="39" t="s">
        <v>235</v>
      </c>
      <c r="M35" s="39" t="s">
        <v>235</v>
      </c>
      <c r="N35" s="39" t="s">
        <v>233</v>
      </c>
      <c r="O35" s="39" t="s">
        <v>233</v>
      </c>
      <c r="P35" s="39" t="s">
        <v>233</v>
      </c>
      <c r="Q35" s="39" t="s">
        <v>233</v>
      </c>
      <c r="R35" s="39" t="s">
        <v>234</v>
      </c>
      <c r="S35" s="39" t="s">
        <v>235</v>
      </c>
      <c r="T35" s="39" t="s">
        <v>233</v>
      </c>
      <c r="U35" s="39" t="s">
        <v>233</v>
      </c>
      <c r="V35" s="39" t="s">
        <v>233</v>
      </c>
      <c r="W35" s="39" t="s">
        <v>233</v>
      </c>
      <c r="X35" s="39" t="s">
        <v>233</v>
      </c>
      <c r="Y35" s="39" t="s">
        <v>234</v>
      </c>
      <c r="Z35" s="39" t="s">
        <v>235</v>
      </c>
      <c r="AA35" s="39" t="s">
        <v>233</v>
      </c>
      <c r="AB35" s="39" t="s">
        <v>233</v>
      </c>
      <c r="AC35" s="39" t="s">
        <v>233</v>
      </c>
      <c r="AD35" s="39" t="s">
        <v>233</v>
      </c>
      <c r="AE35" s="39" t="s">
        <v>233</v>
      </c>
      <c r="AF35" s="39" t="s">
        <v>234</v>
      </c>
    </row>
    <row r="36" spans="1:32" x14ac:dyDescent="0.25">
      <c r="A36" s="42" t="s">
        <v>87</v>
      </c>
      <c r="B36" s="39" t="s">
        <v>235</v>
      </c>
      <c r="C36" s="39" t="s">
        <v>235</v>
      </c>
      <c r="D36" s="39" t="s">
        <v>235</v>
      </c>
      <c r="E36" s="39" t="s">
        <v>235</v>
      </c>
      <c r="F36" s="39" t="s">
        <v>235</v>
      </c>
      <c r="G36" s="39" t="s">
        <v>235</v>
      </c>
      <c r="H36" s="39" t="s">
        <v>235</v>
      </c>
      <c r="I36" s="39" t="s">
        <v>235</v>
      </c>
      <c r="J36" s="39" t="s">
        <v>235</v>
      </c>
      <c r="K36" s="39" t="s">
        <v>235</v>
      </c>
      <c r="L36" s="39" t="s">
        <v>235</v>
      </c>
      <c r="M36" s="39" t="s">
        <v>235</v>
      </c>
      <c r="N36" s="39" t="s">
        <v>235</v>
      </c>
      <c r="O36" s="39" t="s">
        <v>235</v>
      </c>
      <c r="P36" s="39" t="s">
        <v>235</v>
      </c>
      <c r="Q36" s="39" t="s">
        <v>235</v>
      </c>
      <c r="R36" s="39" t="s">
        <v>235</v>
      </c>
      <c r="S36" s="39" t="s">
        <v>235</v>
      </c>
      <c r="T36" s="39" t="s">
        <v>235</v>
      </c>
      <c r="U36" s="39" t="s">
        <v>235</v>
      </c>
      <c r="V36" s="39" t="s">
        <v>235</v>
      </c>
      <c r="W36" s="39" t="s">
        <v>235</v>
      </c>
      <c r="X36" s="39" t="s">
        <v>235</v>
      </c>
      <c r="Y36" s="39" t="s">
        <v>235</v>
      </c>
      <c r="Z36" s="39" t="s">
        <v>235</v>
      </c>
      <c r="AA36" s="39" t="s">
        <v>235</v>
      </c>
      <c r="AB36" s="39" t="s">
        <v>235</v>
      </c>
      <c r="AC36" s="39" t="s">
        <v>235</v>
      </c>
      <c r="AD36" s="39" t="s">
        <v>235</v>
      </c>
      <c r="AE36" s="39" t="s">
        <v>235</v>
      </c>
      <c r="AF36" s="39" t="s">
        <v>235</v>
      </c>
    </row>
    <row r="37" spans="1:32" x14ac:dyDescent="0.25">
      <c r="A37" s="42" t="s">
        <v>88</v>
      </c>
      <c r="B37" s="39" t="s">
        <v>235</v>
      </c>
      <c r="C37" s="39" t="s">
        <v>235</v>
      </c>
      <c r="D37" s="39" t="s">
        <v>235</v>
      </c>
      <c r="E37" s="39" t="s">
        <v>235</v>
      </c>
      <c r="F37" s="39" t="s">
        <v>235</v>
      </c>
      <c r="G37" s="39" t="s">
        <v>235</v>
      </c>
      <c r="H37" s="39" t="s">
        <v>235</v>
      </c>
      <c r="I37" s="39" t="s">
        <v>235</v>
      </c>
      <c r="J37" s="39" t="s">
        <v>235</v>
      </c>
      <c r="K37" s="39" t="s">
        <v>235</v>
      </c>
      <c r="L37" s="39" t="s">
        <v>235</v>
      </c>
      <c r="M37" s="39" t="s">
        <v>235</v>
      </c>
      <c r="N37" s="39" t="s">
        <v>235</v>
      </c>
      <c r="O37" s="39" t="s">
        <v>235</v>
      </c>
      <c r="P37" s="39" t="s">
        <v>235</v>
      </c>
      <c r="Q37" s="39" t="s">
        <v>235</v>
      </c>
      <c r="R37" s="39" t="s">
        <v>235</v>
      </c>
      <c r="S37" s="39" t="s">
        <v>235</v>
      </c>
      <c r="T37" s="39" t="s">
        <v>235</v>
      </c>
      <c r="U37" s="39" t="s">
        <v>235</v>
      </c>
      <c r="V37" s="39" t="s">
        <v>235</v>
      </c>
      <c r="W37" s="39" t="s">
        <v>235</v>
      </c>
      <c r="X37" s="39" t="s">
        <v>235</v>
      </c>
      <c r="Y37" s="39" t="s">
        <v>235</v>
      </c>
      <c r="Z37" s="39" t="s">
        <v>235</v>
      </c>
      <c r="AA37" s="39" t="s">
        <v>235</v>
      </c>
      <c r="AB37" s="39" t="s">
        <v>235</v>
      </c>
      <c r="AC37" s="39" t="s">
        <v>235</v>
      </c>
      <c r="AD37" s="39" t="s">
        <v>235</v>
      </c>
      <c r="AE37" s="39" t="s">
        <v>235</v>
      </c>
      <c r="AF37" s="39" t="s">
        <v>235</v>
      </c>
    </row>
    <row r="38" spans="1:32" x14ac:dyDescent="0.25">
      <c r="A38" s="42" t="s">
        <v>89</v>
      </c>
      <c r="B38" s="39" t="s">
        <v>235</v>
      </c>
      <c r="C38" s="39" t="s">
        <v>235</v>
      </c>
      <c r="D38" s="39" t="s">
        <v>235</v>
      </c>
      <c r="E38" s="39" t="s">
        <v>235</v>
      </c>
      <c r="F38" s="39" t="s">
        <v>233</v>
      </c>
      <c r="G38" s="39" t="s">
        <v>233</v>
      </c>
      <c r="H38" s="39" t="s">
        <v>233</v>
      </c>
      <c r="I38" s="39" t="s">
        <v>233</v>
      </c>
      <c r="J38" s="39" t="s">
        <v>233</v>
      </c>
      <c r="K38" s="39" t="s">
        <v>235</v>
      </c>
      <c r="L38" s="39" t="s">
        <v>235</v>
      </c>
      <c r="M38" s="39" t="s">
        <v>235</v>
      </c>
      <c r="N38" s="39" t="s">
        <v>233</v>
      </c>
      <c r="O38" s="39" t="s">
        <v>233</v>
      </c>
      <c r="P38" s="39" t="s">
        <v>233</v>
      </c>
      <c r="Q38" s="39" t="s">
        <v>233</v>
      </c>
      <c r="R38" s="39" t="s">
        <v>235</v>
      </c>
      <c r="S38" s="39" t="s">
        <v>235</v>
      </c>
      <c r="T38" s="39" t="s">
        <v>233</v>
      </c>
      <c r="U38" s="39" t="s">
        <v>233</v>
      </c>
      <c r="V38" s="39" t="s">
        <v>233</v>
      </c>
      <c r="W38" s="39" t="s">
        <v>233</v>
      </c>
      <c r="X38" s="39" t="s">
        <v>233</v>
      </c>
      <c r="Y38" s="39" t="s">
        <v>235</v>
      </c>
      <c r="Z38" s="39" t="s">
        <v>235</v>
      </c>
      <c r="AA38" s="39" t="s">
        <v>233</v>
      </c>
      <c r="AB38" s="39" t="s">
        <v>233</v>
      </c>
      <c r="AC38" s="39" t="s">
        <v>233</v>
      </c>
      <c r="AD38" s="39" t="s">
        <v>233</v>
      </c>
      <c r="AE38" s="39" t="s">
        <v>233</v>
      </c>
      <c r="AF38" s="39" t="s">
        <v>235</v>
      </c>
    </row>
    <row r="39" spans="1:32" x14ac:dyDescent="0.25">
      <c r="A39" s="42" t="s">
        <v>90</v>
      </c>
      <c r="B39" s="39" t="s">
        <v>235</v>
      </c>
      <c r="C39" s="39" t="s">
        <v>235</v>
      </c>
      <c r="D39" s="39" t="s">
        <v>235</v>
      </c>
      <c r="E39" s="39" t="s">
        <v>235</v>
      </c>
      <c r="F39" s="39" t="s">
        <v>233</v>
      </c>
      <c r="G39" s="39" t="s">
        <v>233</v>
      </c>
      <c r="H39" s="39" t="s">
        <v>233</v>
      </c>
      <c r="I39" s="39" t="s">
        <v>233</v>
      </c>
      <c r="J39" s="39" t="s">
        <v>233</v>
      </c>
      <c r="K39" s="39" t="s">
        <v>235</v>
      </c>
      <c r="L39" s="39" t="s">
        <v>235</v>
      </c>
      <c r="M39" s="39" t="s">
        <v>235</v>
      </c>
      <c r="N39" s="39" t="s">
        <v>233</v>
      </c>
      <c r="O39" s="39" t="s">
        <v>233</v>
      </c>
      <c r="P39" s="39" t="s">
        <v>233</v>
      </c>
      <c r="Q39" s="39" t="s">
        <v>233</v>
      </c>
      <c r="R39" s="39" t="s">
        <v>235</v>
      </c>
      <c r="S39" s="39" t="s">
        <v>235</v>
      </c>
      <c r="T39" s="39" t="s">
        <v>233</v>
      </c>
      <c r="U39" s="39" t="s">
        <v>233</v>
      </c>
      <c r="V39" s="39" t="s">
        <v>233</v>
      </c>
      <c r="W39" s="39" t="s">
        <v>233</v>
      </c>
      <c r="X39" s="39" t="s">
        <v>233</v>
      </c>
      <c r="Y39" s="39" t="s">
        <v>235</v>
      </c>
      <c r="Z39" s="39" t="s">
        <v>235</v>
      </c>
      <c r="AA39" s="39" t="s">
        <v>233</v>
      </c>
      <c r="AB39" s="39" t="s">
        <v>233</v>
      </c>
      <c r="AC39" s="39" t="s">
        <v>233</v>
      </c>
      <c r="AD39" s="39" t="s">
        <v>233</v>
      </c>
      <c r="AE39" s="39" t="s">
        <v>233</v>
      </c>
      <c r="AF39" s="39" t="s">
        <v>235</v>
      </c>
    </row>
    <row r="40" spans="1:32" x14ac:dyDescent="0.25">
      <c r="A40" s="42" t="s">
        <v>91</v>
      </c>
      <c r="B40" s="39" t="s">
        <v>235</v>
      </c>
      <c r="C40" s="39" t="s">
        <v>235</v>
      </c>
      <c r="D40" s="39" t="s">
        <v>235</v>
      </c>
      <c r="E40" s="39" t="s">
        <v>235</v>
      </c>
      <c r="F40" s="39" t="s">
        <v>235</v>
      </c>
      <c r="G40" s="39" t="s">
        <v>235</v>
      </c>
      <c r="H40" s="39" t="s">
        <v>235</v>
      </c>
      <c r="I40" s="39" t="s">
        <v>235</v>
      </c>
      <c r="J40" s="39" t="s">
        <v>235</v>
      </c>
      <c r="K40" s="39" t="s">
        <v>235</v>
      </c>
      <c r="L40" s="39" t="s">
        <v>235</v>
      </c>
      <c r="M40" s="39" t="s">
        <v>235</v>
      </c>
      <c r="N40" s="39" t="s">
        <v>235</v>
      </c>
      <c r="O40" s="39" t="s">
        <v>235</v>
      </c>
      <c r="P40" s="39" t="s">
        <v>235</v>
      </c>
      <c r="Q40" s="39" t="s">
        <v>235</v>
      </c>
      <c r="R40" s="39" t="s">
        <v>235</v>
      </c>
      <c r="S40" s="39" t="s">
        <v>235</v>
      </c>
      <c r="T40" s="39" t="s">
        <v>235</v>
      </c>
      <c r="U40" s="39" t="s">
        <v>235</v>
      </c>
      <c r="V40" s="39" t="s">
        <v>235</v>
      </c>
      <c r="W40" s="39" t="s">
        <v>235</v>
      </c>
      <c r="X40" s="39" t="s">
        <v>235</v>
      </c>
      <c r="Y40" s="39" t="s">
        <v>235</v>
      </c>
      <c r="Z40" s="39" t="s">
        <v>235</v>
      </c>
      <c r="AA40" s="39" t="s">
        <v>233</v>
      </c>
      <c r="AB40" s="39" t="s">
        <v>233</v>
      </c>
      <c r="AC40" s="39" t="s">
        <v>233</v>
      </c>
      <c r="AD40" s="39" t="s">
        <v>233</v>
      </c>
      <c r="AE40" s="39" t="s">
        <v>233</v>
      </c>
      <c r="AF40" s="39" t="s">
        <v>235</v>
      </c>
    </row>
    <row r="41" spans="1:32" x14ac:dyDescent="0.25">
      <c r="A41" s="42" t="s">
        <v>92</v>
      </c>
      <c r="B41" s="39" t="s">
        <v>235</v>
      </c>
      <c r="C41" s="39" t="s">
        <v>235</v>
      </c>
      <c r="D41" s="39" t="s">
        <v>235</v>
      </c>
      <c r="E41" s="39" t="s">
        <v>235</v>
      </c>
      <c r="F41" s="39" t="s">
        <v>235</v>
      </c>
      <c r="G41" s="39" t="s">
        <v>235</v>
      </c>
      <c r="H41" s="39" t="s">
        <v>235</v>
      </c>
      <c r="I41" s="39" t="s">
        <v>235</v>
      </c>
      <c r="J41" s="39" t="s">
        <v>235</v>
      </c>
      <c r="K41" s="39" t="s">
        <v>235</v>
      </c>
      <c r="L41" s="39" t="s">
        <v>235</v>
      </c>
      <c r="M41" s="39" t="s">
        <v>235</v>
      </c>
      <c r="N41" s="39" t="s">
        <v>235</v>
      </c>
      <c r="O41" s="39" t="s">
        <v>235</v>
      </c>
      <c r="P41" s="39" t="s">
        <v>235</v>
      </c>
      <c r="Q41" s="39" t="s">
        <v>235</v>
      </c>
      <c r="R41" s="39" t="s">
        <v>235</v>
      </c>
      <c r="S41" s="39" t="s">
        <v>235</v>
      </c>
      <c r="T41" s="39" t="s">
        <v>235</v>
      </c>
      <c r="U41" s="39" t="s">
        <v>235</v>
      </c>
      <c r="V41" s="39" t="s">
        <v>235</v>
      </c>
      <c r="W41" s="39" t="s">
        <v>235</v>
      </c>
      <c r="X41" s="39" t="s">
        <v>235</v>
      </c>
      <c r="Y41" s="39" t="s">
        <v>235</v>
      </c>
      <c r="Z41" s="39" t="s">
        <v>235</v>
      </c>
      <c r="AA41" s="39" t="s">
        <v>235</v>
      </c>
      <c r="AB41" s="39" t="s">
        <v>235</v>
      </c>
      <c r="AC41" s="39" t="s">
        <v>235</v>
      </c>
      <c r="AD41" s="39" t="s">
        <v>235</v>
      </c>
      <c r="AE41" s="39" t="s">
        <v>235</v>
      </c>
      <c r="AF41" s="39" t="s">
        <v>235</v>
      </c>
    </row>
    <row r="42" spans="1:32" x14ac:dyDescent="0.25">
      <c r="A42" s="42" t="s">
        <v>93</v>
      </c>
      <c r="B42" s="39" t="s">
        <v>235</v>
      </c>
      <c r="C42" s="39" t="s">
        <v>235</v>
      </c>
      <c r="D42" s="39" t="s">
        <v>235</v>
      </c>
      <c r="E42" s="39" t="s">
        <v>235</v>
      </c>
      <c r="F42" s="39" t="s">
        <v>235</v>
      </c>
      <c r="G42" s="39" t="s">
        <v>235</v>
      </c>
      <c r="H42" s="39" t="s">
        <v>235</v>
      </c>
      <c r="I42" s="39" t="s">
        <v>235</v>
      </c>
      <c r="J42" s="39" t="s">
        <v>235</v>
      </c>
      <c r="K42" s="39" t="s">
        <v>235</v>
      </c>
      <c r="L42" s="39" t="s">
        <v>235</v>
      </c>
      <c r="M42" s="39" t="s">
        <v>235</v>
      </c>
      <c r="N42" s="39" t="s">
        <v>235</v>
      </c>
      <c r="O42" s="39" t="s">
        <v>235</v>
      </c>
      <c r="P42" s="39" t="s">
        <v>235</v>
      </c>
      <c r="Q42" s="39" t="s">
        <v>235</v>
      </c>
      <c r="R42" s="39" t="s">
        <v>235</v>
      </c>
      <c r="S42" s="39" t="s">
        <v>235</v>
      </c>
      <c r="T42" s="39" t="s">
        <v>243</v>
      </c>
      <c r="U42" s="39" t="s">
        <v>235</v>
      </c>
      <c r="V42" s="39" t="s">
        <v>235</v>
      </c>
      <c r="W42" s="39" t="s">
        <v>235</v>
      </c>
      <c r="X42" s="39" t="s">
        <v>235</v>
      </c>
      <c r="Y42" s="39" t="s">
        <v>235</v>
      </c>
      <c r="Z42" s="39" t="s">
        <v>235</v>
      </c>
      <c r="AA42" s="39" t="s">
        <v>243</v>
      </c>
      <c r="AB42" s="39" t="s">
        <v>235</v>
      </c>
      <c r="AC42" s="39" t="s">
        <v>235</v>
      </c>
      <c r="AD42" s="39" t="s">
        <v>235</v>
      </c>
      <c r="AE42" s="39" t="s">
        <v>235</v>
      </c>
      <c r="AF42" s="39" t="s">
        <v>235</v>
      </c>
    </row>
    <row r="43" spans="1:32" x14ac:dyDescent="0.25">
      <c r="A43" s="42" t="s">
        <v>94</v>
      </c>
      <c r="B43" s="39" t="s">
        <v>235</v>
      </c>
      <c r="C43" s="39" t="s">
        <v>235</v>
      </c>
      <c r="D43" s="39" t="s">
        <v>235</v>
      </c>
      <c r="E43" s="39" t="s">
        <v>235</v>
      </c>
      <c r="F43" s="39" t="s">
        <v>233</v>
      </c>
      <c r="G43" s="39" t="s">
        <v>233</v>
      </c>
      <c r="H43" s="39" t="s">
        <v>233</v>
      </c>
      <c r="I43" s="39" t="s">
        <v>233</v>
      </c>
      <c r="J43" s="39" t="s">
        <v>233</v>
      </c>
      <c r="K43" s="39" t="s">
        <v>234</v>
      </c>
      <c r="L43" s="39" t="s">
        <v>235</v>
      </c>
      <c r="M43" s="39" t="s">
        <v>235</v>
      </c>
      <c r="N43" s="39" t="s">
        <v>233</v>
      </c>
      <c r="O43" s="39" t="s">
        <v>233</v>
      </c>
      <c r="P43" s="39" t="s">
        <v>233</v>
      </c>
      <c r="Q43" s="39" t="s">
        <v>233</v>
      </c>
      <c r="R43" s="39" t="s">
        <v>234</v>
      </c>
      <c r="S43" s="39" t="s">
        <v>235</v>
      </c>
      <c r="T43" s="39" t="s">
        <v>233</v>
      </c>
      <c r="U43" s="39" t="s">
        <v>233</v>
      </c>
      <c r="V43" s="39" t="s">
        <v>233</v>
      </c>
      <c r="W43" s="39" t="s">
        <v>233</v>
      </c>
      <c r="X43" s="39" t="s">
        <v>233</v>
      </c>
      <c r="Y43" s="39" t="s">
        <v>234</v>
      </c>
      <c r="Z43" s="39" t="s">
        <v>235</v>
      </c>
      <c r="AA43" s="39" t="s">
        <v>233</v>
      </c>
      <c r="AB43" s="39" t="s">
        <v>233</v>
      </c>
      <c r="AC43" s="39" t="s">
        <v>233</v>
      </c>
      <c r="AD43" s="39" t="s">
        <v>233</v>
      </c>
      <c r="AE43" s="39" t="s">
        <v>233</v>
      </c>
      <c r="AF43" s="39" t="s">
        <v>234</v>
      </c>
    </row>
    <row r="44" spans="1:32" x14ac:dyDescent="0.25">
      <c r="A44" s="42" t="s">
        <v>95</v>
      </c>
      <c r="B44" s="39" t="s">
        <v>235</v>
      </c>
      <c r="C44" s="39" t="s">
        <v>235</v>
      </c>
      <c r="D44" s="39" t="s">
        <v>235</v>
      </c>
      <c r="E44" s="39" t="s">
        <v>235</v>
      </c>
      <c r="F44" s="39" t="s">
        <v>233</v>
      </c>
      <c r="G44" s="39" t="s">
        <v>233</v>
      </c>
      <c r="H44" s="39" t="s">
        <v>233</v>
      </c>
      <c r="I44" s="39" t="s">
        <v>233</v>
      </c>
      <c r="J44" s="39" t="s">
        <v>233</v>
      </c>
      <c r="K44" s="39" t="s">
        <v>234</v>
      </c>
      <c r="L44" s="39" t="s">
        <v>235</v>
      </c>
      <c r="M44" s="39" t="s">
        <v>235</v>
      </c>
      <c r="N44" s="39" t="s">
        <v>233</v>
      </c>
      <c r="O44" s="39" t="s">
        <v>233</v>
      </c>
      <c r="P44" s="39" t="s">
        <v>233</v>
      </c>
      <c r="Q44" s="39" t="s">
        <v>233</v>
      </c>
      <c r="R44" s="39" t="s">
        <v>234</v>
      </c>
      <c r="S44" s="39" t="s">
        <v>235</v>
      </c>
      <c r="T44" s="39" t="s">
        <v>233</v>
      </c>
      <c r="U44" s="39" t="s">
        <v>233</v>
      </c>
      <c r="V44" s="39" t="s">
        <v>233</v>
      </c>
      <c r="W44" s="39" t="s">
        <v>233</v>
      </c>
      <c r="X44" s="39" t="s">
        <v>233</v>
      </c>
      <c r="Y44" s="39" t="s">
        <v>234</v>
      </c>
      <c r="Z44" s="39" t="s">
        <v>235</v>
      </c>
      <c r="AA44" s="39" t="s">
        <v>233</v>
      </c>
      <c r="AB44" s="39" t="s">
        <v>233</v>
      </c>
      <c r="AC44" s="39" t="s">
        <v>233</v>
      </c>
      <c r="AD44" s="39" t="s">
        <v>233</v>
      </c>
      <c r="AE44" s="39" t="s">
        <v>233</v>
      </c>
      <c r="AF44" s="39" t="s">
        <v>234</v>
      </c>
    </row>
    <row r="45" spans="1:32" x14ac:dyDescent="0.25">
      <c r="A45" s="42" t="s">
        <v>96</v>
      </c>
      <c r="B45" s="39" t="s">
        <v>235</v>
      </c>
      <c r="C45" s="39" t="s">
        <v>235</v>
      </c>
      <c r="D45" s="39" t="s">
        <v>235</v>
      </c>
      <c r="E45" s="39" t="s">
        <v>235</v>
      </c>
      <c r="F45" s="39" t="s">
        <v>233</v>
      </c>
      <c r="G45" s="39" t="s">
        <v>234</v>
      </c>
      <c r="H45" s="39" t="s">
        <v>233</v>
      </c>
      <c r="I45" s="39" t="s">
        <v>233</v>
      </c>
      <c r="J45" s="39" t="s">
        <v>234</v>
      </c>
      <c r="K45" s="39" t="s">
        <v>235</v>
      </c>
      <c r="L45" s="39" t="s">
        <v>235</v>
      </c>
      <c r="M45" s="39" t="s">
        <v>235</v>
      </c>
      <c r="N45" s="39" t="s">
        <v>233</v>
      </c>
      <c r="O45" s="39" t="s">
        <v>233</v>
      </c>
      <c r="P45" s="39" t="s">
        <v>233</v>
      </c>
      <c r="Q45" s="39" t="s">
        <v>234</v>
      </c>
      <c r="R45" s="39" t="s">
        <v>235</v>
      </c>
      <c r="S45" s="39" t="s">
        <v>235</v>
      </c>
      <c r="T45" s="39" t="s">
        <v>233</v>
      </c>
      <c r="U45" s="39" t="s">
        <v>235</v>
      </c>
      <c r="V45" s="39" t="s">
        <v>234</v>
      </c>
      <c r="W45" s="39" t="s">
        <v>233</v>
      </c>
      <c r="X45" s="39" t="s">
        <v>233</v>
      </c>
      <c r="Y45" s="39" t="s">
        <v>235</v>
      </c>
      <c r="Z45" s="39" t="s">
        <v>235</v>
      </c>
      <c r="AA45" s="39" t="s">
        <v>233</v>
      </c>
      <c r="AB45" s="39" t="s">
        <v>234</v>
      </c>
      <c r="AC45" s="39" t="s">
        <v>233</v>
      </c>
      <c r="AD45" s="39" t="s">
        <v>233</v>
      </c>
      <c r="AE45" s="39" t="s">
        <v>235</v>
      </c>
      <c r="AF45" s="39" t="s">
        <v>235</v>
      </c>
    </row>
    <row r="46" spans="1:32" x14ac:dyDescent="0.25">
      <c r="A46" s="42" t="s">
        <v>97</v>
      </c>
      <c r="B46" s="39" t="s">
        <v>235</v>
      </c>
      <c r="C46" s="39" t="s">
        <v>235</v>
      </c>
      <c r="D46" s="39" t="s">
        <v>235</v>
      </c>
      <c r="E46" s="39" t="s">
        <v>235</v>
      </c>
      <c r="F46" s="39" t="s">
        <v>235</v>
      </c>
      <c r="G46" s="39" t="s">
        <v>235</v>
      </c>
      <c r="H46" s="39" t="s">
        <v>233</v>
      </c>
      <c r="I46" s="39" t="s">
        <v>233</v>
      </c>
      <c r="J46" s="39" t="s">
        <v>233</v>
      </c>
      <c r="K46" s="39" t="s">
        <v>234</v>
      </c>
      <c r="L46" s="39" t="s">
        <v>235</v>
      </c>
      <c r="M46" s="39" t="s">
        <v>235</v>
      </c>
      <c r="N46" s="39" t="s">
        <v>233</v>
      </c>
      <c r="O46" s="39" t="s">
        <v>233</v>
      </c>
      <c r="P46" s="39" t="s">
        <v>233</v>
      </c>
      <c r="Q46" s="39" t="s">
        <v>233</v>
      </c>
      <c r="R46" s="39" t="s">
        <v>234</v>
      </c>
      <c r="S46" s="39" t="s">
        <v>235</v>
      </c>
      <c r="T46" s="39" t="s">
        <v>233</v>
      </c>
      <c r="U46" s="39" t="s">
        <v>233</v>
      </c>
      <c r="V46" s="39" t="s">
        <v>233</v>
      </c>
      <c r="W46" s="39" t="s">
        <v>233</v>
      </c>
      <c r="X46" s="39" t="s">
        <v>233</v>
      </c>
      <c r="Y46" s="39" t="s">
        <v>234</v>
      </c>
      <c r="Z46" s="39" t="s">
        <v>235</v>
      </c>
      <c r="AA46" s="39" t="s">
        <v>233</v>
      </c>
      <c r="AB46" s="39" t="s">
        <v>233</v>
      </c>
      <c r="AC46" s="39" t="s">
        <v>233</v>
      </c>
      <c r="AD46" s="39" t="s">
        <v>233</v>
      </c>
      <c r="AE46" s="39" t="s">
        <v>233</v>
      </c>
      <c r="AF46" s="39" t="s">
        <v>234</v>
      </c>
    </row>
    <row r="50" spans="11:11" x14ac:dyDescent="0.25">
      <c r="K50" t="s">
        <v>245</v>
      </c>
    </row>
  </sheetData>
  <conditionalFormatting sqref="B2:AF46">
    <cfRule type="cellIs" dxfId="1" priority="1" operator="equal">
      <formula>"NO ASISTE"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BG51"/>
  <sheetViews>
    <sheetView topLeftCell="A28" workbookViewId="0">
      <selection activeCell="AE43" sqref="AE43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  <col min="56" max="59" width="6.7109375" style="14" bestFit="1" customWidth="1"/>
  </cols>
  <sheetData>
    <row r="1" spans="1:59" ht="19.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98</v>
      </c>
      <c r="BE1" s="8" t="s">
        <v>99</v>
      </c>
      <c r="BF1" s="8" t="s">
        <v>100</v>
      </c>
      <c r="BG1" s="8" t="s">
        <v>101</v>
      </c>
    </row>
    <row r="2" spans="1:59" ht="20.25" customHeight="1" x14ac:dyDescent="0.25">
      <c r="A2" s="3" t="s">
        <v>111</v>
      </c>
      <c r="B2" s="9">
        <v>0</v>
      </c>
      <c r="C2" s="10">
        <v>0</v>
      </c>
      <c r="D2" s="10">
        <v>0</v>
      </c>
      <c r="E2" s="10">
        <v>1</v>
      </c>
      <c r="F2" s="10">
        <v>0</v>
      </c>
      <c r="G2" s="10">
        <v>0</v>
      </c>
      <c r="H2" s="10">
        <v>0</v>
      </c>
      <c r="I2" s="10">
        <v>0</v>
      </c>
      <c r="J2" s="10">
        <v>1</v>
      </c>
      <c r="K2" s="10">
        <v>0</v>
      </c>
      <c r="L2" s="10">
        <v>1</v>
      </c>
      <c r="M2" s="10">
        <v>1</v>
      </c>
      <c r="N2" s="10">
        <v>1</v>
      </c>
      <c r="O2" s="10">
        <v>0</v>
      </c>
      <c r="P2" s="10">
        <v>0</v>
      </c>
      <c r="Q2" s="10">
        <v>0</v>
      </c>
      <c r="R2" s="11">
        <v>1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9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1">
        <v>0</v>
      </c>
      <c r="AN2" s="10">
        <v>0</v>
      </c>
      <c r="AO2" s="10">
        <v>0</v>
      </c>
      <c r="AP2" s="10">
        <v>1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9">
        <v>0</v>
      </c>
      <c r="AX2" s="11">
        <v>1</v>
      </c>
      <c r="AY2" s="10">
        <v>0</v>
      </c>
      <c r="AZ2" s="10">
        <v>0</v>
      </c>
      <c r="BA2" s="9">
        <v>0</v>
      </c>
      <c r="BB2" s="10">
        <v>1</v>
      </c>
      <c r="BC2" s="11">
        <v>0</v>
      </c>
      <c r="BD2" s="4">
        <f>+Habilidad!B2</f>
        <v>1</v>
      </c>
      <c r="BE2" s="4">
        <f>+Habilidad!C2</f>
        <v>1</v>
      </c>
      <c r="BF2" s="4">
        <f>+Habilidad!D2</f>
        <v>1</v>
      </c>
      <c r="BG2" s="4">
        <f>+Habilidad!E2</f>
        <v>0</v>
      </c>
    </row>
    <row r="3" spans="1:59" ht="19.5" customHeight="1" x14ac:dyDescent="0.25">
      <c r="A3" s="5" t="s">
        <v>54</v>
      </c>
      <c r="B3" s="12">
        <v>0</v>
      </c>
      <c r="C3" s="4">
        <v>0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v>1</v>
      </c>
      <c r="K3" s="4">
        <v>0</v>
      </c>
      <c r="L3" s="4">
        <v>1</v>
      </c>
      <c r="M3" s="4">
        <v>1</v>
      </c>
      <c r="N3" s="4">
        <v>1</v>
      </c>
      <c r="O3" s="4">
        <v>0</v>
      </c>
      <c r="P3" s="4">
        <v>0</v>
      </c>
      <c r="Q3" s="4">
        <v>1</v>
      </c>
      <c r="R3" s="13"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12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13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12">
        <v>0</v>
      </c>
      <c r="AX3" s="13">
        <v>1</v>
      </c>
      <c r="AY3" s="4">
        <v>0</v>
      </c>
      <c r="AZ3" s="4">
        <v>0</v>
      </c>
      <c r="BA3" s="12">
        <v>0</v>
      </c>
      <c r="BB3" s="4">
        <v>0</v>
      </c>
      <c r="BC3" s="13">
        <v>0</v>
      </c>
      <c r="BD3" s="4">
        <f>+Habilidad!B3</f>
        <v>1</v>
      </c>
      <c r="BE3" s="4">
        <f>+Habilidad!C3</f>
        <v>1</v>
      </c>
      <c r="BF3" s="4">
        <f>+Habilidad!D3</f>
        <v>1</v>
      </c>
      <c r="BG3" s="4">
        <f>+Habilidad!E3</f>
        <v>0</v>
      </c>
    </row>
    <row r="4" spans="1:59" ht="19.5" customHeight="1" x14ac:dyDescent="0.25">
      <c r="A4" s="5" t="s">
        <v>55</v>
      </c>
      <c r="B4" s="12">
        <v>0</v>
      </c>
      <c r="C4" s="4">
        <v>0</v>
      </c>
      <c r="D4" s="4">
        <v>0</v>
      </c>
      <c r="E4" s="4">
        <v>1</v>
      </c>
      <c r="F4" s="4">
        <v>0</v>
      </c>
      <c r="G4" s="4">
        <v>1</v>
      </c>
      <c r="H4" s="4">
        <v>0</v>
      </c>
      <c r="I4" s="4">
        <v>0</v>
      </c>
      <c r="J4" s="4">
        <v>1</v>
      </c>
      <c r="K4" s="4">
        <v>0</v>
      </c>
      <c r="L4" s="4">
        <v>1</v>
      </c>
      <c r="M4" s="4">
        <v>1</v>
      </c>
      <c r="N4" s="4">
        <v>1</v>
      </c>
      <c r="O4" s="4">
        <v>0</v>
      </c>
      <c r="P4" s="4">
        <v>0</v>
      </c>
      <c r="Q4" s="4">
        <v>1</v>
      </c>
      <c r="R4" s="13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2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1</v>
      </c>
      <c r="AM4" s="13">
        <v>0</v>
      </c>
      <c r="AN4" s="4">
        <v>0</v>
      </c>
      <c r="AO4" s="4">
        <v>0</v>
      </c>
      <c r="AP4" s="4">
        <v>1</v>
      </c>
      <c r="AQ4" s="4">
        <v>1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12">
        <v>0</v>
      </c>
      <c r="AX4" s="13">
        <v>1</v>
      </c>
      <c r="AY4" s="4">
        <v>0</v>
      </c>
      <c r="AZ4" s="4">
        <v>0</v>
      </c>
      <c r="BA4" s="12">
        <v>0</v>
      </c>
      <c r="BB4" s="4">
        <v>0</v>
      </c>
      <c r="BC4" s="13">
        <v>0</v>
      </c>
      <c r="BD4" s="4">
        <f>+Habilidad!B4</f>
        <v>1</v>
      </c>
      <c r="BE4" s="4">
        <f>+Habilidad!C4</f>
        <v>1</v>
      </c>
      <c r="BF4" s="4">
        <f>+Habilidad!D4</f>
        <v>1</v>
      </c>
      <c r="BG4" s="4">
        <f>+Habilidad!E4</f>
        <v>1</v>
      </c>
    </row>
    <row r="5" spans="1:59" ht="19.5" customHeight="1" x14ac:dyDescent="0.25">
      <c r="A5" s="5" t="s">
        <v>56</v>
      </c>
      <c r="B5" s="12">
        <v>0</v>
      </c>
      <c r="C5" s="4">
        <v>0</v>
      </c>
      <c r="D5" s="4">
        <v>0</v>
      </c>
      <c r="E5" s="4">
        <v>1</v>
      </c>
      <c r="F5" s="4">
        <v>0</v>
      </c>
      <c r="G5" s="4">
        <v>1</v>
      </c>
      <c r="H5" s="4">
        <v>0</v>
      </c>
      <c r="I5" s="4">
        <v>0</v>
      </c>
      <c r="J5" s="4">
        <v>1</v>
      </c>
      <c r="K5" s="4">
        <v>0</v>
      </c>
      <c r="L5" s="4">
        <v>1</v>
      </c>
      <c r="M5" s="4">
        <v>1</v>
      </c>
      <c r="N5" s="4">
        <v>1</v>
      </c>
      <c r="O5" s="4">
        <v>0</v>
      </c>
      <c r="P5" s="4">
        <v>0</v>
      </c>
      <c r="Q5" s="4">
        <v>1</v>
      </c>
      <c r="R5" s="13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2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13">
        <v>0</v>
      </c>
      <c r="AN5" s="4">
        <v>0</v>
      </c>
      <c r="AO5" s="4">
        <v>0</v>
      </c>
      <c r="AP5" s="4">
        <v>1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12">
        <v>0</v>
      </c>
      <c r="AX5" s="13">
        <v>1</v>
      </c>
      <c r="AY5" s="4">
        <v>0</v>
      </c>
      <c r="AZ5" s="4">
        <v>0</v>
      </c>
      <c r="BA5" s="12">
        <v>0</v>
      </c>
      <c r="BB5" s="4">
        <v>0</v>
      </c>
      <c r="BC5" s="13">
        <v>0</v>
      </c>
      <c r="BD5" s="4">
        <f>+Habilidad!B5</f>
        <v>1</v>
      </c>
      <c r="BE5" s="4">
        <f>+Habilidad!C5</f>
        <v>1</v>
      </c>
      <c r="BF5" s="4">
        <f>+Habilidad!D5</f>
        <v>1</v>
      </c>
      <c r="BG5" s="4">
        <f>+Habilidad!E5</f>
        <v>0</v>
      </c>
    </row>
    <row r="6" spans="1:59" ht="19.5" customHeight="1" x14ac:dyDescent="0.25">
      <c r="A6" s="5" t="s">
        <v>57</v>
      </c>
      <c r="B6" s="12">
        <v>0</v>
      </c>
      <c r="C6" s="4">
        <v>0</v>
      </c>
      <c r="D6" s="4">
        <v>1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1</v>
      </c>
      <c r="K6" s="4">
        <v>0</v>
      </c>
      <c r="L6" s="4">
        <v>1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13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2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13">
        <v>0</v>
      </c>
      <c r="AN6" s="4">
        <v>1</v>
      </c>
      <c r="AO6" s="4">
        <v>0</v>
      </c>
      <c r="AP6" s="4">
        <v>0</v>
      </c>
      <c r="AQ6" s="4">
        <v>1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12">
        <v>0</v>
      </c>
      <c r="AX6" s="13">
        <v>1</v>
      </c>
      <c r="AY6" s="4">
        <v>0</v>
      </c>
      <c r="AZ6" s="4">
        <v>1</v>
      </c>
      <c r="BA6" s="12">
        <v>0</v>
      </c>
      <c r="BB6" s="4">
        <v>0</v>
      </c>
      <c r="BC6" s="13">
        <v>0</v>
      </c>
      <c r="BD6" s="4">
        <f>+Habilidad!B6</f>
        <v>1</v>
      </c>
      <c r="BE6" s="4">
        <f>+Habilidad!C6</f>
        <v>1</v>
      </c>
      <c r="BF6" s="4">
        <f>+Habilidad!D6</f>
        <v>0</v>
      </c>
      <c r="BG6" s="4">
        <f>+Habilidad!E6</f>
        <v>1</v>
      </c>
    </row>
    <row r="7" spans="1:59" ht="19.5" customHeight="1" x14ac:dyDescent="0.25">
      <c r="A7" s="5" t="s">
        <v>58</v>
      </c>
      <c r="B7" s="12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1</v>
      </c>
      <c r="I7" s="4">
        <v>1</v>
      </c>
      <c r="J7" s="4">
        <v>1</v>
      </c>
      <c r="K7" s="4">
        <v>0</v>
      </c>
      <c r="L7" s="4">
        <v>1</v>
      </c>
      <c r="M7" s="4">
        <v>1</v>
      </c>
      <c r="N7" s="4">
        <v>1</v>
      </c>
      <c r="O7" s="4">
        <v>0</v>
      </c>
      <c r="P7" s="4">
        <v>0</v>
      </c>
      <c r="Q7" s="4">
        <v>1</v>
      </c>
      <c r="R7" s="13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2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1</v>
      </c>
      <c r="AM7" s="13">
        <v>0</v>
      </c>
      <c r="AN7" s="4">
        <v>0</v>
      </c>
      <c r="AO7" s="4">
        <v>0</v>
      </c>
      <c r="AP7" s="4">
        <v>0</v>
      </c>
      <c r="AQ7" s="4">
        <v>1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12">
        <v>0</v>
      </c>
      <c r="AX7" s="13">
        <v>1</v>
      </c>
      <c r="AY7" s="4">
        <v>0</v>
      </c>
      <c r="AZ7" s="4">
        <v>0</v>
      </c>
      <c r="BA7" s="12">
        <v>0</v>
      </c>
      <c r="BB7" s="4">
        <v>0</v>
      </c>
      <c r="BC7" s="13">
        <v>0</v>
      </c>
      <c r="BD7" s="4">
        <f>+Habilidad!B7</f>
        <v>1</v>
      </c>
      <c r="BE7" s="4">
        <f>+Habilidad!C7</f>
        <v>1</v>
      </c>
      <c r="BF7" s="4">
        <f>+Habilidad!D7</f>
        <v>1</v>
      </c>
      <c r="BG7" s="4">
        <f>+Habilidad!E7</f>
        <v>1</v>
      </c>
    </row>
    <row r="8" spans="1:59" ht="19.5" customHeight="1" x14ac:dyDescent="0.25">
      <c r="A8" s="5" t="s">
        <v>59</v>
      </c>
      <c r="B8" s="12">
        <v>0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1</v>
      </c>
      <c r="K8" s="4">
        <v>0</v>
      </c>
      <c r="L8" s="4">
        <v>1</v>
      </c>
      <c r="M8" s="4">
        <v>1</v>
      </c>
      <c r="N8" s="4">
        <v>1</v>
      </c>
      <c r="O8" s="4">
        <v>0</v>
      </c>
      <c r="P8" s="4">
        <v>0</v>
      </c>
      <c r="Q8" s="4">
        <v>1</v>
      </c>
      <c r="R8" s="13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2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13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12">
        <v>0</v>
      </c>
      <c r="AX8" s="13">
        <v>1</v>
      </c>
      <c r="AY8" s="4">
        <v>0</v>
      </c>
      <c r="AZ8" s="4">
        <v>0</v>
      </c>
      <c r="BA8" s="12">
        <v>0</v>
      </c>
      <c r="BB8" s="4">
        <v>1</v>
      </c>
      <c r="BC8" s="13">
        <v>0</v>
      </c>
      <c r="BD8" s="4">
        <f>+Habilidad!B8</f>
        <v>1</v>
      </c>
      <c r="BE8" s="4">
        <f>+Habilidad!C8</f>
        <v>1</v>
      </c>
      <c r="BF8" s="4">
        <f>+Habilidad!D8</f>
        <v>1</v>
      </c>
      <c r="BG8" s="4">
        <f>+Habilidad!E8</f>
        <v>0</v>
      </c>
    </row>
    <row r="9" spans="1:59" ht="19.5" customHeight="1" x14ac:dyDescent="0.25">
      <c r="A9" s="5" t="s">
        <v>60</v>
      </c>
      <c r="B9" s="12">
        <v>0</v>
      </c>
      <c r="C9" s="4">
        <v>0</v>
      </c>
      <c r="D9" s="4">
        <v>0</v>
      </c>
      <c r="E9" s="4">
        <v>1</v>
      </c>
      <c r="F9" s="4">
        <v>0</v>
      </c>
      <c r="G9" s="4">
        <v>1</v>
      </c>
      <c r="H9" s="4">
        <v>0</v>
      </c>
      <c r="I9" s="4">
        <v>0</v>
      </c>
      <c r="J9" s="4">
        <v>1</v>
      </c>
      <c r="K9" s="4">
        <v>0</v>
      </c>
      <c r="L9" s="4">
        <v>1</v>
      </c>
      <c r="M9" s="4">
        <v>1</v>
      </c>
      <c r="N9" s="4">
        <v>1</v>
      </c>
      <c r="O9" s="4">
        <v>0</v>
      </c>
      <c r="P9" s="4">
        <v>0</v>
      </c>
      <c r="Q9" s="4">
        <v>1</v>
      </c>
      <c r="R9" s="13">
        <v>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2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</v>
      </c>
      <c r="AM9" s="13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0</v>
      </c>
      <c r="AT9" s="4">
        <v>1</v>
      </c>
      <c r="AU9" s="4">
        <v>0</v>
      </c>
      <c r="AV9" s="4">
        <v>0</v>
      </c>
      <c r="AW9" s="12">
        <v>0</v>
      </c>
      <c r="AX9" s="13">
        <v>1</v>
      </c>
      <c r="AY9" s="4">
        <v>0</v>
      </c>
      <c r="AZ9" s="4">
        <v>0</v>
      </c>
      <c r="BA9" s="12">
        <v>0</v>
      </c>
      <c r="BB9" s="4">
        <v>1</v>
      </c>
      <c r="BC9" s="13">
        <v>0</v>
      </c>
      <c r="BD9" s="4">
        <f>+Habilidad!B9</f>
        <v>1</v>
      </c>
      <c r="BE9" s="4">
        <f>+Habilidad!C9</f>
        <v>1</v>
      </c>
      <c r="BF9" s="4">
        <f>+Habilidad!D9</f>
        <v>1</v>
      </c>
      <c r="BG9" s="4">
        <f>+Habilidad!E9</f>
        <v>0</v>
      </c>
    </row>
    <row r="10" spans="1:59" ht="19.5" customHeight="1" x14ac:dyDescent="0.25">
      <c r="A10" s="5" t="s">
        <v>61</v>
      </c>
      <c r="B10" s="12">
        <v>0</v>
      </c>
      <c r="C10" s="4">
        <v>0</v>
      </c>
      <c r="D10" s="4">
        <v>1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1</v>
      </c>
      <c r="K10" s="4">
        <v>0</v>
      </c>
      <c r="L10" s="4">
        <v>1</v>
      </c>
      <c r="M10" s="4">
        <v>1</v>
      </c>
      <c r="N10" s="4">
        <v>1</v>
      </c>
      <c r="O10" s="4">
        <v>0</v>
      </c>
      <c r="P10" s="4">
        <v>0</v>
      </c>
      <c r="Q10" s="4">
        <v>0</v>
      </c>
      <c r="R10" s="13">
        <v>1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2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13">
        <v>0</v>
      </c>
      <c r="AN10" s="4">
        <v>1</v>
      </c>
      <c r="AO10" s="4">
        <v>0</v>
      </c>
      <c r="AP10" s="4">
        <v>0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12">
        <v>0</v>
      </c>
      <c r="AX10" s="13">
        <v>0</v>
      </c>
      <c r="AY10" s="4">
        <v>0</v>
      </c>
      <c r="AZ10" s="4">
        <v>1</v>
      </c>
      <c r="BA10" s="12">
        <v>0</v>
      </c>
      <c r="BB10" s="4">
        <v>0</v>
      </c>
      <c r="BC10" s="13">
        <v>0</v>
      </c>
      <c r="BD10" s="4">
        <f>+Habilidad!B10</f>
        <v>1</v>
      </c>
      <c r="BE10" s="4">
        <f>+Habilidad!C10</f>
        <v>1</v>
      </c>
      <c r="BF10" s="4">
        <f>+Habilidad!D10</f>
        <v>0</v>
      </c>
      <c r="BG10" s="4">
        <f>+Habilidad!E10</f>
        <v>0</v>
      </c>
    </row>
    <row r="11" spans="1:59" ht="19.5" customHeight="1" x14ac:dyDescent="0.25">
      <c r="A11" s="5" t="s">
        <v>62</v>
      </c>
      <c r="B11" s="12">
        <v>0</v>
      </c>
      <c r="C11" s="4">
        <v>0</v>
      </c>
      <c r="D11" s="4">
        <v>0</v>
      </c>
      <c r="E11" s="4">
        <v>0</v>
      </c>
      <c r="F11" s="4">
        <v>1</v>
      </c>
      <c r="G11" s="4">
        <v>1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1</v>
      </c>
      <c r="N11" s="4">
        <v>1</v>
      </c>
      <c r="O11" s="4">
        <v>0</v>
      </c>
      <c r="P11" s="4">
        <v>0</v>
      </c>
      <c r="Q11" s="4">
        <v>0</v>
      </c>
      <c r="R11" s="13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2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13">
        <v>0</v>
      </c>
      <c r="AN11" s="4">
        <v>0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12">
        <v>0</v>
      </c>
      <c r="AX11" s="13">
        <v>0</v>
      </c>
      <c r="AY11" s="4">
        <v>0</v>
      </c>
      <c r="AZ11" s="4">
        <v>0</v>
      </c>
      <c r="BA11" s="12">
        <v>0</v>
      </c>
      <c r="BB11" s="4">
        <v>0</v>
      </c>
      <c r="BC11" s="13">
        <v>0</v>
      </c>
      <c r="BD11" s="4">
        <f>+Habilidad!B11</f>
        <v>1</v>
      </c>
      <c r="BE11" s="4">
        <f>+Habilidad!C11</f>
        <v>1</v>
      </c>
      <c r="BF11" s="4">
        <f>+Habilidad!D11</f>
        <v>0</v>
      </c>
      <c r="BG11" s="4">
        <f>+Habilidad!E11</f>
        <v>1</v>
      </c>
    </row>
    <row r="12" spans="1:59" ht="19.5" customHeight="1" x14ac:dyDescent="0.25">
      <c r="A12" s="5" t="s">
        <v>63</v>
      </c>
      <c r="B12" s="12">
        <v>0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1</v>
      </c>
      <c r="K12" s="4">
        <v>0</v>
      </c>
      <c r="L12" s="4">
        <v>1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13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2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13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12">
        <v>0</v>
      </c>
      <c r="AX12" s="13">
        <v>0</v>
      </c>
      <c r="AY12" s="4">
        <v>0</v>
      </c>
      <c r="AZ12" s="4">
        <v>0</v>
      </c>
      <c r="BA12" s="12">
        <v>0</v>
      </c>
      <c r="BB12" s="4">
        <v>0</v>
      </c>
      <c r="BC12" s="13">
        <v>0</v>
      </c>
      <c r="BD12" s="4">
        <f>+Habilidad!B12</f>
        <v>1</v>
      </c>
      <c r="BE12" s="4">
        <f>+Habilidad!C12</f>
        <v>1</v>
      </c>
      <c r="BF12" s="4">
        <f>+Habilidad!D12</f>
        <v>1</v>
      </c>
      <c r="BG12" s="4">
        <f>+Habilidad!E12</f>
        <v>0</v>
      </c>
    </row>
    <row r="13" spans="1:59" ht="19.5" customHeight="1" x14ac:dyDescent="0.25">
      <c r="A13" s="5" t="s">
        <v>64</v>
      </c>
      <c r="B13" s="12">
        <v>0</v>
      </c>
      <c r="C13" s="4">
        <v>0</v>
      </c>
      <c r="D13" s="4">
        <v>0</v>
      </c>
      <c r="E13" s="4">
        <v>0</v>
      </c>
      <c r="F13" s="4">
        <v>1</v>
      </c>
      <c r="G13" s="4">
        <v>1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1</v>
      </c>
      <c r="N13" s="4">
        <v>1</v>
      </c>
      <c r="O13" s="4">
        <v>0</v>
      </c>
      <c r="P13" s="4">
        <v>0</v>
      </c>
      <c r="Q13" s="4">
        <v>0</v>
      </c>
      <c r="R13" s="13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2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13">
        <v>0</v>
      </c>
      <c r="AN13" s="4">
        <v>0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12">
        <v>0</v>
      </c>
      <c r="AX13" s="13">
        <v>0</v>
      </c>
      <c r="AY13" s="4">
        <v>0</v>
      </c>
      <c r="AZ13" s="4">
        <v>0</v>
      </c>
      <c r="BA13" s="12">
        <v>0</v>
      </c>
      <c r="BB13" s="4">
        <v>0</v>
      </c>
      <c r="BC13" s="13">
        <v>0</v>
      </c>
      <c r="BD13" s="4">
        <f>+Habilidad!B13</f>
        <v>1</v>
      </c>
      <c r="BE13" s="4">
        <f>+Habilidad!C13</f>
        <v>1</v>
      </c>
      <c r="BF13" s="4">
        <f>+Habilidad!D13</f>
        <v>0</v>
      </c>
      <c r="BG13" s="4">
        <f>+Habilidad!E13</f>
        <v>1</v>
      </c>
    </row>
    <row r="14" spans="1:59" ht="19.5" customHeight="1" x14ac:dyDescent="0.25">
      <c r="A14" s="5" t="s">
        <v>65</v>
      </c>
      <c r="B14" s="12">
        <v>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1</v>
      </c>
      <c r="N14" s="4">
        <v>1</v>
      </c>
      <c r="O14" s="4">
        <v>1</v>
      </c>
      <c r="P14" s="4">
        <v>0</v>
      </c>
      <c r="Q14" s="4">
        <v>0</v>
      </c>
      <c r="R14" s="13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2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13">
        <v>0</v>
      </c>
      <c r="AN14" s="4">
        <v>0</v>
      </c>
      <c r="AO14" s="4">
        <v>0</v>
      </c>
      <c r="AP14" s="4">
        <v>0</v>
      </c>
      <c r="AQ14" s="4">
        <v>0</v>
      </c>
      <c r="AR14" s="4">
        <v>1</v>
      </c>
      <c r="AS14" s="4">
        <v>1</v>
      </c>
      <c r="AT14" s="4">
        <v>0</v>
      </c>
      <c r="AU14" s="4">
        <v>0</v>
      </c>
      <c r="AV14" s="4">
        <v>0</v>
      </c>
      <c r="AW14" s="12">
        <v>1</v>
      </c>
      <c r="AX14" s="13">
        <v>0</v>
      </c>
      <c r="AY14" s="4">
        <v>0</v>
      </c>
      <c r="AZ14" s="4">
        <v>0</v>
      </c>
      <c r="BA14" s="12">
        <v>0</v>
      </c>
      <c r="BB14" s="4">
        <v>0</v>
      </c>
      <c r="BC14" s="13">
        <v>0</v>
      </c>
      <c r="BD14" s="4">
        <f>+Habilidad!B14</f>
        <v>1</v>
      </c>
      <c r="BE14" s="4">
        <f>+Habilidad!C14</f>
        <v>0</v>
      </c>
      <c r="BF14" s="4">
        <f>+Habilidad!D14</f>
        <v>0</v>
      </c>
      <c r="BG14" s="4">
        <f>+Habilidad!E14</f>
        <v>0</v>
      </c>
    </row>
    <row r="15" spans="1:59" ht="19.5" customHeight="1" x14ac:dyDescent="0.25">
      <c r="A15" s="5" t="s">
        <v>66</v>
      </c>
      <c r="B15" s="12">
        <v>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1</v>
      </c>
      <c r="O15" s="4">
        <v>0</v>
      </c>
      <c r="P15" s="4">
        <v>1</v>
      </c>
      <c r="Q15" s="4">
        <v>0</v>
      </c>
      <c r="R15" s="13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2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13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1</v>
      </c>
      <c r="AV15" s="4">
        <v>0</v>
      </c>
      <c r="AW15" s="12">
        <v>0</v>
      </c>
      <c r="AX15" s="13">
        <v>1</v>
      </c>
      <c r="AY15" s="4">
        <v>0</v>
      </c>
      <c r="AZ15" s="4">
        <v>0</v>
      </c>
      <c r="BA15" s="12">
        <v>0</v>
      </c>
      <c r="BB15" s="4">
        <v>0</v>
      </c>
      <c r="BC15" s="13">
        <v>0</v>
      </c>
      <c r="BD15" s="4">
        <f>+Habilidad!B15</f>
        <v>1</v>
      </c>
      <c r="BE15" s="4">
        <f>+Habilidad!C15</f>
        <v>0</v>
      </c>
      <c r="BF15" s="4">
        <f>+Habilidad!D15</f>
        <v>0</v>
      </c>
      <c r="BG15" s="4">
        <f>+Habilidad!E15</f>
        <v>0</v>
      </c>
    </row>
    <row r="16" spans="1:59" ht="19.5" customHeight="1" x14ac:dyDescent="0.25">
      <c r="A16" s="5" t="s">
        <v>67</v>
      </c>
      <c r="B16" s="12">
        <v>0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  <c r="M16" s="4">
        <v>1</v>
      </c>
      <c r="N16" s="4">
        <v>1</v>
      </c>
      <c r="O16" s="4">
        <v>0</v>
      </c>
      <c r="P16" s="4">
        <v>0</v>
      </c>
      <c r="Q16" s="4">
        <v>1</v>
      </c>
      <c r="R16" s="13">
        <v>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2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13">
        <v>0</v>
      </c>
      <c r="AN16" s="4">
        <v>0</v>
      </c>
      <c r="AO16" s="4">
        <v>0</v>
      </c>
      <c r="AP16" s="4">
        <v>0</v>
      </c>
      <c r="AQ16" s="4">
        <v>1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12">
        <v>0</v>
      </c>
      <c r="AX16" s="13">
        <v>1</v>
      </c>
      <c r="AY16" s="4">
        <v>0</v>
      </c>
      <c r="AZ16" s="4">
        <v>0</v>
      </c>
      <c r="BA16" s="12">
        <v>0</v>
      </c>
      <c r="BB16" s="4">
        <v>0</v>
      </c>
      <c r="BC16" s="13">
        <v>0</v>
      </c>
      <c r="BD16" s="4">
        <f>+Habilidad!B16</f>
        <v>1</v>
      </c>
      <c r="BE16" s="4">
        <f>+Habilidad!C16</f>
        <v>1</v>
      </c>
      <c r="BF16" s="4">
        <f>+Habilidad!D16</f>
        <v>1</v>
      </c>
      <c r="BG16" s="4">
        <f>+Habilidad!E16</f>
        <v>1</v>
      </c>
    </row>
    <row r="17" spans="1:59" ht="19.5" customHeight="1" x14ac:dyDescent="0.25">
      <c r="A17" s="5" t="s">
        <v>68</v>
      </c>
      <c r="B17" s="12">
        <v>0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1</v>
      </c>
      <c r="O17" s="4">
        <v>0</v>
      </c>
      <c r="P17" s="4">
        <v>1</v>
      </c>
      <c r="Q17" s="4">
        <v>0</v>
      </c>
      <c r="R17" s="13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2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13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1</v>
      </c>
      <c r="AV17" s="4">
        <v>0</v>
      </c>
      <c r="AW17" s="12">
        <v>0</v>
      </c>
      <c r="AX17" s="13">
        <v>1</v>
      </c>
      <c r="AY17" s="4">
        <v>0</v>
      </c>
      <c r="AZ17" s="4">
        <v>0</v>
      </c>
      <c r="BA17" s="12">
        <v>0</v>
      </c>
      <c r="BB17" s="4">
        <v>0</v>
      </c>
      <c r="BC17" s="13">
        <v>0</v>
      </c>
      <c r="BD17" s="4">
        <f>+Habilidad!B17</f>
        <v>1</v>
      </c>
      <c r="BE17" s="4">
        <f>+Habilidad!C17</f>
        <v>0</v>
      </c>
      <c r="BF17" s="4">
        <f>+Habilidad!D17</f>
        <v>0</v>
      </c>
      <c r="BG17" s="4">
        <f>+Habilidad!E17</f>
        <v>0</v>
      </c>
    </row>
    <row r="18" spans="1:59" ht="19.5" customHeight="1" x14ac:dyDescent="0.25">
      <c r="A18" s="5" t="s">
        <v>69</v>
      </c>
      <c r="B18" s="12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13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2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13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  <c r="AW18" s="12">
        <v>0</v>
      </c>
      <c r="AX18" s="13">
        <v>0</v>
      </c>
      <c r="AY18" s="4">
        <v>0</v>
      </c>
      <c r="AZ18" s="4">
        <v>0</v>
      </c>
      <c r="BA18" s="12">
        <v>0</v>
      </c>
      <c r="BB18" s="4">
        <v>0</v>
      </c>
      <c r="BC18" s="13">
        <v>0</v>
      </c>
      <c r="BD18" s="4">
        <f>+Habilidad!B18</f>
        <v>1</v>
      </c>
      <c r="BE18" s="4">
        <f>+Habilidad!C18</f>
        <v>0</v>
      </c>
      <c r="BF18" s="4">
        <f>+Habilidad!D18</f>
        <v>0</v>
      </c>
      <c r="BG18" s="4">
        <f>+Habilidad!E18</f>
        <v>0</v>
      </c>
    </row>
    <row r="19" spans="1:59" ht="19.5" customHeight="1" x14ac:dyDescent="0.25">
      <c r="A19" s="5" t="s">
        <v>70</v>
      </c>
      <c r="B19" s="12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13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12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13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  <c r="AW19" s="12">
        <v>0</v>
      </c>
      <c r="AX19" s="13">
        <v>0</v>
      </c>
      <c r="AY19" s="4">
        <v>0</v>
      </c>
      <c r="AZ19" s="4">
        <v>0</v>
      </c>
      <c r="BA19" s="12">
        <v>0</v>
      </c>
      <c r="BB19" s="4">
        <v>0</v>
      </c>
      <c r="BC19" s="13">
        <v>0</v>
      </c>
      <c r="BD19" s="4">
        <f>+Habilidad!B19</f>
        <v>1</v>
      </c>
      <c r="BE19" s="4">
        <f>+Habilidad!C19</f>
        <v>0</v>
      </c>
      <c r="BF19" s="4">
        <f>+Habilidad!D19</f>
        <v>0</v>
      </c>
      <c r="BG19" s="4">
        <f>+Habilidad!E19</f>
        <v>0</v>
      </c>
    </row>
    <row r="20" spans="1:59" ht="19.5" customHeight="1" x14ac:dyDescent="0.25">
      <c r="A20" s="5" t="s">
        <v>71</v>
      </c>
      <c r="B20" s="12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13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12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13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1</v>
      </c>
      <c r="AW20" s="12">
        <v>0</v>
      </c>
      <c r="AX20" s="13">
        <v>0</v>
      </c>
      <c r="AY20" s="4">
        <v>0</v>
      </c>
      <c r="AZ20" s="4">
        <v>0</v>
      </c>
      <c r="BA20" s="12">
        <v>0</v>
      </c>
      <c r="BB20" s="4">
        <v>0</v>
      </c>
      <c r="BC20" s="13">
        <v>0</v>
      </c>
      <c r="BD20" s="4">
        <f>+Habilidad!B20</f>
        <v>1</v>
      </c>
      <c r="BE20" s="4">
        <f>+Habilidad!C20</f>
        <v>0</v>
      </c>
      <c r="BF20" s="4">
        <f>+Habilidad!D20</f>
        <v>0</v>
      </c>
      <c r="BG20" s="4">
        <f>+Habilidad!E20</f>
        <v>0</v>
      </c>
    </row>
    <row r="21" spans="1:59" ht="19.5" customHeight="1" x14ac:dyDescent="0.25">
      <c r="A21" s="5" t="s">
        <v>72</v>
      </c>
      <c r="B21" s="12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13">
        <v>0</v>
      </c>
      <c r="S21" s="4">
        <v>1</v>
      </c>
      <c r="T21" s="4">
        <v>1</v>
      </c>
      <c r="U21" s="4">
        <v>1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12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13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12">
        <v>0</v>
      </c>
      <c r="AX21" s="13">
        <v>0</v>
      </c>
      <c r="AY21" s="4">
        <v>0</v>
      </c>
      <c r="AZ21" s="4">
        <v>0</v>
      </c>
      <c r="BA21" s="12">
        <v>0</v>
      </c>
      <c r="BB21" s="4">
        <v>0</v>
      </c>
      <c r="BC21" s="13">
        <v>1</v>
      </c>
      <c r="BD21" s="4">
        <f>+Habilidad!B21</f>
        <v>1</v>
      </c>
      <c r="BE21" s="4">
        <f>+Habilidad!C21</f>
        <v>1</v>
      </c>
      <c r="BF21" s="4">
        <f>+Habilidad!D21</f>
        <v>1</v>
      </c>
      <c r="BG21" s="4">
        <f>+Habilidad!E21</f>
        <v>0</v>
      </c>
    </row>
    <row r="22" spans="1:59" ht="19.5" customHeight="1" x14ac:dyDescent="0.25">
      <c r="A22" s="5" t="s">
        <v>73</v>
      </c>
      <c r="B22" s="12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13">
        <v>0</v>
      </c>
      <c r="S22" s="4">
        <v>1</v>
      </c>
      <c r="T22" s="4">
        <v>1</v>
      </c>
      <c r="U22" s="4">
        <v>1</v>
      </c>
      <c r="V22" s="4">
        <v>0</v>
      </c>
      <c r="W22" s="4">
        <v>0</v>
      </c>
      <c r="X22" s="4">
        <v>1</v>
      </c>
      <c r="Y22" s="4">
        <v>0</v>
      </c>
      <c r="Z22" s="4">
        <v>1</v>
      </c>
      <c r="AA22" s="4">
        <v>1</v>
      </c>
      <c r="AB22" s="4">
        <v>1</v>
      </c>
      <c r="AC22" s="12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13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12">
        <v>0</v>
      </c>
      <c r="AX22" s="13">
        <v>0</v>
      </c>
      <c r="AY22" s="4">
        <v>0</v>
      </c>
      <c r="AZ22" s="4">
        <v>0</v>
      </c>
      <c r="BA22" s="12">
        <v>0</v>
      </c>
      <c r="BB22" s="4">
        <v>0</v>
      </c>
      <c r="BC22" s="13">
        <v>0</v>
      </c>
      <c r="BD22" s="4">
        <f>+Habilidad!B22</f>
        <v>1</v>
      </c>
      <c r="BE22" s="4">
        <f>+Habilidad!C22</f>
        <v>1</v>
      </c>
      <c r="BF22" s="4">
        <f>+Habilidad!D22</f>
        <v>0</v>
      </c>
      <c r="BG22" s="4">
        <f>+Habilidad!E22</f>
        <v>0</v>
      </c>
    </row>
    <row r="23" spans="1:59" ht="19.5" customHeight="1" x14ac:dyDescent="0.25">
      <c r="A23" s="5" t="s">
        <v>74</v>
      </c>
      <c r="B23" s="12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13">
        <v>0</v>
      </c>
      <c r="S23" s="4">
        <v>1</v>
      </c>
      <c r="T23" s="4">
        <v>1</v>
      </c>
      <c r="U23" s="4">
        <v>1</v>
      </c>
      <c r="V23" s="4">
        <v>1</v>
      </c>
      <c r="W23" s="4">
        <v>0</v>
      </c>
      <c r="X23" s="4">
        <v>1</v>
      </c>
      <c r="Y23" s="4">
        <v>0</v>
      </c>
      <c r="Z23" s="4">
        <v>1</v>
      </c>
      <c r="AA23" s="4">
        <v>1</v>
      </c>
      <c r="AB23" s="4">
        <v>1</v>
      </c>
      <c r="AC23" s="12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13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12">
        <v>0</v>
      </c>
      <c r="AX23" s="13">
        <v>0</v>
      </c>
      <c r="AY23" s="4">
        <v>0</v>
      </c>
      <c r="AZ23" s="4">
        <v>0</v>
      </c>
      <c r="BA23" s="12">
        <v>0</v>
      </c>
      <c r="BB23" s="4">
        <v>0</v>
      </c>
      <c r="BC23" s="13">
        <v>0</v>
      </c>
      <c r="BD23" s="4">
        <f>+Habilidad!B23</f>
        <v>1</v>
      </c>
      <c r="BE23" s="4">
        <f>+Habilidad!C23</f>
        <v>1</v>
      </c>
      <c r="BF23" s="4">
        <f>+Habilidad!D23</f>
        <v>1</v>
      </c>
      <c r="BG23" s="4">
        <f>+Habilidad!E23</f>
        <v>0</v>
      </c>
    </row>
    <row r="24" spans="1:59" ht="19.5" customHeight="1" x14ac:dyDescent="0.25">
      <c r="A24" s="5" t="s">
        <v>75</v>
      </c>
      <c r="B24" s="12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13">
        <v>0</v>
      </c>
      <c r="S24" s="4">
        <v>1</v>
      </c>
      <c r="T24" s="4">
        <v>1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1</v>
      </c>
      <c r="AB24" s="4">
        <v>1</v>
      </c>
      <c r="AC24" s="12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13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12">
        <v>0</v>
      </c>
      <c r="AX24" s="13">
        <v>0</v>
      </c>
      <c r="AY24" s="4">
        <v>0</v>
      </c>
      <c r="AZ24" s="4">
        <v>0</v>
      </c>
      <c r="BA24" s="12">
        <v>0</v>
      </c>
      <c r="BB24" s="4">
        <v>0</v>
      </c>
      <c r="BC24" s="13">
        <v>1</v>
      </c>
      <c r="BD24" s="4">
        <f>+Habilidad!B24</f>
        <v>1</v>
      </c>
      <c r="BE24" s="4">
        <f>+Habilidad!C24</f>
        <v>1</v>
      </c>
      <c r="BF24" s="4">
        <f>+Habilidad!D24</f>
        <v>1</v>
      </c>
      <c r="BG24" s="4">
        <f>+Habilidad!E24</f>
        <v>0</v>
      </c>
    </row>
    <row r="25" spans="1:59" ht="19.5" customHeight="1" x14ac:dyDescent="0.25">
      <c r="A25" s="5" t="s">
        <v>76</v>
      </c>
      <c r="B25" s="12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13">
        <v>0</v>
      </c>
      <c r="S25" s="4">
        <v>1</v>
      </c>
      <c r="T25" s="4">
        <v>1</v>
      </c>
      <c r="U25" s="4">
        <v>1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1</v>
      </c>
      <c r="AB25" s="4">
        <v>1</v>
      </c>
      <c r="AC25" s="12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13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12">
        <v>0</v>
      </c>
      <c r="AX25" s="13">
        <v>0</v>
      </c>
      <c r="AY25" s="4">
        <v>0</v>
      </c>
      <c r="AZ25" s="4">
        <v>0</v>
      </c>
      <c r="BA25" s="12">
        <v>0</v>
      </c>
      <c r="BB25" s="4">
        <v>0</v>
      </c>
      <c r="BC25" s="13">
        <v>0</v>
      </c>
      <c r="BD25" s="4">
        <f>+Habilidad!B25</f>
        <v>1</v>
      </c>
      <c r="BE25" s="4">
        <f>+Habilidad!C25</f>
        <v>1</v>
      </c>
      <c r="BF25" s="4">
        <f>+Habilidad!D25</f>
        <v>1</v>
      </c>
      <c r="BG25" s="4">
        <f>+Habilidad!E25</f>
        <v>0</v>
      </c>
    </row>
    <row r="26" spans="1:59" ht="19.5" customHeight="1" x14ac:dyDescent="0.25">
      <c r="A26" s="5" t="s">
        <v>77</v>
      </c>
      <c r="B26" s="12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13">
        <v>0</v>
      </c>
      <c r="S26" s="4">
        <v>0</v>
      </c>
      <c r="T26" s="4">
        <v>0</v>
      </c>
      <c r="U26" s="4">
        <v>1</v>
      </c>
      <c r="V26" s="4">
        <v>0</v>
      </c>
      <c r="W26" s="4">
        <v>1</v>
      </c>
      <c r="X26" s="4">
        <v>0</v>
      </c>
      <c r="Y26" s="4">
        <v>0</v>
      </c>
      <c r="Z26" s="4">
        <v>1</v>
      </c>
      <c r="AA26" s="4">
        <v>0</v>
      </c>
      <c r="AB26" s="4">
        <v>0</v>
      </c>
      <c r="AC26" s="12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13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12">
        <v>0</v>
      </c>
      <c r="AX26" s="13">
        <v>0</v>
      </c>
      <c r="AY26" s="4">
        <v>0</v>
      </c>
      <c r="AZ26" s="4">
        <v>0</v>
      </c>
      <c r="BA26" s="12">
        <v>0</v>
      </c>
      <c r="BB26" s="4">
        <v>0</v>
      </c>
      <c r="BC26" s="13">
        <v>0</v>
      </c>
      <c r="BD26" s="4">
        <f>+Habilidad!B26</f>
        <v>1</v>
      </c>
      <c r="BE26" s="4">
        <f>+Habilidad!C26</f>
        <v>1</v>
      </c>
      <c r="BF26" s="4">
        <f>+Habilidad!D26</f>
        <v>1</v>
      </c>
      <c r="BG26" s="4">
        <f>+Habilidad!E26</f>
        <v>0</v>
      </c>
    </row>
    <row r="27" spans="1:59" ht="19.5" customHeight="1" x14ac:dyDescent="0.25">
      <c r="A27" s="5" t="s">
        <v>78</v>
      </c>
      <c r="B27" s="12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13">
        <v>0</v>
      </c>
      <c r="S27" s="4">
        <v>1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1</v>
      </c>
      <c r="AA27" s="4">
        <v>1</v>
      </c>
      <c r="AB27" s="4">
        <v>0</v>
      </c>
      <c r="AC27" s="12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13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12">
        <v>0</v>
      </c>
      <c r="AX27" s="13">
        <v>0</v>
      </c>
      <c r="AY27" s="4">
        <v>0</v>
      </c>
      <c r="AZ27" s="4">
        <v>0</v>
      </c>
      <c r="BA27" s="12">
        <v>0</v>
      </c>
      <c r="BB27" s="4">
        <v>0</v>
      </c>
      <c r="BC27" s="13">
        <v>0</v>
      </c>
      <c r="BD27" s="4">
        <f>+Habilidad!B27</f>
        <v>1</v>
      </c>
      <c r="BE27" s="4">
        <f>+Habilidad!C27</f>
        <v>1</v>
      </c>
      <c r="BF27" s="4">
        <f>+Habilidad!D27</f>
        <v>1</v>
      </c>
      <c r="BG27" s="4">
        <f>+Habilidad!E27</f>
        <v>0</v>
      </c>
    </row>
    <row r="28" spans="1:59" ht="19.5" customHeight="1" x14ac:dyDescent="0.25">
      <c r="A28" s="5" t="s">
        <v>79</v>
      </c>
      <c r="B28" s="12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13">
        <v>0</v>
      </c>
      <c r="S28" s="4">
        <v>1</v>
      </c>
      <c r="T28" s="4">
        <v>1</v>
      </c>
      <c r="U28" s="4">
        <v>1</v>
      </c>
      <c r="V28" s="4">
        <v>0</v>
      </c>
      <c r="W28" s="4">
        <v>1</v>
      </c>
      <c r="X28" s="4">
        <v>1</v>
      </c>
      <c r="Y28" s="4">
        <v>0</v>
      </c>
      <c r="Z28" s="4">
        <v>1</v>
      </c>
      <c r="AA28" s="4">
        <v>1</v>
      </c>
      <c r="AB28" s="4">
        <v>1</v>
      </c>
      <c r="AC28" s="12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13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12">
        <v>0</v>
      </c>
      <c r="AX28" s="13">
        <v>0</v>
      </c>
      <c r="AY28" s="4">
        <v>0</v>
      </c>
      <c r="AZ28" s="4">
        <v>0</v>
      </c>
      <c r="BA28" s="12">
        <v>0</v>
      </c>
      <c r="BB28" s="4">
        <v>0</v>
      </c>
      <c r="BC28" s="13">
        <v>1</v>
      </c>
      <c r="BD28" s="4">
        <f>+Habilidad!B28</f>
        <v>1</v>
      </c>
      <c r="BE28" s="4">
        <f>+Habilidad!C28</f>
        <v>1</v>
      </c>
      <c r="BF28" s="4">
        <f>+Habilidad!D28</f>
        <v>1</v>
      </c>
      <c r="BG28" s="4">
        <f>+Habilidad!E28</f>
        <v>0</v>
      </c>
    </row>
    <row r="29" spans="1:59" ht="19.5" customHeight="1" x14ac:dyDescent="0.25">
      <c r="A29" s="5" t="s">
        <v>80</v>
      </c>
      <c r="B29" s="12">
        <v>0</v>
      </c>
      <c r="C29" s="4">
        <v>0</v>
      </c>
      <c r="D29" s="4">
        <v>0</v>
      </c>
      <c r="E29" s="4">
        <v>0</v>
      </c>
      <c r="F29" s="4">
        <v>0</v>
      </c>
      <c r="G29" s="4">
        <v>1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13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12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13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12">
        <v>0</v>
      </c>
      <c r="AX29" s="13">
        <v>0</v>
      </c>
      <c r="AY29" s="4">
        <v>0</v>
      </c>
      <c r="AZ29" s="4">
        <v>0</v>
      </c>
      <c r="BA29" s="12">
        <v>0</v>
      </c>
      <c r="BB29" s="4">
        <v>0</v>
      </c>
      <c r="BC29" s="13">
        <v>0</v>
      </c>
      <c r="BD29" s="4">
        <f>+Habilidad!B29</f>
        <v>1</v>
      </c>
      <c r="BE29" s="4">
        <f>+Habilidad!C29</f>
        <v>1</v>
      </c>
      <c r="BF29" s="4">
        <f>+Habilidad!D29</f>
        <v>1</v>
      </c>
      <c r="BG29" s="4">
        <f>+Habilidad!E29</f>
        <v>0</v>
      </c>
    </row>
    <row r="30" spans="1:59" ht="19.5" customHeight="1" x14ac:dyDescent="0.25">
      <c r="A30" s="5" t="s">
        <v>81</v>
      </c>
      <c r="B30" s="12">
        <v>0</v>
      </c>
      <c r="C30" s="4">
        <v>0</v>
      </c>
      <c r="D30" s="4">
        <v>0</v>
      </c>
      <c r="E30" s="4">
        <v>0</v>
      </c>
      <c r="F30" s="4">
        <v>0</v>
      </c>
      <c r="G30" s="4">
        <f t="shared" ref="G30:G40" si="0">+IF(J30=1,1,0)</f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13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12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13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12">
        <v>0</v>
      </c>
      <c r="AX30" s="13">
        <v>0</v>
      </c>
      <c r="AY30" s="4">
        <v>0</v>
      </c>
      <c r="AZ30" s="4">
        <v>0</v>
      </c>
      <c r="BA30" s="12">
        <v>1</v>
      </c>
      <c r="BB30" s="4">
        <v>0</v>
      </c>
      <c r="BC30" s="13">
        <v>0</v>
      </c>
      <c r="BD30" s="4">
        <f>+Habilidad!B30</f>
        <v>1</v>
      </c>
      <c r="BE30" s="4">
        <f>+Habilidad!C30</f>
        <v>0</v>
      </c>
      <c r="BF30" s="4">
        <f>+Habilidad!D30</f>
        <v>0</v>
      </c>
      <c r="BG30" s="4">
        <f>+Habilidad!E30</f>
        <v>0</v>
      </c>
    </row>
    <row r="31" spans="1:59" ht="19.5" customHeight="1" x14ac:dyDescent="0.25">
      <c r="A31" s="5" t="s">
        <v>82</v>
      </c>
      <c r="B31" s="12">
        <v>0</v>
      </c>
      <c r="C31" s="4">
        <v>0</v>
      </c>
      <c r="D31" s="4">
        <v>0</v>
      </c>
      <c r="E31" s="4">
        <v>0</v>
      </c>
      <c r="F31" s="4">
        <v>0</v>
      </c>
      <c r="G31" s="4">
        <f t="shared" si="0"/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13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12">
        <v>0</v>
      </c>
      <c r="AD31" s="4">
        <v>0</v>
      </c>
      <c r="AE31" s="4">
        <v>0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0</v>
      </c>
      <c r="AM31" s="13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12">
        <v>0</v>
      </c>
      <c r="AX31" s="13">
        <v>0</v>
      </c>
      <c r="AY31" s="4">
        <v>0</v>
      </c>
      <c r="AZ31" s="4">
        <v>0</v>
      </c>
      <c r="BA31" s="12">
        <v>0</v>
      </c>
      <c r="BB31" s="4">
        <v>0</v>
      </c>
      <c r="BC31" s="13">
        <v>0</v>
      </c>
      <c r="BD31" s="4">
        <f>+Habilidad!B31</f>
        <v>1</v>
      </c>
      <c r="BE31" s="4">
        <f>+Habilidad!C31</f>
        <v>0</v>
      </c>
      <c r="BF31" s="4">
        <f>+Habilidad!D31</f>
        <v>0</v>
      </c>
      <c r="BG31" s="4">
        <f>+Habilidad!E31</f>
        <v>0</v>
      </c>
    </row>
    <row r="32" spans="1:59" ht="19.5" customHeight="1" x14ac:dyDescent="0.25">
      <c r="A32" s="5" t="s">
        <v>83</v>
      </c>
      <c r="B32" s="12">
        <v>0</v>
      </c>
      <c r="C32" s="4">
        <v>0</v>
      </c>
      <c r="D32" s="4">
        <v>0</v>
      </c>
      <c r="E32" s="4">
        <v>0</v>
      </c>
      <c r="F32" s="4">
        <v>0</v>
      </c>
      <c r="G32" s="4">
        <f t="shared" si="0"/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13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12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0</v>
      </c>
      <c r="AM32" s="13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12">
        <v>0</v>
      </c>
      <c r="AX32" s="13">
        <v>0</v>
      </c>
      <c r="AY32" s="4">
        <v>0</v>
      </c>
      <c r="AZ32" s="4">
        <v>0</v>
      </c>
      <c r="BA32" s="12">
        <v>0</v>
      </c>
      <c r="BB32" s="4">
        <v>0</v>
      </c>
      <c r="BC32" s="13">
        <v>0</v>
      </c>
      <c r="BD32" s="4">
        <f>+Habilidad!B32</f>
        <v>1</v>
      </c>
      <c r="BE32" s="4">
        <f>+Habilidad!C32</f>
        <v>0</v>
      </c>
      <c r="BF32" s="4">
        <f>+Habilidad!D32</f>
        <v>0</v>
      </c>
      <c r="BG32" s="4">
        <f>+Habilidad!E32</f>
        <v>0</v>
      </c>
    </row>
    <row r="33" spans="1:59" ht="19.5" customHeight="1" x14ac:dyDescent="0.25">
      <c r="A33" s="5" t="s">
        <v>84</v>
      </c>
      <c r="B33" s="12">
        <v>0</v>
      </c>
      <c r="C33" s="4">
        <v>0</v>
      </c>
      <c r="D33" s="4">
        <v>0</v>
      </c>
      <c r="E33" s="4">
        <v>0</v>
      </c>
      <c r="F33" s="4">
        <v>0</v>
      </c>
      <c r="G33" s="4">
        <f t="shared" si="0"/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13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12">
        <v>1</v>
      </c>
      <c r="AD33" s="4">
        <v>0</v>
      </c>
      <c r="AE33" s="4">
        <v>0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0</v>
      </c>
      <c r="AM33" s="13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12">
        <v>0</v>
      </c>
      <c r="AX33" s="13">
        <v>0</v>
      </c>
      <c r="AY33" s="4">
        <v>0</v>
      </c>
      <c r="AZ33" s="4">
        <v>0</v>
      </c>
      <c r="BA33" s="12">
        <v>0</v>
      </c>
      <c r="BB33" s="4">
        <v>0</v>
      </c>
      <c r="BC33" s="13">
        <v>0</v>
      </c>
      <c r="BD33" s="4">
        <f>+Habilidad!B33</f>
        <v>1</v>
      </c>
      <c r="BE33" s="4">
        <f>+Habilidad!C33</f>
        <v>0</v>
      </c>
      <c r="BF33" s="4">
        <f>+Habilidad!D33</f>
        <v>0</v>
      </c>
      <c r="BG33" s="4">
        <f>+Habilidad!E33</f>
        <v>0</v>
      </c>
    </row>
    <row r="34" spans="1:59" ht="19.5" customHeight="1" x14ac:dyDescent="0.25">
      <c r="A34" s="5" t="s">
        <v>85</v>
      </c>
      <c r="B34" s="12">
        <v>0</v>
      </c>
      <c r="C34" s="4">
        <v>0</v>
      </c>
      <c r="D34" s="4">
        <v>0</v>
      </c>
      <c r="E34" s="4">
        <v>0</v>
      </c>
      <c r="F34" s="4">
        <v>0</v>
      </c>
      <c r="G34" s="4">
        <f t="shared" si="0"/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13">
        <v>0</v>
      </c>
      <c r="S34" s="4">
        <v>0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1</v>
      </c>
      <c r="AB34" s="4">
        <v>0</v>
      </c>
      <c r="AC34" s="12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0</v>
      </c>
      <c r="AK34" s="4">
        <v>1</v>
      </c>
      <c r="AL34" s="4">
        <v>0</v>
      </c>
      <c r="AM34" s="13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12">
        <v>0</v>
      </c>
      <c r="AX34" s="13">
        <v>0</v>
      </c>
      <c r="AY34" s="4">
        <v>0</v>
      </c>
      <c r="AZ34" s="4">
        <v>0</v>
      </c>
      <c r="BA34" s="12">
        <v>0</v>
      </c>
      <c r="BB34" s="4">
        <v>0</v>
      </c>
      <c r="BC34" s="13">
        <v>0</v>
      </c>
      <c r="BD34" s="4">
        <f>+Habilidad!B34</f>
        <v>1</v>
      </c>
      <c r="BE34" s="4">
        <f>+Habilidad!C34</f>
        <v>1</v>
      </c>
      <c r="BF34" s="4">
        <f>+Habilidad!D34</f>
        <v>1</v>
      </c>
      <c r="BG34" s="4">
        <f>+Habilidad!E34</f>
        <v>0</v>
      </c>
    </row>
    <row r="35" spans="1:59" ht="19.5" customHeight="1" x14ac:dyDescent="0.25">
      <c r="A35" s="5" t="s">
        <v>86</v>
      </c>
      <c r="B35" s="12">
        <v>0</v>
      </c>
      <c r="C35" s="4">
        <v>0</v>
      </c>
      <c r="D35" s="4">
        <v>0</v>
      </c>
      <c r="E35" s="4">
        <v>0</v>
      </c>
      <c r="F35" s="4">
        <v>0</v>
      </c>
      <c r="G35" s="4">
        <f t="shared" si="0"/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13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12">
        <v>0</v>
      </c>
      <c r="AD35" s="4">
        <v>0</v>
      </c>
      <c r="AE35" s="4">
        <v>0</v>
      </c>
      <c r="AF35" s="4">
        <v>0</v>
      </c>
      <c r="AG35" s="4">
        <v>1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13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12">
        <v>0</v>
      </c>
      <c r="AX35" s="13">
        <v>0</v>
      </c>
      <c r="AY35" s="4">
        <v>0</v>
      </c>
      <c r="AZ35" s="4">
        <v>0</v>
      </c>
      <c r="BA35" s="12">
        <v>0</v>
      </c>
      <c r="BB35" s="4">
        <v>0</v>
      </c>
      <c r="BC35" s="13">
        <v>0</v>
      </c>
      <c r="BD35" s="4">
        <f>+Habilidad!B35</f>
        <v>1</v>
      </c>
      <c r="BE35" s="4">
        <f>+Habilidad!C35</f>
        <v>1</v>
      </c>
      <c r="BF35" s="4">
        <f>+Habilidad!D35</f>
        <v>1</v>
      </c>
      <c r="BG35" s="4">
        <f>+Habilidad!E35</f>
        <v>0</v>
      </c>
    </row>
    <row r="36" spans="1:59" ht="19.5" customHeight="1" x14ac:dyDescent="0.25">
      <c r="A36" s="5" t="s">
        <v>87</v>
      </c>
      <c r="B36" s="12">
        <v>0</v>
      </c>
      <c r="C36" s="4">
        <v>0</v>
      </c>
      <c r="D36" s="4">
        <v>0</v>
      </c>
      <c r="E36" s="4">
        <v>0</v>
      </c>
      <c r="F36" s="4">
        <v>0</v>
      </c>
      <c r="G36" s="4">
        <f t="shared" si="0"/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13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12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13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12">
        <v>0</v>
      </c>
      <c r="AX36" s="13">
        <v>0</v>
      </c>
      <c r="AY36" s="4">
        <v>1</v>
      </c>
      <c r="AZ36" s="4">
        <v>0</v>
      </c>
      <c r="BA36" s="12">
        <v>0</v>
      </c>
      <c r="BB36" s="4">
        <v>0</v>
      </c>
      <c r="BC36" s="13">
        <v>0</v>
      </c>
      <c r="BD36" s="4">
        <f>+Habilidad!B36</f>
        <v>1</v>
      </c>
      <c r="BE36" s="4">
        <f>+Habilidad!C36</f>
        <v>1</v>
      </c>
      <c r="BF36" s="4">
        <f>+Habilidad!D36</f>
        <v>0</v>
      </c>
      <c r="BG36" s="4">
        <f>+Habilidad!E36</f>
        <v>0</v>
      </c>
    </row>
    <row r="37" spans="1:59" ht="19.5" customHeight="1" x14ac:dyDescent="0.25">
      <c r="A37" s="5" t="s">
        <v>88</v>
      </c>
      <c r="B37" s="12">
        <v>0</v>
      </c>
      <c r="C37" s="4">
        <v>0</v>
      </c>
      <c r="D37" s="4">
        <v>0</v>
      </c>
      <c r="E37" s="4">
        <v>0</v>
      </c>
      <c r="F37" s="4">
        <v>0</v>
      </c>
      <c r="G37" s="4">
        <f t="shared" si="0"/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1</v>
      </c>
      <c r="N37" s="4">
        <v>1</v>
      </c>
      <c r="O37" s="4">
        <v>0</v>
      </c>
      <c r="P37" s="4">
        <v>0</v>
      </c>
      <c r="Q37" s="4">
        <v>0</v>
      </c>
      <c r="R37" s="13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12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13">
        <v>0</v>
      </c>
      <c r="AN37" s="4">
        <v>0</v>
      </c>
      <c r="AO37" s="4">
        <v>0</v>
      </c>
      <c r="AP37" s="4">
        <v>1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12">
        <v>0</v>
      </c>
      <c r="AX37" s="13">
        <v>0</v>
      </c>
      <c r="AY37" s="4">
        <v>0</v>
      </c>
      <c r="AZ37" s="4">
        <v>0</v>
      </c>
      <c r="BA37" s="12">
        <v>0</v>
      </c>
      <c r="BB37" s="4">
        <v>0</v>
      </c>
      <c r="BC37" s="13">
        <v>0</v>
      </c>
      <c r="BD37" s="4">
        <f>+Habilidad!B37</f>
        <v>1</v>
      </c>
      <c r="BE37" s="4">
        <f>+Habilidad!C37</f>
        <v>1</v>
      </c>
      <c r="BF37" s="4">
        <f>+Habilidad!D37</f>
        <v>0</v>
      </c>
      <c r="BG37" s="4">
        <f>+Habilidad!E37</f>
        <v>0</v>
      </c>
    </row>
    <row r="38" spans="1:59" ht="19.5" customHeight="1" x14ac:dyDescent="0.25">
      <c r="A38" s="5" t="s">
        <v>89</v>
      </c>
      <c r="B38" s="12">
        <v>0</v>
      </c>
      <c r="C38" s="4">
        <v>0</v>
      </c>
      <c r="D38" s="4">
        <v>0</v>
      </c>
      <c r="E38" s="4">
        <v>0</v>
      </c>
      <c r="F38" s="4">
        <v>0</v>
      </c>
      <c r="G38" s="4">
        <f t="shared" si="0"/>
        <v>0</v>
      </c>
      <c r="H38" s="4">
        <v>0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13">
        <v>0</v>
      </c>
      <c r="S38" s="4">
        <v>0</v>
      </c>
      <c r="T38" s="4">
        <v>0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12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13">
        <v>1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12">
        <v>0</v>
      </c>
      <c r="AX38" s="13">
        <v>0</v>
      </c>
      <c r="AY38" s="4">
        <v>0</v>
      </c>
      <c r="AZ38" s="4">
        <v>0</v>
      </c>
      <c r="BA38" s="12">
        <v>0</v>
      </c>
      <c r="BB38" s="4">
        <v>0</v>
      </c>
      <c r="BC38" s="13">
        <v>0</v>
      </c>
      <c r="BD38" s="4">
        <f>+Habilidad!B38</f>
        <v>0</v>
      </c>
      <c r="BE38" s="4">
        <f>+Habilidad!C38</f>
        <v>0</v>
      </c>
      <c r="BF38" s="4">
        <f>+Habilidad!D38</f>
        <v>0</v>
      </c>
      <c r="BG38" s="4">
        <f>+Habilidad!E38</f>
        <v>1</v>
      </c>
    </row>
    <row r="39" spans="1:59" ht="19.5" customHeight="1" x14ac:dyDescent="0.25">
      <c r="A39" s="5" t="s">
        <v>90</v>
      </c>
      <c r="B39" s="12">
        <v>0</v>
      </c>
      <c r="C39" s="4">
        <v>0</v>
      </c>
      <c r="D39" s="4">
        <v>0</v>
      </c>
      <c r="E39" s="4">
        <v>0</v>
      </c>
      <c r="F39" s="4">
        <v>0</v>
      </c>
      <c r="G39" s="4">
        <f t="shared" si="0"/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13">
        <v>0</v>
      </c>
      <c r="S39" s="4">
        <v>0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12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13">
        <v>1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12">
        <v>0</v>
      </c>
      <c r="AX39" s="13">
        <v>0</v>
      </c>
      <c r="AY39" s="4">
        <v>0</v>
      </c>
      <c r="AZ39" s="4">
        <v>0</v>
      </c>
      <c r="BA39" s="12">
        <v>0</v>
      </c>
      <c r="BB39" s="4">
        <v>0</v>
      </c>
      <c r="BC39" s="13">
        <v>0</v>
      </c>
      <c r="BD39" s="4">
        <f>+Habilidad!B39</f>
        <v>0</v>
      </c>
      <c r="BE39" s="4">
        <f>+Habilidad!C39</f>
        <v>0</v>
      </c>
      <c r="BF39" s="4">
        <f>+Habilidad!D39</f>
        <v>0</v>
      </c>
      <c r="BG39" s="4">
        <f>+Habilidad!E39</f>
        <v>1</v>
      </c>
    </row>
    <row r="40" spans="1:59" ht="19.5" customHeight="1" x14ac:dyDescent="0.25">
      <c r="A40" s="5" t="s">
        <v>91</v>
      </c>
      <c r="B40" s="12">
        <f>+B10</f>
        <v>0</v>
      </c>
      <c r="C40" s="4">
        <v>0</v>
      </c>
      <c r="D40" s="4">
        <v>1</v>
      </c>
      <c r="E40" s="4">
        <v>0</v>
      </c>
      <c r="F40" s="4">
        <v>0</v>
      </c>
      <c r="G40" s="4">
        <f t="shared" si="0"/>
        <v>1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  <c r="M40" s="4">
        <v>1</v>
      </c>
      <c r="N40" s="4">
        <v>1</v>
      </c>
      <c r="O40" s="4">
        <v>0</v>
      </c>
      <c r="P40" s="4">
        <v>0</v>
      </c>
      <c r="Q40" s="4">
        <v>0</v>
      </c>
      <c r="R40" s="13">
        <v>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12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13">
        <v>0</v>
      </c>
      <c r="AN40" s="4">
        <v>1</v>
      </c>
      <c r="AO40" s="4">
        <v>0</v>
      </c>
      <c r="AP40" s="4">
        <v>0</v>
      </c>
      <c r="AQ40" s="4">
        <v>1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12">
        <v>0</v>
      </c>
      <c r="AX40" s="13">
        <v>0</v>
      </c>
      <c r="AY40" s="4">
        <v>0</v>
      </c>
      <c r="AZ40" s="4">
        <v>1</v>
      </c>
      <c r="BA40" s="12">
        <v>0</v>
      </c>
      <c r="BB40" s="4">
        <v>0</v>
      </c>
      <c r="BC40" s="13">
        <v>0</v>
      </c>
      <c r="BD40" s="4">
        <f>+Habilidad!B40</f>
        <v>1</v>
      </c>
      <c r="BE40" s="4">
        <f>+Habilidad!C40</f>
        <v>0</v>
      </c>
      <c r="BF40" s="4">
        <f>+Habilidad!D40</f>
        <v>0</v>
      </c>
      <c r="BG40" s="4">
        <f>+Habilidad!E40</f>
        <v>1</v>
      </c>
    </row>
    <row r="41" spans="1:59" ht="19.5" customHeight="1" x14ac:dyDescent="0.25">
      <c r="A41" s="5" t="s">
        <v>92</v>
      </c>
      <c r="B41" s="12">
        <f t="shared" ref="B41:AL41" si="1">+B23</f>
        <v>0</v>
      </c>
      <c r="C41" s="4">
        <f t="shared" si="1"/>
        <v>0</v>
      </c>
      <c r="D41" s="4">
        <f t="shared" si="1"/>
        <v>0</v>
      </c>
      <c r="E41" s="4">
        <f t="shared" si="1"/>
        <v>0</v>
      </c>
      <c r="F41" s="4">
        <f t="shared" si="1"/>
        <v>0</v>
      </c>
      <c r="G41" s="4">
        <f t="shared" si="1"/>
        <v>0</v>
      </c>
      <c r="H41" s="4">
        <f t="shared" si="1"/>
        <v>0</v>
      </c>
      <c r="I41" s="4">
        <f t="shared" si="1"/>
        <v>0</v>
      </c>
      <c r="J41" s="4">
        <f t="shared" si="1"/>
        <v>0</v>
      </c>
      <c r="K41" s="4">
        <f t="shared" si="1"/>
        <v>0</v>
      </c>
      <c r="L41" s="4">
        <f t="shared" si="1"/>
        <v>0</v>
      </c>
      <c r="M41" s="4">
        <f t="shared" si="1"/>
        <v>0</v>
      </c>
      <c r="N41" s="4">
        <f t="shared" si="1"/>
        <v>0</v>
      </c>
      <c r="O41" s="4">
        <f t="shared" si="1"/>
        <v>0</v>
      </c>
      <c r="P41" s="4">
        <f t="shared" si="1"/>
        <v>0</v>
      </c>
      <c r="Q41" s="4">
        <f t="shared" si="1"/>
        <v>0</v>
      </c>
      <c r="R41" s="13">
        <f t="shared" si="1"/>
        <v>0</v>
      </c>
      <c r="S41" s="4">
        <f t="shared" si="1"/>
        <v>1</v>
      </c>
      <c r="T41" s="4">
        <f t="shared" si="1"/>
        <v>1</v>
      </c>
      <c r="U41" s="4">
        <f t="shared" si="1"/>
        <v>1</v>
      </c>
      <c r="V41" s="4">
        <f t="shared" si="1"/>
        <v>1</v>
      </c>
      <c r="W41" s="4">
        <f t="shared" si="1"/>
        <v>0</v>
      </c>
      <c r="X41" s="4">
        <f t="shared" si="1"/>
        <v>1</v>
      </c>
      <c r="Y41" s="4">
        <f t="shared" si="1"/>
        <v>0</v>
      </c>
      <c r="Z41" s="4">
        <f t="shared" si="1"/>
        <v>1</v>
      </c>
      <c r="AA41" s="4">
        <f t="shared" si="1"/>
        <v>1</v>
      </c>
      <c r="AB41" s="4">
        <f t="shared" si="1"/>
        <v>1</v>
      </c>
      <c r="AC41" s="12">
        <f t="shared" si="1"/>
        <v>0</v>
      </c>
      <c r="AD41" s="4">
        <f t="shared" si="1"/>
        <v>0</v>
      </c>
      <c r="AE41" s="4">
        <f t="shared" si="1"/>
        <v>0</v>
      </c>
      <c r="AF41" s="4">
        <f t="shared" si="1"/>
        <v>0</v>
      </c>
      <c r="AG41" s="4">
        <f t="shared" si="1"/>
        <v>0</v>
      </c>
      <c r="AH41" s="4">
        <f t="shared" si="1"/>
        <v>0</v>
      </c>
      <c r="AI41" s="4">
        <f t="shared" si="1"/>
        <v>0</v>
      </c>
      <c r="AJ41" s="4">
        <f t="shared" si="1"/>
        <v>0</v>
      </c>
      <c r="AK41" s="4">
        <f t="shared" si="1"/>
        <v>0</v>
      </c>
      <c r="AL41" s="4">
        <f t="shared" si="1"/>
        <v>0</v>
      </c>
      <c r="AM41" s="13">
        <v>0</v>
      </c>
      <c r="AN41" s="4">
        <f t="shared" ref="AN41:AZ41" si="2">+AN23</f>
        <v>0</v>
      </c>
      <c r="AO41" s="4">
        <f t="shared" si="2"/>
        <v>0</v>
      </c>
      <c r="AP41" s="4">
        <f t="shared" si="2"/>
        <v>0</v>
      </c>
      <c r="AQ41" s="4">
        <f t="shared" si="2"/>
        <v>0</v>
      </c>
      <c r="AR41" s="4">
        <f t="shared" si="2"/>
        <v>0</v>
      </c>
      <c r="AS41" s="4">
        <f t="shared" si="2"/>
        <v>0</v>
      </c>
      <c r="AT41" s="4">
        <f t="shared" si="2"/>
        <v>0</v>
      </c>
      <c r="AU41" s="4">
        <f t="shared" si="2"/>
        <v>0</v>
      </c>
      <c r="AV41" s="4">
        <f t="shared" si="2"/>
        <v>0</v>
      </c>
      <c r="AW41" s="12">
        <f t="shared" si="2"/>
        <v>0</v>
      </c>
      <c r="AX41" s="13">
        <f t="shared" si="2"/>
        <v>0</v>
      </c>
      <c r="AY41" s="4">
        <f t="shared" si="2"/>
        <v>0</v>
      </c>
      <c r="AZ41" s="4">
        <f t="shared" si="2"/>
        <v>0</v>
      </c>
      <c r="BA41" s="12">
        <v>0</v>
      </c>
      <c r="BB41" s="4">
        <f>+BB23</f>
        <v>0</v>
      </c>
      <c r="BC41" s="13">
        <f>+BC23</f>
        <v>0</v>
      </c>
      <c r="BD41" s="4">
        <f>+Habilidad!B41</f>
        <v>1</v>
      </c>
      <c r="BE41" s="4">
        <f>+Habilidad!C41</f>
        <v>1</v>
      </c>
      <c r="BF41" s="4">
        <f>+Habilidad!D41</f>
        <v>1</v>
      </c>
      <c r="BG41" s="4">
        <f>+Habilidad!E41</f>
        <v>0</v>
      </c>
    </row>
    <row r="42" spans="1:59" ht="19.5" customHeight="1" x14ac:dyDescent="0.25">
      <c r="A42" s="5" t="s">
        <v>93</v>
      </c>
      <c r="B42" s="12">
        <f t="shared" ref="B42:AL42" si="3">+B22</f>
        <v>0</v>
      </c>
      <c r="C42" s="4">
        <f t="shared" si="3"/>
        <v>0</v>
      </c>
      <c r="D42" s="4">
        <f t="shared" si="3"/>
        <v>0</v>
      </c>
      <c r="E42" s="4">
        <f t="shared" si="3"/>
        <v>0</v>
      </c>
      <c r="F42" s="4">
        <f t="shared" si="3"/>
        <v>0</v>
      </c>
      <c r="G42" s="4">
        <f t="shared" si="3"/>
        <v>0</v>
      </c>
      <c r="H42" s="4">
        <f t="shared" si="3"/>
        <v>0</v>
      </c>
      <c r="I42" s="4">
        <f t="shared" si="3"/>
        <v>0</v>
      </c>
      <c r="J42" s="4">
        <f t="shared" si="3"/>
        <v>0</v>
      </c>
      <c r="K42" s="4">
        <f t="shared" si="3"/>
        <v>0</v>
      </c>
      <c r="L42" s="4">
        <f t="shared" si="3"/>
        <v>0</v>
      </c>
      <c r="M42" s="4">
        <f t="shared" si="3"/>
        <v>0</v>
      </c>
      <c r="N42" s="4">
        <f t="shared" si="3"/>
        <v>0</v>
      </c>
      <c r="O42" s="4">
        <f t="shared" si="3"/>
        <v>0</v>
      </c>
      <c r="P42" s="4">
        <f t="shared" si="3"/>
        <v>0</v>
      </c>
      <c r="Q42" s="4">
        <f t="shared" si="3"/>
        <v>0</v>
      </c>
      <c r="R42" s="13">
        <f t="shared" si="3"/>
        <v>0</v>
      </c>
      <c r="S42" s="4">
        <f t="shared" si="3"/>
        <v>1</v>
      </c>
      <c r="T42" s="4">
        <f t="shared" si="3"/>
        <v>1</v>
      </c>
      <c r="U42" s="4">
        <f t="shared" si="3"/>
        <v>1</v>
      </c>
      <c r="V42" s="4">
        <f t="shared" si="3"/>
        <v>0</v>
      </c>
      <c r="W42" s="4">
        <f t="shared" si="3"/>
        <v>0</v>
      </c>
      <c r="X42" s="4">
        <f t="shared" si="3"/>
        <v>1</v>
      </c>
      <c r="Y42" s="4">
        <f t="shared" si="3"/>
        <v>0</v>
      </c>
      <c r="Z42" s="4">
        <f t="shared" si="3"/>
        <v>1</v>
      </c>
      <c r="AA42" s="4">
        <f t="shared" si="3"/>
        <v>1</v>
      </c>
      <c r="AB42" s="4">
        <f t="shared" si="3"/>
        <v>1</v>
      </c>
      <c r="AC42" s="12">
        <f t="shared" si="3"/>
        <v>0</v>
      </c>
      <c r="AD42" s="4">
        <f t="shared" si="3"/>
        <v>0</v>
      </c>
      <c r="AE42" s="4">
        <f t="shared" si="3"/>
        <v>0</v>
      </c>
      <c r="AF42" s="4">
        <f t="shared" si="3"/>
        <v>0</v>
      </c>
      <c r="AG42" s="4">
        <f t="shared" si="3"/>
        <v>0</v>
      </c>
      <c r="AH42" s="4">
        <f t="shared" si="3"/>
        <v>0</v>
      </c>
      <c r="AI42" s="4">
        <f t="shared" si="3"/>
        <v>0</v>
      </c>
      <c r="AJ42" s="4">
        <f t="shared" si="3"/>
        <v>0</v>
      </c>
      <c r="AK42" s="4">
        <f t="shared" si="3"/>
        <v>0</v>
      </c>
      <c r="AL42" s="4">
        <f t="shared" si="3"/>
        <v>0</v>
      </c>
      <c r="AM42" s="13">
        <v>0</v>
      </c>
      <c r="AN42" s="4">
        <f t="shared" ref="AN42:AZ42" si="4">+AN22</f>
        <v>0</v>
      </c>
      <c r="AO42" s="4">
        <f t="shared" si="4"/>
        <v>0</v>
      </c>
      <c r="AP42" s="4">
        <f t="shared" si="4"/>
        <v>0</v>
      </c>
      <c r="AQ42" s="4">
        <f t="shared" si="4"/>
        <v>0</v>
      </c>
      <c r="AR42" s="4">
        <f t="shared" si="4"/>
        <v>0</v>
      </c>
      <c r="AS42" s="4">
        <f t="shared" si="4"/>
        <v>0</v>
      </c>
      <c r="AT42" s="4">
        <f t="shared" si="4"/>
        <v>0</v>
      </c>
      <c r="AU42" s="4">
        <f t="shared" si="4"/>
        <v>0</v>
      </c>
      <c r="AV42" s="4">
        <f t="shared" si="4"/>
        <v>0</v>
      </c>
      <c r="AW42" s="12">
        <f t="shared" si="4"/>
        <v>0</v>
      </c>
      <c r="AX42" s="13">
        <f t="shared" si="4"/>
        <v>0</v>
      </c>
      <c r="AY42" s="4">
        <f t="shared" si="4"/>
        <v>0</v>
      </c>
      <c r="AZ42" s="4">
        <f t="shared" si="4"/>
        <v>0</v>
      </c>
      <c r="BA42" s="12">
        <v>0</v>
      </c>
      <c r="BB42" s="4">
        <f>+BB22</f>
        <v>0</v>
      </c>
      <c r="BC42" s="13">
        <f>+BC22</f>
        <v>0</v>
      </c>
      <c r="BD42" s="4">
        <f>+Habilidad!B42</f>
        <v>0</v>
      </c>
      <c r="BE42" s="4">
        <f>+Habilidad!C42</f>
        <v>1</v>
      </c>
      <c r="BF42" s="4">
        <f>+Habilidad!D42</f>
        <v>0</v>
      </c>
      <c r="BG42" s="4">
        <f>+Habilidad!E42</f>
        <v>0</v>
      </c>
    </row>
    <row r="43" spans="1:59" ht="18.75" customHeight="1" x14ac:dyDescent="0.25">
      <c r="A43" s="5" t="s">
        <v>94</v>
      </c>
      <c r="B43" s="12">
        <v>0</v>
      </c>
      <c r="C43" s="4">
        <v>0</v>
      </c>
      <c r="D43" s="4">
        <v>0</v>
      </c>
      <c r="E43" s="4">
        <v>0</v>
      </c>
      <c r="F43" s="4">
        <v>0</v>
      </c>
      <c r="G43" s="4">
        <f>+IF(J43=1,1,0)</f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13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12">
        <v>0</v>
      </c>
      <c r="AD43" s="4">
        <v>0</v>
      </c>
      <c r="AE43" s="4">
        <v>0</v>
      </c>
      <c r="AF43" s="4">
        <v>0</v>
      </c>
      <c r="AG43" s="4">
        <v>1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13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12">
        <v>0</v>
      </c>
      <c r="AX43" s="13">
        <v>0</v>
      </c>
      <c r="AY43" s="4">
        <v>0</v>
      </c>
      <c r="AZ43" s="4">
        <v>0</v>
      </c>
      <c r="BA43" s="12">
        <v>0</v>
      </c>
      <c r="BB43" s="4">
        <v>0</v>
      </c>
      <c r="BC43" s="13">
        <v>0</v>
      </c>
      <c r="BD43" s="4">
        <f>+Habilidad!B43</f>
        <v>1</v>
      </c>
      <c r="BE43" s="4">
        <f>+Habilidad!C43</f>
        <v>1</v>
      </c>
      <c r="BF43" s="4">
        <f>+Habilidad!D43</f>
        <v>1</v>
      </c>
      <c r="BG43" s="4">
        <f>+Habilidad!E43</f>
        <v>0</v>
      </c>
    </row>
    <row r="44" spans="1:59" ht="18.75" customHeight="1" x14ac:dyDescent="0.25">
      <c r="A44" s="5" t="s">
        <v>95</v>
      </c>
      <c r="B44" s="12">
        <v>0</v>
      </c>
      <c r="C44" s="4">
        <v>0</v>
      </c>
      <c r="D44" s="4">
        <v>0</v>
      </c>
      <c r="E44" s="4">
        <v>0</v>
      </c>
      <c r="F44" s="4">
        <v>0</v>
      </c>
      <c r="G44" s="4">
        <f>+IF(J44=1,1,0)</f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13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12">
        <v>0</v>
      </c>
      <c r="AD44" s="4">
        <v>0</v>
      </c>
      <c r="AE44" s="4">
        <v>0</v>
      </c>
      <c r="AF44" s="4">
        <v>0</v>
      </c>
      <c r="AG44" s="4">
        <v>1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13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12">
        <v>0</v>
      </c>
      <c r="AX44" s="13">
        <v>0</v>
      </c>
      <c r="AY44" s="4">
        <v>0</v>
      </c>
      <c r="AZ44" s="4">
        <v>0</v>
      </c>
      <c r="BA44" s="12">
        <v>0</v>
      </c>
      <c r="BB44" s="4">
        <v>0</v>
      </c>
      <c r="BC44" s="13">
        <v>0</v>
      </c>
      <c r="BD44" s="4">
        <f>+Habilidad!B44</f>
        <v>1</v>
      </c>
      <c r="BE44" s="4">
        <f>+Habilidad!C44</f>
        <v>1</v>
      </c>
      <c r="BF44" s="4">
        <f>+Habilidad!D44</f>
        <v>1</v>
      </c>
      <c r="BG44" s="4">
        <f>+Habilidad!E44</f>
        <v>0</v>
      </c>
    </row>
    <row r="45" spans="1:59" ht="18.75" customHeight="1" x14ac:dyDescent="0.25">
      <c r="A45" s="5" t="s">
        <v>96</v>
      </c>
      <c r="B45" s="12">
        <f>+B15</f>
        <v>0</v>
      </c>
      <c r="C45" s="4">
        <v>0</v>
      </c>
      <c r="D45" s="4">
        <v>1</v>
      </c>
      <c r="E45" s="4">
        <v>0</v>
      </c>
      <c r="F45" s="4">
        <v>0</v>
      </c>
      <c r="G45" s="4">
        <f t="shared" ref="G45" si="5">+IF(J45=1,1,0)</f>
        <v>1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  <c r="M45" s="4">
        <v>1</v>
      </c>
      <c r="N45" s="4">
        <v>1</v>
      </c>
      <c r="O45" s="4">
        <v>0</v>
      </c>
      <c r="P45" s="4">
        <v>0</v>
      </c>
      <c r="Q45" s="4">
        <v>0</v>
      </c>
      <c r="R45" s="13">
        <v>1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12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13">
        <v>0</v>
      </c>
      <c r="AN45" s="4">
        <v>1</v>
      </c>
      <c r="AO45" s="4">
        <v>0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12">
        <v>0</v>
      </c>
      <c r="AX45" s="13">
        <v>0</v>
      </c>
      <c r="AY45" s="4">
        <v>0</v>
      </c>
      <c r="AZ45" s="4">
        <v>1</v>
      </c>
      <c r="BA45" s="12">
        <v>0</v>
      </c>
      <c r="BB45" s="4">
        <v>0</v>
      </c>
      <c r="BC45" s="13">
        <v>0</v>
      </c>
      <c r="BD45" s="4">
        <f>+Habilidad!B45</f>
        <v>1</v>
      </c>
      <c r="BE45" s="4">
        <f>+Habilidad!C45</f>
        <v>1</v>
      </c>
      <c r="BF45" s="4">
        <f>+Habilidad!D45</f>
        <v>1</v>
      </c>
      <c r="BG45" s="4">
        <f>+Habilidad!E45</f>
        <v>0</v>
      </c>
    </row>
    <row r="46" spans="1:59" ht="18.75" customHeight="1" thickBot="1" x14ac:dyDescent="0.3">
      <c r="A46" s="6" t="s">
        <v>97</v>
      </c>
      <c r="B46" s="12">
        <v>0</v>
      </c>
      <c r="C46" s="4">
        <v>0</v>
      </c>
      <c r="D46" s="4">
        <v>0</v>
      </c>
      <c r="E46" s="4">
        <v>0</v>
      </c>
      <c r="F46" s="4">
        <v>0</v>
      </c>
      <c r="G46" s="4">
        <f>+IF(J46=1,1,0)</f>
        <v>0</v>
      </c>
      <c r="H46" s="4">
        <v>0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13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12">
        <v>0</v>
      </c>
      <c r="AD46" s="4">
        <v>0</v>
      </c>
      <c r="AE46" s="4">
        <v>0</v>
      </c>
      <c r="AF46" s="4">
        <v>0</v>
      </c>
      <c r="AG46" s="4">
        <v>1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13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12">
        <v>0</v>
      </c>
      <c r="AX46" s="13">
        <v>0</v>
      </c>
      <c r="AY46" s="4">
        <v>0</v>
      </c>
      <c r="AZ46" s="4">
        <v>0</v>
      </c>
      <c r="BA46" s="12">
        <v>0</v>
      </c>
      <c r="BB46" s="4">
        <v>0</v>
      </c>
      <c r="BC46" s="13">
        <v>0</v>
      </c>
      <c r="BD46" s="4">
        <f>+Habilidad!B46</f>
        <v>1</v>
      </c>
      <c r="BE46" s="4">
        <f>+Habilidad!C46</f>
        <v>1</v>
      </c>
      <c r="BF46" s="4">
        <f>+Habilidad!D46</f>
        <v>1</v>
      </c>
      <c r="BG46" s="4">
        <f>+Habilidad!E46</f>
        <v>0</v>
      </c>
    </row>
    <row r="47" spans="1:59" ht="18.75" customHeight="1" x14ac:dyDescent="0.25">
      <c r="A47" s="5" t="s">
        <v>102</v>
      </c>
      <c r="B47" s="9">
        <f>+K_si!B2</f>
        <v>1</v>
      </c>
      <c r="C47" s="10">
        <f>+K_si!C2</f>
        <v>1</v>
      </c>
      <c r="D47" s="10">
        <f>+K_si!D2</f>
        <v>1</v>
      </c>
      <c r="E47" s="10">
        <f>+K_si!E2</f>
        <v>1</v>
      </c>
      <c r="F47" s="10">
        <f>+K_si!F2</f>
        <v>0</v>
      </c>
      <c r="G47" s="10">
        <f>+K_si!G2</f>
        <v>0</v>
      </c>
      <c r="H47" s="10">
        <f>+K_si!H2</f>
        <v>1</v>
      </c>
      <c r="I47" s="10">
        <f>+K_si!I2</f>
        <v>1</v>
      </c>
      <c r="J47" s="10">
        <f>+K_si!J2</f>
        <v>1</v>
      </c>
      <c r="K47" s="10">
        <f>+K_si!K2</f>
        <v>0</v>
      </c>
      <c r="L47" s="10">
        <f>+K_si!L2</f>
        <v>1</v>
      </c>
      <c r="M47" s="10">
        <f>+K_si!M2</f>
        <v>1</v>
      </c>
      <c r="N47" s="10">
        <f>+K_si!N2</f>
        <v>1</v>
      </c>
      <c r="O47" s="10">
        <f>+K_si!O2</f>
        <v>1</v>
      </c>
      <c r="P47" s="10">
        <f>+K_si!P2</f>
        <v>1</v>
      </c>
      <c r="Q47" s="10">
        <f>+K_si!Q2</f>
        <v>0</v>
      </c>
      <c r="R47" s="10">
        <f>+K_si!R2</f>
        <v>1</v>
      </c>
      <c r="S47" s="9">
        <f>+K_si!S2</f>
        <v>0</v>
      </c>
      <c r="T47" s="10">
        <f>+K_si!T2</f>
        <v>0</v>
      </c>
      <c r="U47" s="10">
        <f>+K_si!U2</f>
        <v>1</v>
      </c>
      <c r="V47" s="10">
        <f>+K_si!V2</f>
        <v>0</v>
      </c>
      <c r="W47" s="10">
        <f>+K_si!W2</f>
        <v>0</v>
      </c>
      <c r="X47" s="10">
        <f>+K_si!X2</f>
        <v>0</v>
      </c>
      <c r="Y47" s="10">
        <f>+K_si!Y2</f>
        <v>1</v>
      </c>
      <c r="Z47" s="10">
        <f>+K_si!Z2</f>
        <v>1</v>
      </c>
      <c r="AA47" s="10">
        <f>+K_si!AA2</f>
        <v>1</v>
      </c>
      <c r="AB47" s="11">
        <f>+K_si!AB2</f>
        <v>0</v>
      </c>
      <c r="AC47" s="10">
        <f>+K_si!AC2</f>
        <v>1</v>
      </c>
      <c r="AD47" s="10">
        <f>+K_si!AD2</f>
        <v>0</v>
      </c>
      <c r="AE47" s="10">
        <f>+K_si!AE2</f>
        <v>1</v>
      </c>
      <c r="AF47" s="10">
        <f>+K_si!AF2</f>
        <v>1</v>
      </c>
      <c r="AG47" s="10">
        <f>+K_si!AG2</f>
        <v>1</v>
      </c>
      <c r="AH47" s="10">
        <f>+K_si!AH2</f>
        <v>1</v>
      </c>
      <c r="AI47" s="10">
        <f>+K_si!AI2</f>
        <v>1</v>
      </c>
      <c r="AJ47" s="10">
        <f>+K_si!AJ2</f>
        <v>1</v>
      </c>
      <c r="AK47" s="10">
        <f>+K_si!AK2</f>
        <v>1</v>
      </c>
      <c r="AL47" s="10">
        <f>+K_si!AL2</f>
        <v>1</v>
      </c>
      <c r="AM47" s="10">
        <f>+K_si!AM2</f>
        <v>0</v>
      </c>
      <c r="AN47" s="9">
        <f>+K_si!AN2</f>
        <v>1</v>
      </c>
      <c r="AO47" s="10">
        <f>+K_si!AO2</f>
        <v>1</v>
      </c>
      <c r="AP47" s="10">
        <f>+K_si!AP2</f>
        <v>1</v>
      </c>
      <c r="AQ47" s="10">
        <f>+K_si!AQ2</f>
        <v>1</v>
      </c>
      <c r="AR47" s="10">
        <f>+K_si!AR2</f>
        <v>1</v>
      </c>
      <c r="AS47" s="10">
        <f>+K_si!AS2</f>
        <v>1</v>
      </c>
      <c r="AT47" s="10">
        <f>+K_si!AT2</f>
        <v>1</v>
      </c>
      <c r="AU47" s="10">
        <f>+K_si!AU2</f>
        <v>1</v>
      </c>
      <c r="AV47" s="11">
        <f>+K_si!AV2</f>
        <v>1</v>
      </c>
      <c r="AW47" s="10">
        <f>+K_si!AW2</f>
        <v>1</v>
      </c>
      <c r="AX47" s="10">
        <f>+K_si!AX2</f>
        <v>1</v>
      </c>
      <c r="AY47" s="9">
        <f>+K_si!AY2</f>
        <v>1</v>
      </c>
      <c r="AZ47" s="11">
        <f>+K_si!AZ2</f>
        <v>1</v>
      </c>
      <c r="BA47" s="10">
        <f>+K_si!BA2</f>
        <v>0</v>
      </c>
      <c r="BB47" s="10">
        <f>+K_si!BB2</f>
        <v>0</v>
      </c>
      <c r="BC47" s="11">
        <f>+K_si!BC2</f>
        <v>0</v>
      </c>
    </row>
    <row r="48" spans="1:59" ht="18.75" customHeight="1" x14ac:dyDescent="0.25">
      <c r="A48" s="5" t="s">
        <v>103</v>
      </c>
      <c r="B48" s="12">
        <f>+K_si!B3</f>
        <v>0</v>
      </c>
      <c r="C48" s="4">
        <f>+K_si!C3</f>
        <v>0</v>
      </c>
      <c r="D48" s="4">
        <f>+K_si!D3</f>
        <v>0</v>
      </c>
      <c r="E48" s="4">
        <f>+K_si!E3</f>
        <v>0</v>
      </c>
      <c r="F48" s="4">
        <f>+K_si!F3</f>
        <v>1</v>
      </c>
      <c r="G48" s="4">
        <f>+K_si!G3</f>
        <v>1</v>
      </c>
      <c r="H48" s="4">
        <f>+K_si!H3</f>
        <v>0</v>
      </c>
      <c r="I48" s="4">
        <f>+K_si!I3</f>
        <v>0</v>
      </c>
      <c r="J48" s="4">
        <f>+K_si!J3</f>
        <v>0</v>
      </c>
      <c r="K48" s="4">
        <f>+K_si!K3</f>
        <v>1</v>
      </c>
      <c r="L48" s="4">
        <f>+K_si!L3</f>
        <v>0</v>
      </c>
      <c r="M48" s="4">
        <f>+K_si!M3</f>
        <v>1</v>
      </c>
      <c r="N48" s="4">
        <f>+K_si!N3</f>
        <v>0</v>
      </c>
      <c r="O48" s="4">
        <f>+K_si!O3</f>
        <v>0</v>
      </c>
      <c r="P48" s="4">
        <f>+K_si!P3</f>
        <v>0</v>
      </c>
      <c r="Q48" s="4">
        <f>+K_si!Q3</f>
        <v>1</v>
      </c>
      <c r="R48" s="4">
        <f>+K_si!R3</f>
        <v>0</v>
      </c>
      <c r="S48" s="12">
        <f>+K_si!S3</f>
        <v>0</v>
      </c>
      <c r="T48" s="4">
        <f>+K_si!T3</f>
        <v>1</v>
      </c>
      <c r="U48" s="4">
        <f>+K_si!U3</f>
        <v>1</v>
      </c>
      <c r="V48" s="4">
        <f>+K_si!V3</f>
        <v>1</v>
      </c>
      <c r="W48" s="4">
        <f>+K_si!W3</f>
        <v>0</v>
      </c>
      <c r="X48" s="4">
        <f>+K_si!X3</f>
        <v>1</v>
      </c>
      <c r="Y48" s="4">
        <f>+K_si!Y3</f>
        <v>0</v>
      </c>
      <c r="Z48" s="4">
        <f>+K_si!Z3</f>
        <v>0</v>
      </c>
      <c r="AA48" s="4">
        <f>+K_si!AA3</f>
        <v>0</v>
      </c>
      <c r="AB48" s="13">
        <f>+K_si!AB3</f>
        <v>1</v>
      </c>
      <c r="AC48" s="4">
        <f>+K_si!AC3</f>
        <v>0</v>
      </c>
      <c r="AD48" s="4">
        <f>+K_si!AD3</f>
        <v>0</v>
      </c>
      <c r="AE48" s="4">
        <f>+K_si!AE3</f>
        <v>0</v>
      </c>
      <c r="AF48" s="4">
        <f>+K_si!AF3</f>
        <v>0</v>
      </c>
      <c r="AG48" s="4">
        <f>+K_si!AG3</f>
        <v>0</v>
      </c>
      <c r="AH48" s="4">
        <f>+K_si!AH3</f>
        <v>0</v>
      </c>
      <c r="AI48" s="4">
        <f>+K_si!AI3</f>
        <v>0</v>
      </c>
      <c r="AJ48" s="4">
        <f>+K_si!AJ3</f>
        <v>0</v>
      </c>
      <c r="AK48" s="4">
        <f>+K_si!AK3</f>
        <v>0</v>
      </c>
      <c r="AL48" s="4">
        <f>+K_si!AL3</f>
        <v>0</v>
      </c>
      <c r="AM48" s="4">
        <f>+K_si!AM3</f>
        <v>0</v>
      </c>
      <c r="AN48" s="12">
        <f>+K_si!AN3</f>
        <v>0</v>
      </c>
      <c r="AO48" s="4">
        <f>+K_si!AO3</f>
        <v>0</v>
      </c>
      <c r="AP48" s="4">
        <f>+K_si!AP3</f>
        <v>0</v>
      </c>
      <c r="AQ48" s="4">
        <f>+K_si!AQ3</f>
        <v>0</v>
      </c>
      <c r="AR48" s="4">
        <f>+K_si!AR3</f>
        <v>0</v>
      </c>
      <c r="AS48" s="4">
        <f>+K_si!AS3</f>
        <v>0</v>
      </c>
      <c r="AT48" s="4">
        <f>+K_si!AT3</f>
        <v>0</v>
      </c>
      <c r="AU48" s="4">
        <f>+K_si!AU3</f>
        <v>0</v>
      </c>
      <c r="AV48" s="13">
        <f>+K_si!AV3</f>
        <v>0</v>
      </c>
      <c r="AW48" s="4">
        <f>+K_si!AW3</f>
        <v>0</v>
      </c>
      <c r="AX48" s="4">
        <f>+K_si!AX3</f>
        <v>0</v>
      </c>
      <c r="AY48" s="12">
        <f>+K_si!AY3</f>
        <v>0</v>
      </c>
      <c r="AZ48" s="13">
        <f>+K_si!AZ3</f>
        <v>0</v>
      </c>
      <c r="BA48" s="4">
        <f>+K_si!BA3</f>
        <v>0</v>
      </c>
      <c r="BB48" s="4">
        <f>+K_si!BB3</f>
        <v>0</v>
      </c>
      <c r="BC48" s="13">
        <f>+K_si!BC3</f>
        <v>0</v>
      </c>
    </row>
    <row r="49" spans="1:55" ht="18.75" customHeight="1" x14ac:dyDescent="0.25">
      <c r="A49" s="5" t="s">
        <v>104</v>
      </c>
      <c r="B49" s="12">
        <f>+K_si!B4</f>
        <v>0</v>
      </c>
      <c r="C49" s="4">
        <f>+K_si!C4</f>
        <v>0</v>
      </c>
      <c r="D49" s="4">
        <f>+K_si!D4</f>
        <v>0</v>
      </c>
      <c r="E49" s="4">
        <f>+K_si!E4</f>
        <v>0</v>
      </c>
      <c r="F49" s="4">
        <f>+K_si!F4</f>
        <v>0</v>
      </c>
      <c r="G49" s="4">
        <f>+K_si!G4</f>
        <v>1</v>
      </c>
      <c r="H49" s="4">
        <f>+K_si!H4</f>
        <v>0</v>
      </c>
      <c r="I49" s="4">
        <f>+K_si!I4</f>
        <v>0</v>
      </c>
      <c r="J49" s="4">
        <f>+K_si!J4</f>
        <v>0</v>
      </c>
      <c r="K49" s="4">
        <f>+K_si!K4</f>
        <v>1</v>
      </c>
      <c r="L49" s="4">
        <f>+K_si!L4</f>
        <v>0</v>
      </c>
      <c r="M49" s="4">
        <f>+K_si!M4</f>
        <v>0</v>
      </c>
      <c r="N49" s="4">
        <f>+K_si!N4</f>
        <v>0</v>
      </c>
      <c r="O49" s="4">
        <f>+K_si!O4</f>
        <v>0</v>
      </c>
      <c r="P49" s="4">
        <f>+K_si!P4</f>
        <v>0</v>
      </c>
      <c r="Q49" s="4">
        <f>+K_si!Q4</f>
        <v>0</v>
      </c>
      <c r="R49" s="4">
        <f>+K_si!R4</f>
        <v>0</v>
      </c>
      <c r="S49" s="12">
        <f>+K_si!S4</f>
        <v>0</v>
      </c>
      <c r="T49" s="4">
        <f>+K_si!T4</f>
        <v>0</v>
      </c>
      <c r="U49" s="4">
        <f>+K_si!U4</f>
        <v>1</v>
      </c>
      <c r="V49" s="4">
        <f>+K_si!V4</f>
        <v>0</v>
      </c>
      <c r="W49" s="4">
        <f>+K_si!W4</f>
        <v>0</v>
      </c>
      <c r="X49" s="4">
        <f>+K_si!X4</f>
        <v>0</v>
      </c>
      <c r="Y49" s="4">
        <f>+K_si!Y4</f>
        <v>0</v>
      </c>
      <c r="Z49" s="4">
        <f>+K_si!Z4</f>
        <v>0</v>
      </c>
      <c r="AA49" s="4">
        <f>+K_si!AA4</f>
        <v>0</v>
      </c>
      <c r="AB49" s="13">
        <f>+K_si!AB4</f>
        <v>0</v>
      </c>
      <c r="AC49" s="4">
        <f>+K_si!AC4</f>
        <v>0</v>
      </c>
      <c r="AD49" s="4">
        <f>+K_si!AD4</f>
        <v>0</v>
      </c>
      <c r="AE49" s="4">
        <f>+K_si!AE4</f>
        <v>0</v>
      </c>
      <c r="AF49" s="4">
        <f>+K_si!AF4</f>
        <v>0</v>
      </c>
      <c r="AG49" s="4">
        <f>+K_si!AG4</f>
        <v>0</v>
      </c>
      <c r="AH49" s="4">
        <f>+K_si!AH4</f>
        <v>0</v>
      </c>
      <c r="AI49" s="4">
        <f>+K_si!AI4</f>
        <v>0</v>
      </c>
      <c r="AJ49" s="4">
        <f>+K_si!AJ4</f>
        <v>0</v>
      </c>
      <c r="AK49" s="4">
        <f>+K_si!AK4</f>
        <v>0</v>
      </c>
      <c r="AL49" s="4">
        <f>+K_si!AL4</f>
        <v>0</v>
      </c>
      <c r="AM49" s="4">
        <f>+K_si!AM4</f>
        <v>0</v>
      </c>
      <c r="AN49" s="12">
        <f>+K_si!AN4</f>
        <v>0</v>
      </c>
      <c r="AO49" s="4">
        <f>+K_si!AO4</f>
        <v>0</v>
      </c>
      <c r="AP49" s="4">
        <f>+K_si!AP4</f>
        <v>0</v>
      </c>
      <c r="AQ49" s="4">
        <f>+K_si!AQ4</f>
        <v>0</v>
      </c>
      <c r="AR49" s="4">
        <f>+K_si!AR4</f>
        <v>0</v>
      </c>
      <c r="AS49" s="4">
        <f>+K_si!AS4</f>
        <v>0</v>
      </c>
      <c r="AT49" s="4">
        <f>+K_si!AT4</f>
        <v>0</v>
      </c>
      <c r="AU49" s="4">
        <f>+K_si!AU4</f>
        <v>0</v>
      </c>
      <c r="AV49" s="13">
        <f>+K_si!AV4</f>
        <v>0</v>
      </c>
      <c r="AW49" s="4">
        <f>+K_si!AW4</f>
        <v>0</v>
      </c>
      <c r="AX49" s="4">
        <f>+K_si!AX4</f>
        <v>0</v>
      </c>
      <c r="AY49" s="12">
        <f>+K_si!AY4</f>
        <v>0</v>
      </c>
      <c r="AZ49" s="13">
        <f>+K_si!AZ4</f>
        <v>0</v>
      </c>
      <c r="BA49" s="4">
        <f>+K_si!BA4</f>
        <v>0</v>
      </c>
      <c r="BB49" s="4">
        <f>+K_si!BB4</f>
        <v>0</v>
      </c>
      <c r="BC49" s="13">
        <f>+K_si!BC4</f>
        <v>0</v>
      </c>
    </row>
    <row r="50" spans="1:55" ht="18.75" customHeight="1" x14ac:dyDescent="0.25">
      <c r="A50" s="5" t="s">
        <v>105</v>
      </c>
      <c r="B50" s="12">
        <f>+K_si!B5</f>
        <v>0</v>
      </c>
      <c r="C50" s="4">
        <f>+K_si!C5</f>
        <v>0</v>
      </c>
      <c r="D50" s="4">
        <f>+K_si!D5</f>
        <v>1</v>
      </c>
      <c r="E50" s="4">
        <f>+K_si!E5</f>
        <v>1</v>
      </c>
      <c r="F50" s="4">
        <f>+K_si!F5</f>
        <v>1</v>
      </c>
      <c r="G50" s="4">
        <f>+K_si!G5</f>
        <v>1</v>
      </c>
      <c r="H50" s="4">
        <f>+K_si!H5</f>
        <v>1</v>
      </c>
      <c r="I50" s="4">
        <f>+K_si!I5</f>
        <v>1</v>
      </c>
      <c r="J50" s="4">
        <f>+K_si!J5</f>
        <v>0</v>
      </c>
      <c r="K50" s="4">
        <f>+K_si!K5</f>
        <v>1</v>
      </c>
      <c r="L50" s="4">
        <f>+K_si!L5</f>
        <v>1</v>
      </c>
      <c r="M50" s="4">
        <f>+K_si!M5</f>
        <v>1</v>
      </c>
      <c r="N50" s="4">
        <f>+K_si!N5</f>
        <v>1</v>
      </c>
      <c r="O50" s="4">
        <f>+K_si!O5</f>
        <v>0</v>
      </c>
      <c r="P50" s="4">
        <f>+K_si!P5</f>
        <v>0</v>
      </c>
      <c r="Q50" s="4">
        <f>+K_si!Q5</f>
        <v>0</v>
      </c>
      <c r="R50" s="4">
        <f>+K_si!R5</f>
        <v>0</v>
      </c>
      <c r="S50" s="12">
        <f>+K_si!S5</f>
        <v>0</v>
      </c>
      <c r="T50" s="4">
        <f>+K_si!T5</f>
        <v>0</v>
      </c>
      <c r="U50" s="4">
        <f>+K_si!U5</f>
        <v>1</v>
      </c>
      <c r="V50" s="4">
        <f>+K_si!V5</f>
        <v>0</v>
      </c>
      <c r="W50" s="4">
        <f>+K_si!W5</f>
        <v>0</v>
      </c>
      <c r="X50" s="4">
        <f>+K_si!X5</f>
        <v>0</v>
      </c>
      <c r="Y50" s="4">
        <f>+K_si!Y5</f>
        <v>0</v>
      </c>
      <c r="Z50" s="4">
        <f>+K_si!Z5</f>
        <v>0</v>
      </c>
      <c r="AA50" s="4">
        <f>+K_si!AA5</f>
        <v>0</v>
      </c>
      <c r="AB50" s="13">
        <f>+K_si!AB5</f>
        <v>0</v>
      </c>
      <c r="AC50" s="4">
        <f>+K_si!AC5</f>
        <v>0</v>
      </c>
      <c r="AD50" s="4">
        <f>+K_si!AD5</f>
        <v>1</v>
      </c>
      <c r="AE50" s="4">
        <f>+K_si!AE5</f>
        <v>1</v>
      </c>
      <c r="AF50" s="4">
        <f>+K_si!AF5</f>
        <v>0</v>
      </c>
      <c r="AG50" s="4">
        <f>+K_si!AG5</f>
        <v>0</v>
      </c>
      <c r="AH50" s="4">
        <f>+K_si!AH5</f>
        <v>0</v>
      </c>
      <c r="AI50" s="4">
        <f>+K_si!AI5</f>
        <v>0</v>
      </c>
      <c r="AJ50" s="4">
        <f>+K_si!AJ5</f>
        <v>0</v>
      </c>
      <c r="AK50" s="4">
        <f>+K_si!AK5</f>
        <v>0</v>
      </c>
      <c r="AL50" s="4">
        <f>+K_si!AL5</f>
        <v>1</v>
      </c>
      <c r="AM50" s="4">
        <f>+K_si!AM5</f>
        <v>1</v>
      </c>
      <c r="AN50" s="12">
        <f>+K_si!AN5</f>
        <v>0</v>
      </c>
      <c r="AO50" s="4">
        <f>+K_si!AO5</f>
        <v>0</v>
      </c>
      <c r="AP50" s="4">
        <f>+K_si!AP5</f>
        <v>0</v>
      </c>
      <c r="AQ50" s="4">
        <f>+K_si!AQ5</f>
        <v>0</v>
      </c>
      <c r="AR50" s="4">
        <f>+K_si!AR5</f>
        <v>0</v>
      </c>
      <c r="AS50" s="4">
        <f>+K_si!AS5</f>
        <v>0</v>
      </c>
      <c r="AT50" s="4">
        <f>+K_si!AT5</f>
        <v>0</v>
      </c>
      <c r="AU50" s="4">
        <f>+K_si!AU5</f>
        <v>0</v>
      </c>
      <c r="AV50" s="13">
        <f>+K_si!AV5</f>
        <v>0</v>
      </c>
      <c r="AW50" s="4">
        <f>+K_si!AW5</f>
        <v>0</v>
      </c>
      <c r="AX50" s="4">
        <f>+K_si!AX5</f>
        <v>0</v>
      </c>
      <c r="AY50" s="12">
        <f>+K_si!AY5</f>
        <v>0</v>
      </c>
      <c r="AZ50" s="13">
        <f>+K_si!AZ5</f>
        <v>0</v>
      </c>
      <c r="BA50" s="4">
        <f>+K_si!BA5</f>
        <v>0</v>
      </c>
      <c r="BB50" s="4">
        <f>+K_si!BB5</f>
        <v>0</v>
      </c>
      <c r="BC50" s="13">
        <f>+K_si!BC5</f>
        <v>0</v>
      </c>
    </row>
    <row r="51" spans="1:55" ht="18.75" customHeight="1" thickBot="1" x14ac:dyDescent="0.3">
      <c r="A51" s="5" t="s">
        <v>106</v>
      </c>
      <c r="B51" s="15">
        <f>+K_si!B6</f>
        <v>0</v>
      </c>
      <c r="C51" s="16">
        <f>+K_si!C6</f>
        <v>0</v>
      </c>
      <c r="D51" s="16">
        <f>+K_si!D6</f>
        <v>0</v>
      </c>
      <c r="E51" s="16">
        <f>+K_si!E6</f>
        <v>0</v>
      </c>
      <c r="F51" s="16">
        <f>+K_si!F6</f>
        <v>0</v>
      </c>
      <c r="G51" s="16">
        <f>+K_si!G6</f>
        <v>0</v>
      </c>
      <c r="H51" s="16">
        <f>+K_si!H6</f>
        <v>0</v>
      </c>
      <c r="I51" s="16">
        <f>+K_si!I6</f>
        <v>0</v>
      </c>
      <c r="J51" s="16">
        <f>+K_si!J6</f>
        <v>0</v>
      </c>
      <c r="K51" s="16">
        <f>+K_si!K6</f>
        <v>0</v>
      </c>
      <c r="L51" s="16">
        <f>+K_si!L6</f>
        <v>0</v>
      </c>
      <c r="M51" s="16">
        <f>+K_si!M6</f>
        <v>0</v>
      </c>
      <c r="N51" s="16">
        <f>+K_si!N6</f>
        <v>0</v>
      </c>
      <c r="O51" s="16">
        <f>+K_si!O6</f>
        <v>0</v>
      </c>
      <c r="P51" s="16">
        <f>+K_si!P6</f>
        <v>0</v>
      </c>
      <c r="Q51" s="16">
        <f>+K_si!Q6</f>
        <v>0</v>
      </c>
      <c r="R51" s="16">
        <f>+K_si!R6</f>
        <v>0</v>
      </c>
      <c r="S51" s="15">
        <f>+K_si!S6</f>
        <v>0</v>
      </c>
      <c r="T51" s="16">
        <f>+K_si!T6</f>
        <v>0</v>
      </c>
      <c r="U51" s="16">
        <f>+K_si!U6</f>
        <v>0</v>
      </c>
      <c r="V51" s="16">
        <f>+K_si!V6</f>
        <v>0</v>
      </c>
      <c r="W51" s="16">
        <f>+K_si!W6</f>
        <v>0</v>
      </c>
      <c r="X51" s="16">
        <f>+K_si!X6</f>
        <v>0</v>
      </c>
      <c r="Y51" s="16">
        <f>+K_si!Y6</f>
        <v>0</v>
      </c>
      <c r="Z51" s="16">
        <f>+K_si!Z6</f>
        <v>0</v>
      </c>
      <c r="AA51" s="16">
        <f>+K_si!AA6</f>
        <v>0</v>
      </c>
      <c r="AB51" s="17">
        <f>+K_si!AB6</f>
        <v>0</v>
      </c>
      <c r="AC51" s="16">
        <f>+K_si!AC6</f>
        <v>0</v>
      </c>
      <c r="AD51" s="16">
        <f>+K_si!AD6</f>
        <v>0</v>
      </c>
      <c r="AE51" s="16">
        <f>+K_si!AE6</f>
        <v>0</v>
      </c>
      <c r="AF51" s="16">
        <f>+K_si!AF6</f>
        <v>0</v>
      </c>
      <c r="AG51" s="16">
        <f>+K_si!AG6</f>
        <v>0</v>
      </c>
      <c r="AH51" s="16">
        <f>+K_si!AH6</f>
        <v>0</v>
      </c>
      <c r="AI51" s="16">
        <f>+K_si!AI6</f>
        <v>0</v>
      </c>
      <c r="AJ51" s="16">
        <f>+K_si!AJ6</f>
        <v>0</v>
      </c>
      <c r="AK51" s="16">
        <f>+K_si!AK6</f>
        <v>0</v>
      </c>
      <c r="AL51" s="16">
        <f>+K_si!AL6</f>
        <v>0</v>
      </c>
      <c r="AM51" s="16">
        <f>+K_si!AM6</f>
        <v>0</v>
      </c>
      <c r="AN51" s="15">
        <f>+K_si!AN6</f>
        <v>0</v>
      </c>
      <c r="AO51" s="16">
        <f>+K_si!AO6</f>
        <v>0</v>
      </c>
      <c r="AP51" s="16">
        <f>+K_si!AP6</f>
        <v>0</v>
      </c>
      <c r="AQ51" s="16">
        <f>+K_si!AQ6</f>
        <v>0</v>
      </c>
      <c r="AR51" s="16">
        <f>+K_si!AR6</f>
        <v>0</v>
      </c>
      <c r="AS51" s="16">
        <f>+K_si!AS6</f>
        <v>0</v>
      </c>
      <c r="AT51" s="16">
        <f>+K_si!AT6</f>
        <v>0</v>
      </c>
      <c r="AU51" s="16">
        <f>+K_si!AU6</f>
        <v>0</v>
      </c>
      <c r="AV51" s="17">
        <f>+K_si!AV6</f>
        <v>0</v>
      </c>
      <c r="AW51" s="16">
        <f>+K_si!AW6</f>
        <v>0</v>
      </c>
      <c r="AX51" s="16">
        <f>+K_si!AX6</f>
        <v>0</v>
      </c>
      <c r="AY51" s="15">
        <f>+K_si!AY6</f>
        <v>0</v>
      </c>
      <c r="AZ51" s="17">
        <f>+K_si!AZ6</f>
        <v>0</v>
      </c>
      <c r="BA51" s="16">
        <f>+K_si!BA6</f>
        <v>1</v>
      </c>
      <c r="BB51" s="16">
        <f>+K_si!BB6</f>
        <v>1</v>
      </c>
      <c r="BC51" s="17">
        <f>+K_si!BC6</f>
        <v>1</v>
      </c>
    </row>
  </sheetData>
  <conditionalFormatting sqref="B2:BG51">
    <cfRule type="cellIs" dxfId="35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28AF-99FC-4A53-8048-FEBE058009AC}">
  <dimension ref="A1:BC6"/>
  <sheetViews>
    <sheetView topLeftCell="E1" workbookViewId="0">
      <selection activeCell="R16" sqref="R16"/>
    </sheetView>
    <sheetView workbookViewId="1"/>
  </sheetViews>
  <sheetFormatPr baseColWidth="10" defaultColWidth="9.140625" defaultRowHeight="15" x14ac:dyDescent="0.25"/>
  <cols>
    <col min="1" max="1" width="6.5703125" style="20" bestFit="1" customWidth="1"/>
    <col min="2" max="55" width="8" style="7" bestFit="1" customWidth="1"/>
  </cols>
  <sheetData>
    <row r="1" spans="1:55" ht="18.75" customHeight="1" thickBo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112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20.25" customHeight="1" x14ac:dyDescent="0.25">
      <c r="A2" s="21" t="s">
        <v>49</v>
      </c>
      <c r="B2" s="79">
        <v>324</v>
      </c>
      <c r="C2" s="80">
        <v>291</v>
      </c>
      <c r="D2" s="80">
        <v>202</v>
      </c>
      <c r="E2" s="80">
        <v>205</v>
      </c>
      <c r="F2" s="32">
        <v>0</v>
      </c>
      <c r="G2" s="32">
        <v>0</v>
      </c>
      <c r="H2" s="80">
        <v>91</v>
      </c>
      <c r="I2" s="80">
        <v>94</v>
      </c>
      <c r="J2" s="80">
        <v>678</v>
      </c>
      <c r="K2" s="32">
        <v>0</v>
      </c>
      <c r="L2" s="80">
        <v>250</v>
      </c>
      <c r="M2" s="80">
        <v>190</v>
      </c>
      <c r="N2" s="80">
        <v>153</v>
      </c>
      <c r="O2" s="80">
        <v>60</v>
      </c>
      <c r="P2" s="80">
        <v>182</v>
      </c>
      <c r="Q2" s="32">
        <v>0</v>
      </c>
      <c r="R2" s="80">
        <v>1495</v>
      </c>
      <c r="S2" s="32">
        <v>0</v>
      </c>
      <c r="T2" s="32">
        <v>0</v>
      </c>
      <c r="U2" s="80">
        <v>1221</v>
      </c>
      <c r="V2" s="32">
        <v>0</v>
      </c>
      <c r="W2" s="32">
        <v>0</v>
      </c>
      <c r="X2" s="32">
        <v>0</v>
      </c>
      <c r="Y2" s="80">
        <v>44</v>
      </c>
      <c r="Z2" s="80">
        <v>1495</v>
      </c>
      <c r="AA2" s="80">
        <v>120</v>
      </c>
      <c r="AB2" s="32">
        <v>0</v>
      </c>
      <c r="AC2" s="80">
        <v>135</v>
      </c>
      <c r="AD2" s="32">
        <v>0</v>
      </c>
      <c r="AE2" s="80">
        <v>223</v>
      </c>
      <c r="AF2" s="80">
        <v>206</v>
      </c>
      <c r="AG2" s="80">
        <v>265</v>
      </c>
      <c r="AH2" s="80">
        <v>229</v>
      </c>
      <c r="AI2" s="80">
        <v>728</v>
      </c>
      <c r="AJ2" s="80">
        <v>78</v>
      </c>
      <c r="AK2" s="80">
        <v>19</v>
      </c>
      <c r="AL2" s="80">
        <v>172</v>
      </c>
      <c r="AM2" s="32">
        <v>0</v>
      </c>
      <c r="AN2" s="80">
        <v>46</v>
      </c>
      <c r="AO2" s="80">
        <v>6</v>
      </c>
      <c r="AP2" s="80">
        <v>174</v>
      </c>
      <c r="AQ2" s="80">
        <v>103</v>
      </c>
      <c r="AR2" s="80">
        <v>43</v>
      </c>
      <c r="AS2" s="80">
        <v>40</v>
      </c>
      <c r="AT2" s="80">
        <v>5</v>
      </c>
      <c r="AU2" s="80">
        <v>10</v>
      </c>
      <c r="AV2" s="80">
        <v>292</v>
      </c>
      <c r="AW2" s="80">
        <v>67</v>
      </c>
      <c r="AX2" s="80">
        <v>159</v>
      </c>
      <c r="AY2" s="80">
        <v>65</v>
      </c>
      <c r="AZ2" s="80">
        <v>10</v>
      </c>
      <c r="BA2" s="32">
        <v>0</v>
      </c>
      <c r="BB2" s="32">
        <v>0</v>
      </c>
      <c r="BC2" s="33">
        <v>0</v>
      </c>
    </row>
    <row r="3" spans="1:55" ht="19.5" customHeight="1" x14ac:dyDescent="0.25">
      <c r="A3" s="22" t="s">
        <v>50</v>
      </c>
      <c r="B3" s="34">
        <v>0</v>
      </c>
      <c r="C3" s="1">
        <v>0</v>
      </c>
      <c r="D3" s="1">
        <v>0</v>
      </c>
      <c r="E3" s="1">
        <v>0</v>
      </c>
      <c r="F3" s="81">
        <v>294</v>
      </c>
      <c r="G3" s="81">
        <v>1800</v>
      </c>
      <c r="H3" s="1">
        <v>0</v>
      </c>
      <c r="I3" s="1">
        <v>0</v>
      </c>
      <c r="J3" s="1">
        <v>0</v>
      </c>
      <c r="K3" s="81">
        <f>1800/2</f>
        <v>900</v>
      </c>
      <c r="L3" s="1">
        <v>0</v>
      </c>
      <c r="M3" s="81">
        <v>185</v>
      </c>
      <c r="N3" s="1">
        <v>0</v>
      </c>
      <c r="O3" s="1">
        <v>0</v>
      </c>
      <c r="P3" s="1">
        <v>0</v>
      </c>
      <c r="Q3" s="81">
        <v>883</v>
      </c>
      <c r="R3" s="1">
        <v>0</v>
      </c>
      <c r="S3" s="1">
        <v>0</v>
      </c>
      <c r="T3" s="81">
        <v>50</v>
      </c>
      <c r="U3" s="81">
        <v>1221</v>
      </c>
      <c r="V3" s="81">
        <v>184</v>
      </c>
      <c r="W3" s="1">
        <v>0</v>
      </c>
      <c r="X3" s="81">
        <f>146/2</f>
        <v>73</v>
      </c>
      <c r="Y3" s="1">
        <v>0</v>
      </c>
      <c r="Z3" s="1">
        <v>0</v>
      </c>
      <c r="AA3" s="1">
        <v>0</v>
      </c>
      <c r="AB3" s="81">
        <v>69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35">
        <v>0</v>
      </c>
    </row>
    <row r="4" spans="1:55" ht="19.5" customHeight="1" x14ac:dyDescent="0.25">
      <c r="A4" s="22" t="s">
        <v>113</v>
      </c>
      <c r="B4" s="34">
        <v>0</v>
      </c>
      <c r="C4" s="1">
        <v>0</v>
      </c>
      <c r="D4" s="1">
        <v>0</v>
      </c>
      <c r="E4" s="1">
        <v>0</v>
      </c>
      <c r="F4" s="1">
        <v>0</v>
      </c>
      <c r="G4" s="81">
        <v>935</v>
      </c>
      <c r="H4" s="1">
        <v>0</v>
      </c>
      <c r="I4" s="1">
        <v>0</v>
      </c>
      <c r="J4" s="1">
        <v>0</v>
      </c>
      <c r="K4" s="81">
        <f>935/2</f>
        <v>467.5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81">
        <v>244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35">
        <v>0</v>
      </c>
    </row>
    <row r="5" spans="1:55" ht="19.5" customHeight="1" x14ac:dyDescent="0.25">
      <c r="A5" s="22" t="s">
        <v>114</v>
      </c>
      <c r="B5" s="34">
        <v>0</v>
      </c>
      <c r="C5" s="1">
        <v>0</v>
      </c>
      <c r="D5" s="81">
        <v>40</v>
      </c>
      <c r="E5" s="81">
        <v>40</v>
      </c>
      <c r="F5" s="81">
        <v>40</v>
      </c>
      <c r="G5" s="81">
        <v>620</v>
      </c>
      <c r="H5" s="81">
        <v>40</v>
      </c>
      <c r="I5" s="81">
        <v>81</v>
      </c>
      <c r="J5" s="1">
        <v>0</v>
      </c>
      <c r="K5" s="81">
        <v>620</v>
      </c>
      <c r="L5" s="81">
        <v>40</v>
      </c>
      <c r="M5" s="81">
        <v>40</v>
      </c>
      <c r="N5" s="81">
        <v>30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81">
        <v>30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81">
        <v>20</v>
      </c>
      <c r="AE5" s="81">
        <v>30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81">
        <v>17</v>
      </c>
      <c r="AM5" s="81">
        <v>166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35">
        <v>0</v>
      </c>
    </row>
    <row r="6" spans="1:55" ht="19.5" customHeight="1" thickBot="1" x14ac:dyDescent="0.3">
      <c r="A6" s="23" t="s">
        <v>115</v>
      </c>
      <c r="B6" s="36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82">
        <v>80</v>
      </c>
      <c r="BB6" s="82">
        <v>80</v>
      </c>
      <c r="BC6" s="83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1336-6228-4543-A7B5-73DB9412617B}">
  <sheetPr>
    <outlinePr summaryBelow="0"/>
  </sheetPr>
  <dimension ref="A1:BC6"/>
  <sheetViews>
    <sheetView topLeftCell="U1" zoomScaleNormal="100" workbookViewId="0">
      <selection activeCell="AM29" sqref="AM29"/>
    </sheetView>
    <sheetView workbookViewId="1"/>
  </sheetViews>
  <sheetFormatPr baseColWidth="10" defaultColWidth="9.140625" defaultRowHeight="15" x14ac:dyDescent="0.25"/>
  <cols>
    <col min="1" max="1" width="6.5703125" style="20" bestFit="1" customWidth="1"/>
    <col min="2" max="55" width="8" style="7" bestFit="1" customWidth="1"/>
  </cols>
  <sheetData>
    <row r="1" spans="1:55" ht="18.75" customHeight="1" thickBot="1" x14ac:dyDescent="0.3">
      <c r="B1" s="76" t="s">
        <v>0</v>
      </c>
      <c r="C1" s="76" t="s">
        <v>1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9</v>
      </c>
      <c r="L1" s="76" t="s">
        <v>10</v>
      </c>
      <c r="M1" s="76" t="s">
        <v>11</v>
      </c>
      <c r="N1" s="76" t="s">
        <v>12</v>
      </c>
      <c r="O1" s="76" t="s">
        <v>13</v>
      </c>
      <c r="P1" s="76" t="s">
        <v>14</v>
      </c>
      <c r="Q1" s="76" t="s">
        <v>15</v>
      </c>
      <c r="R1" s="76" t="s">
        <v>16</v>
      </c>
      <c r="S1" s="76" t="s">
        <v>17</v>
      </c>
      <c r="T1" s="76" t="s">
        <v>18</v>
      </c>
      <c r="U1" s="76" t="s">
        <v>19</v>
      </c>
      <c r="V1" s="76" t="s">
        <v>20</v>
      </c>
      <c r="W1" s="76" t="s">
        <v>21</v>
      </c>
      <c r="X1" s="76" t="s">
        <v>22</v>
      </c>
      <c r="Y1" s="76" t="s">
        <v>23</v>
      </c>
      <c r="Z1" s="76" t="s">
        <v>24</v>
      </c>
      <c r="AA1" s="76" t="s">
        <v>112</v>
      </c>
      <c r="AB1" s="76" t="s">
        <v>26</v>
      </c>
      <c r="AC1" s="76" t="s">
        <v>27</v>
      </c>
      <c r="AD1" s="76" t="s">
        <v>28</v>
      </c>
      <c r="AE1" s="76" t="s">
        <v>29</v>
      </c>
      <c r="AF1" s="76" t="s">
        <v>30</v>
      </c>
      <c r="AG1" s="76" t="s">
        <v>31</v>
      </c>
      <c r="AH1" s="76" t="s">
        <v>32</v>
      </c>
      <c r="AI1" s="76" t="s">
        <v>33</v>
      </c>
      <c r="AJ1" s="76" t="s">
        <v>34</v>
      </c>
      <c r="AK1" s="76" t="s">
        <v>35</v>
      </c>
      <c r="AL1" s="76" t="s">
        <v>36</v>
      </c>
      <c r="AM1" s="76" t="s">
        <v>37</v>
      </c>
      <c r="AN1" s="76" t="s">
        <v>38</v>
      </c>
      <c r="AO1" s="76" t="s">
        <v>39</v>
      </c>
      <c r="AP1" s="76" t="s">
        <v>40</v>
      </c>
      <c r="AQ1" s="76" t="s">
        <v>41</v>
      </c>
      <c r="AR1" s="76" t="s">
        <v>42</v>
      </c>
      <c r="AS1" s="76" t="s">
        <v>43</v>
      </c>
      <c r="AT1" s="76" t="s">
        <v>44</v>
      </c>
      <c r="AU1" s="76" t="s">
        <v>45</v>
      </c>
      <c r="AV1" s="76" t="s">
        <v>46</v>
      </c>
      <c r="AW1" s="76" t="s">
        <v>47</v>
      </c>
      <c r="AX1" s="76" t="s">
        <v>48</v>
      </c>
      <c r="AY1" s="76" t="s">
        <v>49</v>
      </c>
      <c r="AZ1" s="76" t="s">
        <v>50</v>
      </c>
      <c r="BA1" s="76" t="s">
        <v>51</v>
      </c>
      <c r="BB1" s="76" t="s">
        <v>52</v>
      </c>
      <c r="BC1" s="76" t="s">
        <v>53</v>
      </c>
    </row>
    <row r="2" spans="1:55" ht="20.25" customHeight="1" x14ac:dyDescent="0.25">
      <c r="A2" s="73" t="s">
        <v>49</v>
      </c>
      <c r="B2" s="77">
        <f>+DEMANDA!B2-DEMANDA!B2</f>
        <v>0</v>
      </c>
      <c r="C2" s="44">
        <f>+DEMANDA!C2-DEMANDA!C2</f>
        <v>0</v>
      </c>
      <c r="D2" s="44">
        <f>+DEMANDA!D2-DEMANDA!D2</f>
        <v>0</v>
      </c>
      <c r="E2" s="44">
        <f>+DEMANDA!E2-DEMANDA!E2</f>
        <v>0</v>
      </c>
      <c r="F2" s="44">
        <f>+DEMANDA!F2-DEMANDA!F2</f>
        <v>0</v>
      </c>
      <c r="G2" s="44">
        <f>+DEMANDA!G2-DEMANDA!G2</f>
        <v>0</v>
      </c>
      <c r="H2" s="44">
        <f>+DEMANDA!H2-DEMANDA!H2</f>
        <v>0</v>
      </c>
      <c r="I2" s="44">
        <f>+DEMANDA!I2-DEMANDA!I2</f>
        <v>0</v>
      </c>
      <c r="J2" s="44">
        <f>+DEMANDA!J2-DEMANDA!J2</f>
        <v>0</v>
      </c>
      <c r="K2" s="44">
        <f>+DEMANDA!K2-DEMANDA!K2</f>
        <v>0</v>
      </c>
      <c r="L2" s="44">
        <f>+DEMANDA!L2-DEMANDA!L2</f>
        <v>0</v>
      </c>
      <c r="M2" s="44">
        <f>+DEMANDA!M2-DEMANDA!M2</f>
        <v>0</v>
      </c>
      <c r="N2" s="44">
        <f>+DEMANDA!N2-DEMANDA!N2</f>
        <v>0</v>
      </c>
      <c r="O2" s="44">
        <f>+DEMANDA!O2-DEMANDA!O2</f>
        <v>0</v>
      </c>
      <c r="P2" s="44">
        <f>+DEMANDA!P2-DEMANDA!P2</f>
        <v>0</v>
      </c>
      <c r="Q2" s="44">
        <f>+DEMANDA!Q2-DEMANDA!Q2</f>
        <v>0</v>
      </c>
      <c r="R2" s="44">
        <f>+DEMANDA!R2-DEMANDA!R2</f>
        <v>0</v>
      </c>
      <c r="S2" s="44">
        <f>+DEMANDA!S2-DEMANDA!S2</f>
        <v>0</v>
      </c>
      <c r="T2" s="44">
        <f>+DEMANDA!T2-DEMANDA!T2</f>
        <v>0</v>
      </c>
      <c r="U2" s="44">
        <f>+DEMANDA!U2-DEMANDA!U2</f>
        <v>0</v>
      </c>
      <c r="V2" s="44">
        <f>+DEMANDA!V2-DEMANDA!V2</f>
        <v>0</v>
      </c>
      <c r="W2" s="44">
        <f>+DEMANDA!W2-DEMANDA!W2</f>
        <v>0</v>
      </c>
      <c r="X2" s="44">
        <f>+DEMANDA!X2-DEMANDA!X2</f>
        <v>0</v>
      </c>
      <c r="Y2" s="44">
        <f>+DEMANDA!Y2-DEMANDA!Y2</f>
        <v>0</v>
      </c>
      <c r="Z2" s="44">
        <f>+DEMANDA!Z2-DEMANDA!Z2</f>
        <v>0</v>
      </c>
      <c r="AA2" s="44">
        <f>+DEMANDA!AA2-DEMANDA!AA2</f>
        <v>0</v>
      </c>
      <c r="AB2" s="44">
        <f>+DEMANDA!AB2-DEMANDA!AB2</f>
        <v>0</v>
      </c>
      <c r="AC2" s="44">
        <f>+DEMANDA!AC2-DEMANDA!AC2</f>
        <v>0</v>
      </c>
      <c r="AD2" s="44">
        <f>+DEMANDA!AD2-DEMANDA!AD2</f>
        <v>0</v>
      </c>
      <c r="AE2" s="44">
        <f>+DEMANDA!AE2-DEMANDA!AE2</f>
        <v>0</v>
      </c>
      <c r="AF2" s="44">
        <f>+DEMANDA!AF2-DEMANDA!AF2</f>
        <v>0</v>
      </c>
      <c r="AG2" s="44">
        <f>+DEMANDA!AG2-DEMANDA!AG2</f>
        <v>0</v>
      </c>
      <c r="AH2" s="44">
        <f>+DEMANDA!AH2-DEMANDA!AH2</f>
        <v>0</v>
      </c>
      <c r="AI2" s="44">
        <f>+DEMANDA!AI2-DEMANDA!AI2</f>
        <v>0</v>
      </c>
      <c r="AJ2" s="44">
        <f>+DEMANDA!AJ2-DEMANDA!AJ2</f>
        <v>0</v>
      </c>
      <c r="AK2" s="44">
        <f>+DEMANDA!AK2-DEMANDA!AK2</f>
        <v>0</v>
      </c>
      <c r="AL2" s="44">
        <f>+DEMANDA!AL2-DEMANDA!AL2</f>
        <v>0</v>
      </c>
      <c r="AM2" s="44">
        <f>+DEMANDA!AM2-DEMANDA!AM2</f>
        <v>0</v>
      </c>
      <c r="AN2" s="44">
        <f>+DEMANDA!AN2</f>
        <v>46</v>
      </c>
      <c r="AO2" s="44">
        <f>+DEMANDA!AO2</f>
        <v>6</v>
      </c>
      <c r="AP2" s="44">
        <f>+DEMANDA!AP2</f>
        <v>174</v>
      </c>
      <c r="AQ2" s="44">
        <f>+DEMANDA!AQ2</f>
        <v>103</v>
      </c>
      <c r="AR2" s="44">
        <f>+DEMANDA!AR2</f>
        <v>43</v>
      </c>
      <c r="AS2" s="44">
        <f>+DEMANDA!AS2</f>
        <v>40</v>
      </c>
      <c r="AT2" s="44">
        <f>+DEMANDA!AT2</f>
        <v>5</v>
      </c>
      <c r="AU2" s="44">
        <f>+DEMANDA!AU2</f>
        <v>10</v>
      </c>
      <c r="AV2" s="44">
        <f>+DEMANDA!AV2</f>
        <v>292</v>
      </c>
      <c r="AW2" s="44">
        <f>+DEMANDA!AW2-DEMANDA!AW2</f>
        <v>0</v>
      </c>
      <c r="AX2" s="44">
        <f>+DEMANDA!AX2-DEMANDA!AX2</f>
        <v>0</v>
      </c>
      <c r="AY2" s="44">
        <f>+DEMANDA!AY2-DEMANDA!AY2</f>
        <v>0</v>
      </c>
      <c r="AZ2" s="44">
        <f>+DEMANDA!AZ2-DEMANDA!AZ2</f>
        <v>0</v>
      </c>
      <c r="BA2" s="44">
        <f>+DEMANDA!BA2-DEMANDA!BA2</f>
        <v>0</v>
      </c>
      <c r="BB2" s="44">
        <f>+DEMANDA!BB2-DEMANDA!BB2</f>
        <v>0</v>
      </c>
      <c r="BC2" s="45">
        <f>+DEMANDA!BC2-DEMANDA!BC2</f>
        <v>0</v>
      </c>
    </row>
    <row r="3" spans="1:55" ht="19.5" customHeight="1" x14ac:dyDescent="0.25">
      <c r="A3" s="74" t="s">
        <v>50</v>
      </c>
      <c r="B3" s="46">
        <f>+DEMANDA!B3-DEMANDA!B3</f>
        <v>0</v>
      </c>
      <c r="C3" s="47">
        <f>+DEMANDA!C3-DEMANDA!C3</f>
        <v>0</v>
      </c>
      <c r="D3" s="47">
        <f>+DEMANDA!D3-DEMANDA!D3</f>
        <v>0</v>
      </c>
      <c r="E3" s="47">
        <f>+DEMANDA!E3-DEMANDA!E3</f>
        <v>0</v>
      </c>
      <c r="F3" s="47">
        <f>+DEMANDA!F3-DEMANDA!F3</f>
        <v>0</v>
      </c>
      <c r="G3" s="47">
        <f>+DEMANDA!G3-DEMANDA!G3</f>
        <v>0</v>
      </c>
      <c r="H3" s="47">
        <f>+DEMANDA!H3-DEMANDA!H3</f>
        <v>0</v>
      </c>
      <c r="I3" s="47">
        <f>+DEMANDA!I3-DEMANDA!I3</f>
        <v>0</v>
      </c>
      <c r="J3" s="47">
        <f>+DEMANDA!J3-DEMANDA!J3</f>
        <v>0</v>
      </c>
      <c r="K3" s="47">
        <f>+DEMANDA!K3-DEMANDA!K3</f>
        <v>0</v>
      </c>
      <c r="L3" s="47">
        <f>+DEMANDA!L3-DEMANDA!L3</f>
        <v>0</v>
      </c>
      <c r="M3" s="47">
        <f>+DEMANDA!M3-DEMANDA!M3</f>
        <v>0</v>
      </c>
      <c r="N3" s="47">
        <f>+DEMANDA!N3-DEMANDA!N3</f>
        <v>0</v>
      </c>
      <c r="O3" s="47">
        <f>+DEMANDA!O3-DEMANDA!O3</f>
        <v>0</v>
      </c>
      <c r="P3" s="47">
        <f>+DEMANDA!P3-DEMANDA!P3</f>
        <v>0</v>
      </c>
      <c r="Q3" s="47">
        <f>+DEMANDA!Q3-DEMANDA!Q3</f>
        <v>0</v>
      </c>
      <c r="R3" s="47">
        <f>+DEMANDA!R3-DEMANDA!R3</f>
        <v>0</v>
      </c>
      <c r="S3" s="47">
        <f>+DEMANDA!S3-DEMANDA!S3</f>
        <v>0</v>
      </c>
      <c r="T3" s="47">
        <f>+DEMANDA!T3-DEMANDA!T3</f>
        <v>0</v>
      </c>
      <c r="U3" s="47">
        <f>+DEMANDA!U3-DEMANDA!U3</f>
        <v>0</v>
      </c>
      <c r="V3" s="47">
        <f>+DEMANDA!V3-DEMANDA!V3</f>
        <v>0</v>
      </c>
      <c r="W3" s="47">
        <f>+DEMANDA!W3-DEMANDA!W3</f>
        <v>0</v>
      </c>
      <c r="X3" s="47">
        <f>+DEMANDA!X3-DEMANDA!X3</f>
        <v>0</v>
      </c>
      <c r="Y3" s="47">
        <f>+DEMANDA!Y3-DEMANDA!Y3</f>
        <v>0</v>
      </c>
      <c r="Z3" s="47">
        <f>+DEMANDA!Z3-DEMANDA!Z3</f>
        <v>0</v>
      </c>
      <c r="AA3" s="47">
        <f>+DEMANDA!AA3-DEMANDA!AA3</f>
        <v>0</v>
      </c>
      <c r="AB3" s="47">
        <f>+DEMANDA!AB3-DEMANDA!AB3</f>
        <v>0</v>
      </c>
      <c r="AC3" s="47">
        <f>+DEMANDA!AC3-DEMANDA!AC3</f>
        <v>0</v>
      </c>
      <c r="AD3" s="47">
        <f>+DEMANDA!AD3-DEMANDA!AD3</f>
        <v>0</v>
      </c>
      <c r="AE3" s="47">
        <f>+DEMANDA!AE3-DEMANDA!AE3</f>
        <v>0</v>
      </c>
      <c r="AF3" s="47">
        <f>+DEMANDA!AF3-DEMANDA!AF3</f>
        <v>0</v>
      </c>
      <c r="AG3" s="47">
        <f>+DEMANDA!AG3-DEMANDA!AG3</f>
        <v>0</v>
      </c>
      <c r="AH3" s="47">
        <f>+DEMANDA!AH3-DEMANDA!AH3</f>
        <v>0</v>
      </c>
      <c r="AI3" s="47">
        <f>+DEMANDA!AI3-DEMANDA!AI3</f>
        <v>0</v>
      </c>
      <c r="AJ3" s="47">
        <f>+DEMANDA!AJ3-DEMANDA!AJ3</f>
        <v>0</v>
      </c>
      <c r="AK3" s="47">
        <f>+DEMANDA!AK3-DEMANDA!AK3</f>
        <v>0</v>
      </c>
      <c r="AL3" s="47">
        <f>+DEMANDA!AL3-DEMANDA!AL3</f>
        <v>0</v>
      </c>
      <c r="AM3" s="47">
        <f>+DEMANDA!AM3-DEMANDA!AM3</f>
        <v>0</v>
      </c>
      <c r="AN3" s="47">
        <f>+DEMANDA!AN3-DEMANDA!AN3</f>
        <v>0</v>
      </c>
      <c r="AO3" s="47">
        <f>+DEMANDA!AO3-DEMANDA!AO3</f>
        <v>0</v>
      </c>
      <c r="AP3" s="47">
        <f>+DEMANDA!AP3-DEMANDA!AP3</f>
        <v>0</v>
      </c>
      <c r="AQ3" s="47">
        <f>+DEMANDA!AQ3-DEMANDA!AQ3</f>
        <v>0</v>
      </c>
      <c r="AR3" s="47">
        <f>+DEMANDA!AR3-DEMANDA!AR3</f>
        <v>0</v>
      </c>
      <c r="AS3" s="47">
        <f>+DEMANDA!AS3-DEMANDA!AS3</f>
        <v>0</v>
      </c>
      <c r="AT3" s="47">
        <f>+DEMANDA!AT3-DEMANDA!AT3</f>
        <v>0</v>
      </c>
      <c r="AU3" s="47">
        <f>+DEMANDA!AU3-DEMANDA!AU3</f>
        <v>0</v>
      </c>
      <c r="AV3" s="47">
        <f>+DEMANDA!AV3-DEMANDA!AV3</f>
        <v>0</v>
      </c>
      <c r="AW3" s="47">
        <f>+DEMANDA!AW3-DEMANDA!AW3</f>
        <v>0</v>
      </c>
      <c r="AX3" s="47">
        <f>+DEMANDA!AX3-DEMANDA!AX3</f>
        <v>0</v>
      </c>
      <c r="AY3" s="47">
        <f>+DEMANDA!AY3-DEMANDA!AY3</f>
        <v>0</v>
      </c>
      <c r="AZ3" s="47">
        <f>+DEMANDA!AZ3-DEMANDA!AZ3</f>
        <v>0</v>
      </c>
      <c r="BA3" s="47">
        <f>+DEMANDA!BA3-DEMANDA!BA3</f>
        <v>0</v>
      </c>
      <c r="BB3" s="47">
        <f>+DEMANDA!BB3-DEMANDA!BB3</f>
        <v>0</v>
      </c>
      <c r="BC3" s="48">
        <f>+DEMANDA!BC3-DEMANDA!BC3</f>
        <v>0</v>
      </c>
    </row>
    <row r="4" spans="1:55" ht="19.5" customHeight="1" x14ac:dyDescent="0.25">
      <c r="A4" s="74" t="s">
        <v>113</v>
      </c>
      <c r="B4" s="46">
        <f>+DEMANDA!B4-DEMANDA!B4</f>
        <v>0</v>
      </c>
      <c r="C4" s="47">
        <f>+DEMANDA!C4-DEMANDA!C4</f>
        <v>0</v>
      </c>
      <c r="D4" s="47">
        <f>+DEMANDA!D4-DEMANDA!D4</f>
        <v>0</v>
      </c>
      <c r="E4" s="47">
        <f>+DEMANDA!E4-DEMANDA!E4</f>
        <v>0</v>
      </c>
      <c r="F4" s="47">
        <f>+DEMANDA!F4-DEMANDA!F4</f>
        <v>0</v>
      </c>
      <c r="G4" s="47">
        <f>+DEMANDA!G4-DEMANDA!G4</f>
        <v>0</v>
      </c>
      <c r="H4" s="47">
        <f>+DEMANDA!H4-DEMANDA!H4</f>
        <v>0</v>
      </c>
      <c r="I4" s="47">
        <f>+DEMANDA!I4-DEMANDA!I4</f>
        <v>0</v>
      </c>
      <c r="J4" s="47">
        <f>+DEMANDA!J4-DEMANDA!J4</f>
        <v>0</v>
      </c>
      <c r="K4" s="47">
        <f>+DEMANDA!K4-DEMANDA!K4</f>
        <v>0</v>
      </c>
      <c r="L4" s="47">
        <f>+DEMANDA!L4-DEMANDA!L4</f>
        <v>0</v>
      </c>
      <c r="M4" s="47">
        <f>+DEMANDA!M4-DEMANDA!M4</f>
        <v>0</v>
      </c>
      <c r="N4" s="47">
        <f>+DEMANDA!N4-DEMANDA!N4</f>
        <v>0</v>
      </c>
      <c r="O4" s="47">
        <f>+DEMANDA!O4-DEMANDA!O4</f>
        <v>0</v>
      </c>
      <c r="P4" s="47">
        <f>+DEMANDA!P4-DEMANDA!P4</f>
        <v>0</v>
      </c>
      <c r="Q4" s="47">
        <f>+DEMANDA!Q4-DEMANDA!Q4</f>
        <v>0</v>
      </c>
      <c r="R4" s="47">
        <f>+DEMANDA!R4-DEMANDA!R4</f>
        <v>0</v>
      </c>
      <c r="S4" s="47">
        <f>+DEMANDA!S4-DEMANDA!S4</f>
        <v>0</v>
      </c>
      <c r="T4" s="47">
        <f>+DEMANDA!T4-DEMANDA!T4</f>
        <v>0</v>
      </c>
      <c r="U4" s="47">
        <f>+DEMANDA!U4-DEMANDA!U4</f>
        <v>0</v>
      </c>
      <c r="V4" s="47">
        <f>+DEMANDA!V4-DEMANDA!V4</f>
        <v>0</v>
      </c>
      <c r="W4" s="47">
        <f>+DEMANDA!W4-DEMANDA!W4</f>
        <v>0</v>
      </c>
      <c r="X4" s="47">
        <f>+DEMANDA!X4-DEMANDA!X4</f>
        <v>0</v>
      </c>
      <c r="Y4" s="47">
        <f>+DEMANDA!Y4-DEMANDA!Y4</f>
        <v>0</v>
      </c>
      <c r="Z4" s="47">
        <f>+DEMANDA!Z4-DEMANDA!Z4</f>
        <v>0</v>
      </c>
      <c r="AA4" s="47">
        <f>+DEMANDA!AA4-DEMANDA!AA4</f>
        <v>0</v>
      </c>
      <c r="AB4" s="47">
        <f>+DEMANDA!AB4-DEMANDA!AB4</f>
        <v>0</v>
      </c>
      <c r="AC4" s="47">
        <f>+DEMANDA!AC4-DEMANDA!AC4</f>
        <v>0</v>
      </c>
      <c r="AD4" s="47">
        <f>+DEMANDA!AD4-DEMANDA!AD4</f>
        <v>0</v>
      </c>
      <c r="AE4" s="47">
        <f>+DEMANDA!AE4-DEMANDA!AE4</f>
        <v>0</v>
      </c>
      <c r="AF4" s="47">
        <f>+DEMANDA!AF4-DEMANDA!AF4</f>
        <v>0</v>
      </c>
      <c r="AG4" s="47">
        <f>+DEMANDA!AG4-DEMANDA!AG4</f>
        <v>0</v>
      </c>
      <c r="AH4" s="47">
        <f>+DEMANDA!AH4-DEMANDA!AH4</f>
        <v>0</v>
      </c>
      <c r="AI4" s="47">
        <f>+DEMANDA!AI4-DEMANDA!AI4</f>
        <v>0</v>
      </c>
      <c r="AJ4" s="47">
        <f>+DEMANDA!AJ4-DEMANDA!AJ4</f>
        <v>0</v>
      </c>
      <c r="AK4" s="47">
        <f>+DEMANDA!AK4-DEMANDA!AK4</f>
        <v>0</v>
      </c>
      <c r="AL4" s="47">
        <f>+DEMANDA!AL4-DEMANDA!AL4</f>
        <v>0</v>
      </c>
      <c r="AM4" s="47">
        <f>+DEMANDA!AM4-DEMANDA!AM4</f>
        <v>0</v>
      </c>
      <c r="AN4" s="47">
        <f>+DEMANDA!AN4-DEMANDA!AN4</f>
        <v>0</v>
      </c>
      <c r="AO4" s="47">
        <f>+DEMANDA!AO4-DEMANDA!AO4</f>
        <v>0</v>
      </c>
      <c r="AP4" s="47">
        <f>+DEMANDA!AP4-DEMANDA!AP4</f>
        <v>0</v>
      </c>
      <c r="AQ4" s="47">
        <f>+DEMANDA!AQ4-DEMANDA!AQ4</f>
        <v>0</v>
      </c>
      <c r="AR4" s="47">
        <f>+DEMANDA!AR4-DEMANDA!AR4</f>
        <v>0</v>
      </c>
      <c r="AS4" s="47">
        <f>+DEMANDA!AS4-DEMANDA!AS4</f>
        <v>0</v>
      </c>
      <c r="AT4" s="47">
        <f>+DEMANDA!AT4-DEMANDA!AT4</f>
        <v>0</v>
      </c>
      <c r="AU4" s="47">
        <f>+DEMANDA!AU4-DEMANDA!AU4</f>
        <v>0</v>
      </c>
      <c r="AV4" s="47">
        <f>+DEMANDA!AV4-DEMANDA!AV4</f>
        <v>0</v>
      </c>
      <c r="AW4" s="47">
        <f>+DEMANDA!AW4-DEMANDA!AW4</f>
        <v>0</v>
      </c>
      <c r="AX4" s="47">
        <f>+DEMANDA!AX4-DEMANDA!AX4</f>
        <v>0</v>
      </c>
      <c r="AY4" s="47">
        <f>+DEMANDA!AY4-DEMANDA!AY4</f>
        <v>0</v>
      </c>
      <c r="AZ4" s="47">
        <f>+DEMANDA!AZ4-DEMANDA!AZ4</f>
        <v>0</v>
      </c>
      <c r="BA4" s="47">
        <f>+DEMANDA!BA4-DEMANDA!BA4</f>
        <v>0</v>
      </c>
      <c r="BB4" s="47">
        <f>+DEMANDA!BB4-DEMANDA!BB4</f>
        <v>0</v>
      </c>
      <c r="BC4" s="48">
        <f>+DEMANDA!BC4-DEMANDA!BC4</f>
        <v>0</v>
      </c>
    </row>
    <row r="5" spans="1:55" ht="19.5" customHeight="1" x14ac:dyDescent="0.25">
      <c r="A5" s="74" t="s">
        <v>114</v>
      </c>
      <c r="B5" s="46">
        <f>+DEMANDA!B5-DEMANDA!B5</f>
        <v>0</v>
      </c>
      <c r="C5" s="47">
        <f>+DEMANDA!C5-DEMANDA!C5</f>
        <v>0</v>
      </c>
      <c r="D5" s="47">
        <f>+DEMANDA!D5-DEMANDA!D5</f>
        <v>0</v>
      </c>
      <c r="E5" s="47">
        <f>+DEMANDA!E5-DEMANDA!E5</f>
        <v>0</v>
      </c>
      <c r="F5" s="47">
        <f>+DEMANDA!F5-DEMANDA!F5</f>
        <v>0</v>
      </c>
      <c r="G5" s="47">
        <f>+DEMANDA!G5-DEMANDA!G5</f>
        <v>0</v>
      </c>
      <c r="H5" s="47">
        <f>+DEMANDA!H5-DEMANDA!H5</f>
        <v>0</v>
      </c>
      <c r="I5" s="47">
        <f>+DEMANDA!I5-DEMANDA!I5</f>
        <v>0</v>
      </c>
      <c r="J5" s="47">
        <f>+DEMANDA!J5-DEMANDA!J5</f>
        <v>0</v>
      </c>
      <c r="K5" s="47">
        <f>+DEMANDA!K5-DEMANDA!K5</f>
        <v>0</v>
      </c>
      <c r="L5" s="47">
        <f>+DEMANDA!L5-DEMANDA!L5</f>
        <v>0</v>
      </c>
      <c r="M5" s="47">
        <f>+DEMANDA!M5-DEMANDA!M5</f>
        <v>0</v>
      </c>
      <c r="N5" s="47">
        <f>+DEMANDA!N5-DEMANDA!N5</f>
        <v>0</v>
      </c>
      <c r="O5" s="47">
        <f>+DEMANDA!O5-DEMANDA!O5</f>
        <v>0</v>
      </c>
      <c r="P5" s="47">
        <f>+DEMANDA!P5-DEMANDA!P5</f>
        <v>0</v>
      </c>
      <c r="Q5" s="47">
        <f>+DEMANDA!Q5-DEMANDA!Q5</f>
        <v>0</v>
      </c>
      <c r="R5" s="47">
        <f>+DEMANDA!R5-DEMANDA!R5</f>
        <v>0</v>
      </c>
      <c r="S5" s="47">
        <f>+DEMANDA!S5-DEMANDA!S5</f>
        <v>0</v>
      </c>
      <c r="T5" s="47">
        <f>+DEMANDA!T5-DEMANDA!T5</f>
        <v>0</v>
      </c>
      <c r="U5" s="47">
        <f>+DEMANDA!U5-DEMANDA!U5</f>
        <v>0</v>
      </c>
      <c r="V5" s="47">
        <f>+DEMANDA!V5-DEMANDA!V5</f>
        <v>0</v>
      </c>
      <c r="W5" s="47">
        <f>+DEMANDA!W5-DEMANDA!W5</f>
        <v>0</v>
      </c>
      <c r="X5" s="47">
        <f>+DEMANDA!X5-DEMANDA!X5</f>
        <v>0</v>
      </c>
      <c r="Y5" s="47">
        <f>+DEMANDA!Y5-DEMANDA!Y5</f>
        <v>0</v>
      </c>
      <c r="Z5" s="47">
        <f>+DEMANDA!Z5-DEMANDA!Z5</f>
        <v>0</v>
      </c>
      <c r="AA5" s="47">
        <f>+DEMANDA!AA5-DEMANDA!AA5</f>
        <v>0</v>
      </c>
      <c r="AB5" s="47">
        <f>+DEMANDA!AB5-DEMANDA!AB5</f>
        <v>0</v>
      </c>
      <c r="AC5" s="47">
        <f>+DEMANDA!AC5-DEMANDA!AC5</f>
        <v>0</v>
      </c>
      <c r="AD5" s="47">
        <f>+DEMANDA!AD5-DEMANDA!AD5</f>
        <v>0</v>
      </c>
      <c r="AE5" s="47">
        <f>+DEMANDA!AE5-DEMANDA!AE5</f>
        <v>0</v>
      </c>
      <c r="AF5" s="47">
        <f>+DEMANDA!AF5-DEMANDA!AF5</f>
        <v>0</v>
      </c>
      <c r="AG5" s="47">
        <f>+DEMANDA!AG5-DEMANDA!AG5</f>
        <v>0</v>
      </c>
      <c r="AH5" s="47">
        <f>+DEMANDA!AH5-DEMANDA!AH5</f>
        <v>0</v>
      </c>
      <c r="AI5" s="47">
        <f>+DEMANDA!AI5-DEMANDA!AI5</f>
        <v>0</v>
      </c>
      <c r="AJ5" s="47">
        <f>+DEMANDA!AJ5-DEMANDA!AJ5</f>
        <v>0</v>
      </c>
      <c r="AK5" s="47">
        <f>+DEMANDA!AK5-DEMANDA!AK5</f>
        <v>0</v>
      </c>
      <c r="AL5" s="47">
        <f>+DEMANDA!AL5-DEMANDA!AL5</f>
        <v>0</v>
      </c>
      <c r="AM5" s="47">
        <f>+DEMANDA!AM5-DEMANDA!AM5</f>
        <v>0</v>
      </c>
      <c r="AN5" s="47">
        <f>+DEMANDA!AN5-DEMANDA!AN5</f>
        <v>0</v>
      </c>
      <c r="AO5" s="47">
        <f>+DEMANDA!AO5-DEMANDA!AO5</f>
        <v>0</v>
      </c>
      <c r="AP5" s="47">
        <f>+DEMANDA!AP5-DEMANDA!AP5</f>
        <v>0</v>
      </c>
      <c r="AQ5" s="47">
        <f>+DEMANDA!AQ5-DEMANDA!AQ5</f>
        <v>0</v>
      </c>
      <c r="AR5" s="47">
        <f>+DEMANDA!AR5-DEMANDA!AR5</f>
        <v>0</v>
      </c>
      <c r="AS5" s="47">
        <f>+DEMANDA!AS5-DEMANDA!AS5</f>
        <v>0</v>
      </c>
      <c r="AT5" s="47">
        <f>+DEMANDA!AT5-DEMANDA!AT5</f>
        <v>0</v>
      </c>
      <c r="AU5" s="47">
        <f>+DEMANDA!AU5-DEMANDA!AU5</f>
        <v>0</v>
      </c>
      <c r="AV5" s="47">
        <f>+DEMANDA!AV5-DEMANDA!AV5</f>
        <v>0</v>
      </c>
      <c r="AW5" s="47">
        <f>+DEMANDA!AW5-DEMANDA!AW5</f>
        <v>0</v>
      </c>
      <c r="AX5" s="47">
        <f>+DEMANDA!AX5-DEMANDA!AX5</f>
        <v>0</v>
      </c>
      <c r="AY5" s="47">
        <f>+DEMANDA!AY5-DEMANDA!AY5</f>
        <v>0</v>
      </c>
      <c r="AZ5" s="47">
        <f>+DEMANDA!AZ5-DEMANDA!AZ5</f>
        <v>0</v>
      </c>
      <c r="BA5" s="47">
        <f>+DEMANDA!BA5-DEMANDA!BA5</f>
        <v>0</v>
      </c>
      <c r="BB5" s="47">
        <f>+DEMANDA!BB5-DEMANDA!BB5</f>
        <v>0</v>
      </c>
      <c r="BC5" s="48">
        <f>+DEMANDA!BC5-DEMANDA!BC5</f>
        <v>0</v>
      </c>
    </row>
    <row r="6" spans="1:55" ht="19.5" customHeight="1" thickBot="1" x14ac:dyDescent="0.3">
      <c r="A6" s="75" t="s">
        <v>115</v>
      </c>
      <c r="B6" s="49">
        <f>+DEMANDA!B6-DEMANDA!B6</f>
        <v>0</v>
      </c>
      <c r="C6" s="50">
        <f>+DEMANDA!C6-DEMANDA!C6</f>
        <v>0</v>
      </c>
      <c r="D6" s="50">
        <f>+DEMANDA!D6-DEMANDA!D6</f>
        <v>0</v>
      </c>
      <c r="E6" s="50">
        <f>+DEMANDA!E6-DEMANDA!E6</f>
        <v>0</v>
      </c>
      <c r="F6" s="50">
        <f>+DEMANDA!F6-DEMANDA!F6</f>
        <v>0</v>
      </c>
      <c r="G6" s="50">
        <f>+DEMANDA!G6-DEMANDA!G6</f>
        <v>0</v>
      </c>
      <c r="H6" s="50">
        <f>+DEMANDA!H6-DEMANDA!H6</f>
        <v>0</v>
      </c>
      <c r="I6" s="50">
        <f>+DEMANDA!I6-DEMANDA!I6</f>
        <v>0</v>
      </c>
      <c r="J6" s="50">
        <f>+DEMANDA!J6-DEMANDA!J6</f>
        <v>0</v>
      </c>
      <c r="K6" s="50">
        <f>+DEMANDA!K6-DEMANDA!K6</f>
        <v>0</v>
      </c>
      <c r="L6" s="50">
        <f>+DEMANDA!L6-DEMANDA!L6</f>
        <v>0</v>
      </c>
      <c r="M6" s="50">
        <f>+DEMANDA!M6-DEMANDA!M6</f>
        <v>0</v>
      </c>
      <c r="N6" s="50">
        <f>+DEMANDA!N6-DEMANDA!N6</f>
        <v>0</v>
      </c>
      <c r="O6" s="50">
        <f>+DEMANDA!O6-DEMANDA!O6</f>
        <v>0</v>
      </c>
      <c r="P6" s="50">
        <f>+DEMANDA!P6-DEMANDA!P6</f>
        <v>0</v>
      </c>
      <c r="Q6" s="50">
        <f>+DEMANDA!Q6-DEMANDA!Q6</f>
        <v>0</v>
      </c>
      <c r="R6" s="50">
        <f>+DEMANDA!R6-DEMANDA!R6</f>
        <v>0</v>
      </c>
      <c r="S6" s="50">
        <f>+DEMANDA!S6-DEMANDA!S6</f>
        <v>0</v>
      </c>
      <c r="T6" s="50">
        <f>+DEMANDA!T6-DEMANDA!T6</f>
        <v>0</v>
      </c>
      <c r="U6" s="50">
        <f>+DEMANDA!U6-DEMANDA!U6</f>
        <v>0</v>
      </c>
      <c r="V6" s="50">
        <f>+DEMANDA!V6-DEMANDA!V6</f>
        <v>0</v>
      </c>
      <c r="W6" s="50">
        <f>+DEMANDA!W6-DEMANDA!W6</f>
        <v>0</v>
      </c>
      <c r="X6" s="50">
        <f>+DEMANDA!X6-DEMANDA!X6</f>
        <v>0</v>
      </c>
      <c r="Y6" s="50">
        <f>+DEMANDA!Y6-DEMANDA!Y6</f>
        <v>0</v>
      </c>
      <c r="Z6" s="50">
        <f>+DEMANDA!Z6-DEMANDA!Z6</f>
        <v>0</v>
      </c>
      <c r="AA6" s="50">
        <f>+DEMANDA!AA6-DEMANDA!AA6</f>
        <v>0</v>
      </c>
      <c r="AB6" s="50">
        <f>+DEMANDA!AB6-DEMANDA!AB6</f>
        <v>0</v>
      </c>
      <c r="AC6" s="50">
        <f>+DEMANDA!AC6-DEMANDA!AC6</f>
        <v>0</v>
      </c>
      <c r="AD6" s="50">
        <f>+DEMANDA!AD6-DEMANDA!AD6</f>
        <v>0</v>
      </c>
      <c r="AE6" s="50">
        <f>+DEMANDA!AE6-DEMANDA!AE6</f>
        <v>0</v>
      </c>
      <c r="AF6" s="50">
        <f>+DEMANDA!AF6-DEMANDA!AF6</f>
        <v>0</v>
      </c>
      <c r="AG6" s="50">
        <f>+DEMANDA!AG6-DEMANDA!AG6</f>
        <v>0</v>
      </c>
      <c r="AH6" s="50">
        <f>+DEMANDA!AH6-DEMANDA!AH6</f>
        <v>0</v>
      </c>
      <c r="AI6" s="50">
        <f>+DEMANDA!AI6-DEMANDA!AI6</f>
        <v>0</v>
      </c>
      <c r="AJ6" s="50">
        <f>+DEMANDA!AJ6-DEMANDA!AJ6</f>
        <v>0</v>
      </c>
      <c r="AK6" s="50">
        <f>+DEMANDA!AK6-DEMANDA!AK6</f>
        <v>0</v>
      </c>
      <c r="AL6" s="50">
        <f>+DEMANDA!AL6-DEMANDA!AL6</f>
        <v>0</v>
      </c>
      <c r="AM6" s="50">
        <f>+DEMANDA!AM6-DEMANDA!AM6</f>
        <v>0</v>
      </c>
      <c r="AN6" s="50">
        <f>+DEMANDA!AN6-DEMANDA!AN6</f>
        <v>0</v>
      </c>
      <c r="AO6" s="50">
        <f>+DEMANDA!AO6-DEMANDA!AO6</f>
        <v>0</v>
      </c>
      <c r="AP6" s="50">
        <f>+DEMANDA!AP6-DEMANDA!AP6</f>
        <v>0</v>
      </c>
      <c r="AQ6" s="50">
        <f>+DEMANDA!AQ6-DEMANDA!AQ6</f>
        <v>0</v>
      </c>
      <c r="AR6" s="50">
        <f>+DEMANDA!AR6-DEMANDA!AR6</f>
        <v>0</v>
      </c>
      <c r="AS6" s="50">
        <f>+DEMANDA!AS6-DEMANDA!AS6</f>
        <v>0</v>
      </c>
      <c r="AT6" s="50">
        <f>+DEMANDA!AT6-DEMANDA!AT6</f>
        <v>0</v>
      </c>
      <c r="AU6" s="50">
        <f>+DEMANDA!AU6-DEMANDA!AU6</f>
        <v>0</v>
      </c>
      <c r="AV6" s="50">
        <f>+DEMANDA!AV6-DEMANDA!AV6</f>
        <v>0</v>
      </c>
      <c r="AW6" s="50">
        <f>+DEMANDA!AW6-DEMANDA!AW6</f>
        <v>0</v>
      </c>
      <c r="AX6" s="50">
        <f>+DEMANDA!AX6-DEMANDA!AX6</f>
        <v>0</v>
      </c>
      <c r="AY6" s="50">
        <f>+DEMANDA!AY6-DEMANDA!AY6</f>
        <v>0</v>
      </c>
      <c r="AZ6" s="50">
        <f>+DEMANDA!AZ6-DEMANDA!AZ6</f>
        <v>0</v>
      </c>
      <c r="BA6" s="50">
        <f>+DEMANDA!BA6-DEMANDA!BA6</f>
        <v>0</v>
      </c>
      <c r="BB6" s="50">
        <f>+DEMANDA!BB6-DEMANDA!BB6</f>
        <v>0</v>
      </c>
      <c r="BC6" s="78">
        <f>+DEMANDA!BC6-DEMANDA!BC6</f>
        <v>0</v>
      </c>
    </row>
  </sheetData>
  <conditionalFormatting sqref="B2:BC6">
    <cfRule type="cellIs" dxfId="34" priority="1" operator="less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C6"/>
  <sheetViews>
    <sheetView topLeftCell="W1" zoomScaleNormal="100" workbookViewId="0">
      <selection activeCell="AN2" sqref="AN2"/>
    </sheetView>
    <sheetView workbookViewId="1"/>
  </sheetViews>
  <sheetFormatPr baseColWidth="10" defaultColWidth="9.140625" defaultRowHeight="15" x14ac:dyDescent="0.25"/>
  <cols>
    <col min="1" max="1" width="6.5703125" style="20" bestFit="1" customWidth="1"/>
    <col min="2" max="55" width="8" style="7" bestFit="1" customWidth="1"/>
  </cols>
  <sheetData>
    <row r="1" spans="1:55" ht="18.75" customHeight="1" thickBot="1" x14ac:dyDescent="0.3">
      <c r="B1" s="76" t="s">
        <v>0</v>
      </c>
      <c r="C1" s="76" t="s">
        <v>1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9</v>
      </c>
      <c r="L1" s="76" t="s">
        <v>10</v>
      </c>
      <c r="M1" s="76" t="s">
        <v>11</v>
      </c>
      <c r="N1" s="76" t="s">
        <v>12</v>
      </c>
      <c r="O1" s="76" t="s">
        <v>13</v>
      </c>
      <c r="P1" s="76" t="s">
        <v>14</v>
      </c>
      <c r="Q1" s="76" t="s">
        <v>15</v>
      </c>
      <c r="R1" s="76" t="s">
        <v>16</v>
      </c>
      <c r="S1" s="76" t="s">
        <v>17</v>
      </c>
      <c r="T1" s="76" t="s">
        <v>18</v>
      </c>
      <c r="U1" s="76" t="s">
        <v>19</v>
      </c>
      <c r="V1" s="76" t="s">
        <v>20</v>
      </c>
      <c r="W1" s="76" t="s">
        <v>21</v>
      </c>
      <c r="X1" s="76" t="s">
        <v>22</v>
      </c>
      <c r="Y1" s="76" t="s">
        <v>23</v>
      </c>
      <c r="Z1" s="76" t="s">
        <v>24</v>
      </c>
      <c r="AA1" s="76" t="s">
        <v>112</v>
      </c>
      <c r="AB1" s="76" t="s">
        <v>26</v>
      </c>
      <c r="AC1" s="76" t="s">
        <v>27</v>
      </c>
      <c r="AD1" s="76" t="s">
        <v>28</v>
      </c>
      <c r="AE1" s="76" t="s">
        <v>29</v>
      </c>
      <c r="AF1" s="76" t="s">
        <v>30</v>
      </c>
      <c r="AG1" s="76" t="s">
        <v>31</v>
      </c>
      <c r="AH1" s="76" t="s">
        <v>32</v>
      </c>
      <c r="AI1" s="76" t="s">
        <v>33</v>
      </c>
      <c r="AJ1" s="76" t="s">
        <v>34</v>
      </c>
      <c r="AK1" s="76" t="s">
        <v>35</v>
      </c>
      <c r="AL1" s="76" t="s">
        <v>36</v>
      </c>
      <c r="AM1" s="76" t="s">
        <v>37</v>
      </c>
      <c r="AN1" s="76" t="s">
        <v>38</v>
      </c>
      <c r="AO1" s="76" t="s">
        <v>39</v>
      </c>
      <c r="AP1" s="76" t="s">
        <v>40</v>
      </c>
      <c r="AQ1" s="76" t="s">
        <v>41</v>
      </c>
      <c r="AR1" s="76" t="s">
        <v>42</v>
      </c>
      <c r="AS1" s="76" t="s">
        <v>43</v>
      </c>
      <c r="AT1" s="76" t="s">
        <v>44</v>
      </c>
      <c r="AU1" s="76" t="s">
        <v>45</v>
      </c>
      <c r="AV1" s="76" t="s">
        <v>46</v>
      </c>
      <c r="AW1" s="76" t="s">
        <v>47</v>
      </c>
      <c r="AX1" s="76" t="s">
        <v>48</v>
      </c>
      <c r="AY1" s="76" t="s">
        <v>49</v>
      </c>
      <c r="AZ1" s="76" t="s">
        <v>50</v>
      </c>
      <c r="BA1" s="76" t="s">
        <v>51</v>
      </c>
      <c r="BB1" s="76" t="s">
        <v>52</v>
      </c>
      <c r="BC1" s="76" t="s">
        <v>53</v>
      </c>
    </row>
    <row r="2" spans="1:55" ht="20.25" customHeight="1" x14ac:dyDescent="0.25">
      <c r="A2" s="73" t="s">
        <v>49</v>
      </c>
      <c r="B2" s="77">
        <f>+DEMANDA!B2</f>
        <v>324</v>
      </c>
      <c r="C2" s="44">
        <f>+DEMANDA!C2</f>
        <v>291</v>
      </c>
      <c r="D2" s="44">
        <f>+DEMANDA!D2</f>
        <v>202</v>
      </c>
      <c r="E2" s="44">
        <f>+DEMANDA!E2</f>
        <v>205</v>
      </c>
      <c r="F2" s="44">
        <f>+DEMANDA!F2</f>
        <v>0</v>
      </c>
      <c r="G2" s="44">
        <f>+DEMANDA!G2</f>
        <v>0</v>
      </c>
      <c r="H2" s="44">
        <f>+DEMANDA!H2</f>
        <v>91</v>
      </c>
      <c r="I2" s="44">
        <f>+DEMANDA!I2</f>
        <v>94</v>
      </c>
      <c r="J2" s="44">
        <f>+DEMANDA!J2</f>
        <v>678</v>
      </c>
      <c r="K2" s="44">
        <f>+DEMANDA!K2</f>
        <v>0</v>
      </c>
      <c r="L2" s="44">
        <f>+DEMANDA!L2</f>
        <v>250</v>
      </c>
      <c r="M2" s="44">
        <f>+DEMANDA!M2</f>
        <v>190</v>
      </c>
      <c r="N2" s="44">
        <f>+DEMANDA!N2</f>
        <v>153</v>
      </c>
      <c r="O2" s="44">
        <f>+DEMANDA!O2</f>
        <v>60</v>
      </c>
      <c r="P2" s="44">
        <f>+DEMANDA!P2</f>
        <v>182</v>
      </c>
      <c r="Q2" s="44">
        <f>+DEMANDA!Q2</f>
        <v>0</v>
      </c>
      <c r="R2" s="44">
        <f>+DEMANDA!R2</f>
        <v>1495</v>
      </c>
      <c r="S2" s="44">
        <f>+DEMANDA!S2</f>
        <v>0</v>
      </c>
      <c r="T2" s="44">
        <f>+DEMANDA!T2</f>
        <v>0</v>
      </c>
      <c r="U2" s="44">
        <f>+DEMANDA!U2</f>
        <v>1221</v>
      </c>
      <c r="V2" s="44">
        <f>+DEMANDA!V2</f>
        <v>0</v>
      </c>
      <c r="W2" s="44">
        <f>+DEMANDA!W2</f>
        <v>0</v>
      </c>
      <c r="X2" s="44">
        <f>+DEMANDA!X2</f>
        <v>0</v>
      </c>
      <c r="Y2" s="44">
        <f>+DEMANDA!Y2</f>
        <v>44</v>
      </c>
      <c r="Z2" s="44">
        <f>+DEMANDA!Z2</f>
        <v>1495</v>
      </c>
      <c r="AA2" s="44">
        <f>+DEMANDA!AA2</f>
        <v>120</v>
      </c>
      <c r="AB2" s="44">
        <f>+DEMANDA!AB2</f>
        <v>0</v>
      </c>
      <c r="AC2" s="44">
        <f>+DEMANDA!AC2</f>
        <v>135</v>
      </c>
      <c r="AD2" s="44">
        <f>+DEMANDA!AD2</f>
        <v>0</v>
      </c>
      <c r="AE2" s="44">
        <f>+DEMANDA!AE2</f>
        <v>223</v>
      </c>
      <c r="AF2" s="44">
        <f>+DEMANDA!AF2</f>
        <v>206</v>
      </c>
      <c r="AG2" s="44">
        <f>+DEMANDA!AG2</f>
        <v>265</v>
      </c>
      <c r="AH2" s="44">
        <f>+DEMANDA!AH2</f>
        <v>229</v>
      </c>
      <c r="AI2" s="44">
        <f>+DEMANDA!AI2</f>
        <v>728</v>
      </c>
      <c r="AJ2" s="44">
        <f>+DEMANDA!AJ2</f>
        <v>78</v>
      </c>
      <c r="AK2" s="44">
        <f>+DEMANDA!AK2</f>
        <v>19</v>
      </c>
      <c r="AL2" s="44">
        <f>+DEMANDA!AL2</f>
        <v>172</v>
      </c>
      <c r="AM2" s="44">
        <f>+DEMANDA!AM2</f>
        <v>0</v>
      </c>
      <c r="AN2" s="44">
        <f>+DEMANDA!AN2-DEMANDA!AN2</f>
        <v>0</v>
      </c>
      <c r="AO2" s="44">
        <f>+DEMANDA!AO2-DEMANDA!AO2</f>
        <v>0</v>
      </c>
      <c r="AP2" s="44">
        <f>+DEMANDA!AP2-DEMANDA!AP2</f>
        <v>0</v>
      </c>
      <c r="AQ2" s="44">
        <f>+DEMANDA!AQ2-DEMANDA!AQ2</f>
        <v>0</v>
      </c>
      <c r="AR2" s="44">
        <f>+DEMANDA!AR2-DEMANDA!AR2</f>
        <v>0</v>
      </c>
      <c r="AS2" s="44">
        <f>+DEMANDA!AS2-DEMANDA!AS2</f>
        <v>0</v>
      </c>
      <c r="AT2" s="44">
        <f>+DEMANDA!AT2-DEMANDA!AT2</f>
        <v>0</v>
      </c>
      <c r="AU2" s="44">
        <f>+DEMANDA!AU2-DEMANDA!AU2</f>
        <v>0</v>
      </c>
      <c r="AV2" s="44">
        <f>+DEMANDA!AV2-DEMANDA!AV2</f>
        <v>0</v>
      </c>
      <c r="AW2" s="44">
        <f>+DEMANDA!AW2</f>
        <v>67</v>
      </c>
      <c r="AX2" s="44">
        <f>+DEMANDA!AX2</f>
        <v>159</v>
      </c>
      <c r="AY2" s="44">
        <f>+DEMANDA!AY2</f>
        <v>65</v>
      </c>
      <c r="AZ2" s="44">
        <f>+DEMANDA!AZ2</f>
        <v>10</v>
      </c>
      <c r="BA2" s="44">
        <f>+DEMANDA!BA2</f>
        <v>0</v>
      </c>
      <c r="BB2" s="44">
        <f>+DEMANDA!BB2</f>
        <v>0</v>
      </c>
      <c r="BC2" s="45">
        <f>+DEMANDA!BC2</f>
        <v>0</v>
      </c>
    </row>
    <row r="3" spans="1:55" ht="19.5" customHeight="1" x14ac:dyDescent="0.25">
      <c r="A3" s="74" t="s">
        <v>50</v>
      </c>
      <c r="B3" s="46">
        <f>+DEMANDA!B3</f>
        <v>0</v>
      </c>
      <c r="C3" s="47">
        <f>+DEMANDA!C3</f>
        <v>0</v>
      </c>
      <c r="D3" s="47">
        <f>+DEMANDA!D3</f>
        <v>0</v>
      </c>
      <c r="E3" s="47">
        <f>+DEMANDA!E3</f>
        <v>0</v>
      </c>
      <c r="F3" s="47">
        <f>+DEMANDA!F3</f>
        <v>294</v>
      </c>
      <c r="G3" s="47">
        <f>+DEMANDA!G3</f>
        <v>1800</v>
      </c>
      <c r="H3" s="47">
        <f>+DEMANDA!H3</f>
        <v>0</v>
      </c>
      <c r="I3" s="47">
        <f>+DEMANDA!I3</f>
        <v>0</v>
      </c>
      <c r="J3" s="47">
        <f>+DEMANDA!J3</f>
        <v>0</v>
      </c>
      <c r="K3" s="47">
        <f>+DEMANDA!K3</f>
        <v>900</v>
      </c>
      <c r="L3" s="47">
        <f>+DEMANDA!L3</f>
        <v>0</v>
      </c>
      <c r="M3" s="47">
        <f>+DEMANDA!M3</f>
        <v>185</v>
      </c>
      <c r="N3" s="47">
        <f>+DEMANDA!N3</f>
        <v>0</v>
      </c>
      <c r="O3" s="47">
        <f>+DEMANDA!O3</f>
        <v>0</v>
      </c>
      <c r="P3" s="47">
        <f>+DEMANDA!P3</f>
        <v>0</v>
      </c>
      <c r="Q3" s="47">
        <f>+DEMANDA!Q3</f>
        <v>883</v>
      </c>
      <c r="R3" s="47">
        <f>+DEMANDA!R3</f>
        <v>0</v>
      </c>
      <c r="S3" s="47">
        <f>+DEMANDA!S3</f>
        <v>0</v>
      </c>
      <c r="T3" s="47">
        <f>+DEMANDA!T3</f>
        <v>50</v>
      </c>
      <c r="U3" s="47">
        <f>+DEMANDA!U3</f>
        <v>1221</v>
      </c>
      <c r="V3" s="47">
        <f>+DEMANDA!V3</f>
        <v>184</v>
      </c>
      <c r="W3" s="47">
        <f>+DEMANDA!W3</f>
        <v>0</v>
      </c>
      <c r="X3" s="47">
        <f>+DEMANDA!X3</f>
        <v>73</v>
      </c>
      <c r="Y3" s="47">
        <f>+DEMANDA!Y3</f>
        <v>0</v>
      </c>
      <c r="Z3" s="47">
        <f>+DEMANDA!Z3</f>
        <v>0</v>
      </c>
      <c r="AA3" s="47">
        <f>+DEMANDA!AA3</f>
        <v>0</v>
      </c>
      <c r="AB3" s="47">
        <f>+DEMANDA!AB3</f>
        <v>69</v>
      </c>
      <c r="AC3" s="47">
        <f>+DEMANDA!AC3</f>
        <v>0</v>
      </c>
      <c r="AD3" s="47">
        <f>+DEMANDA!AD3</f>
        <v>0</v>
      </c>
      <c r="AE3" s="47">
        <f>+DEMANDA!AE3</f>
        <v>0</v>
      </c>
      <c r="AF3" s="47">
        <f>+DEMANDA!AF3</f>
        <v>0</v>
      </c>
      <c r="AG3" s="47">
        <f>+DEMANDA!AG3</f>
        <v>0</v>
      </c>
      <c r="AH3" s="47">
        <f>+DEMANDA!AH3</f>
        <v>0</v>
      </c>
      <c r="AI3" s="47">
        <f>+DEMANDA!AI3</f>
        <v>0</v>
      </c>
      <c r="AJ3" s="47">
        <f>+DEMANDA!AJ3</f>
        <v>0</v>
      </c>
      <c r="AK3" s="47">
        <f>+DEMANDA!AK3</f>
        <v>0</v>
      </c>
      <c r="AL3" s="47">
        <f>+DEMANDA!AL3</f>
        <v>0</v>
      </c>
      <c r="AM3" s="47">
        <f>+DEMANDA!AM3</f>
        <v>0</v>
      </c>
      <c r="AN3" s="47">
        <f>+DEMANDA!AN3</f>
        <v>0</v>
      </c>
      <c r="AO3" s="47">
        <f>+DEMANDA!AO3</f>
        <v>0</v>
      </c>
      <c r="AP3" s="47">
        <f>+DEMANDA!AP3</f>
        <v>0</v>
      </c>
      <c r="AQ3" s="47">
        <f>+DEMANDA!AQ3</f>
        <v>0</v>
      </c>
      <c r="AR3" s="47">
        <f>+DEMANDA!AR3</f>
        <v>0</v>
      </c>
      <c r="AS3" s="47">
        <f>+DEMANDA!AS3</f>
        <v>0</v>
      </c>
      <c r="AT3" s="47">
        <f>+DEMANDA!AT3</f>
        <v>0</v>
      </c>
      <c r="AU3" s="47">
        <f>+DEMANDA!AU3</f>
        <v>0</v>
      </c>
      <c r="AV3" s="47">
        <f>+DEMANDA!AV3</f>
        <v>0</v>
      </c>
      <c r="AW3" s="47">
        <f>+DEMANDA!AW3</f>
        <v>0</v>
      </c>
      <c r="AX3" s="47">
        <f>+DEMANDA!AX3</f>
        <v>0</v>
      </c>
      <c r="AY3" s="47">
        <f>+DEMANDA!AY3</f>
        <v>0</v>
      </c>
      <c r="AZ3" s="47">
        <f>+DEMANDA!AZ3</f>
        <v>0</v>
      </c>
      <c r="BA3" s="47">
        <f>+DEMANDA!BA3</f>
        <v>0</v>
      </c>
      <c r="BB3" s="47">
        <f>+DEMANDA!BB3</f>
        <v>0</v>
      </c>
      <c r="BC3" s="48">
        <f>+DEMANDA!BC3</f>
        <v>0</v>
      </c>
    </row>
    <row r="4" spans="1:55" ht="19.5" customHeight="1" x14ac:dyDescent="0.25">
      <c r="A4" s="74" t="s">
        <v>113</v>
      </c>
      <c r="B4" s="46">
        <f>+DEMANDA!B4</f>
        <v>0</v>
      </c>
      <c r="C4" s="47">
        <f>+DEMANDA!C4</f>
        <v>0</v>
      </c>
      <c r="D4" s="47">
        <f>+DEMANDA!D4</f>
        <v>0</v>
      </c>
      <c r="E4" s="47">
        <f>+DEMANDA!E4</f>
        <v>0</v>
      </c>
      <c r="F4" s="47">
        <f>+DEMANDA!F4</f>
        <v>0</v>
      </c>
      <c r="G4" s="47">
        <f>+DEMANDA!G4</f>
        <v>935</v>
      </c>
      <c r="H4" s="47">
        <f>+DEMANDA!H4</f>
        <v>0</v>
      </c>
      <c r="I4" s="47">
        <f>+DEMANDA!I4</f>
        <v>0</v>
      </c>
      <c r="J4" s="47">
        <f>+DEMANDA!J4</f>
        <v>0</v>
      </c>
      <c r="K4" s="47">
        <f>+DEMANDA!K4</f>
        <v>467.5</v>
      </c>
      <c r="L4" s="47">
        <f>+DEMANDA!L4</f>
        <v>0</v>
      </c>
      <c r="M4" s="47">
        <f>+DEMANDA!M4</f>
        <v>0</v>
      </c>
      <c r="N4" s="47">
        <f>+DEMANDA!N4</f>
        <v>0</v>
      </c>
      <c r="O4" s="47">
        <f>+DEMANDA!O4</f>
        <v>0</v>
      </c>
      <c r="P4" s="47">
        <f>+DEMANDA!P4</f>
        <v>0</v>
      </c>
      <c r="Q4" s="47">
        <f>+DEMANDA!Q4</f>
        <v>0</v>
      </c>
      <c r="R4" s="47">
        <f>+DEMANDA!R4</f>
        <v>0</v>
      </c>
      <c r="S4" s="47">
        <f>+DEMANDA!S4</f>
        <v>0</v>
      </c>
      <c r="T4" s="47">
        <f>+DEMANDA!T4</f>
        <v>0</v>
      </c>
      <c r="U4" s="47">
        <f>+DEMANDA!U4</f>
        <v>244</v>
      </c>
      <c r="V4" s="47">
        <f>+DEMANDA!V4</f>
        <v>0</v>
      </c>
      <c r="W4" s="47">
        <f>+DEMANDA!W4</f>
        <v>0</v>
      </c>
      <c r="X4" s="47">
        <f>+DEMANDA!X4</f>
        <v>0</v>
      </c>
      <c r="Y4" s="47">
        <f>+DEMANDA!Y4</f>
        <v>0</v>
      </c>
      <c r="Z4" s="47">
        <f>+DEMANDA!Z4</f>
        <v>0</v>
      </c>
      <c r="AA4" s="47">
        <f>+DEMANDA!AA4</f>
        <v>0</v>
      </c>
      <c r="AB4" s="47">
        <f>+DEMANDA!AB4</f>
        <v>0</v>
      </c>
      <c r="AC4" s="47">
        <f>+DEMANDA!AC4</f>
        <v>0</v>
      </c>
      <c r="AD4" s="47">
        <f>+DEMANDA!AD4</f>
        <v>0</v>
      </c>
      <c r="AE4" s="47">
        <f>+DEMANDA!AE4</f>
        <v>0</v>
      </c>
      <c r="AF4" s="47">
        <f>+DEMANDA!AF4</f>
        <v>0</v>
      </c>
      <c r="AG4" s="47">
        <f>+DEMANDA!AG4</f>
        <v>0</v>
      </c>
      <c r="AH4" s="47">
        <f>+DEMANDA!AH4</f>
        <v>0</v>
      </c>
      <c r="AI4" s="47">
        <f>+DEMANDA!AI4</f>
        <v>0</v>
      </c>
      <c r="AJ4" s="47">
        <f>+DEMANDA!AJ4</f>
        <v>0</v>
      </c>
      <c r="AK4" s="47">
        <f>+DEMANDA!AK4</f>
        <v>0</v>
      </c>
      <c r="AL4" s="47">
        <f>+DEMANDA!AL4</f>
        <v>0</v>
      </c>
      <c r="AM4" s="47">
        <f>+DEMANDA!AM4</f>
        <v>0</v>
      </c>
      <c r="AN4" s="47">
        <f>+DEMANDA!AN4</f>
        <v>0</v>
      </c>
      <c r="AO4" s="47">
        <f>+DEMANDA!AO4</f>
        <v>0</v>
      </c>
      <c r="AP4" s="47">
        <f>+DEMANDA!AP4</f>
        <v>0</v>
      </c>
      <c r="AQ4" s="47">
        <f>+DEMANDA!AQ4</f>
        <v>0</v>
      </c>
      <c r="AR4" s="47">
        <f>+DEMANDA!AR4</f>
        <v>0</v>
      </c>
      <c r="AS4" s="47">
        <f>+DEMANDA!AS4</f>
        <v>0</v>
      </c>
      <c r="AT4" s="47">
        <f>+DEMANDA!AT4</f>
        <v>0</v>
      </c>
      <c r="AU4" s="47">
        <f>+DEMANDA!AU4</f>
        <v>0</v>
      </c>
      <c r="AV4" s="47">
        <f>+DEMANDA!AV4</f>
        <v>0</v>
      </c>
      <c r="AW4" s="47">
        <f>+DEMANDA!AW4</f>
        <v>0</v>
      </c>
      <c r="AX4" s="47">
        <f>+DEMANDA!AX4</f>
        <v>0</v>
      </c>
      <c r="AY4" s="47">
        <f>+DEMANDA!AY4</f>
        <v>0</v>
      </c>
      <c r="AZ4" s="47">
        <f>+DEMANDA!AZ4</f>
        <v>0</v>
      </c>
      <c r="BA4" s="47">
        <f>+DEMANDA!BA4</f>
        <v>0</v>
      </c>
      <c r="BB4" s="47">
        <f>+DEMANDA!BB4</f>
        <v>0</v>
      </c>
      <c r="BC4" s="48">
        <f>+DEMANDA!BC4</f>
        <v>0</v>
      </c>
    </row>
    <row r="5" spans="1:55" ht="19.5" customHeight="1" x14ac:dyDescent="0.25">
      <c r="A5" s="74" t="s">
        <v>114</v>
      </c>
      <c r="B5" s="46">
        <f>+DEMANDA!B5</f>
        <v>0</v>
      </c>
      <c r="C5" s="47">
        <f>+DEMANDA!C5</f>
        <v>0</v>
      </c>
      <c r="D5" s="47">
        <f>+DEMANDA!D5</f>
        <v>40</v>
      </c>
      <c r="E5" s="47">
        <f>+DEMANDA!E5</f>
        <v>40</v>
      </c>
      <c r="F5" s="47">
        <f>+DEMANDA!F5</f>
        <v>40</v>
      </c>
      <c r="G5" s="47">
        <f>+DEMANDA!G5</f>
        <v>620</v>
      </c>
      <c r="H5" s="47">
        <f>+DEMANDA!H5</f>
        <v>40</v>
      </c>
      <c r="I5" s="47">
        <f>+DEMANDA!I5</f>
        <v>81</v>
      </c>
      <c r="J5" s="47">
        <f>+DEMANDA!J5</f>
        <v>0</v>
      </c>
      <c r="K5" s="47">
        <f>+DEMANDA!K5</f>
        <v>620</v>
      </c>
      <c r="L5" s="47">
        <f>+DEMANDA!L5</f>
        <v>40</v>
      </c>
      <c r="M5" s="47">
        <f>+DEMANDA!M5</f>
        <v>40</v>
      </c>
      <c r="N5" s="47">
        <f>+DEMANDA!N5</f>
        <v>30</v>
      </c>
      <c r="O5" s="47">
        <f>+DEMANDA!O5</f>
        <v>0</v>
      </c>
      <c r="P5" s="47">
        <f>+DEMANDA!P5</f>
        <v>0</v>
      </c>
      <c r="Q5" s="47">
        <f>+DEMANDA!Q5</f>
        <v>0</v>
      </c>
      <c r="R5" s="47">
        <f>+DEMANDA!R5</f>
        <v>0</v>
      </c>
      <c r="S5" s="47">
        <f>+DEMANDA!S5</f>
        <v>0</v>
      </c>
      <c r="T5" s="47">
        <f>+DEMANDA!T5</f>
        <v>0</v>
      </c>
      <c r="U5" s="47">
        <f>+DEMANDA!U5</f>
        <v>30</v>
      </c>
      <c r="V5" s="47">
        <f>+DEMANDA!V5</f>
        <v>0</v>
      </c>
      <c r="W5" s="47">
        <f>+DEMANDA!W5</f>
        <v>0</v>
      </c>
      <c r="X5" s="47">
        <f>+DEMANDA!X5</f>
        <v>0</v>
      </c>
      <c r="Y5" s="47">
        <f>+DEMANDA!Y5</f>
        <v>0</v>
      </c>
      <c r="Z5" s="47">
        <f>+DEMANDA!Z5</f>
        <v>0</v>
      </c>
      <c r="AA5" s="47">
        <f>+DEMANDA!AA5</f>
        <v>0</v>
      </c>
      <c r="AB5" s="47">
        <f>+DEMANDA!AB5</f>
        <v>0</v>
      </c>
      <c r="AC5" s="47">
        <f>+DEMANDA!AC5</f>
        <v>0</v>
      </c>
      <c r="AD5" s="47">
        <f>+DEMANDA!AD5</f>
        <v>20</v>
      </c>
      <c r="AE5" s="47">
        <f>+DEMANDA!AE5</f>
        <v>30</v>
      </c>
      <c r="AF5" s="47">
        <f>+DEMANDA!AF5</f>
        <v>0</v>
      </c>
      <c r="AG5" s="47">
        <f>+DEMANDA!AG5</f>
        <v>0</v>
      </c>
      <c r="AH5" s="47">
        <f>+DEMANDA!AH5</f>
        <v>0</v>
      </c>
      <c r="AI5" s="47">
        <f>+DEMANDA!AI5</f>
        <v>0</v>
      </c>
      <c r="AJ5" s="47">
        <f>+DEMANDA!AJ5</f>
        <v>0</v>
      </c>
      <c r="AK5" s="47">
        <f>+DEMANDA!AK5</f>
        <v>0</v>
      </c>
      <c r="AL5" s="47">
        <f>+DEMANDA!AL5</f>
        <v>17</v>
      </c>
      <c r="AM5" s="47">
        <f>+DEMANDA!AM5</f>
        <v>166</v>
      </c>
      <c r="AN5" s="47">
        <f>+DEMANDA!AN5</f>
        <v>0</v>
      </c>
      <c r="AO5" s="47">
        <f>+DEMANDA!AO5</f>
        <v>0</v>
      </c>
      <c r="AP5" s="47">
        <f>+DEMANDA!AP5</f>
        <v>0</v>
      </c>
      <c r="AQ5" s="47">
        <f>+DEMANDA!AQ5</f>
        <v>0</v>
      </c>
      <c r="AR5" s="47">
        <f>+DEMANDA!AR5</f>
        <v>0</v>
      </c>
      <c r="AS5" s="47">
        <f>+DEMANDA!AS5</f>
        <v>0</v>
      </c>
      <c r="AT5" s="47">
        <f>+DEMANDA!AT5</f>
        <v>0</v>
      </c>
      <c r="AU5" s="47">
        <f>+DEMANDA!AU5</f>
        <v>0</v>
      </c>
      <c r="AV5" s="47">
        <f>+DEMANDA!AV5</f>
        <v>0</v>
      </c>
      <c r="AW5" s="47">
        <f>+DEMANDA!AW5</f>
        <v>0</v>
      </c>
      <c r="AX5" s="47">
        <f>+DEMANDA!AX5</f>
        <v>0</v>
      </c>
      <c r="AY5" s="47">
        <f>+DEMANDA!AY5</f>
        <v>0</v>
      </c>
      <c r="AZ5" s="47">
        <f>+DEMANDA!AZ5</f>
        <v>0</v>
      </c>
      <c r="BA5" s="47">
        <f>+DEMANDA!BA5</f>
        <v>0</v>
      </c>
      <c r="BB5" s="47">
        <f>+DEMANDA!BB5</f>
        <v>0</v>
      </c>
      <c r="BC5" s="48">
        <f>+DEMANDA!BC5</f>
        <v>0</v>
      </c>
    </row>
    <row r="6" spans="1:55" ht="19.5" customHeight="1" thickBot="1" x14ac:dyDescent="0.3">
      <c r="A6" s="75" t="s">
        <v>115</v>
      </c>
      <c r="B6" s="49">
        <f>+DEMANDA!B6</f>
        <v>0</v>
      </c>
      <c r="C6" s="50">
        <f>+DEMANDA!C6</f>
        <v>0</v>
      </c>
      <c r="D6" s="50">
        <f>+DEMANDA!D6</f>
        <v>0</v>
      </c>
      <c r="E6" s="50">
        <f>+DEMANDA!E6</f>
        <v>0</v>
      </c>
      <c r="F6" s="50">
        <f>+DEMANDA!F6</f>
        <v>0</v>
      </c>
      <c r="G6" s="50">
        <f>+DEMANDA!G6</f>
        <v>0</v>
      </c>
      <c r="H6" s="50">
        <f>+DEMANDA!H6</f>
        <v>0</v>
      </c>
      <c r="I6" s="50">
        <f>+DEMANDA!I6</f>
        <v>0</v>
      </c>
      <c r="J6" s="50">
        <f>+DEMANDA!J6</f>
        <v>0</v>
      </c>
      <c r="K6" s="50">
        <f>+DEMANDA!K6</f>
        <v>0</v>
      </c>
      <c r="L6" s="50">
        <f>+DEMANDA!L6</f>
        <v>0</v>
      </c>
      <c r="M6" s="50">
        <f>+DEMANDA!M6</f>
        <v>0</v>
      </c>
      <c r="N6" s="50">
        <f>+DEMANDA!N6</f>
        <v>0</v>
      </c>
      <c r="O6" s="50">
        <f>+DEMANDA!O6</f>
        <v>0</v>
      </c>
      <c r="P6" s="50">
        <f>+DEMANDA!P6</f>
        <v>0</v>
      </c>
      <c r="Q6" s="50">
        <f>+DEMANDA!Q6</f>
        <v>0</v>
      </c>
      <c r="R6" s="50">
        <f>+DEMANDA!R6</f>
        <v>0</v>
      </c>
      <c r="S6" s="50">
        <f>+DEMANDA!S6</f>
        <v>0</v>
      </c>
      <c r="T6" s="50">
        <f>+DEMANDA!T6</f>
        <v>0</v>
      </c>
      <c r="U6" s="50">
        <f>+DEMANDA!U6</f>
        <v>0</v>
      </c>
      <c r="V6" s="50">
        <f>+DEMANDA!V6</f>
        <v>0</v>
      </c>
      <c r="W6" s="50">
        <f>+DEMANDA!W6</f>
        <v>0</v>
      </c>
      <c r="X6" s="50">
        <f>+DEMANDA!X6</f>
        <v>0</v>
      </c>
      <c r="Y6" s="50">
        <f>+DEMANDA!Y6</f>
        <v>0</v>
      </c>
      <c r="Z6" s="50">
        <f>+DEMANDA!Z6</f>
        <v>0</v>
      </c>
      <c r="AA6" s="50">
        <f>+DEMANDA!AA6</f>
        <v>0</v>
      </c>
      <c r="AB6" s="50">
        <f>+DEMANDA!AB6</f>
        <v>0</v>
      </c>
      <c r="AC6" s="50">
        <f>+DEMANDA!AC6</f>
        <v>0</v>
      </c>
      <c r="AD6" s="50">
        <f>+DEMANDA!AD6</f>
        <v>0</v>
      </c>
      <c r="AE6" s="50">
        <f>+DEMANDA!AE6</f>
        <v>0</v>
      </c>
      <c r="AF6" s="50">
        <f>+DEMANDA!AF6</f>
        <v>0</v>
      </c>
      <c r="AG6" s="50">
        <f>+DEMANDA!AG6</f>
        <v>0</v>
      </c>
      <c r="AH6" s="50">
        <f>+DEMANDA!AH6</f>
        <v>0</v>
      </c>
      <c r="AI6" s="50">
        <f>+DEMANDA!AI6</f>
        <v>0</v>
      </c>
      <c r="AJ6" s="50">
        <f>+DEMANDA!AJ6</f>
        <v>0</v>
      </c>
      <c r="AK6" s="50">
        <f>+DEMANDA!AK6</f>
        <v>0</v>
      </c>
      <c r="AL6" s="50">
        <f>+DEMANDA!AL6</f>
        <v>0</v>
      </c>
      <c r="AM6" s="50">
        <f>+DEMANDA!AM6</f>
        <v>0</v>
      </c>
      <c r="AN6" s="50">
        <f>+DEMANDA!AN6</f>
        <v>0</v>
      </c>
      <c r="AO6" s="50">
        <f>+DEMANDA!AO6</f>
        <v>0</v>
      </c>
      <c r="AP6" s="50">
        <f>+DEMANDA!AP6</f>
        <v>0</v>
      </c>
      <c r="AQ6" s="50">
        <f>+DEMANDA!AQ6</f>
        <v>0</v>
      </c>
      <c r="AR6" s="50">
        <f>+DEMANDA!AR6</f>
        <v>0</v>
      </c>
      <c r="AS6" s="50">
        <f>+DEMANDA!AS6</f>
        <v>0</v>
      </c>
      <c r="AT6" s="50">
        <f>+DEMANDA!AT6</f>
        <v>0</v>
      </c>
      <c r="AU6" s="50">
        <f>+DEMANDA!AU6</f>
        <v>0</v>
      </c>
      <c r="AV6" s="50">
        <f>+DEMANDA!AV6</f>
        <v>0</v>
      </c>
      <c r="AW6" s="50">
        <f>+DEMANDA!AW6</f>
        <v>0</v>
      </c>
      <c r="AX6" s="50">
        <f>+DEMANDA!AX6</f>
        <v>0</v>
      </c>
      <c r="AY6" s="50">
        <f>+DEMANDA!AY6</f>
        <v>0</v>
      </c>
      <c r="AZ6" s="50">
        <f>+DEMANDA!AZ6</f>
        <v>0</v>
      </c>
      <c r="BA6" s="50">
        <f>+DEMANDA!BA6</f>
        <v>80</v>
      </c>
      <c r="BB6" s="50">
        <f>+DEMANDA!BB6</f>
        <v>80</v>
      </c>
      <c r="BC6" s="78">
        <f>+DEMANDA!BC6</f>
        <v>80</v>
      </c>
    </row>
  </sheetData>
  <conditionalFormatting sqref="B2:BC6">
    <cfRule type="cellIs" dxfId="33" priority="1" operator="lessThan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C6"/>
  <sheetViews>
    <sheetView workbookViewId="0">
      <selection activeCell="B2" sqref="B2"/>
    </sheetView>
    <sheetView workbookViewId="1"/>
  </sheetViews>
  <sheetFormatPr baseColWidth="10" defaultColWidth="9.140625" defaultRowHeight="15" x14ac:dyDescent="0.25"/>
  <cols>
    <col min="1" max="1" width="7.28515625" style="20" bestFit="1" customWidth="1"/>
    <col min="2" max="43" width="6.28515625" style="7" bestFit="1" customWidth="1"/>
    <col min="44" max="44" width="6.5703125" style="7" bestFit="1" customWidth="1"/>
    <col min="45" max="55" width="6.28515625" style="7" bestFit="1" customWidth="1"/>
  </cols>
  <sheetData>
    <row r="1" spans="1:55" ht="18.75" customHeight="1" thickBot="1" x14ac:dyDescent="0.3">
      <c r="B1" s="76" t="s">
        <v>0</v>
      </c>
      <c r="C1" s="76" t="s">
        <v>1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9</v>
      </c>
      <c r="L1" s="76" t="s">
        <v>10</v>
      </c>
      <c r="M1" s="76" t="s">
        <v>11</v>
      </c>
      <c r="N1" s="76" t="s">
        <v>12</v>
      </c>
      <c r="O1" s="76" t="s">
        <v>13</v>
      </c>
      <c r="P1" s="76" t="s">
        <v>14</v>
      </c>
      <c r="Q1" s="76" t="s">
        <v>15</v>
      </c>
      <c r="R1" s="76" t="s">
        <v>16</v>
      </c>
      <c r="S1" s="76" t="s">
        <v>17</v>
      </c>
      <c r="T1" s="76" t="s">
        <v>18</v>
      </c>
      <c r="U1" s="76" t="s">
        <v>19</v>
      </c>
      <c r="V1" s="76" t="s">
        <v>20</v>
      </c>
      <c r="W1" s="76" t="s">
        <v>21</v>
      </c>
      <c r="X1" s="76" t="s">
        <v>22</v>
      </c>
      <c r="Y1" s="76" t="s">
        <v>23</v>
      </c>
      <c r="Z1" s="76" t="s">
        <v>24</v>
      </c>
      <c r="AA1" s="76" t="s">
        <v>112</v>
      </c>
      <c r="AB1" s="76" t="s">
        <v>26</v>
      </c>
      <c r="AC1" s="76" t="s">
        <v>27</v>
      </c>
      <c r="AD1" s="76" t="s">
        <v>28</v>
      </c>
      <c r="AE1" s="76" t="s">
        <v>29</v>
      </c>
      <c r="AF1" s="76" t="s">
        <v>30</v>
      </c>
      <c r="AG1" s="76" t="s">
        <v>31</v>
      </c>
      <c r="AH1" s="76" t="s">
        <v>32</v>
      </c>
      <c r="AI1" s="76" t="s">
        <v>33</v>
      </c>
      <c r="AJ1" s="76" t="s">
        <v>34</v>
      </c>
      <c r="AK1" s="76" t="s">
        <v>35</v>
      </c>
      <c r="AL1" s="76" t="s">
        <v>36</v>
      </c>
      <c r="AM1" s="76" t="s">
        <v>37</v>
      </c>
      <c r="AN1" s="76" t="s">
        <v>38</v>
      </c>
      <c r="AO1" s="76" t="s">
        <v>39</v>
      </c>
      <c r="AP1" s="76" t="s">
        <v>40</v>
      </c>
      <c r="AQ1" s="76" t="s">
        <v>41</v>
      </c>
      <c r="AR1" s="76" t="s">
        <v>42</v>
      </c>
      <c r="AS1" s="76" t="s">
        <v>43</v>
      </c>
      <c r="AT1" s="76" t="s">
        <v>44</v>
      </c>
      <c r="AU1" s="76" t="s">
        <v>45</v>
      </c>
      <c r="AV1" s="76" t="s">
        <v>46</v>
      </c>
      <c r="AW1" s="76" t="s">
        <v>47</v>
      </c>
      <c r="AX1" s="76" t="s">
        <v>48</v>
      </c>
      <c r="AY1" s="76" t="s">
        <v>49</v>
      </c>
      <c r="AZ1" s="76" t="s">
        <v>50</v>
      </c>
      <c r="BA1" s="76" t="s">
        <v>51</v>
      </c>
      <c r="BB1" s="76" t="s">
        <v>52</v>
      </c>
      <c r="BC1" s="76" t="s">
        <v>53</v>
      </c>
    </row>
    <row r="2" spans="1:55" ht="18.75" customHeight="1" x14ac:dyDescent="0.25">
      <c r="A2" s="73" t="s">
        <v>49</v>
      </c>
      <c r="B2" s="62">
        <f>+IF(DEMANDA!B2&gt;=1,1,0)</f>
        <v>1</v>
      </c>
      <c r="C2" s="63">
        <f>+IF(DEMANDA!C2&gt;=1,1,0)</f>
        <v>1</v>
      </c>
      <c r="D2" s="63">
        <f>+IF(DEMANDA!D2&gt;=1,1,0)</f>
        <v>1</v>
      </c>
      <c r="E2" s="63">
        <f>+IF(DEMANDA!E2&gt;=1,1,0)</f>
        <v>1</v>
      </c>
      <c r="F2" s="63">
        <f>+IF(DEMANDA!F2&gt;=1,1,0)</f>
        <v>0</v>
      </c>
      <c r="G2" s="63">
        <f>+IF(DEMANDA!G2&gt;=1,1,0)</f>
        <v>0</v>
      </c>
      <c r="H2" s="63">
        <f>+IF(DEMANDA!H2&gt;=1,1,0)</f>
        <v>1</v>
      </c>
      <c r="I2" s="63">
        <f>+IF(DEMANDA!I2&gt;=1,1,0)</f>
        <v>1</v>
      </c>
      <c r="J2" s="63">
        <f>+IF(DEMANDA!J2&gt;=1,1,0)</f>
        <v>1</v>
      </c>
      <c r="K2" s="63">
        <f>+IF(DEMANDA!K2&gt;=1,1,0)</f>
        <v>0</v>
      </c>
      <c r="L2" s="63">
        <f>+IF(DEMANDA!L2&gt;=1,1,0)</f>
        <v>1</v>
      </c>
      <c r="M2" s="63">
        <f>+IF(DEMANDA!M2&gt;=1,1,0)</f>
        <v>1</v>
      </c>
      <c r="N2" s="63">
        <f>+IF(DEMANDA!N2&gt;=1,1,0)</f>
        <v>1</v>
      </c>
      <c r="O2" s="63">
        <f>+IF(DEMANDA!O2&gt;=1,1,0)</f>
        <v>1</v>
      </c>
      <c r="P2" s="63">
        <f>+IF(DEMANDA!P2&gt;=1,1,0)</f>
        <v>1</v>
      </c>
      <c r="Q2" s="63">
        <f>+IF(DEMANDA!Q2&gt;=1,1,0)</f>
        <v>0</v>
      </c>
      <c r="R2" s="63">
        <f>+IF(DEMANDA!R2&gt;=1,1,0)</f>
        <v>1</v>
      </c>
      <c r="S2" s="63">
        <f>+IF(DEMANDA!S2&gt;=1,1,0)</f>
        <v>0</v>
      </c>
      <c r="T2" s="63">
        <f>+IF(DEMANDA!T2&gt;=1,1,0)</f>
        <v>0</v>
      </c>
      <c r="U2" s="63">
        <f>+IF(DEMANDA!U2&gt;=1,1,0)</f>
        <v>1</v>
      </c>
      <c r="V2" s="63">
        <f>+IF(DEMANDA!V2&gt;=1,1,0)</f>
        <v>0</v>
      </c>
      <c r="W2" s="63">
        <f>+IF(DEMANDA!W2&gt;=1,1,0)</f>
        <v>0</v>
      </c>
      <c r="X2" s="63">
        <f>+IF(DEMANDA!X2&gt;=1,1,0)</f>
        <v>0</v>
      </c>
      <c r="Y2" s="63">
        <f>+IF(DEMANDA!Y2&gt;=1,1,0)</f>
        <v>1</v>
      </c>
      <c r="Z2" s="63">
        <f>+IF(DEMANDA!Z2&gt;=1,1,0)</f>
        <v>1</v>
      </c>
      <c r="AA2" s="63">
        <f>+IF(DEMANDA!AA2&gt;=1,1,0)</f>
        <v>1</v>
      </c>
      <c r="AB2" s="63">
        <f>+IF(DEMANDA!AB2&gt;=1,1,0)</f>
        <v>0</v>
      </c>
      <c r="AC2" s="63">
        <f>+IF(DEMANDA!AC2&gt;=1,1,0)</f>
        <v>1</v>
      </c>
      <c r="AD2" s="63">
        <f>+IF(DEMANDA!AD2&gt;=1,1,0)</f>
        <v>0</v>
      </c>
      <c r="AE2" s="63">
        <f>+IF(DEMANDA!AE2&gt;=1,1,0)</f>
        <v>1</v>
      </c>
      <c r="AF2" s="63">
        <f>+IF(DEMANDA!AF2&gt;=1,1,0)</f>
        <v>1</v>
      </c>
      <c r="AG2" s="63">
        <f>+IF(DEMANDA!AG2&gt;=1,1,0)</f>
        <v>1</v>
      </c>
      <c r="AH2" s="63">
        <f>+IF(DEMANDA!AH2&gt;=1,1,0)</f>
        <v>1</v>
      </c>
      <c r="AI2" s="63">
        <f>+IF(DEMANDA!AI2&gt;=1,1,0)</f>
        <v>1</v>
      </c>
      <c r="AJ2" s="63">
        <f>+IF(DEMANDA!AJ2&gt;=1,1,0)</f>
        <v>1</v>
      </c>
      <c r="AK2" s="63">
        <f>+IF(DEMANDA!AK2&gt;=1,1,0)</f>
        <v>1</v>
      </c>
      <c r="AL2" s="63">
        <f>+IF(DEMANDA!AL2&gt;=1,1,0)</f>
        <v>1</v>
      </c>
      <c r="AM2" s="63">
        <f>+IF(DEMANDA!AM2&gt;=1,1,0)</f>
        <v>0</v>
      </c>
      <c r="AN2" s="63">
        <f>+IF(DEMANDA!AN2&gt;=1,1,0)</f>
        <v>1</v>
      </c>
      <c r="AO2" s="63">
        <f>+IF(DEMANDA!AO2&gt;=1,1,0)</f>
        <v>1</v>
      </c>
      <c r="AP2" s="63">
        <f>+IF(DEMANDA!AP2&gt;=1,1,0)</f>
        <v>1</v>
      </c>
      <c r="AQ2" s="63">
        <f>+IF(DEMANDA!AQ2&gt;=1,1,0)</f>
        <v>1</v>
      </c>
      <c r="AR2" s="63">
        <f>+IF(DEMANDA!AR2&gt;=1,1,0)</f>
        <v>1</v>
      </c>
      <c r="AS2" s="63">
        <f>+IF(DEMANDA!AS2&gt;=1,1,0)</f>
        <v>1</v>
      </c>
      <c r="AT2" s="63">
        <f>+IF(DEMANDA!AT2&gt;=1,1,0)</f>
        <v>1</v>
      </c>
      <c r="AU2" s="63">
        <f>+IF(DEMANDA!AU2&gt;=1,1,0)</f>
        <v>1</v>
      </c>
      <c r="AV2" s="63">
        <f>+IF(DEMANDA!AV2&gt;=1,1,0)</f>
        <v>1</v>
      </c>
      <c r="AW2" s="63">
        <f>+IF(DEMANDA!AW2&gt;=1,1,0)</f>
        <v>1</v>
      </c>
      <c r="AX2" s="63">
        <f>+IF(DEMANDA!AX2&gt;=1,1,0)</f>
        <v>1</v>
      </c>
      <c r="AY2" s="63">
        <f>+IF(DEMANDA!AY2&gt;=1,1,0)</f>
        <v>1</v>
      </c>
      <c r="AZ2" s="63">
        <f>+IF(DEMANDA!AZ2&gt;=1,1,0)</f>
        <v>1</v>
      </c>
      <c r="BA2" s="63">
        <f>+IF(DEMANDA!BA2&gt;=1,1,0)</f>
        <v>0</v>
      </c>
      <c r="BB2" s="63">
        <f>+IF(DEMANDA!BB2&gt;=1,1,0)</f>
        <v>0</v>
      </c>
      <c r="BC2" s="59">
        <f>+IF(DEMANDA!BC2&gt;=1,1,0)</f>
        <v>0</v>
      </c>
    </row>
    <row r="3" spans="1:55" ht="18.75" customHeight="1" x14ac:dyDescent="0.25">
      <c r="A3" s="74" t="s">
        <v>50</v>
      </c>
      <c r="B3" s="64">
        <f>+IF(DEMANDA!B3&gt;=1,1,0)</f>
        <v>0</v>
      </c>
      <c r="C3" s="4">
        <f>+IF(DEMANDA!C3&gt;=1,1,0)</f>
        <v>0</v>
      </c>
      <c r="D3" s="4">
        <f>+IF(DEMANDA!D3&gt;=1,1,0)</f>
        <v>0</v>
      </c>
      <c r="E3" s="4">
        <f>+IF(DEMANDA!E3&gt;=1,1,0)</f>
        <v>0</v>
      </c>
      <c r="F3" s="4">
        <f>+IF(DEMANDA!F3&gt;=1,1,0)</f>
        <v>1</v>
      </c>
      <c r="G3" s="4">
        <f>+IF(DEMANDA!G3&gt;=1,1,0)</f>
        <v>1</v>
      </c>
      <c r="H3" s="4">
        <f>+IF(DEMANDA!H3&gt;=1,1,0)</f>
        <v>0</v>
      </c>
      <c r="I3" s="4">
        <f>+IF(DEMANDA!I3&gt;=1,1,0)</f>
        <v>0</v>
      </c>
      <c r="J3" s="4">
        <f>+IF(DEMANDA!J3&gt;=1,1,0)</f>
        <v>0</v>
      </c>
      <c r="K3" s="4">
        <f>+IF(DEMANDA!K3&gt;=1,1,0)</f>
        <v>1</v>
      </c>
      <c r="L3" s="4">
        <f>+IF(DEMANDA!L3&gt;=1,1,0)</f>
        <v>0</v>
      </c>
      <c r="M3" s="4">
        <f>+IF(DEMANDA!M3&gt;=1,1,0)</f>
        <v>1</v>
      </c>
      <c r="N3" s="4">
        <f>+IF(DEMANDA!N3&gt;=1,1,0)</f>
        <v>0</v>
      </c>
      <c r="O3" s="4">
        <f>+IF(DEMANDA!O3&gt;=1,1,0)</f>
        <v>0</v>
      </c>
      <c r="P3" s="4">
        <f>+IF(DEMANDA!P3&gt;=1,1,0)</f>
        <v>0</v>
      </c>
      <c r="Q3" s="4">
        <f>+IF(DEMANDA!Q3&gt;=1,1,0)</f>
        <v>1</v>
      </c>
      <c r="R3" s="4">
        <f>+IF(DEMANDA!R3&gt;=1,1,0)</f>
        <v>0</v>
      </c>
      <c r="S3" s="4">
        <f>+IF(DEMANDA!S3&gt;=1,1,0)</f>
        <v>0</v>
      </c>
      <c r="T3" s="4">
        <f>+IF(DEMANDA!T3&gt;=1,1,0)</f>
        <v>1</v>
      </c>
      <c r="U3" s="4">
        <f>+IF(DEMANDA!U3&gt;=1,1,0)</f>
        <v>1</v>
      </c>
      <c r="V3" s="4">
        <f>+IF(DEMANDA!V3&gt;=1,1,0)</f>
        <v>1</v>
      </c>
      <c r="W3" s="4">
        <f>+IF(DEMANDA!W3&gt;=1,1,0)</f>
        <v>0</v>
      </c>
      <c r="X3" s="4">
        <f>+IF(DEMANDA!X3&gt;=1,1,0)</f>
        <v>1</v>
      </c>
      <c r="Y3" s="4">
        <f>+IF(DEMANDA!Y3&gt;=1,1,0)</f>
        <v>0</v>
      </c>
      <c r="Z3" s="4">
        <f>+IF(DEMANDA!Z3&gt;=1,1,0)</f>
        <v>0</v>
      </c>
      <c r="AA3" s="4">
        <f>+IF(DEMANDA!AA3&gt;=1,1,0)</f>
        <v>0</v>
      </c>
      <c r="AB3" s="4">
        <f>+IF(DEMANDA!AB3&gt;=1,1,0)</f>
        <v>1</v>
      </c>
      <c r="AC3" s="4">
        <f>+IF(DEMANDA!AC3&gt;=1,1,0)</f>
        <v>0</v>
      </c>
      <c r="AD3" s="4">
        <f>+IF(DEMANDA!AD3&gt;=1,1,0)</f>
        <v>0</v>
      </c>
      <c r="AE3" s="4">
        <f>+IF(DEMANDA!AE3&gt;=1,1,0)</f>
        <v>0</v>
      </c>
      <c r="AF3" s="4">
        <f>+IF(DEMANDA!AF3&gt;=1,1,0)</f>
        <v>0</v>
      </c>
      <c r="AG3" s="4">
        <f>+IF(DEMANDA!AG3&gt;=1,1,0)</f>
        <v>0</v>
      </c>
      <c r="AH3" s="4">
        <f>+IF(DEMANDA!AH3&gt;=1,1,0)</f>
        <v>0</v>
      </c>
      <c r="AI3" s="4">
        <f>+IF(DEMANDA!AI3&gt;=1,1,0)</f>
        <v>0</v>
      </c>
      <c r="AJ3" s="4">
        <f>+IF(DEMANDA!AJ3&gt;=1,1,0)</f>
        <v>0</v>
      </c>
      <c r="AK3" s="4">
        <f>+IF(DEMANDA!AK3&gt;=1,1,0)</f>
        <v>0</v>
      </c>
      <c r="AL3" s="4">
        <f>+IF(DEMANDA!AL3&gt;=1,1,0)</f>
        <v>0</v>
      </c>
      <c r="AM3" s="4">
        <f>+IF(DEMANDA!AM3&gt;=1,1,0)</f>
        <v>0</v>
      </c>
      <c r="AN3" s="4">
        <f>+IF(DEMANDA!AN3&gt;=1,1,0)</f>
        <v>0</v>
      </c>
      <c r="AO3" s="4">
        <f>+IF(DEMANDA!AO3&gt;=1,1,0)</f>
        <v>0</v>
      </c>
      <c r="AP3" s="4">
        <f>+IF(DEMANDA!AP3&gt;=1,1,0)</f>
        <v>0</v>
      </c>
      <c r="AQ3" s="4">
        <f>+IF(DEMANDA!AQ3&gt;=1,1,0)</f>
        <v>0</v>
      </c>
      <c r="AR3" s="4">
        <f>+IF(DEMANDA!AR3&gt;=1,1,0)</f>
        <v>0</v>
      </c>
      <c r="AS3" s="4">
        <f>+IF(DEMANDA!AS3&gt;=1,1,0)</f>
        <v>0</v>
      </c>
      <c r="AT3" s="4">
        <f>+IF(DEMANDA!AT3&gt;=1,1,0)</f>
        <v>0</v>
      </c>
      <c r="AU3" s="4">
        <f>+IF(DEMANDA!AU3&gt;=1,1,0)</f>
        <v>0</v>
      </c>
      <c r="AV3" s="4">
        <f>+IF(DEMANDA!AV3&gt;=1,1,0)</f>
        <v>0</v>
      </c>
      <c r="AW3" s="4">
        <f>+IF(DEMANDA!AW3&gt;=1,1,0)</f>
        <v>0</v>
      </c>
      <c r="AX3" s="4">
        <f>+IF(DEMANDA!AX3&gt;=1,1,0)</f>
        <v>0</v>
      </c>
      <c r="AY3" s="4">
        <f>+IF(DEMANDA!AY3&gt;=1,1,0)</f>
        <v>0</v>
      </c>
      <c r="AZ3" s="4">
        <f>+IF(DEMANDA!AZ3&gt;=1,1,0)</f>
        <v>0</v>
      </c>
      <c r="BA3" s="4">
        <f>+IF(DEMANDA!BA3&gt;=1,1,0)</f>
        <v>0</v>
      </c>
      <c r="BB3" s="4">
        <f>+IF(DEMANDA!BB3&gt;=1,1,0)</f>
        <v>0</v>
      </c>
      <c r="BC3" s="60">
        <f>+IF(DEMANDA!BC3&gt;=1,1,0)</f>
        <v>0</v>
      </c>
    </row>
    <row r="4" spans="1:55" ht="18.75" customHeight="1" x14ac:dyDescent="0.25">
      <c r="A4" s="74" t="s">
        <v>113</v>
      </c>
      <c r="B4" s="64">
        <f>+IF(DEMANDA!B4&gt;=1,1,0)</f>
        <v>0</v>
      </c>
      <c r="C4" s="4">
        <f>+IF(DEMANDA!C4&gt;=1,1,0)</f>
        <v>0</v>
      </c>
      <c r="D4" s="4">
        <f>+IF(DEMANDA!D4&gt;=1,1,0)</f>
        <v>0</v>
      </c>
      <c r="E4" s="4">
        <f>+IF(DEMANDA!E4&gt;=1,1,0)</f>
        <v>0</v>
      </c>
      <c r="F4" s="4">
        <f>+IF(DEMANDA!F4&gt;=1,1,0)</f>
        <v>0</v>
      </c>
      <c r="G4" s="4">
        <f>+IF(DEMANDA!G4&gt;=1,1,0)</f>
        <v>1</v>
      </c>
      <c r="H4" s="4">
        <f>+IF(DEMANDA!H4&gt;=1,1,0)</f>
        <v>0</v>
      </c>
      <c r="I4" s="4">
        <f>+IF(DEMANDA!I4&gt;=1,1,0)</f>
        <v>0</v>
      </c>
      <c r="J4" s="4">
        <f>+IF(DEMANDA!J4&gt;=1,1,0)</f>
        <v>0</v>
      </c>
      <c r="K4" s="4">
        <f>+IF(DEMANDA!K4&gt;=1,1,0)</f>
        <v>1</v>
      </c>
      <c r="L4" s="4">
        <f>+IF(DEMANDA!L4&gt;=1,1,0)</f>
        <v>0</v>
      </c>
      <c r="M4" s="4">
        <f>+IF(DEMANDA!M4&gt;=1,1,0)</f>
        <v>0</v>
      </c>
      <c r="N4" s="4">
        <f>+IF(DEMANDA!N4&gt;=1,1,0)</f>
        <v>0</v>
      </c>
      <c r="O4" s="4">
        <f>+IF(DEMANDA!O4&gt;=1,1,0)</f>
        <v>0</v>
      </c>
      <c r="P4" s="4">
        <f>+IF(DEMANDA!P4&gt;=1,1,0)</f>
        <v>0</v>
      </c>
      <c r="Q4" s="4">
        <f>+IF(DEMANDA!Q4&gt;=1,1,0)</f>
        <v>0</v>
      </c>
      <c r="R4" s="4">
        <f>+IF(DEMANDA!R4&gt;=1,1,0)</f>
        <v>0</v>
      </c>
      <c r="S4" s="4">
        <f>+IF(DEMANDA!S4&gt;=1,1,0)</f>
        <v>0</v>
      </c>
      <c r="T4" s="4">
        <f>+IF(DEMANDA!T4&gt;=1,1,0)</f>
        <v>0</v>
      </c>
      <c r="U4" s="4">
        <f>+IF(DEMANDA!U4&gt;=1,1,0)</f>
        <v>1</v>
      </c>
      <c r="V4" s="4">
        <f>+IF(DEMANDA!V4&gt;=1,1,0)</f>
        <v>0</v>
      </c>
      <c r="W4" s="4">
        <f>+IF(DEMANDA!W4&gt;=1,1,0)</f>
        <v>0</v>
      </c>
      <c r="X4" s="4">
        <f>+IF(DEMANDA!X4&gt;=1,1,0)</f>
        <v>0</v>
      </c>
      <c r="Y4" s="4">
        <f>+IF(DEMANDA!Y4&gt;=1,1,0)</f>
        <v>0</v>
      </c>
      <c r="Z4" s="4">
        <f>+IF(DEMANDA!Z4&gt;=1,1,0)</f>
        <v>0</v>
      </c>
      <c r="AA4" s="4">
        <f>+IF(DEMANDA!AA4&gt;=1,1,0)</f>
        <v>0</v>
      </c>
      <c r="AB4" s="4">
        <f>+IF(DEMANDA!AB4&gt;=1,1,0)</f>
        <v>0</v>
      </c>
      <c r="AC4" s="4">
        <f>+IF(DEMANDA!AC4&gt;=1,1,0)</f>
        <v>0</v>
      </c>
      <c r="AD4" s="4">
        <f>+IF(DEMANDA!AD4&gt;=1,1,0)</f>
        <v>0</v>
      </c>
      <c r="AE4" s="4">
        <f>+IF(DEMANDA!AE4&gt;=1,1,0)</f>
        <v>0</v>
      </c>
      <c r="AF4" s="4">
        <f>+IF(DEMANDA!AF4&gt;=1,1,0)</f>
        <v>0</v>
      </c>
      <c r="AG4" s="4">
        <f>+IF(DEMANDA!AG4&gt;=1,1,0)</f>
        <v>0</v>
      </c>
      <c r="AH4" s="4">
        <f>+IF(DEMANDA!AH4&gt;=1,1,0)</f>
        <v>0</v>
      </c>
      <c r="AI4" s="4">
        <f>+IF(DEMANDA!AI4&gt;=1,1,0)</f>
        <v>0</v>
      </c>
      <c r="AJ4" s="4">
        <f>+IF(DEMANDA!AJ4&gt;=1,1,0)</f>
        <v>0</v>
      </c>
      <c r="AK4" s="4">
        <f>+IF(DEMANDA!AK4&gt;=1,1,0)</f>
        <v>0</v>
      </c>
      <c r="AL4" s="4">
        <f>+IF(DEMANDA!AL4&gt;=1,1,0)</f>
        <v>0</v>
      </c>
      <c r="AM4" s="4">
        <f>+IF(DEMANDA!AM4&gt;=1,1,0)</f>
        <v>0</v>
      </c>
      <c r="AN4" s="4">
        <f>+IF(DEMANDA!AN4&gt;=1,1,0)</f>
        <v>0</v>
      </c>
      <c r="AO4" s="4">
        <f>+IF(DEMANDA!AO4&gt;=1,1,0)</f>
        <v>0</v>
      </c>
      <c r="AP4" s="4">
        <f>+IF(DEMANDA!AP4&gt;=1,1,0)</f>
        <v>0</v>
      </c>
      <c r="AQ4" s="4">
        <f>+IF(DEMANDA!AQ4&gt;=1,1,0)</f>
        <v>0</v>
      </c>
      <c r="AR4" s="4">
        <f>+IF(DEMANDA!AR4&gt;=1,1,0)</f>
        <v>0</v>
      </c>
      <c r="AS4" s="4">
        <f>+IF(DEMANDA!AS4&gt;=1,1,0)</f>
        <v>0</v>
      </c>
      <c r="AT4" s="4">
        <f>+IF(DEMANDA!AT4&gt;=1,1,0)</f>
        <v>0</v>
      </c>
      <c r="AU4" s="4">
        <f>+IF(DEMANDA!AU4&gt;=1,1,0)</f>
        <v>0</v>
      </c>
      <c r="AV4" s="4">
        <f>+IF(DEMANDA!AV4&gt;=1,1,0)</f>
        <v>0</v>
      </c>
      <c r="AW4" s="4">
        <f>+IF(DEMANDA!AW4&gt;=1,1,0)</f>
        <v>0</v>
      </c>
      <c r="AX4" s="4">
        <f>+IF(DEMANDA!AX4&gt;=1,1,0)</f>
        <v>0</v>
      </c>
      <c r="AY4" s="4">
        <f>+IF(DEMANDA!AY4&gt;=1,1,0)</f>
        <v>0</v>
      </c>
      <c r="AZ4" s="4">
        <f>+IF(DEMANDA!AZ4&gt;=1,1,0)</f>
        <v>0</v>
      </c>
      <c r="BA4" s="4">
        <f>+IF(DEMANDA!BA4&gt;=1,1,0)</f>
        <v>0</v>
      </c>
      <c r="BB4" s="4">
        <f>+IF(DEMANDA!BB4&gt;=1,1,0)</f>
        <v>0</v>
      </c>
      <c r="BC4" s="60">
        <f>+IF(DEMANDA!BC4&gt;=1,1,0)</f>
        <v>0</v>
      </c>
    </row>
    <row r="5" spans="1:55" ht="18.75" customHeight="1" x14ac:dyDescent="0.25">
      <c r="A5" s="74" t="s">
        <v>114</v>
      </c>
      <c r="B5" s="64">
        <f>+IF(DEMANDA!B5&gt;=1,1,0)</f>
        <v>0</v>
      </c>
      <c r="C5" s="4">
        <f>+IF(DEMANDA!C5&gt;=1,1,0)</f>
        <v>0</v>
      </c>
      <c r="D5" s="4">
        <f>+IF(DEMANDA!D5&gt;=1,1,0)</f>
        <v>1</v>
      </c>
      <c r="E5" s="4">
        <f>+IF(DEMANDA!E5&gt;=1,1,0)</f>
        <v>1</v>
      </c>
      <c r="F5" s="4">
        <f>+IF(DEMANDA!F5&gt;=1,1,0)</f>
        <v>1</v>
      </c>
      <c r="G5" s="4">
        <f>+IF(DEMANDA!G5&gt;=1,1,0)</f>
        <v>1</v>
      </c>
      <c r="H5" s="4">
        <f>+IF(DEMANDA!H5&gt;=1,1,0)</f>
        <v>1</v>
      </c>
      <c r="I5" s="4">
        <f>+IF(DEMANDA!I5&gt;=1,1,0)</f>
        <v>1</v>
      </c>
      <c r="J5" s="4">
        <f>+IF(DEMANDA!J5&gt;=1,1,0)</f>
        <v>0</v>
      </c>
      <c r="K5" s="4">
        <f>+IF(DEMANDA!K5&gt;=1,1,0)</f>
        <v>1</v>
      </c>
      <c r="L5" s="4">
        <f>+IF(DEMANDA!L5&gt;=1,1,0)</f>
        <v>1</v>
      </c>
      <c r="M5" s="4">
        <f>+IF(DEMANDA!M5&gt;=1,1,0)</f>
        <v>1</v>
      </c>
      <c r="N5" s="4">
        <f>+IF(DEMANDA!N5&gt;=1,1,0)</f>
        <v>1</v>
      </c>
      <c r="O5" s="4">
        <f>+IF(DEMANDA!O5&gt;=1,1,0)</f>
        <v>0</v>
      </c>
      <c r="P5" s="4">
        <f>+IF(DEMANDA!P5&gt;=1,1,0)</f>
        <v>0</v>
      </c>
      <c r="Q5" s="4">
        <f>+IF(DEMANDA!Q5&gt;=1,1,0)</f>
        <v>0</v>
      </c>
      <c r="R5" s="4">
        <f>+IF(DEMANDA!R5&gt;=1,1,0)</f>
        <v>0</v>
      </c>
      <c r="S5" s="4">
        <f>+IF(DEMANDA!S5&gt;=1,1,0)</f>
        <v>0</v>
      </c>
      <c r="T5" s="4">
        <f>+IF(DEMANDA!T5&gt;=1,1,0)</f>
        <v>0</v>
      </c>
      <c r="U5" s="4">
        <f>+IF(DEMANDA!U5&gt;=1,1,0)</f>
        <v>1</v>
      </c>
      <c r="V5" s="4">
        <f>+IF(DEMANDA!V5&gt;=1,1,0)</f>
        <v>0</v>
      </c>
      <c r="W5" s="4">
        <f>+IF(DEMANDA!W5&gt;=1,1,0)</f>
        <v>0</v>
      </c>
      <c r="X5" s="4">
        <f>+IF(DEMANDA!X5&gt;=1,1,0)</f>
        <v>0</v>
      </c>
      <c r="Y5" s="4">
        <f>+IF(DEMANDA!Y5&gt;=1,1,0)</f>
        <v>0</v>
      </c>
      <c r="Z5" s="4">
        <f>+IF(DEMANDA!Z5&gt;=1,1,0)</f>
        <v>0</v>
      </c>
      <c r="AA5" s="4">
        <f>+IF(DEMANDA!AA5&gt;=1,1,0)</f>
        <v>0</v>
      </c>
      <c r="AB5" s="4">
        <f>+IF(DEMANDA!AB5&gt;=1,1,0)</f>
        <v>0</v>
      </c>
      <c r="AC5" s="4">
        <f>+IF(DEMANDA!AC5&gt;=1,1,0)</f>
        <v>0</v>
      </c>
      <c r="AD5" s="4">
        <f>+IF(DEMANDA!AD5&gt;=1,1,0)</f>
        <v>1</v>
      </c>
      <c r="AE5" s="4">
        <f>+IF(DEMANDA!AE5&gt;=1,1,0)</f>
        <v>1</v>
      </c>
      <c r="AF5" s="4">
        <f>+IF(DEMANDA!AF5&gt;=1,1,0)</f>
        <v>0</v>
      </c>
      <c r="AG5" s="4">
        <f>+IF(DEMANDA!AG5&gt;=1,1,0)</f>
        <v>0</v>
      </c>
      <c r="AH5" s="4">
        <f>+IF(DEMANDA!AH5&gt;=1,1,0)</f>
        <v>0</v>
      </c>
      <c r="AI5" s="4">
        <f>+IF(DEMANDA!AI5&gt;=1,1,0)</f>
        <v>0</v>
      </c>
      <c r="AJ5" s="4">
        <f>+IF(DEMANDA!AJ5&gt;=1,1,0)</f>
        <v>0</v>
      </c>
      <c r="AK5" s="4">
        <f>+IF(DEMANDA!AK5&gt;=1,1,0)</f>
        <v>0</v>
      </c>
      <c r="AL5" s="4">
        <f>+IF(DEMANDA!AL5&gt;=1,1,0)</f>
        <v>1</v>
      </c>
      <c r="AM5" s="4">
        <f>+IF(DEMANDA!AM5&gt;=1,1,0)</f>
        <v>1</v>
      </c>
      <c r="AN5" s="4">
        <f>+IF(DEMANDA!AN5&gt;=1,1,0)</f>
        <v>0</v>
      </c>
      <c r="AO5" s="4">
        <f>+IF(DEMANDA!AO5&gt;=1,1,0)</f>
        <v>0</v>
      </c>
      <c r="AP5" s="4">
        <f>+IF(DEMANDA!AP5&gt;=1,1,0)</f>
        <v>0</v>
      </c>
      <c r="AQ5" s="4">
        <f>+IF(DEMANDA!AQ5&gt;=1,1,0)</f>
        <v>0</v>
      </c>
      <c r="AR5" s="4">
        <f>+IF(DEMANDA!AR5&gt;=1,1,0)</f>
        <v>0</v>
      </c>
      <c r="AS5" s="4">
        <f>+IF(DEMANDA!AS5&gt;=1,1,0)</f>
        <v>0</v>
      </c>
      <c r="AT5" s="4">
        <f>+IF(DEMANDA!AT5&gt;=1,1,0)</f>
        <v>0</v>
      </c>
      <c r="AU5" s="4">
        <f>+IF(DEMANDA!AU5&gt;=1,1,0)</f>
        <v>0</v>
      </c>
      <c r="AV5" s="4">
        <f>+IF(DEMANDA!AV5&gt;=1,1,0)</f>
        <v>0</v>
      </c>
      <c r="AW5" s="4">
        <f>+IF(DEMANDA!AW5&gt;=1,1,0)</f>
        <v>0</v>
      </c>
      <c r="AX5" s="4">
        <f>+IF(DEMANDA!AX5&gt;=1,1,0)</f>
        <v>0</v>
      </c>
      <c r="AY5" s="4">
        <f>+IF(DEMANDA!AY5&gt;=1,1,0)</f>
        <v>0</v>
      </c>
      <c r="AZ5" s="4">
        <f>+IF(DEMANDA!AZ5&gt;=1,1,0)</f>
        <v>0</v>
      </c>
      <c r="BA5" s="4">
        <f>+IF(DEMANDA!BA5&gt;=1,1,0)</f>
        <v>0</v>
      </c>
      <c r="BB5" s="4">
        <f>+IF(DEMANDA!BB5&gt;=1,1,0)</f>
        <v>0</v>
      </c>
      <c r="BC5" s="60">
        <f>+IF(DEMANDA!BC5&gt;=1,1,0)</f>
        <v>0</v>
      </c>
    </row>
    <row r="6" spans="1:55" ht="18.75" customHeight="1" thickBot="1" x14ac:dyDescent="0.3">
      <c r="A6" s="75" t="s">
        <v>115</v>
      </c>
      <c r="B6" s="65">
        <f>+IF(DEMANDA!B6&gt;=1,1,0)</f>
        <v>0</v>
      </c>
      <c r="C6" s="66">
        <f>+IF(DEMANDA!C6&gt;=1,1,0)</f>
        <v>0</v>
      </c>
      <c r="D6" s="66">
        <f>+IF(DEMANDA!D6&gt;=1,1,0)</f>
        <v>0</v>
      </c>
      <c r="E6" s="66">
        <f>+IF(DEMANDA!E6&gt;=1,1,0)</f>
        <v>0</v>
      </c>
      <c r="F6" s="66">
        <f>+IF(DEMANDA!F6&gt;=1,1,0)</f>
        <v>0</v>
      </c>
      <c r="G6" s="66">
        <f>+IF(DEMANDA!G6&gt;=1,1,0)</f>
        <v>0</v>
      </c>
      <c r="H6" s="66">
        <f>+IF(DEMANDA!H6&gt;=1,1,0)</f>
        <v>0</v>
      </c>
      <c r="I6" s="66">
        <f>+IF(DEMANDA!I6&gt;=1,1,0)</f>
        <v>0</v>
      </c>
      <c r="J6" s="66">
        <f>+IF(DEMANDA!J6&gt;=1,1,0)</f>
        <v>0</v>
      </c>
      <c r="K6" s="66">
        <f>+IF(DEMANDA!K6&gt;=1,1,0)</f>
        <v>0</v>
      </c>
      <c r="L6" s="66">
        <f>+IF(DEMANDA!L6&gt;=1,1,0)</f>
        <v>0</v>
      </c>
      <c r="M6" s="66">
        <f>+IF(DEMANDA!M6&gt;=1,1,0)</f>
        <v>0</v>
      </c>
      <c r="N6" s="66">
        <f>+IF(DEMANDA!N6&gt;=1,1,0)</f>
        <v>0</v>
      </c>
      <c r="O6" s="66">
        <f>+IF(DEMANDA!O6&gt;=1,1,0)</f>
        <v>0</v>
      </c>
      <c r="P6" s="66">
        <f>+IF(DEMANDA!P6&gt;=1,1,0)</f>
        <v>0</v>
      </c>
      <c r="Q6" s="66">
        <f>+IF(DEMANDA!Q6&gt;=1,1,0)</f>
        <v>0</v>
      </c>
      <c r="R6" s="66">
        <f>+IF(DEMANDA!R6&gt;=1,1,0)</f>
        <v>0</v>
      </c>
      <c r="S6" s="66">
        <f>+IF(DEMANDA!S6&gt;=1,1,0)</f>
        <v>0</v>
      </c>
      <c r="T6" s="66">
        <f>+IF(DEMANDA!T6&gt;=1,1,0)</f>
        <v>0</v>
      </c>
      <c r="U6" s="66">
        <f>+IF(DEMANDA!U6&gt;=1,1,0)</f>
        <v>0</v>
      </c>
      <c r="V6" s="66">
        <f>+IF(DEMANDA!V6&gt;=1,1,0)</f>
        <v>0</v>
      </c>
      <c r="W6" s="66">
        <f>+IF(DEMANDA!W6&gt;=1,1,0)</f>
        <v>0</v>
      </c>
      <c r="X6" s="66">
        <f>+IF(DEMANDA!X6&gt;=1,1,0)</f>
        <v>0</v>
      </c>
      <c r="Y6" s="66">
        <f>+IF(DEMANDA!Y6&gt;=1,1,0)</f>
        <v>0</v>
      </c>
      <c r="Z6" s="66">
        <f>+IF(DEMANDA!Z6&gt;=1,1,0)</f>
        <v>0</v>
      </c>
      <c r="AA6" s="66">
        <f>+IF(DEMANDA!AA6&gt;=1,1,0)</f>
        <v>0</v>
      </c>
      <c r="AB6" s="66">
        <f>+IF(DEMANDA!AB6&gt;=1,1,0)</f>
        <v>0</v>
      </c>
      <c r="AC6" s="66">
        <f>+IF(DEMANDA!AC6&gt;=1,1,0)</f>
        <v>0</v>
      </c>
      <c r="AD6" s="66">
        <f>+IF(DEMANDA!AD6&gt;=1,1,0)</f>
        <v>0</v>
      </c>
      <c r="AE6" s="66">
        <f>+IF(DEMANDA!AE6&gt;=1,1,0)</f>
        <v>0</v>
      </c>
      <c r="AF6" s="66">
        <f>+IF(DEMANDA!AF6&gt;=1,1,0)</f>
        <v>0</v>
      </c>
      <c r="AG6" s="66">
        <f>+IF(DEMANDA!AG6&gt;=1,1,0)</f>
        <v>0</v>
      </c>
      <c r="AH6" s="66">
        <f>+IF(DEMANDA!AH6&gt;=1,1,0)</f>
        <v>0</v>
      </c>
      <c r="AI6" s="66">
        <f>+IF(DEMANDA!AI6&gt;=1,1,0)</f>
        <v>0</v>
      </c>
      <c r="AJ6" s="66">
        <f>+IF(DEMANDA!AJ6&gt;=1,1,0)</f>
        <v>0</v>
      </c>
      <c r="AK6" s="66">
        <f>+IF(DEMANDA!AK6&gt;=1,1,0)</f>
        <v>0</v>
      </c>
      <c r="AL6" s="66">
        <f>+IF(DEMANDA!AL6&gt;=1,1,0)</f>
        <v>0</v>
      </c>
      <c r="AM6" s="66">
        <f>+IF(DEMANDA!AM6&gt;=1,1,0)</f>
        <v>0</v>
      </c>
      <c r="AN6" s="66">
        <f>+IF(DEMANDA!AN6&gt;=1,1,0)</f>
        <v>0</v>
      </c>
      <c r="AO6" s="66">
        <f>+IF(DEMANDA!AO6&gt;=1,1,0)</f>
        <v>0</v>
      </c>
      <c r="AP6" s="66">
        <f>+IF(DEMANDA!AP6&gt;=1,1,0)</f>
        <v>0</v>
      </c>
      <c r="AQ6" s="66">
        <f>+IF(DEMANDA!AQ6&gt;=1,1,0)</f>
        <v>0</v>
      </c>
      <c r="AR6" s="66">
        <f>+IF(DEMANDA!AR6&gt;=1,1,0)</f>
        <v>0</v>
      </c>
      <c r="AS6" s="66">
        <f>+IF(DEMANDA!AS6&gt;=1,1,0)</f>
        <v>0</v>
      </c>
      <c r="AT6" s="66">
        <f>+IF(DEMANDA!AT6&gt;=1,1,0)</f>
        <v>0</v>
      </c>
      <c r="AU6" s="66">
        <f>+IF(DEMANDA!AU6&gt;=1,1,0)</f>
        <v>0</v>
      </c>
      <c r="AV6" s="66">
        <f>+IF(DEMANDA!AV6&gt;=1,1,0)</f>
        <v>0</v>
      </c>
      <c r="AW6" s="66">
        <f>+IF(DEMANDA!AW6&gt;=1,1,0)</f>
        <v>0</v>
      </c>
      <c r="AX6" s="66">
        <f>+IF(DEMANDA!AX6&gt;=1,1,0)</f>
        <v>0</v>
      </c>
      <c r="AY6" s="66">
        <f>+IF(DEMANDA!AY6&gt;=1,1,0)</f>
        <v>0</v>
      </c>
      <c r="AZ6" s="66">
        <f>+IF(DEMANDA!AZ6&gt;=1,1,0)</f>
        <v>0</v>
      </c>
      <c r="BA6" s="66">
        <f>+IF(DEMANDA!BA6&gt;=1,1,0)</f>
        <v>1</v>
      </c>
      <c r="BB6" s="66">
        <f>+IF(DEMANDA!BB6&gt;=1,1,0)</f>
        <v>1</v>
      </c>
      <c r="BC6" s="61">
        <f>+IF(DEMANDA!BC6&gt;=1,1,0)</f>
        <v>1</v>
      </c>
    </row>
  </sheetData>
  <conditionalFormatting sqref="B2:BC6">
    <cfRule type="cellIs" dxfId="32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C6"/>
  <sheetViews>
    <sheetView workbookViewId="0">
      <selection activeCell="G24" sqref="G24"/>
    </sheetView>
    <sheetView workbookViewId="1"/>
  </sheetViews>
  <sheetFormatPr baseColWidth="10" defaultColWidth="9.140625" defaultRowHeight="15" x14ac:dyDescent="0.25"/>
  <cols>
    <col min="1" max="1" width="13.5703125" style="20" bestFit="1" customWidth="1"/>
    <col min="2" max="55" width="13.5703125" style="7" bestFit="1" customWidth="1"/>
  </cols>
  <sheetData>
    <row r="1" spans="1:55" ht="18.75" customHeight="1" thickBot="1" x14ac:dyDescent="0.3">
      <c r="B1" s="76" t="s">
        <v>0</v>
      </c>
      <c r="C1" s="76" t="s">
        <v>1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9</v>
      </c>
      <c r="L1" s="76" t="s">
        <v>10</v>
      </c>
      <c r="M1" s="76" t="s">
        <v>11</v>
      </c>
      <c r="N1" s="76" t="s">
        <v>12</v>
      </c>
      <c r="O1" s="76" t="s">
        <v>13</v>
      </c>
      <c r="P1" s="76" t="s">
        <v>14</v>
      </c>
      <c r="Q1" s="76" t="s">
        <v>15</v>
      </c>
      <c r="R1" s="76" t="s">
        <v>16</v>
      </c>
      <c r="S1" s="76" t="s">
        <v>17</v>
      </c>
      <c r="T1" s="76" t="s">
        <v>18</v>
      </c>
      <c r="U1" s="76" t="s">
        <v>19</v>
      </c>
      <c r="V1" s="76" t="s">
        <v>20</v>
      </c>
      <c r="W1" s="76" t="s">
        <v>21</v>
      </c>
      <c r="X1" s="76" t="s">
        <v>22</v>
      </c>
      <c r="Y1" s="76" t="s">
        <v>23</v>
      </c>
      <c r="Z1" s="76" t="s">
        <v>24</v>
      </c>
      <c r="AA1" s="76" t="s">
        <v>112</v>
      </c>
      <c r="AB1" s="76" t="s">
        <v>26</v>
      </c>
      <c r="AC1" s="76" t="s">
        <v>27</v>
      </c>
      <c r="AD1" s="76" t="s">
        <v>28</v>
      </c>
      <c r="AE1" s="76" t="s">
        <v>29</v>
      </c>
      <c r="AF1" s="76" t="s">
        <v>30</v>
      </c>
      <c r="AG1" s="76" t="s">
        <v>31</v>
      </c>
      <c r="AH1" s="76" t="s">
        <v>32</v>
      </c>
      <c r="AI1" s="76" t="s">
        <v>33</v>
      </c>
      <c r="AJ1" s="76" t="s">
        <v>34</v>
      </c>
      <c r="AK1" s="76" t="s">
        <v>35</v>
      </c>
      <c r="AL1" s="76" t="s">
        <v>36</v>
      </c>
      <c r="AM1" s="76" t="s">
        <v>37</v>
      </c>
      <c r="AN1" s="76" t="s">
        <v>38</v>
      </c>
      <c r="AO1" s="76" t="s">
        <v>39</v>
      </c>
      <c r="AP1" s="76" t="s">
        <v>40</v>
      </c>
      <c r="AQ1" s="76" t="s">
        <v>41</v>
      </c>
      <c r="AR1" s="76" t="s">
        <v>42</v>
      </c>
      <c r="AS1" s="76" t="s">
        <v>43</v>
      </c>
      <c r="AT1" s="76" t="s">
        <v>44</v>
      </c>
      <c r="AU1" s="76" t="s">
        <v>45</v>
      </c>
      <c r="AV1" s="76" t="s">
        <v>46</v>
      </c>
      <c r="AW1" s="76" t="s">
        <v>47</v>
      </c>
      <c r="AX1" s="76" t="s">
        <v>48</v>
      </c>
      <c r="AY1" s="76" t="s">
        <v>49</v>
      </c>
      <c r="AZ1" s="76" t="s">
        <v>50</v>
      </c>
      <c r="BA1" s="76" t="s">
        <v>51</v>
      </c>
      <c r="BB1" s="76" t="s">
        <v>52</v>
      </c>
      <c r="BC1" s="76" t="s">
        <v>53</v>
      </c>
    </row>
    <row r="2" spans="1:55" ht="19.5" customHeight="1" x14ac:dyDescent="0.25">
      <c r="A2" s="73" t="s">
        <v>49</v>
      </c>
      <c r="B2" s="62">
        <f>+IF(D_si!B2&gt;0,1,10000)</f>
        <v>1</v>
      </c>
      <c r="C2" s="63">
        <f>+IF(D_si!C2&gt;0,1,10000)</f>
        <v>1</v>
      </c>
      <c r="D2" s="63">
        <f>+IF(D_si!D2&gt;0,1,10000)</f>
        <v>1</v>
      </c>
      <c r="E2" s="63">
        <f>+IF(D_si!E2&gt;0,1,10000)</f>
        <v>1</v>
      </c>
      <c r="F2" s="63">
        <f>+IF(D_si!F2&gt;0,1,10000)</f>
        <v>10000</v>
      </c>
      <c r="G2" s="63">
        <f>+IF(D_si!G2&gt;0,1,10000)</f>
        <v>10000</v>
      </c>
      <c r="H2" s="63">
        <f>+IF(D_si!H2&gt;0,1,10000)</f>
        <v>1</v>
      </c>
      <c r="I2" s="63">
        <f>+IF(D_si!I2&gt;0,1,10000)</f>
        <v>1</v>
      </c>
      <c r="J2" s="63">
        <f>+IF(D_si!J2&gt;0,1,10000)</f>
        <v>1</v>
      </c>
      <c r="K2" s="63">
        <f>+IF(D_si!K2&gt;0,1,10000)</f>
        <v>10000</v>
      </c>
      <c r="L2" s="63">
        <f>+IF(D_si!L2&gt;0,1,10000)</f>
        <v>1</v>
      </c>
      <c r="M2" s="63">
        <f>+IF(D_si!M2&gt;0,1,10000)</f>
        <v>1</v>
      </c>
      <c r="N2" s="63">
        <f>+IF(D_si!N2&gt;0,1,10000)</f>
        <v>1</v>
      </c>
      <c r="O2" s="63">
        <f>+IF(D_si!O2&gt;0,1,10000)</f>
        <v>1</v>
      </c>
      <c r="P2" s="63">
        <f>+IF(D_si!P2&gt;0,1,10000)</f>
        <v>1</v>
      </c>
      <c r="Q2" s="63">
        <f>+IF(D_si!Q2&gt;0,1,10000)</f>
        <v>10000</v>
      </c>
      <c r="R2" s="63">
        <f>+IF(D_si!R2&gt;0,1,10000)</f>
        <v>1</v>
      </c>
      <c r="S2" s="63">
        <f>+IF(D_si!S2&gt;0,1,10000)</f>
        <v>10000</v>
      </c>
      <c r="T2" s="63">
        <f>+IF(D_si!T2&gt;0,1,10000)</f>
        <v>10000</v>
      </c>
      <c r="U2" s="63">
        <f>+IF(D_si!U2&gt;0,1,10000)</f>
        <v>1</v>
      </c>
      <c r="V2" s="63">
        <f>+IF(D_si!V2&gt;0,1,10000)</f>
        <v>10000</v>
      </c>
      <c r="W2" s="63">
        <f>+IF(D_si!W2&gt;0,1,10000)</f>
        <v>10000</v>
      </c>
      <c r="X2" s="63">
        <f>+IF(D_si!X2&gt;0,1,10000)</f>
        <v>10000</v>
      </c>
      <c r="Y2" s="63">
        <f>+IF(D_si!Y2&gt;0,1,10000)</f>
        <v>1</v>
      </c>
      <c r="Z2" s="63">
        <f>+IF(D_si!Z2&gt;0,1,10000)</f>
        <v>1</v>
      </c>
      <c r="AA2" s="63">
        <f>+IF(D_si!AA2&gt;0,1,10000)</f>
        <v>1</v>
      </c>
      <c r="AB2" s="63">
        <f>+IF(D_si!AB2&gt;0,1,10000)</f>
        <v>10000</v>
      </c>
      <c r="AC2" s="63">
        <f>+IF(D_si!AC2&gt;0,1,10000)</f>
        <v>1</v>
      </c>
      <c r="AD2" s="63">
        <f>+IF(D_si!AD2&gt;0,1,10000)</f>
        <v>10000</v>
      </c>
      <c r="AE2" s="63">
        <f>+IF(D_si!AE2&gt;0,1,10000)</f>
        <v>1</v>
      </c>
      <c r="AF2" s="63">
        <f>+IF(D_si!AF2&gt;0,1,10000)</f>
        <v>1</v>
      </c>
      <c r="AG2" s="63">
        <f>+IF(D_si!AG2&gt;0,1,10000)</f>
        <v>1</v>
      </c>
      <c r="AH2" s="63">
        <f>+IF(D_si!AH2&gt;0,1,10000)</f>
        <v>1</v>
      </c>
      <c r="AI2" s="63">
        <f>+IF(D_si!AI2&gt;0,1,10000)</f>
        <v>1</v>
      </c>
      <c r="AJ2" s="63">
        <f>+IF(D_si!AJ2&gt;0,1,10000)</f>
        <v>1</v>
      </c>
      <c r="AK2" s="63">
        <f>+IF(D_si!AK2&gt;0,1,10000)</f>
        <v>1</v>
      </c>
      <c r="AL2" s="63">
        <f>+IF(D_si!AL2&gt;0,1,10000)</f>
        <v>1</v>
      </c>
      <c r="AM2" s="63">
        <f>+IF(D_si!AM2&gt;0,1,10000)</f>
        <v>10000</v>
      </c>
      <c r="AN2" s="63">
        <f>+IF(D_si!AN2&gt;0,1,10000)</f>
        <v>10000</v>
      </c>
      <c r="AO2" s="63">
        <f>+IF(D_si!AO2&gt;0,1,10000)</f>
        <v>10000</v>
      </c>
      <c r="AP2" s="63">
        <f>+IF(D_si!AP2&gt;0,1,10000)</f>
        <v>10000</v>
      </c>
      <c r="AQ2" s="63">
        <f>+IF(D_si!AQ2&gt;0,1,10000)</f>
        <v>10000</v>
      </c>
      <c r="AR2" s="63">
        <f>+IF(D_si!AR2&gt;0,1,10000)</f>
        <v>10000</v>
      </c>
      <c r="AS2" s="63">
        <f>+IF(D_si!AS2&gt;0,1,10000)</f>
        <v>10000</v>
      </c>
      <c r="AT2" s="63">
        <f>+IF(D_si!AT2&gt;0,1,10000)</f>
        <v>10000</v>
      </c>
      <c r="AU2" s="63">
        <f>+IF(D_si!AU2&gt;0,1,10000)</f>
        <v>10000</v>
      </c>
      <c r="AV2" s="63">
        <f>+IF(D_si!AV2&gt;0,1,10000)</f>
        <v>10000</v>
      </c>
      <c r="AW2" s="63">
        <f>+IF(D_si!AW2&gt;0,1,10000)</f>
        <v>1</v>
      </c>
      <c r="AX2" s="63">
        <f>+IF(D_si!AX2&gt;0,1,10000)</f>
        <v>1</v>
      </c>
      <c r="AY2" s="63">
        <f>+IF(D_si!AY2&gt;0,1,10000)</f>
        <v>1</v>
      </c>
      <c r="AZ2" s="63">
        <f>+IF(D_si!AZ2&gt;0,1,10000)</f>
        <v>1</v>
      </c>
      <c r="BA2" s="63">
        <f>+IF(D_si!BA2&gt;0,1,10000)</f>
        <v>10000</v>
      </c>
      <c r="BB2" s="63">
        <f>+IF(D_si!BB2&gt;0,1,10000)</f>
        <v>10000</v>
      </c>
      <c r="BC2" s="59">
        <f>+IF(D_si!BC2&gt;0,1,10000)</f>
        <v>10000</v>
      </c>
    </row>
    <row r="3" spans="1:55" ht="18.75" customHeight="1" x14ac:dyDescent="0.25">
      <c r="A3" s="74" t="s">
        <v>50</v>
      </c>
      <c r="B3" s="64">
        <f>+IF(D_si!B3&gt;0,1,10000)</f>
        <v>10000</v>
      </c>
      <c r="C3" s="4">
        <f>+IF(D_si!C3&gt;0,1,10000)</f>
        <v>10000</v>
      </c>
      <c r="D3" s="4">
        <f>+IF(D_si!D3&gt;0,1,10000)</f>
        <v>10000</v>
      </c>
      <c r="E3" s="4">
        <f>+IF(D_si!E3&gt;0,1,10000)</f>
        <v>10000</v>
      </c>
      <c r="F3" s="4">
        <f>+IF(D_si!F3&gt;0,1,10000)</f>
        <v>1</v>
      </c>
      <c r="G3" s="4">
        <f>+IF(D_si!G3&gt;0,1,10000)</f>
        <v>1</v>
      </c>
      <c r="H3" s="4">
        <f>+IF(D_si!H3&gt;0,1,10000)</f>
        <v>10000</v>
      </c>
      <c r="I3" s="4">
        <f>+IF(D_si!I3&gt;0,1,10000)</f>
        <v>10000</v>
      </c>
      <c r="J3" s="4">
        <f>+IF(D_si!J3&gt;0,1,10000)</f>
        <v>10000</v>
      </c>
      <c r="K3" s="4">
        <f>+IF(D_si!K3&gt;0,1,10000)</f>
        <v>1</v>
      </c>
      <c r="L3" s="4">
        <f>+IF(D_si!L3&gt;0,1,10000)</f>
        <v>10000</v>
      </c>
      <c r="M3" s="4">
        <f>+IF(D_si!M3&gt;0,1,10000)</f>
        <v>1</v>
      </c>
      <c r="N3" s="4">
        <f>+IF(D_si!N3&gt;0,1,10000)</f>
        <v>10000</v>
      </c>
      <c r="O3" s="4">
        <f>+IF(D_si!O3&gt;0,1,10000)</f>
        <v>10000</v>
      </c>
      <c r="P3" s="4">
        <f>+IF(D_si!P3&gt;0,1,10000)</f>
        <v>10000</v>
      </c>
      <c r="Q3" s="4">
        <f>+IF(D_si!Q3&gt;0,1,10000)</f>
        <v>1</v>
      </c>
      <c r="R3" s="4">
        <f>+IF(D_si!R3&gt;0,1,10000)</f>
        <v>10000</v>
      </c>
      <c r="S3" s="4">
        <f>+IF(D_si!S3&gt;0,1,10000)</f>
        <v>10000</v>
      </c>
      <c r="T3" s="4">
        <f>+IF(D_si!T3&gt;0,1,10000)</f>
        <v>1</v>
      </c>
      <c r="U3" s="4">
        <f>+IF(D_si!U3&gt;0,1,10000)</f>
        <v>1</v>
      </c>
      <c r="V3" s="4">
        <f>+IF(D_si!V3&gt;0,1,10000)</f>
        <v>1</v>
      </c>
      <c r="W3" s="4">
        <f>+IF(D_si!W3&gt;0,1,10000)</f>
        <v>10000</v>
      </c>
      <c r="X3" s="4">
        <f>+IF(D_si!X3&gt;0,1,10000)</f>
        <v>1</v>
      </c>
      <c r="Y3" s="4">
        <f>+IF(D_si!Y3&gt;0,1,10000)</f>
        <v>10000</v>
      </c>
      <c r="Z3" s="4">
        <f>+IF(D_si!Z3&gt;0,1,10000)</f>
        <v>10000</v>
      </c>
      <c r="AA3" s="4">
        <f>+IF(D_si!AA3&gt;0,1,10000)</f>
        <v>10000</v>
      </c>
      <c r="AB3" s="4">
        <f>+IF(D_si!AB3&gt;0,1,10000)</f>
        <v>1</v>
      </c>
      <c r="AC3" s="4">
        <f>+IF(D_si!AC3&gt;0,1,10000)</f>
        <v>10000</v>
      </c>
      <c r="AD3" s="4">
        <f>+IF(D_si!AD3&gt;0,1,10000)</f>
        <v>10000</v>
      </c>
      <c r="AE3" s="4">
        <f>+IF(D_si!AE3&gt;0,1,10000)</f>
        <v>10000</v>
      </c>
      <c r="AF3" s="4">
        <f>+IF(D_si!AF3&gt;0,1,10000)</f>
        <v>10000</v>
      </c>
      <c r="AG3" s="4">
        <f>+IF(D_si!AG3&gt;0,1,10000)</f>
        <v>10000</v>
      </c>
      <c r="AH3" s="4">
        <f>+IF(D_si!AH3&gt;0,1,10000)</f>
        <v>10000</v>
      </c>
      <c r="AI3" s="4">
        <f>+IF(D_si!AI3&gt;0,1,10000)</f>
        <v>10000</v>
      </c>
      <c r="AJ3" s="4">
        <f>+IF(D_si!AJ3&gt;0,1,10000)</f>
        <v>10000</v>
      </c>
      <c r="AK3" s="4">
        <f>+IF(D_si!AK3&gt;0,1,10000)</f>
        <v>10000</v>
      </c>
      <c r="AL3" s="4">
        <f>+IF(D_si!AL3&gt;0,1,10000)</f>
        <v>10000</v>
      </c>
      <c r="AM3" s="4">
        <f>+IF(D_si!AM3&gt;0,1,10000)</f>
        <v>10000</v>
      </c>
      <c r="AN3" s="4">
        <f>+IF(D_si!AN3&gt;0,1,10000)</f>
        <v>10000</v>
      </c>
      <c r="AO3" s="4">
        <f>+IF(D_si!AO3&gt;0,1,10000)</f>
        <v>10000</v>
      </c>
      <c r="AP3" s="4">
        <f>+IF(D_si!AP3&gt;0,1,10000)</f>
        <v>10000</v>
      </c>
      <c r="AQ3" s="4">
        <f>+IF(D_si!AQ3&gt;0,1,10000)</f>
        <v>10000</v>
      </c>
      <c r="AR3" s="4">
        <f>+IF(D_si!AR3&gt;0,1,10000)</f>
        <v>10000</v>
      </c>
      <c r="AS3" s="4">
        <f>+IF(D_si!AS3&gt;0,1,10000)</f>
        <v>10000</v>
      </c>
      <c r="AT3" s="4">
        <f>+IF(D_si!AT3&gt;0,1,10000)</f>
        <v>10000</v>
      </c>
      <c r="AU3" s="4">
        <f>+IF(D_si!AU3&gt;0,1,10000)</f>
        <v>10000</v>
      </c>
      <c r="AV3" s="4">
        <f>+IF(D_si!AV3&gt;0,1,10000)</f>
        <v>10000</v>
      </c>
      <c r="AW3" s="4">
        <f>+IF(D_si!AW3&gt;0,1,10000)</f>
        <v>10000</v>
      </c>
      <c r="AX3" s="4">
        <f>+IF(D_si!AX3&gt;0,1,10000)</f>
        <v>10000</v>
      </c>
      <c r="AY3" s="4">
        <f>+IF(D_si!AY3&gt;0,1,10000)</f>
        <v>10000</v>
      </c>
      <c r="AZ3" s="4">
        <f>+IF(D_si!AZ3&gt;0,1,10000)</f>
        <v>10000</v>
      </c>
      <c r="BA3" s="4">
        <f>+IF(D_si!BA3&gt;0,1,10000)</f>
        <v>10000</v>
      </c>
      <c r="BB3" s="4">
        <f>+IF(D_si!BB3&gt;0,1,10000)</f>
        <v>10000</v>
      </c>
      <c r="BC3" s="60">
        <f>+IF(D_si!BC3&gt;0,1,10000)</f>
        <v>10000</v>
      </c>
    </row>
    <row r="4" spans="1:55" ht="18.75" customHeight="1" x14ac:dyDescent="0.25">
      <c r="A4" s="74" t="s">
        <v>113</v>
      </c>
      <c r="B4" s="64">
        <f>+IF(D_si!B4&gt;0,20,10000)</f>
        <v>10000</v>
      </c>
      <c r="C4" s="4">
        <f>+IF(D_si!C4&gt;0,20,10000)</f>
        <v>10000</v>
      </c>
      <c r="D4" s="4">
        <f>+IF(D_si!D4&gt;0,20,10000)</f>
        <v>10000</v>
      </c>
      <c r="E4" s="4">
        <f>+IF(D_si!E4&gt;0,20,10000)</f>
        <v>10000</v>
      </c>
      <c r="F4" s="4">
        <f>+IF(D_si!F4&gt;0,20,10000)</f>
        <v>10000</v>
      </c>
      <c r="G4" s="4">
        <f>+IF(D_si!G4&gt;0,20,10000)</f>
        <v>20</v>
      </c>
      <c r="H4" s="4">
        <f>+IF(D_si!H4&gt;0,20,10000)</f>
        <v>10000</v>
      </c>
      <c r="I4" s="4">
        <f>+IF(D_si!I4&gt;0,20,10000)</f>
        <v>10000</v>
      </c>
      <c r="J4" s="4">
        <f>+IF(D_si!J4&gt;0,20,10000)</f>
        <v>10000</v>
      </c>
      <c r="K4" s="4">
        <f>+IF(D_si!K4&gt;0,20,10000)</f>
        <v>20</v>
      </c>
      <c r="L4" s="4">
        <f>+IF(D_si!L4&gt;0,20,10000)</f>
        <v>10000</v>
      </c>
      <c r="M4" s="4">
        <f>+IF(D_si!M4&gt;0,20,10000)</f>
        <v>10000</v>
      </c>
      <c r="N4" s="4">
        <f>+IF(D_si!N4&gt;0,20,10000)</f>
        <v>10000</v>
      </c>
      <c r="O4" s="4">
        <f>+IF(D_si!O4&gt;0,20,10000)</f>
        <v>10000</v>
      </c>
      <c r="P4" s="4">
        <f>+IF(D_si!P4&gt;0,20,10000)</f>
        <v>10000</v>
      </c>
      <c r="Q4" s="4">
        <f>+IF(D_si!Q4&gt;0,20,10000)</f>
        <v>10000</v>
      </c>
      <c r="R4" s="4">
        <f>+IF(D_si!R4&gt;0,20,10000)</f>
        <v>10000</v>
      </c>
      <c r="S4" s="4">
        <f>+IF(D_si!S4&gt;0,20,10000)</f>
        <v>10000</v>
      </c>
      <c r="T4" s="4">
        <f>+IF(D_si!T4&gt;0,20,10000)</f>
        <v>10000</v>
      </c>
      <c r="U4" s="4">
        <f>+IF(D_si!U4&gt;0,20,10000)</f>
        <v>20</v>
      </c>
      <c r="V4" s="4">
        <f>+IF(D_si!V4&gt;0,20,10000)</f>
        <v>10000</v>
      </c>
      <c r="W4" s="4">
        <f>+IF(D_si!W4&gt;0,20,10000)</f>
        <v>10000</v>
      </c>
      <c r="X4" s="4">
        <f>+IF(D_si!X4&gt;0,20,10000)</f>
        <v>10000</v>
      </c>
      <c r="Y4" s="4">
        <f>+IF(D_si!Y4&gt;0,20,10000)</f>
        <v>10000</v>
      </c>
      <c r="Z4" s="4">
        <f>+IF(D_si!Z4&gt;0,20,10000)</f>
        <v>10000</v>
      </c>
      <c r="AA4" s="4">
        <f>+IF(D_si!AA4&gt;0,20,10000)</f>
        <v>10000</v>
      </c>
      <c r="AB4" s="4">
        <f>+IF(D_si!AB4&gt;0,20,10000)</f>
        <v>10000</v>
      </c>
      <c r="AC4" s="4">
        <f>+IF(D_si!AC4&gt;0,20,10000)</f>
        <v>10000</v>
      </c>
      <c r="AD4" s="4">
        <f>+IF(D_si!AD4&gt;0,20,10000)</f>
        <v>10000</v>
      </c>
      <c r="AE4" s="4">
        <f>+IF(D_si!AE4&gt;0,20,10000)</f>
        <v>10000</v>
      </c>
      <c r="AF4" s="4">
        <f>+IF(D_si!AF4&gt;0,20,10000)</f>
        <v>10000</v>
      </c>
      <c r="AG4" s="4">
        <f>+IF(D_si!AG4&gt;0,20,10000)</f>
        <v>10000</v>
      </c>
      <c r="AH4" s="4">
        <f>+IF(D_si!AH4&gt;0,20,10000)</f>
        <v>10000</v>
      </c>
      <c r="AI4" s="4">
        <f>+IF(D_si!AI4&gt;0,20,10000)</f>
        <v>10000</v>
      </c>
      <c r="AJ4" s="4">
        <f>+IF(D_si!AJ4&gt;0,20,10000)</f>
        <v>10000</v>
      </c>
      <c r="AK4" s="4">
        <f>+IF(D_si!AK4&gt;0,20,10000)</f>
        <v>10000</v>
      </c>
      <c r="AL4" s="4">
        <f>+IF(D_si!AL4&gt;0,20,10000)</f>
        <v>10000</v>
      </c>
      <c r="AM4" s="4">
        <f>+IF(D_si!AM4&gt;0,20,10000)</f>
        <v>10000</v>
      </c>
      <c r="AN4" s="4">
        <f>+IF(D_si!AN4&gt;0,20,10000)</f>
        <v>10000</v>
      </c>
      <c r="AO4" s="4">
        <f>+IF(D_si!AO4&gt;0,20,10000)</f>
        <v>10000</v>
      </c>
      <c r="AP4" s="4">
        <f>+IF(D_si!AP4&gt;0,20,10000)</f>
        <v>10000</v>
      </c>
      <c r="AQ4" s="4">
        <f>+IF(D_si!AQ4&gt;0,20,10000)</f>
        <v>10000</v>
      </c>
      <c r="AR4" s="4">
        <f>+IF(D_si!AR4&gt;0,20,10000)</f>
        <v>10000</v>
      </c>
      <c r="AS4" s="4">
        <f>+IF(D_si!AS4&gt;0,20,10000)</f>
        <v>10000</v>
      </c>
      <c r="AT4" s="4">
        <f>+IF(D_si!AT4&gt;0,20,10000)</f>
        <v>10000</v>
      </c>
      <c r="AU4" s="4">
        <f>+IF(D_si!AU4&gt;0,20,10000)</f>
        <v>10000</v>
      </c>
      <c r="AV4" s="4">
        <f>+IF(D_si!AV4&gt;0,20,10000)</f>
        <v>10000</v>
      </c>
      <c r="AW4" s="4">
        <f>+IF(D_si!AW4&gt;0,20,10000)</f>
        <v>10000</v>
      </c>
      <c r="AX4" s="4">
        <f>+IF(D_si!AX4&gt;0,20,10000)</f>
        <v>10000</v>
      </c>
      <c r="AY4" s="4">
        <f>+IF(D_si!AY4&gt;0,20,10000)</f>
        <v>10000</v>
      </c>
      <c r="AZ4" s="4">
        <f>+IF(D_si!AZ4&gt;0,20,10000)</f>
        <v>10000</v>
      </c>
      <c r="BA4" s="4">
        <f>+IF(D_si!BA4&gt;0,20,10000)</f>
        <v>10000</v>
      </c>
      <c r="BB4" s="4">
        <f>+IF(D_si!BB4&gt;0,20,10000)</f>
        <v>10000</v>
      </c>
      <c r="BC4" s="60">
        <f>+IF(D_si!BC4&gt;0,20,10000)</f>
        <v>10000</v>
      </c>
    </row>
    <row r="5" spans="1:55" ht="18.75" customHeight="1" x14ac:dyDescent="0.25">
      <c r="A5" s="74" t="s">
        <v>114</v>
      </c>
      <c r="B5" s="64">
        <f>+IF(D_si!B5&gt;0,1,10000)</f>
        <v>10000</v>
      </c>
      <c r="C5" s="4">
        <f>+IF(D_si!C5&gt;0,1,10000)</f>
        <v>10000</v>
      </c>
      <c r="D5" s="4">
        <f>+IF(D_si!D5&gt;0,1,10000)</f>
        <v>1</v>
      </c>
      <c r="E5" s="4">
        <f>+IF(D_si!E5&gt;0,1,10000)</f>
        <v>1</v>
      </c>
      <c r="F5" s="4">
        <f>+IF(D_si!F5&gt;0,1,10000)</f>
        <v>1</v>
      </c>
      <c r="G5" s="4">
        <f>+IF(D_si!G5&gt;0,1,10000)</f>
        <v>1</v>
      </c>
      <c r="H5" s="4">
        <f>+IF(D_si!H5&gt;0,1,10000)</f>
        <v>1</v>
      </c>
      <c r="I5" s="4">
        <f>+IF(D_si!I5&gt;0,1,10000)</f>
        <v>1</v>
      </c>
      <c r="J5" s="4">
        <f>+IF(D_si!J5&gt;0,1,10000)</f>
        <v>10000</v>
      </c>
      <c r="K5" s="4">
        <f>+IF(D_si!K5&gt;0,1,10000)</f>
        <v>1</v>
      </c>
      <c r="L5" s="4">
        <f>+IF(D_si!L5&gt;0,1,10000)</f>
        <v>1</v>
      </c>
      <c r="M5" s="4">
        <f>+IF(D_si!M5&gt;0,1,10000)</f>
        <v>1</v>
      </c>
      <c r="N5" s="4">
        <f>+IF(D_si!N5&gt;0,1,10000)</f>
        <v>1</v>
      </c>
      <c r="O5" s="4">
        <f>+IF(D_si!O5&gt;0,1,10000)</f>
        <v>10000</v>
      </c>
      <c r="P5" s="4">
        <f>+IF(D_si!P5&gt;0,1,10000)</f>
        <v>10000</v>
      </c>
      <c r="Q5" s="4">
        <f>+IF(D_si!Q5&gt;0,1,10000)</f>
        <v>10000</v>
      </c>
      <c r="R5" s="4">
        <f>+IF(D_si!R5&gt;0,1,10000)</f>
        <v>10000</v>
      </c>
      <c r="S5" s="4">
        <f>+IF(D_si!S5&gt;0,1,10000)</f>
        <v>10000</v>
      </c>
      <c r="T5" s="4">
        <f>+IF(D_si!T5&gt;0,1,10000)</f>
        <v>10000</v>
      </c>
      <c r="U5" s="4">
        <f>+IF(D_si!U5&gt;0,1,10000)</f>
        <v>1</v>
      </c>
      <c r="V5" s="4">
        <f>+IF(D_si!V5&gt;0,1,10000)</f>
        <v>10000</v>
      </c>
      <c r="W5" s="4">
        <f>+IF(D_si!W5&gt;0,1,10000)</f>
        <v>10000</v>
      </c>
      <c r="X5" s="4">
        <f>+IF(D_si!X5&gt;0,1,10000)</f>
        <v>10000</v>
      </c>
      <c r="Y5" s="4">
        <f>+IF(D_si!Y5&gt;0,1,10000)</f>
        <v>10000</v>
      </c>
      <c r="Z5" s="4">
        <f>+IF(D_si!Z5&gt;0,1,10000)</f>
        <v>10000</v>
      </c>
      <c r="AA5" s="4">
        <f>+IF(D_si!AA5&gt;0,1,10000)</f>
        <v>10000</v>
      </c>
      <c r="AB5" s="4">
        <f>+IF(D_si!AB5&gt;0,1,10000)</f>
        <v>10000</v>
      </c>
      <c r="AC5" s="4">
        <f>+IF(D_si!AC5&gt;0,1,10000)</f>
        <v>10000</v>
      </c>
      <c r="AD5" s="4">
        <f>+IF(D_si!AD5&gt;0,1,10000)</f>
        <v>1</v>
      </c>
      <c r="AE5" s="4">
        <f>+IF(D_si!AE5&gt;0,1,10000)</f>
        <v>1</v>
      </c>
      <c r="AF5" s="4">
        <f>+IF(D_si!AF5&gt;0,1,10000)</f>
        <v>10000</v>
      </c>
      <c r="AG5" s="4">
        <f>+IF(D_si!AG5&gt;0,1,10000)</f>
        <v>10000</v>
      </c>
      <c r="AH5" s="4">
        <f>+IF(D_si!AH5&gt;0,1,10000)</f>
        <v>10000</v>
      </c>
      <c r="AI5" s="4">
        <f>+IF(D_si!AI5&gt;0,1,10000)</f>
        <v>10000</v>
      </c>
      <c r="AJ5" s="4">
        <f>+IF(D_si!AJ5&gt;0,1,10000)</f>
        <v>10000</v>
      </c>
      <c r="AK5" s="4">
        <f>+IF(D_si!AK5&gt;0,1,10000)</f>
        <v>10000</v>
      </c>
      <c r="AL5" s="4">
        <f>+IF(D_si!AL5&gt;0,1,10000)</f>
        <v>1</v>
      </c>
      <c r="AM5" s="4">
        <f>+IF(D_si!AM5&gt;0,1,10000)</f>
        <v>1</v>
      </c>
      <c r="AN5" s="4">
        <f>+IF(D_si!AN5&gt;0,1,10000)</f>
        <v>10000</v>
      </c>
      <c r="AO5" s="4">
        <f>+IF(D_si!AO5&gt;0,1,10000)</f>
        <v>10000</v>
      </c>
      <c r="AP5" s="4">
        <f>+IF(D_si!AP5&gt;0,1,10000)</f>
        <v>10000</v>
      </c>
      <c r="AQ5" s="4">
        <f>+IF(D_si!AQ5&gt;0,1,10000)</f>
        <v>10000</v>
      </c>
      <c r="AR5" s="4">
        <f>+IF(D_si!AR5&gt;0,1,10000)</f>
        <v>10000</v>
      </c>
      <c r="AS5" s="4">
        <f>+IF(D_si!AS5&gt;0,1,10000)</f>
        <v>10000</v>
      </c>
      <c r="AT5" s="4">
        <f>+IF(D_si!AT5&gt;0,1,10000)</f>
        <v>10000</v>
      </c>
      <c r="AU5" s="4">
        <f>+IF(D_si!AU5&gt;0,1,10000)</f>
        <v>10000</v>
      </c>
      <c r="AV5" s="4">
        <f>+IF(D_si!AV5&gt;0,1,10000)</f>
        <v>10000</v>
      </c>
      <c r="AW5" s="4">
        <f>+IF(D_si!AW5&gt;0,1,10000)</f>
        <v>10000</v>
      </c>
      <c r="AX5" s="4">
        <f>+IF(D_si!AX5&gt;0,1,10000)</f>
        <v>10000</v>
      </c>
      <c r="AY5" s="4">
        <f>+IF(D_si!AY5&gt;0,1,10000)</f>
        <v>10000</v>
      </c>
      <c r="AZ5" s="4">
        <f>+IF(D_si!AZ5&gt;0,1,10000)</f>
        <v>10000</v>
      </c>
      <c r="BA5" s="4">
        <f>+IF(D_si!BA5&gt;0,1,10000)</f>
        <v>10000</v>
      </c>
      <c r="BB5" s="4">
        <f>+IF(D_si!BB5&gt;0,1,10000)</f>
        <v>10000</v>
      </c>
      <c r="BC5" s="60">
        <f>+IF(D_si!BC5&gt;0,1,10000)</f>
        <v>10000</v>
      </c>
    </row>
    <row r="6" spans="1:55" ht="18.75" customHeight="1" thickBot="1" x14ac:dyDescent="0.3">
      <c r="A6" s="75" t="s">
        <v>115</v>
      </c>
      <c r="B6" s="65">
        <f>+IF(D_si!B6&gt;0,1,10000)</f>
        <v>10000</v>
      </c>
      <c r="C6" s="66">
        <f>+IF(D_si!C6&gt;0,1,10000)</f>
        <v>10000</v>
      </c>
      <c r="D6" s="66">
        <f>+IF(D_si!D6&gt;0,1,10000)</f>
        <v>10000</v>
      </c>
      <c r="E6" s="66">
        <f>+IF(D_si!E6&gt;0,1,10000)</f>
        <v>10000</v>
      </c>
      <c r="F6" s="66">
        <f>+IF(D_si!F6&gt;0,1,10000)</f>
        <v>10000</v>
      </c>
      <c r="G6" s="66">
        <f>+IF(D_si!G6&gt;0,1,10000)</f>
        <v>10000</v>
      </c>
      <c r="H6" s="66">
        <f>+IF(D_si!H6&gt;0,1,10000)</f>
        <v>10000</v>
      </c>
      <c r="I6" s="66">
        <f>+IF(D_si!I6&gt;0,1,10000)</f>
        <v>10000</v>
      </c>
      <c r="J6" s="66">
        <f>+IF(D_si!J6&gt;0,1,10000)</f>
        <v>10000</v>
      </c>
      <c r="K6" s="66">
        <f>+IF(D_si!K6&gt;0,1,10000)</f>
        <v>10000</v>
      </c>
      <c r="L6" s="66">
        <f>+IF(D_si!L6&gt;0,1,10000)</f>
        <v>10000</v>
      </c>
      <c r="M6" s="66">
        <f>+IF(D_si!M6&gt;0,1,10000)</f>
        <v>10000</v>
      </c>
      <c r="N6" s="66">
        <f>+IF(D_si!N6&gt;0,1,10000)</f>
        <v>10000</v>
      </c>
      <c r="O6" s="66">
        <f>+IF(D_si!O6&gt;0,1,10000)</f>
        <v>10000</v>
      </c>
      <c r="P6" s="66">
        <f>+IF(D_si!P6&gt;0,1,10000)</f>
        <v>10000</v>
      </c>
      <c r="Q6" s="66">
        <f>+IF(D_si!Q6&gt;0,1,10000)</f>
        <v>10000</v>
      </c>
      <c r="R6" s="66">
        <f>+IF(D_si!R6&gt;0,1,10000)</f>
        <v>10000</v>
      </c>
      <c r="S6" s="66">
        <f>+IF(D_si!S6&gt;0,1,10000)</f>
        <v>10000</v>
      </c>
      <c r="T6" s="66">
        <f>+IF(D_si!T6&gt;0,1,10000)</f>
        <v>10000</v>
      </c>
      <c r="U6" s="66">
        <f>+IF(D_si!U6&gt;0,1,10000)</f>
        <v>10000</v>
      </c>
      <c r="V6" s="66">
        <f>+IF(D_si!V6&gt;0,1,10000)</f>
        <v>10000</v>
      </c>
      <c r="W6" s="66">
        <f>+IF(D_si!W6&gt;0,1,10000)</f>
        <v>10000</v>
      </c>
      <c r="X6" s="66">
        <f>+IF(D_si!X6&gt;0,1,10000)</f>
        <v>10000</v>
      </c>
      <c r="Y6" s="66">
        <f>+IF(D_si!Y6&gt;0,1,10000)</f>
        <v>10000</v>
      </c>
      <c r="Z6" s="66">
        <f>+IF(D_si!Z6&gt;0,1,10000)</f>
        <v>10000</v>
      </c>
      <c r="AA6" s="66">
        <f>+IF(D_si!AA6&gt;0,1,10000)</f>
        <v>10000</v>
      </c>
      <c r="AB6" s="66">
        <f>+IF(D_si!AB6&gt;0,1,10000)</f>
        <v>10000</v>
      </c>
      <c r="AC6" s="66">
        <f>+IF(D_si!AC6&gt;0,1,10000)</f>
        <v>10000</v>
      </c>
      <c r="AD6" s="66">
        <f>+IF(D_si!AD6&gt;0,1,10000)</f>
        <v>10000</v>
      </c>
      <c r="AE6" s="66">
        <f>+IF(D_si!AE6&gt;0,1,10000)</f>
        <v>10000</v>
      </c>
      <c r="AF6" s="66">
        <f>+IF(D_si!AF6&gt;0,1,10000)</f>
        <v>10000</v>
      </c>
      <c r="AG6" s="66">
        <f>+IF(D_si!AG6&gt;0,1,10000)</f>
        <v>10000</v>
      </c>
      <c r="AH6" s="66">
        <f>+IF(D_si!AH6&gt;0,1,10000)</f>
        <v>10000</v>
      </c>
      <c r="AI6" s="66">
        <f>+IF(D_si!AI6&gt;0,1,10000)</f>
        <v>10000</v>
      </c>
      <c r="AJ6" s="66">
        <f>+IF(D_si!AJ6&gt;0,1,10000)</f>
        <v>10000</v>
      </c>
      <c r="AK6" s="66">
        <f>+IF(D_si!AK6&gt;0,1,10000)</f>
        <v>10000</v>
      </c>
      <c r="AL6" s="66">
        <f>+IF(D_si!AL6&gt;0,1,10000)</f>
        <v>10000</v>
      </c>
      <c r="AM6" s="66">
        <f>+IF(D_si!AM6&gt;0,1,10000)</f>
        <v>10000</v>
      </c>
      <c r="AN6" s="66">
        <f>+IF(D_si!AN6&gt;0,1,10000)</f>
        <v>10000</v>
      </c>
      <c r="AO6" s="66">
        <f>+IF(D_si!AO6&gt;0,1,10000)</f>
        <v>10000</v>
      </c>
      <c r="AP6" s="66">
        <f>+IF(D_si!AP6&gt;0,1,10000)</f>
        <v>10000</v>
      </c>
      <c r="AQ6" s="66">
        <f>+IF(D_si!AQ6&gt;0,1,10000)</f>
        <v>10000</v>
      </c>
      <c r="AR6" s="66">
        <f>+IF(D_si!AR6&gt;0,1,10000)</f>
        <v>10000</v>
      </c>
      <c r="AS6" s="66">
        <f>+IF(D_si!AS6&gt;0,1,10000)</f>
        <v>10000</v>
      </c>
      <c r="AT6" s="66">
        <f>+IF(D_si!AT6&gt;0,1,10000)</f>
        <v>10000</v>
      </c>
      <c r="AU6" s="66">
        <f>+IF(D_si!AU6&gt;0,1,10000)</f>
        <v>10000</v>
      </c>
      <c r="AV6" s="66">
        <f>+IF(D_si!AV6&gt;0,1,10000)</f>
        <v>10000</v>
      </c>
      <c r="AW6" s="66">
        <f>+IF(D_si!AW6&gt;0,1,10000)</f>
        <v>10000</v>
      </c>
      <c r="AX6" s="66">
        <f>+IF(D_si!AX6&gt;0,1,10000)</f>
        <v>10000</v>
      </c>
      <c r="AY6" s="66">
        <f>+IF(D_si!AY6&gt;0,1,10000)</f>
        <v>10000</v>
      </c>
      <c r="AZ6" s="66">
        <f>+IF(D_si!AZ6&gt;0,1,10000)</f>
        <v>10000</v>
      </c>
      <c r="BA6" s="66">
        <f>+IF(D_si!BA6&gt;0,1,10000)</f>
        <v>1</v>
      </c>
      <c r="BB6" s="66">
        <f>+IF(D_si!BB6&gt;0,1,10000)</f>
        <v>1</v>
      </c>
      <c r="BC6" s="61">
        <f>+IF(D_si!BC6&gt;0,1,10000)</f>
        <v>1</v>
      </c>
    </row>
  </sheetData>
  <conditionalFormatting sqref="B2:BC6">
    <cfRule type="cellIs" dxfId="31" priority="1" operator="lessThan">
      <formula>9000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FF5C-7762-4743-A964-B8B4A05FC9B2}">
  <sheetPr>
    <outlinePr summaryBelow="0"/>
  </sheetPr>
  <dimension ref="A1:BC73"/>
  <sheetViews>
    <sheetView workbookViewId="0">
      <selection activeCell="P12" sqref="P12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4.5703125" style="7" bestFit="1" customWidth="1"/>
  </cols>
  <sheetData>
    <row r="1" spans="1:55" ht="18.75" customHeight="1" thickBot="1" x14ac:dyDescent="0.3">
      <c r="A1" s="68" t="s">
        <v>246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18" t="s">
        <v>38</v>
      </c>
      <c r="B2" s="43">
        <v>1</v>
      </c>
      <c r="C2" s="51">
        <v>1</v>
      </c>
      <c r="D2" s="51">
        <v>1</v>
      </c>
      <c r="E2" s="51">
        <v>1</v>
      </c>
      <c r="F2" s="51">
        <v>1</v>
      </c>
      <c r="G2" s="51">
        <v>1</v>
      </c>
      <c r="H2" s="51">
        <v>1</v>
      </c>
      <c r="I2" s="51">
        <v>1</v>
      </c>
      <c r="J2" s="51">
        <v>1</v>
      </c>
      <c r="K2" s="51">
        <v>1</v>
      </c>
      <c r="L2" s="51">
        <v>1</v>
      </c>
      <c r="M2" s="51">
        <v>1</v>
      </c>
      <c r="N2" s="51">
        <v>1</v>
      </c>
      <c r="O2" s="51">
        <v>1</v>
      </c>
      <c r="P2" s="51">
        <v>1</v>
      </c>
      <c r="Q2" s="51">
        <v>0</v>
      </c>
      <c r="R2" s="51">
        <v>0</v>
      </c>
      <c r="S2" s="58">
        <v>0</v>
      </c>
      <c r="T2" s="32">
        <v>0</v>
      </c>
      <c r="U2" s="32">
        <v>0</v>
      </c>
      <c r="V2" s="32">
        <v>0</v>
      </c>
      <c r="W2" s="32">
        <v>0</v>
      </c>
      <c r="X2" s="32">
        <v>0</v>
      </c>
      <c r="Y2" s="32">
        <v>0</v>
      </c>
      <c r="Z2" s="32">
        <v>0</v>
      </c>
      <c r="AA2" s="32">
        <v>0</v>
      </c>
      <c r="AB2" s="59">
        <v>0</v>
      </c>
      <c r="AC2" s="62">
        <v>0</v>
      </c>
      <c r="AD2" s="63">
        <v>0</v>
      </c>
      <c r="AE2" s="63">
        <v>0</v>
      </c>
      <c r="AF2" s="63">
        <v>0</v>
      </c>
      <c r="AG2" s="63">
        <v>0</v>
      </c>
      <c r="AH2" s="63">
        <v>0</v>
      </c>
      <c r="AI2" s="63">
        <v>0</v>
      </c>
      <c r="AJ2" s="63">
        <v>0</v>
      </c>
      <c r="AK2" s="63">
        <v>0</v>
      </c>
      <c r="AL2" s="63">
        <v>0</v>
      </c>
      <c r="AM2" s="59">
        <v>0</v>
      </c>
      <c r="AN2" s="62">
        <v>0</v>
      </c>
      <c r="AO2" s="63">
        <v>0</v>
      </c>
      <c r="AP2" s="63">
        <v>0</v>
      </c>
      <c r="AQ2" s="63">
        <v>0</v>
      </c>
      <c r="AR2" s="63">
        <v>0</v>
      </c>
      <c r="AS2" s="63">
        <v>0</v>
      </c>
      <c r="AT2" s="63">
        <v>0</v>
      </c>
      <c r="AU2" s="63">
        <v>0</v>
      </c>
      <c r="AV2" s="59">
        <v>1</v>
      </c>
      <c r="AW2" s="62">
        <v>0</v>
      </c>
      <c r="AX2" s="59">
        <v>0</v>
      </c>
      <c r="AY2" s="62">
        <v>0</v>
      </c>
      <c r="AZ2" s="59">
        <v>0</v>
      </c>
      <c r="BA2" s="62">
        <v>1</v>
      </c>
      <c r="BB2" s="63">
        <v>0</v>
      </c>
      <c r="BC2" s="59">
        <v>0</v>
      </c>
    </row>
    <row r="3" spans="1:55" ht="18.75" customHeight="1" x14ac:dyDescent="0.25">
      <c r="A3" s="18" t="s">
        <v>39</v>
      </c>
      <c r="B3" s="52">
        <f>+B2</f>
        <v>1</v>
      </c>
      <c r="C3" s="1">
        <f>+C2</f>
        <v>1</v>
      </c>
      <c r="D3" s="1">
        <f t="shared" ref="D3:O4" si="0">+D2</f>
        <v>1</v>
      </c>
      <c r="E3" s="1">
        <f t="shared" si="0"/>
        <v>1</v>
      </c>
      <c r="F3" s="1">
        <f t="shared" si="0"/>
        <v>1</v>
      </c>
      <c r="G3" s="1">
        <f t="shared" si="0"/>
        <v>1</v>
      </c>
      <c r="H3" s="1">
        <f t="shared" si="0"/>
        <v>1</v>
      </c>
      <c r="I3" s="1">
        <f t="shared" si="0"/>
        <v>1</v>
      </c>
      <c r="J3" s="1">
        <f t="shared" si="0"/>
        <v>1</v>
      </c>
      <c r="K3" s="1">
        <f t="shared" si="0"/>
        <v>1</v>
      </c>
      <c r="L3" s="1">
        <f t="shared" si="0"/>
        <v>1</v>
      </c>
      <c r="M3" s="1">
        <f t="shared" si="0"/>
        <v>1</v>
      </c>
      <c r="N3" s="1">
        <f t="shared" si="0"/>
        <v>1</v>
      </c>
      <c r="O3" s="1">
        <f t="shared" si="0"/>
        <v>1</v>
      </c>
      <c r="P3" s="1">
        <v>1</v>
      </c>
      <c r="Q3" s="1">
        <v>0</v>
      </c>
      <c r="R3" s="55">
        <v>0</v>
      </c>
      <c r="S3" s="34">
        <f t="shared" ref="S3:X4" si="1">+S2</f>
        <v>0</v>
      </c>
      <c r="T3" s="55">
        <f t="shared" si="1"/>
        <v>0</v>
      </c>
      <c r="U3" s="55">
        <f t="shared" si="1"/>
        <v>0</v>
      </c>
      <c r="V3" s="55">
        <f t="shared" si="1"/>
        <v>0</v>
      </c>
      <c r="W3" s="55">
        <f t="shared" si="1"/>
        <v>0</v>
      </c>
      <c r="X3" s="55">
        <f t="shared" si="1"/>
        <v>0</v>
      </c>
      <c r="Y3" s="55">
        <v>0</v>
      </c>
      <c r="Z3" s="55">
        <v>0</v>
      </c>
      <c r="AA3" s="55">
        <v>0</v>
      </c>
      <c r="AB3" s="60">
        <v>0</v>
      </c>
      <c r="AC3" s="6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60">
        <v>0</v>
      </c>
      <c r="AN3" s="6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60">
        <v>1</v>
      </c>
      <c r="AW3" s="64">
        <v>0</v>
      </c>
      <c r="AX3" s="60">
        <v>0</v>
      </c>
      <c r="AY3" s="64">
        <v>0</v>
      </c>
      <c r="AZ3" s="60">
        <v>0</v>
      </c>
      <c r="BA3" s="64">
        <v>1</v>
      </c>
      <c r="BB3" s="4">
        <v>0</v>
      </c>
      <c r="BC3" s="60">
        <v>0</v>
      </c>
    </row>
    <row r="4" spans="1:55" ht="18.75" customHeight="1" x14ac:dyDescent="0.25">
      <c r="A4" s="18" t="s">
        <v>40</v>
      </c>
      <c r="B4" s="52">
        <v>1</v>
      </c>
      <c r="C4" s="1">
        <f>+C3</f>
        <v>1</v>
      </c>
      <c r="D4" s="1">
        <f t="shared" si="0"/>
        <v>1</v>
      </c>
      <c r="E4" s="1">
        <f t="shared" si="0"/>
        <v>1</v>
      </c>
      <c r="F4" s="1">
        <f t="shared" si="0"/>
        <v>1</v>
      </c>
      <c r="G4" s="1">
        <f t="shared" si="0"/>
        <v>1</v>
      </c>
      <c r="H4" s="1">
        <f t="shared" si="0"/>
        <v>1</v>
      </c>
      <c r="I4" s="1">
        <f t="shared" si="0"/>
        <v>1</v>
      </c>
      <c r="J4" s="1">
        <f t="shared" si="0"/>
        <v>1</v>
      </c>
      <c r="K4" s="1">
        <f t="shared" si="0"/>
        <v>1</v>
      </c>
      <c r="L4" s="1">
        <f t="shared" si="0"/>
        <v>1</v>
      </c>
      <c r="M4" s="1">
        <f t="shared" si="0"/>
        <v>1</v>
      </c>
      <c r="N4" s="1">
        <v>0</v>
      </c>
      <c r="O4" s="1">
        <v>0</v>
      </c>
      <c r="P4" s="1">
        <v>1</v>
      </c>
      <c r="Q4" s="1">
        <v>0</v>
      </c>
      <c r="R4" s="55">
        <v>0</v>
      </c>
      <c r="S4" s="34">
        <f t="shared" si="1"/>
        <v>0</v>
      </c>
      <c r="T4" s="55">
        <f t="shared" si="1"/>
        <v>0</v>
      </c>
      <c r="U4" s="55">
        <f t="shared" si="1"/>
        <v>0</v>
      </c>
      <c r="V4" s="55">
        <f t="shared" si="1"/>
        <v>0</v>
      </c>
      <c r="W4" s="55">
        <f t="shared" si="1"/>
        <v>0</v>
      </c>
      <c r="X4" s="55">
        <f t="shared" si="1"/>
        <v>0</v>
      </c>
      <c r="Y4" s="55">
        <v>0</v>
      </c>
      <c r="Z4" s="55">
        <v>0</v>
      </c>
      <c r="AA4" s="55">
        <v>0</v>
      </c>
      <c r="AB4" s="60">
        <v>0</v>
      </c>
      <c r="AC4" s="6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60">
        <v>0</v>
      </c>
      <c r="AN4" s="6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60">
        <v>1</v>
      </c>
      <c r="AW4" s="64">
        <v>0</v>
      </c>
      <c r="AX4" s="60">
        <v>0</v>
      </c>
      <c r="AY4" s="64">
        <v>0</v>
      </c>
      <c r="AZ4" s="60">
        <v>0</v>
      </c>
      <c r="BA4" s="64">
        <v>1</v>
      </c>
      <c r="BB4" s="4">
        <v>0</v>
      </c>
      <c r="BC4" s="60">
        <v>0</v>
      </c>
    </row>
    <row r="5" spans="1:55" ht="18.75" customHeight="1" x14ac:dyDescent="0.25">
      <c r="A5" s="18" t="s">
        <v>41</v>
      </c>
      <c r="B5" s="52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55">
        <v>0</v>
      </c>
      <c r="S5" s="34">
        <v>1</v>
      </c>
      <c r="T5" s="55">
        <v>1</v>
      </c>
      <c r="U5" s="55">
        <v>1</v>
      </c>
      <c r="V5" s="55">
        <v>1</v>
      </c>
      <c r="W5" s="55">
        <v>0</v>
      </c>
      <c r="X5" s="55">
        <v>0</v>
      </c>
      <c r="Y5" s="57">
        <v>1</v>
      </c>
      <c r="Z5" s="55">
        <v>1</v>
      </c>
      <c r="AA5" s="55">
        <v>1</v>
      </c>
      <c r="AB5" s="60">
        <v>0</v>
      </c>
      <c r="AC5" s="6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60">
        <v>0</v>
      </c>
      <c r="AN5" s="6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60">
        <v>1</v>
      </c>
      <c r="AW5" s="64">
        <v>0</v>
      </c>
      <c r="AX5" s="60">
        <v>0</v>
      </c>
      <c r="AY5" s="64">
        <v>0</v>
      </c>
      <c r="AZ5" s="60">
        <v>0</v>
      </c>
      <c r="BA5" s="64">
        <v>0</v>
      </c>
      <c r="BB5" s="4">
        <v>0</v>
      </c>
      <c r="BC5" s="60">
        <v>0</v>
      </c>
    </row>
    <row r="6" spans="1:55" ht="18.75" customHeight="1" x14ac:dyDescent="0.25">
      <c r="A6" s="18" t="s">
        <v>42</v>
      </c>
      <c r="B6" s="52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1</v>
      </c>
      <c r="Q6" s="1">
        <v>0</v>
      </c>
      <c r="R6" s="55">
        <v>1</v>
      </c>
      <c r="S6" s="34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60">
        <v>0</v>
      </c>
      <c r="AC6" s="6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60">
        <v>0</v>
      </c>
      <c r="AN6" s="6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60">
        <v>1</v>
      </c>
      <c r="AW6" s="64">
        <v>0</v>
      </c>
      <c r="AX6" s="60">
        <v>0</v>
      </c>
      <c r="AY6" s="64">
        <v>0</v>
      </c>
      <c r="AZ6" s="60">
        <v>0</v>
      </c>
      <c r="BA6" s="64">
        <v>1</v>
      </c>
      <c r="BB6" s="4">
        <v>0</v>
      </c>
      <c r="BC6" s="60">
        <v>0</v>
      </c>
    </row>
    <row r="7" spans="1:55" ht="18.75" customHeight="1" x14ac:dyDescent="0.25">
      <c r="A7" s="18" t="s">
        <v>43</v>
      </c>
      <c r="B7" s="52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55">
        <v>0</v>
      </c>
      <c r="S7" s="34">
        <v>1</v>
      </c>
      <c r="T7" s="55">
        <v>1</v>
      </c>
      <c r="U7" s="55">
        <v>1</v>
      </c>
      <c r="V7" s="55">
        <v>1</v>
      </c>
      <c r="W7" s="55">
        <v>1</v>
      </c>
      <c r="X7" s="55">
        <v>1</v>
      </c>
      <c r="Y7" s="57">
        <v>1</v>
      </c>
      <c r="Z7" s="55">
        <v>1</v>
      </c>
      <c r="AA7" s="55">
        <v>1</v>
      </c>
      <c r="AB7" s="60">
        <v>0</v>
      </c>
      <c r="AC7" s="6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60">
        <v>0</v>
      </c>
      <c r="AN7" s="6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60">
        <v>1</v>
      </c>
      <c r="AW7" s="64">
        <v>0</v>
      </c>
      <c r="AX7" s="60">
        <v>0</v>
      </c>
      <c r="AY7" s="64">
        <v>0</v>
      </c>
      <c r="AZ7" s="60">
        <v>0</v>
      </c>
      <c r="BA7" s="64">
        <v>0</v>
      </c>
      <c r="BB7" s="4">
        <v>0</v>
      </c>
      <c r="BC7" s="60">
        <v>0</v>
      </c>
    </row>
    <row r="8" spans="1:55" ht="18.75" customHeight="1" x14ac:dyDescent="0.25">
      <c r="A8" s="18" t="s">
        <v>44</v>
      </c>
      <c r="B8" s="52">
        <f>+B7</f>
        <v>0</v>
      </c>
      <c r="C8" s="1">
        <f>+C7</f>
        <v>0</v>
      </c>
      <c r="D8" s="1">
        <f t="shared" ref="D8:O8" si="2">+D7</f>
        <v>0</v>
      </c>
      <c r="E8" s="1">
        <f t="shared" si="2"/>
        <v>0</v>
      </c>
      <c r="F8" s="1">
        <f t="shared" si="2"/>
        <v>0</v>
      </c>
      <c r="G8" s="1">
        <f t="shared" si="2"/>
        <v>0</v>
      </c>
      <c r="H8" s="1">
        <f t="shared" si="2"/>
        <v>0</v>
      </c>
      <c r="I8" s="1">
        <f t="shared" si="2"/>
        <v>0</v>
      </c>
      <c r="J8" s="1">
        <f t="shared" si="2"/>
        <v>0</v>
      </c>
      <c r="K8" s="1">
        <v>1</v>
      </c>
      <c r="L8" s="1">
        <f t="shared" si="2"/>
        <v>0</v>
      </c>
      <c r="M8" s="1">
        <f t="shared" si="2"/>
        <v>0</v>
      </c>
      <c r="N8" s="1">
        <f t="shared" si="2"/>
        <v>0</v>
      </c>
      <c r="O8" s="1">
        <f t="shared" si="2"/>
        <v>0</v>
      </c>
      <c r="P8" s="1">
        <v>1</v>
      </c>
      <c r="Q8" s="1">
        <v>0</v>
      </c>
      <c r="R8" s="55">
        <v>0</v>
      </c>
      <c r="S8" s="34">
        <f t="shared" ref="S8:X8" si="3">+S7</f>
        <v>1</v>
      </c>
      <c r="T8" s="55">
        <f t="shared" si="3"/>
        <v>1</v>
      </c>
      <c r="U8" s="55">
        <f t="shared" si="3"/>
        <v>1</v>
      </c>
      <c r="V8" s="55">
        <f t="shared" si="3"/>
        <v>1</v>
      </c>
      <c r="W8" s="55">
        <f t="shared" si="3"/>
        <v>1</v>
      </c>
      <c r="X8" s="55">
        <f t="shared" si="3"/>
        <v>1</v>
      </c>
      <c r="Y8" s="57">
        <v>1</v>
      </c>
      <c r="Z8" s="57">
        <v>1</v>
      </c>
      <c r="AA8" s="55">
        <v>1</v>
      </c>
      <c r="AB8" s="60">
        <v>0</v>
      </c>
      <c r="AC8" s="6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60">
        <v>0</v>
      </c>
      <c r="AN8" s="6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60">
        <v>1</v>
      </c>
      <c r="AW8" s="64">
        <v>0</v>
      </c>
      <c r="AX8" s="60">
        <v>0</v>
      </c>
      <c r="AY8" s="64">
        <v>0</v>
      </c>
      <c r="AZ8" s="60">
        <v>0</v>
      </c>
      <c r="BA8" s="64">
        <v>0</v>
      </c>
      <c r="BB8" s="4">
        <v>0</v>
      </c>
      <c r="BC8" s="60">
        <v>0</v>
      </c>
    </row>
    <row r="9" spans="1:55" ht="18.75" customHeight="1" x14ac:dyDescent="0.25">
      <c r="A9" s="18" t="s">
        <v>45</v>
      </c>
      <c r="B9" s="52">
        <f>+B4</f>
        <v>1</v>
      </c>
      <c r="C9" s="1">
        <f>+C4</f>
        <v>1</v>
      </c>
      <c r="D9" s="1">
        <f t="shared" ref="D9:O9" si="4">+D4</f>
        <v>1</v>
      </c>
      <c r="E9" s="1">
        <f t="shared" si="4"/>
        <v>1</v>
      </c>
      <c r="F9" s="1">
        <f t="shared" si="4"/>
        <v>1</v>
      </c>
      <c r="G9" s="1">
        <f t="shared" si="4"/>
        <v>1</v>
      </c>
      <c r="H9" s="1">
        <f t="shared" si="4"/>
        <v>1</v>
      </c>
      <c r="I9" s="1">
        <f t="shared" si="4"/>
        <v>1</v>
      </c>
      <c r="J9" s="1">
        <f t="shared" si="4"/>
        <v>1</v>
      </c>
      <c r="K9" s="1">
        <f t="shared" si="4"/>
        <v>1</v>
      </c>
      <c r="L9" s="1">
        <f t="shared" si="4"/>
        <v>1</v>
      </c>
      <c r="M9" s="1">
        <f t="shared" si="4"/>
        <v>1</v>
      </c>
      <c r="N9" s="1">
        <f t="shared" si="4"/>
        <v>0</v>
      </c>
      <c r="O9" s="1">
        <f t="shared" si="4"/>
        <v>0</v>
      </c>
      <c r="P9" s="1">
        <v>1</v>
      </c>
      <c r="Q9" s="1">
        <v>0</v>
      </c>
      <c r="R9" s="55">
        <v>1</v>
      </c>
      <c r="S9" s="34">
        <f t="shared" ref="S9:X9" si="5">+S4</f>
        <v>0</v>
      </c>
      <c r="T9" s="55">
        <f t="shared" si="5"/>
        <v>0</v>
      </c>
      <c r="U9" s="55">
        <f t="shared" si="5"/>
        <v>0</v>
      </c>
      <c r="V9" s="55">
        <f t="shared" si="5"/>
        <v>0</v>
      </c>
      <c r="W9" s="55">
        <f t="shared" si="5"/>
        <v>0</v>
      </c>
      <c r="X9" s="55">
        <f t="shared" si="5"/>
        <v>0</v>
      </c>
      <c r="Y9" s="55">
        <v>0</v>
      </c>
      <c r="Z9" s="55">
        <v>0</v>
      </c>
      <c r="AA9" s="55">
        <v>0</v>
      </c>
      <c r="AB9" s="60">
        <v>0</v>
      </c>
      <c r="AC9" s="6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60">
        <v>0</v>
      </c>
      <c r="AN9" s="6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60">
        <v>1</v>
      </c>
      <c r="AW9" s="64">
        <v>0</v>
      </c>
      <c r="AX9" s="60">
        <v>0</v>
      </c>
      <c r="AY9" s="64">
        <v>0</v>
      </c>
      <c r="AZ9" s="60">
        <v>0</v>
      </c>
      <c r="BA9" s="64">
        <v>1</v>
      </c>
      <c r="BB9" s="4">
        <v>0</v>
      </c>
      <c r="BC9" s="60">
        <v>0</v>
      </c>
    </row>
    <row r="10" spans="1:55" ht="18.75" customHeight="1" x14ac:dyDescent="0.25">
      <c r="A10" s="18" t="s">
        <v>46</v>
      </c>
      <c r="B10" s="52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55">
        <v>0</v>
      </c>
      <c r="S10" s="34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60">
        <v>0</v>
      </c>
      <c r="AC10" s="6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60">
        <v>0</v>
      </c>
      <c r="AN10" s="64">
        <v>1</v>
      </c>
      <c r="AO10" s="4">
        <v>1</v>
      </c>
      <c r="AP10" s="4">
        <v>1</v>
      </c>
      <c r="AQ10" s="4">
        <v>1</v>
      </c>
      <c r="AR10" s="4">
        <v>0</v>
      </c>
      <c r="AS10" s="4">
        <v>1</v>
      </c>
      <c r="AT10" s="4">
        <v>1</v>
      </c>
      <c r="AU10" s="4">
        <v>1</v>
      </c>
      <c r="AV10" s="60">
        <v>0</v>
      </c>
      <c r="AW10" s="64">
        <v>0</v>
      </c>
      <c r="AX10" s="60">
        <v>0</v>
      </c>
      <c r="AY10" s="64">
        <v>0</v>
      </c>
      <c r="AZ10" s="60">
        <v>0</v>
      </c>
      <c r="BA10" s="64">
        <v>0</v>
      </c>
      <c r="BB10" s="4">
        <v>0</v>
      </c>
      <c r="BC10" s="60">
        <v>0</v>
      </c>
    </row>
    <row r="11" spans="1:55" ht="18.75" customHeight="1" x14ac:dyDescent="0.25">
      <c r="A11" s="18" t="s">
        <v>108</v>
      </c>
      <c r="B11" s="52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55">
        <v>0</v>
      </c>
      <c r="S11" s="34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55">
        <v>0</v>
      </c>
      <c r="Z11" s="55">
        <v>0</v>
      </c>
      <c r="AA11" s="55">
        <v>0</v>
      </c>
      <c r="AB11" s="60">
        <v>0</v>
      </c>
      <c r="AC11" s="6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60">
        <v>0</v>
      </c>
      <c r="AN11" s="6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60">
        <v>0</v>
      </c>
      <c r="AW11" s="64">
        <v>0</v>
      </c>
      <c r="AX11" s="60">
        <v>0</v>
      </c>
      <c r="AY11" s="64">
        <v>0</v>
      </c>
      <c r="AZ11" s="60">
        <v>0</v>
      </c>
      <c r="BA11" s="64">
        <v>0</v>
      </c>
      <c r="BB11" s="4">
        <v>0</v>
      </c>
      <c r="BC11" s="60">
        <v>0</v>
      </c>
    </row>
    <row r="12" spans="1:55" ht="18.75" customHeight="1" x14ac:dyDescent="0.25">
      <c r="A12" s="18" t="s">
        <v>109</v>
      </c>
      <c r="B12" s="52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55">
        <v>0</v>
      </c>
      <c r="S12" s="34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60">
        <v>0</v>
      </c>
      <c r="AC12" s="6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60">
        <v>0</v>
      </c>
      <c r="AN12" s="6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60">
        <v>1</v>
      </c>
      <c r="AW12" s="64">
        <v>0</v>
      </c>
      <c r="AX12" s="60">
        <v>0</v>
      </c>
      <c r="AY12" s="64">
        <v>1</v>
      </c>
      <c r="AZ12" s="60">
        <v>1</v>
      </c>
      <c r="BA12" s="64">
        <v>0</v>
      </c>
      <c r="BB12" s="4">
        <v>0</v>
      </c>
      <c r="BC12" s="60">
        <v>0</v>
      </c>
    </row>
    <row r="13" spans="1:55" ht="18.75" customHeight="1" thickBot="1" x14ac:dyDescent="0.3">
      <c r="A13" s="18" t="s">
        <v>110</v>
      </c>
      <c r="B13" s="53">
        <v>0</v>
      </c>
      <c r="C13" s="54">
        <v>0</v>
      </c>
      <c r="D13" s="54">
        <v>0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1</v>
      </c>
      <c r="Q13" s="54">
        <v>0</v>
      </c>
      <c r="R13" s="54">
        <v>0</v>
      </c>
      <c r="S13" s="36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61">
        <v>0</v>
      </c>
      <c r="AC13" s="65">
        <v>1</v>
      </c>
      <c r="AD13" s="66">
        <v>1</v>
      </c>
      <c r="AE13" s="66">
        <v>1</v>
      </c>
      <c r="AF13" s="66">
        <v>1</v>
      </c>
      <c r="AG13" s="66">
        <v>1</v>
      </c>
      <c r="AH13" s="66">
        <v>1</v>
      </c>
      <c r="AI13" s="66">
        <v>1</v>
      </c>
      <c r="AJ13" s="66">
        <v>1</v>
      </c>
      <c r="AK13" s="66">
        <v>1</v>
      </c>
      <c r="AL13" s="66">
        <v>1</v>
      </c>
      <c r="AM13" s="61">
        <v>0</v>
      </c>
      <c r="AN13" s="65">
        <v>0</v>
      </c>
      <c r="AO13" s="66">
        <v>0</v>
      </c>
      <c r="AP13" s="66">
        <v>0</v>
      </c>
      <c r="AQ13" s="66">
        <v>0</v>
      </c>
      <c r="AR13" s="66">
        <v>0</v>
      </c>
      <c r="AS13" s="66">
        <v>0</v>
      </c>
      <c r="AT13" s="66">
        <v>0</v>
      </c>
      <c r="AU13" s="66">
        <v>0</v>
      </c>
      <c r="AV13" s="61">
        <v>0</v>
      </c>
      <c r="AW13" s="65">
        <v>1</v>
      </c>
      <c r="AX13" s="61">
        <v>1</v>
      </c>
      <c r="AY13" s="65">
        <v>0</v>
      </c>
      <c r="AZ13" s="61">
        <v>0</v>
      </c>
      <c r="BA13" s="65">
        <v>0</v>
      </c>
      <c r="BB13" s="66">
        <v>0</v>
      </c>
      <c r="BC13" s="61">
        <v>0</v>
      </c>
    </row>
    <row r="16" spans="1:55" ht="15.75" thickBot="1" x14ac:dyDescent="0.3">
      <c r="A16" s="68" t="s">
        <v>247</v>
      </c>
      <c r="B16" s="56" t="s">
        <v>0</v>
      </c>
      <c r="C16" s="56" t="s">
        <v>1</v>
      </c>
      <c r="D16" s="56" t="s">
        <v>2</v>
      </c>
      <c r="E16" s="56" t="s">
        <v>3</v>
      </c>
      <c r="F16" s="56" t="s">
        <v>4</v>
      </c>
      <c r="G16" s="56" t="s">
        <v>5</v>
      </c>
      <c r="H16" s="56" t="s">
        <v>6</v>
      </c>
      <c r="I16" s="56" t="s">
        <v>7</v>
      </c>
      <c r="J16" s="56" t="s">
        <v>8</v>
      </c>
      <c r="K16" s="56" t="s">
        <v>9</v>
      </c>
      <c r="L16" s="56" t="s">
        <v>10</v>
      </c>
      <c r="M16" s="56" t="s">
        <v>11</v>
      </c>
      <c r="N16" s="56" t="s">
        <v>12</v>
      </c>
      <c r="O16" s="56" t="s">
        <v>13</v>
      </c>
      <c r="P16" s="56" t="s">
        <v>14</v>
      </c>
      <c r="Q16" s="56" t="s">
        <v>15</v>
      </c>
      <c r="R16" s="56" t="s">
        <v>16</v>
      </c>
      <c r="S16" s="56" t="s">
        <v>17</v>
      </c>
      <c r="T16" s="56" t="s">
        <v>18</v>
      </c>
      <c r="U16" s="56" t="s">
        <v>19</v>
      </c>
      <c r="V16" s="56" t="s">
        <v>20</v>
      </c>
      <c r="W16" s="56" t="s">
        <v>21</v>
      </c>
      <c r="X16" s="56" t="s">
        <v>22</v>
      </c>
      <c r="Y16" s="56" t="s">
        <v>107</v>
      </c>
      <c r="Z16" s="56" t="s">
        <v>24</v>
      </c>
      <c r="AA16" s="56" t="s">
        <v>25</v>
      </c>
      <c r="AB16" s="56" t="s">
        <v>26</v>
      </c>
      <c r="AC16" s="56" t="s">
        <v>27</v>
      </c>
      <c r="AD16" s="56" t="s">
        <v>28</v>
      </c>
      <c r="AE16" s="56" t="s">
        <v>29</v>
      </c>
      <c r="AF16" s="56" t="s">
        <v>30</v>
      </c>
      <c r="AG16" s="56" t="s">
        <v>31</v>
      </c>
      <c r="AH16" s="56" t="s">
        <v>32</v>
      </c>
      <c r="AI16" s="56" t="s">
        <v>33</v>
      </c>
      <c r="AJ16" s="56" t="s">
        <v>34</v>
      </c>
      <c r="AK16" s="56" t="s">
        <v>35</v>
      </c>
      <c r="AL16" s="56" t="s">
        <v>36</v>
      </c>
      <c r="AM16" s="56" t="s">
        <v>37</v>
      </c>
      <c r="AN16" s="56" t="s">
        <v>38</v>
      </c>
      <c r="AO16" s="56" t="s">
        <v>39</v>
      </c>
      <c r="AP16" s="56" t="s">
        <v>40</v>
      </c>
      <c r="AQ16" s="56" t="s">
        <v>41</v>
      </c>
      <c r="AR16" s="56" t="s">
        <v>42</v>
      </c>
      <c r="AS16" s="56" t="s">
        <v>43</v>
      </c>
      <c r="AT16" s="56" t="s">
        <v>44</v>
      </c>
      <c r="AU16" s="56" t="s">
        <v>45</v>
      </c>
      <c r="AV16" s="56" t="s">
        <v>46</v>
      </c>
      <c r="AW16" s="56" t="s">
        <v>47</v>
      </c>
      <c r="AX16" s="56" t="s">
        <v>48</v>
      </c>
      <c r="AY16" s="56" t="s">
        <v>49</v>
      </c>
      <c r="AZ16" s="56" t="s">
        <v>50</v>
      </c>
      <c r="BA16" s="56" t="s">
        <v>27</v>
      </c>
      <c r="BB16" s="56" t="s">
        <v>28</v>
      </c>
      <c r="BC16" s="56" t="s">
        <v>29</v>
      </c>
    </row>
    <row r="17" spans="1:55" x14ac:dyDescent="0.25">
      <c r="A17" s="67" t="s">
        <v>38</v>
      </c>
      <c r="B17" s="62">
        <v>0</v>
      </c>
      <c r="C17" s="63">
        <v>0</v>
      </c>
      <c r="D17" s="63">
        <v>0</v>
      </c>
      <c r="E17" s="63">
        <v>0</v>
      </c>
      <c r="F17" s="63">
        <v>0</v>
      </c>
      <c r="G17" s="63">
        <v>1</v>
      </c>
      <c r="H17" s="63">
        <v>0</v>
      </c>
      <c r="I17" s="63">
        <v>0</v>
      </c>
      <c r="J17" s="32">
        <v>0</v>
      </c>
      <c r="K17" s="32">
        <v>1</v>
      </c>
      <c r="L17" s="32">
        <v>0</v>
      </c>
      <c r="M17" s="32">
        <v>0</v>
      </c>
      <c r="N17" s="32">
        <v>0</v>
      </c>
      <c r="O17" s="32">
        <v>0</v>
      </c>
      <c r="P17" s="32">
        <v>1</v>
      </c>
      <c r="Q17" s="63">
        <v>1</v>
      </c>
      <c r="R17" s="63">
        <v>0</v>
      </c>
      <c r="S17" s="58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59">
        <v>0</v>
      </c>
      <c r="AC17" s="62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9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70">
        <v>0</v>
      </c>
      <c r="AX17" s="69">
        <v>0</v>
      </c>
      <c r="AY17" s="63">
        <v>0</v>
      </c>
      <c r="AZ17" s="63">
        <v>0</v>
      </c>
      <c r="BA17" s="70">
        <v>0</v>
      </c>
      <c r="BB17" s="63">
        <v>0</v>
      </c>
      <c r="BC17" s="59">
        <v>0</v>
      </c>
    </row>
    <row r="18" spans="1:55" x14ac:dyDescent="0.25">
      <c r="A18" s="67" t="s">
        <v>39</v>
      </c>
      <c r="B18" s="64">
        <v>0</v>
      </c>
      <c r="C18" s="4">
        <v>0</v>
      </c>
      <c r="D18" s="4">
        <v>1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55">
        <v>1</v>
      </c>
      <c r="K18" s="55">
        <v>1</v>
      </c>
      <c r="L18" s="55">
        <v>1</v>
      </c>
      <c r="M18" s="55">
        <v>1</v>
      </c>
      <c r="N18" s="55">
        <v>1</v>
      </c>
      <c r="O18" s="55">
        <v>1</v>
      </c>
      <c r="P18" s="55">
        <v>1</v>
      </c>
      <c r="Q18" s="4">
        <v>1</v>
      </c>
      <c r="R18" s="4">
        <v>0</v>
      </c>
      <c r="S18" s="34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60">
        <v>0</v>
      </c>
      <c r="AC18" s="6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13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12">
        <v>0</v>
      </c>
      <c r="AX18" s="13">
        <v>0</v>
      </c>
      <c r="AY18" s="4">
        <v>0</v>
      </c>
      <c r="AZ18" s="4">
        <v>0</v>
      </c>
      <c r="BA18" s="12">
        <v>0</v>
      </c>
      <c r="BB18" s="4">
        <v>0</v>
      </c>
      <c r="BC18" s="60">
        <v>0</v>
      </c>
    </row>
    <row r="19" spans="1:55" x14ac:dyDescent="0.25">
      <c r="A19" s="67" t="s">
        <v>40</v>
      </c>
      <c r="B19" s="64">
        <v>0</v>
      </c>
      <c r="C19" s="4">
        <v>0</v>
      </c>
      <c r="D19" s="4">
        <v>1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55">
        <v>1</v>
      </c>
      <c r="K19" s="55">
        <v>1</v>
      </c>
      <c r="L19" s="55">
        <v>1</v>
      </c>
      <c r="M19" s="55">
        <v>1</v>
      </c>
      <c r="N19" s="55">
        <v>1</v>
      </c>
      <c r="O19" s="55">
        <v>1</v>
      </c>
      <c r="P19" s="55">
        <v>1</v>
      </c>
      <c r="Q19" s="4">
        <v>1</v>
      </c>
      <c r="R19" s="4">
        <v>0</v>
      </c>
      <c r="S19" s="34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60">
        <v>0</v>
      </c>
      <c r="AC19" s="6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13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12">
        <v>0</v>
      </c>
      <c r="AX19" s="13">
        <v>0</v>
      </c>
      <c r="AY19" s="4">
        <v>0</v>
      </c>
      <c r="AZ19" s="4">
        <v>0</v>
      </c>
      <c r="BA19" s="12">
        <v>0</v>
      </c>
      <c r="BB19" s="4">
        <v>0</v>
      </c>
      <c r="BC19" s="60">
        <v>0</v>
      </c>
    </row>
    <row r="20" spans="1:55" x14ac:dyDescent="0.25">
      <c r="A20" s="67" t="s">
        <v>41</v>
      </c>
      <c r="B20" s="64">
        <v>0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55">
        <v>0</v>
      </c>
      <c r="K20" s="55">
        <v>1</v>
      </c>
      <c r="L20" s="55">
        <v>0</v>
      </c>
      <c r="M20" s="55">
        <v>0</v>
      </c>
      <c r="N20" s="55">
        <v>0</v>
      </c>
      <c r="O20" s="55">
        <v>0</v>
      </c>
      <c r="P20" s="55">
        <v>1</v>
      </c>
      <c r="Q20" s="4">
        <v>1</v>
      </c>
      <c r="R20" s="4">
        <v>0</v>
      </c>
      <c r="S20" s="34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60">
        <v>0</v>
      </c>
      <c r="AC20" s="6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13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12">
        <v>0</v>
      </c>
      <c r="AX20" s="13">
        <v>0</v>
      </c>
      <c r="AY20" s="4">
        <v>0</v>
      </c>
      <c r="AZ20" s="4">
        <v>0</v>
      </c>
      <c r="BA20" s="12">
        <v>0</v>
      </c>
      <c r="BB20" s="4">
        <v>0</v>
      </c>
      <c r="BC20" s="60">
        <v>0</v>
      </c>
    </row>
    <row r="21" spans="1:55" x14ac:dyDescent="0.25">
      <c r="A21" s="67" t="s">
        <v>42</v>
      </c>
      <c r="B21" s="64">
        <v>0</v>
      </c>
      <c r="C21" s="4">
        <v>0</v>
      </c>
      <c r="D21" s="4">
        <v>1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55">
        <v>1</v>
      </c>
      <c r="K21" s="55">
        <v>1</v>
      </c>
      <c r="L21" s="55">
        <v>1</v>
      </c>
      <c r="M21" s="55">
        <v>1</v>
      </c>
      <c r="N21" s="55">
        <v>0</v>
      </c>
      <c r="O21" s="55">
        <v>0</v>
      </c>
      <c r="P21" s="55">
        <v>1</v>
      </c>
      <c r="Q21" s="4">
        <v>1</v>
      </c>
      <c r="R21" s="4">
        <v>0</v>
      </c>
      <c r="S21" s="34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60">
        <v>0</v>
      </c>
      <c r="AC21" s="6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13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12">
        <v>0</v>
      </c>
      <c r="AX21" s="13">
        <v>0</v>
      </c>
      <c r="AY21" s="4">
        <v>0</v>
      </c>
      <c r="AZ21" s="4">
        <v>0</v>
      </c>
      <c r="BA21" s="12">
        <v>0</v>
      </c>
      <c r="BB21" s="4">
        <v>0</v>
      </c>
      <c r="BC21" s="60">
        <v>0</v>
      </c>
    </row>
    <row r="22" spans="1:55" x14ac:dyDescent="0.25">
      <c r="A22" s="67" t="s">
        <v>43</v>
      </c>
      <c r="B22" s="64">
        <v>0</v>
      </c>
      <c r="C22" s="4">
        <v>0</v>
      </c>
      <c r="D22" s="4">
        <v>1</v>
      </c>
      <c r="E22" s="4">
        <v>0</v>
      </c>
      <c r="F22" s="4">
        <v>1</v>
      </c>
      <c r="G22" s="4">
        <v>1</v>
      </c>
      <c r="H22" s="4">
        <v>0</v>
      </c>
      <c r="I22" s="4">
        <v>0</v>
      </c>
      <c r="J22" s="55">
        <v>1</v>
      </c>
      <c r="K22" s="55">
        <v>1</v>
      </c>
      <c r="L22" s="55">
        <v>1</v>
      </c>
      <c r="M22" s="55">
        <v>1</v>
      </c>
      <c r="N22" s="55">
        <v>0</v>
      </c>
      <c r="O22" s="55">
        <v>0</v>
      </c>
      <c r="P22" s="55">
        <v>0</v>
      </c>
      <c r="Q22" s="4">
        <v>0</v>
      </c>
      <c r="R22" s="4">
        <v>0</v>
      </c>
      <c r="S22" s="34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60">
        <v>0</v>
      </c>
      <c r="AC22" s="6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13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12">
        <v>0</v>
      </c>
      <c r="AX22" s="13">
        <v>0</v>
      </c>
      <c r="AY22" s="4">
        <v>0</v>
      </c>
      <c r="AZ22" s="4">
        <v>0</v>
      </c>
      <c r="BA22" s="12">
        <v>0</v>
      </c>
      <c r="BB22" s="4">
        <v>0</v>
      </c>
      <c r="BC22" s="60">
        <v>0</v>
      </c>
    </row>
    <row r="23" spans="1:55" x14ac:dyDescent="0.25">
      <c r="A23" s="67" t="s">
        <v>44</v>
      </c>
      <c r="B23" s="6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5">
        <v>0</v>
      </c>
      <c r="K23" s="55">
        <v>1</v>
      </c>
      <c r="L23" s="55">
        <v>0</v>
      </c>
      <c r="M23" s="55">
        <v>0</v>
      </c>
      <c r="N23" s="55">
        <v>0</v>
      </c>
      <c r="O23" s="55">
        <v>0</v>
      </c>
      <c r="P23" s="55">
        <v>1</v>
      </c>
      <c r="Q23" s="4">
        <v>1</v>
      </c>
      <c r="R23" s="4">
        <v>0</v>
      </c>
      <c r="S23" s="34">
        <v>1</v>
      </c>
      <c r="T23" s="55">
        <v>0</v>
      </c>
      <c r="U23" s="55">
        <v>1</v>
      </c>
      <c r="V23" s="55">
        <v>0</v>
      </c>
      <c r="W23" s="55">
        <v>1</v>
      </c>
      <c r="X23" s="55">
        <v>1</v>
      </c>
      <c r="Y23" s="55">
        <v>1</v>
      </c>
      <c r="Z23" s="55">
        <v>0</v>
      </c>
      <c r="AA23" s="55">
        <v>1</v>
      </c>
      <c r="AB23" s="60">
        <v>1</v>
      </c>
      <c r="AC23" s="6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13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12">
        <v>0</v>
      </c>
      <c r="AX23" s="13">
        <v>0</v>
      </c>
      <c r="AY23" s="4">
        <v>0</v>
      </c>
      <c r="AZ23" s="4">
        <v>0</v>
      </c>
      <c r="BA23" s="12">
        <v>0</v>
      </c>
      <c r="BB23" s="4">
        <v>0</v>
      </c>
      <c r="BC23" s="60">
        <v>0</v>
      </c>
    </row>
    <row r="24" spans="1:55" x14ac:dyDescent="0.25">
      <c r="A24" s="67" t="s">
        <v>45</v>
      </c>
      <c r="B24" s="6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5">
        <v>0</v>
      </c>
      <c r="K24" s="55">
        <v>1</v>
      </c>
      <c r="L24" s="55">
        <v>0</v>
      </c>
      <c r="M24" s="55">
        <v>0</v>
      </c>
      <c r="N24" s="55">
        <v>0</v>
      </c>
      <c r="O24" s="55">
        <v>0</v>
      </c>
      <c r="P24" s="55">
        <v>1</v>
      </c>
      <c r="Q24" s="4">
        <v>1</v>
      </c>
      <c r="R24" s="4">
        <v>0</v>
      </c>
      <c r="S24" s="34">
        <v>1</v>
      </c>
      <c r="T24" s="55">
        <v>0</v>
      </c>
      <c r="U24" s="55">
        <v>1</v>
      </c>
      <c r="V24" s="55">
        <v>0</v>
      </c>
      <c r="W24" s="55">
        <v>1</v>
      </c>
      <c r="X24" s="55">
        <v>1</v>
      </c>
      <c r="Y24" s="55">
        <v>1</v>
      </c>
      <c r="Z24" s="55">
        <v>0</v>
      </c>
      <c r="AA24" s="55">
        <v>1</v>
      </c>
      <c r="AB24" s="60">
        <v>1</v>
      </c>
      <c r="AC24" s="6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13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12">
        <v>0</v>
      </c>
      <c r="AX24" s="13">
        <v>0</v>
      </c>
      <c r="AY24" s="4">
        <v>0</v>
      </c>
      <c r="AZ24" s="4">
        <v>0</v>
      </c>
      <c r="BA24" s="12">
        <v>0</v>
      </c>
      <c r="BB24" s="4">
        <v>0</v>
      </c>
      <c r="BC24" s="60">
        <v>0</v>
      </c>
    </row>
    <row r="25" spans="1:55" x14ac:dyDescent="0.25">
      <c r="A25" s="67" t="s">
        <v>46</v>
      </c>
      <c r="B25" s="6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5">
        <v>0</v>
      </c>
      <c r="K25" s="55">
        <v>1</v>
      </c>
      <c r="L25" s="55">
        <v>0</v>
      </c>
      <c r="M25" s="55">
        <v>0</v>
      </c>
      <c r="N25" s="55">
        <v>0</v>
      </c>
      <c r="O25" s="55">
        <v>0</v>
      </c>
      <c r="P25" s="55">
        <v>1</v>
      </c>
      <c r="Q25" s="4">
        <v>1</v>
      </c>
      <c r="R25" s="4">
        <v>0</v>
      </c>
      <c r="S25" s="34">
        <v>1</v>
      </c>
      <c r="T25" s="55">
        <v>0</v>
      </c>
      <c r="U25" s="55">
        <v>1</v>
      </c>
      <c r="V25" s="55">
        <v>1</v>
      </c>
      <c r="W25" s="55">
        <v>0</v>
      </c>
      <c r="X25" s="55">
        <v>1</v>
      </c>
      <c r="Y25" s="55">
        <v>1</v>
      </c>
      <c r="Z25" s="55">
        <v>0</v>
      </c>
      <c r="AA25" s="55">
        <v>1</v>
      </c>
      <c r="AB25" s="60">
        <v>1</v>
      </c>
      <c r="AC25" s="6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13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12">
        <v>0</v>
      </c>
      <c r="AX25" s="13">
        <v>0</v>
      </c>
      <c r="AY25" s="4">
        <v>0</v>
      </c>
      <c r="AZ25" s="4">
        <v>0</v>
      </c>
      <c r="BA25" s="12">
        <v>0</v>
      </c>
      <c r="BB25" s="4">
        <v>0</v>
      </c>
      <c r="BC25" s="60">
        <v>0</v>
      </c>
    </row>
    <row r="26" spans="1:55" x14ac:dyDescent="0.25">
      <c r="A26" s="67" t="s">
        <v>108</v>
      </c>
      <c r="B26" s="6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5">
        <v>0</v>
      </c>
      <c r="K26" s="55">
        <v>1</v>
      </c>
      <c r="L26" s="55">
        <v>0</v>
      </c>
      <c r="M26" s="55">
        <v>0</v>
      </c>
      <c r="N26" s="55">
        <v>0</v>
      </c>
      <c r="O26" s="55">
        <v>0</v>
      </c>
      <c r="P26" s="55">
        <v>1</v>
      </c>
      <c r="Q26" s="4">
        <v>1</v>
      </c>
      <c r="R26" s="4">
        <v>0</v>
      </c>
      <c r="S26" s="34">
        <v>0</v>
      </c>
      <c r="T26" s="55">
        <v>1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Z26" s="55">
        <v>0</v>
      </c>
      <c r="AA26" s="55">
        <v>0</v>
      </c>
      <c r="AB26" s="60">
        <v>0</v>
      </c>
      <c r="AC26" s="6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13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12">
        <v>0</v>
      </c>
      <c r="AX26" s="13">
        <v>0</v>
      </c>
      <c r="AY26" s="4">
        <v>0</v>
      </c>
      <c r="AZ26" s="4">
        <v>0</v>
      </c>
      <c r="BA26" s="12">
        <v>0</v>
      </c>
      <c r="BB26" s="4">
        <v>0</v>
      </c>
      <c r="BC26" s="60">
        <v>0</v>
      </c>
    </row>
    <row r="27" spans="1:55" x14ac:dyDescent="0.25">
      <c r="A27" s="67" t="s">
        <v>109</v>
      </c>
      <c r="B27" s="6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6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60">
        <v>0</v>
      </c>
      <c r="AC27" s="6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13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12">
        <v>0</v>
      </c>
      <c r="AX27" s="13">
        <v>0</v>
      </c>
      <c r="AY27" s="4">
        <v>0</v>
      </c>
      <c r="AZ27" s="4">
        <v>0</v>
      </c>
      <c r="BA27" s="12">
        <v>0</v>
      </c>
      <c r="BB27" s="4">
        <v>0</v>
      </c>
      <c r="BC27" s="60">
        <v>0</v>
      </c>
    </row>
    <row r="28" spans="1:55" ht="15.75" thickBot="1" x14ac:dyDescent="0.3">
      <c r="A28" s="67" t="s">
        <v>110</v>
      </c>
      <c r="B28" s="65">
        <v>0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5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1">
        <v>0</v>
      </c>
      <c r="AC28" s="65">
        <v>0</v>
      </c>
      <c r="AD28" s="66">
        <v>0</v>
      </c>
      <c r="AE28" s="66">
        <v>0</v>
      </c>
      <c r="AF28" s="66">
        <v>0</v>
      </c>
      <c r="AG28" s="66">
        <v>0</v>
      </c>
      <c r="AH28" s="66">
        <v>0</v>
      </c>
      <c r="AI28" s="66">
        <v>0</v>
      </c>
      <c r="AJ28" s="66">
        <v>0</v>
      </c>
      <c r="AK28" s="66">
        <v>0</v>
      </c>
      <c r="AL28" s="66">
        <v>0</v>
      </c>
      <c r="AM28" s="71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6">
        <v>0</v>
      </c>
      <c r="AU28" s="66">
        <v>0</v>
      </c>
      <c r="AV28" s="66">
        <v>0</v>
      </c>
      <c r="AW28" s="72">
        <v>0</v>
      </c>
      <c r="AX28" s="71">
        <v>0</v>
      </c>
      <c r="AY28" s="66">
        <v>0</v>
      </c>
      <c r="AZ28" s="66">
        <v>0</v>
      </c>
      <c r="BA28" s="72">
        <v>0</v>
      </c>
      <c r="BB28" s="66">
        <v>0</v>
      </c>
      <c r="BC28" s="61">
        <v>0</v>
      </c>
    </row>
    <row r="31" spans="1:55" ht="15.75" thickBot="1" x14ac:dyDescent="0.3">
      <c r="A31" s="68" t="s">
        <v>248</v>
      </c>
      <c r="B31" s="56" t="s">
        <v>0</v>
      </c>
      <c r="C31" s="56" t="s">
        <v>1</v>
      </c>
      <c r="D31" s="56" t="s">
        <v>2</v>
      </c>
      <c r="E31" s="56" t="s">
        <v>3</v>
      </c>
      <c r="F31" s="56" t="s">
        <v>4</v>
      </c>
      <c r="G31" s="56" t="s">
        <v>5</v>
      </c>
      <c r="H31" s="56" t="s">
        <v>6</v>
      </c>
      <c r="I31" s="56" t="s">
        <v>7</v>
      </c>
      <c r="J31" s="56" t="s">
        <v>8</v>
      </c>
      <c r="K31" s="56" t="s">
        <v>9</v>
      </c>
      <c r="L31" s="56" t="s">
        <v>10</v>
      </c>
      <c r="M31" s="56" t="s">
        <v>11</v>
      </c>
      <c r="N31" s="56" t="s">
        <v>12</v>
      </c>
      <c r="O31" s="56" t="s">
        <v>13</v>
      </c>
      <c r="P31" s="56" t="s">
        <v>14</v>
      </c>
      <c r="Q31" s="56" t="s">
        <v>15</v>
      </c>
      <c r="R31" s="56" t="s">
        <v>16</v>
      </c>
      <c r="S31" s="56" t="s">
        <v>17</v>
      </c>
      <c r="T31" s="56" t="s">
        <v>18</v>
      </c>
      <c r="U31" s="56" t="s">
        <v>19</v>
      </c>
      <c r="V31" s="56" t="s">
        <v>20</v>
      </c>
      <c r="W31" s="56" t="s">
        <v>21</v>
      </c>
      <c r="X31" s="56" t="s">
        <v>22</v>
      </c>
      <c r="Y31" s="56" t="s">
        <v>107</v>
      </c>
      <c r="Z31" s="56" t="s">
        <v>24</v>
      </c>
      <c r="AA31" s="56" t="s">
        <v>25</v>
      </c>
      <c r="AB31" s="56" t="s">
        <v>26</v>
      </c>
      <c r="AC31" s="56" t="s">
        <v>27</v>
      </c>
      <c r="AD31" s="56" t="s">
        <v>28</v>
      </c>
      <c r="AE31" s="56" t="s">
        <v>29</v>
      </c>
      <c r="AF31" s="56" t="s">
        <v>30</v>
      </c>
      <c r="AG31" s="56" t="s">
        <v>31</v>
      </c>
      <c r="AH31" s="56" t="s">
        <v>32</v>
      </c>
      <c r="AI31" s="56" t="s">
        <v>33</v>
      </c>
      <c r="AJ31" s="56" t="s">
        <v>34</v>
      </c>
      <c r="AK31" s="56" t="s">
        <v>35</v>
      </c>
      <c r="AL31" s="56" t="s">
        <v>36</v>
      </c>
      <c r="AM31" s="56" t="s">
        <v>37</v>
      </c>
      <c r="AN31" s="56" t="s">
        <v>38</v>
      </c>
      <c r="AO31" s="56" t="s">
        <v>39</v>
      </c>
      <c r="AP31" s="56" t="s">
        <v>40</v>
      </c>
      <c r="AQ31" s="56" t="s">
        <v>41</v>
      </c>
      <c r="AR31" s="56" t="s">
        <v>42</v>
      </c>
      <c r="AS31" s="56" t="s">
        <v>43</v>
      </c>
      <c r="AT31" s="56" t="s">
        <v>44</v>
      </c>
      <c r="AU31" s="56" t="s">
        <v>45</v>
      </c>
      <c r="AV31" s="56" t="s">
        <v>46</v>
      </c>
      <c r="AW31" s="56" t="s">
        <v>47</v>
      </c>
      <c r="AX31" s="56" t="s">
        <v>48</v>
      </c>
      <c r="AY31" s="56" t="s">
        <v>49</v>
      </c>
      <c r="AZ31" s="56" t="s">
        <v>50</v>
      </c>
      <c r="BA31" s="56" t="s">
        <v>27</v>
      </c>
      <c r="BB31" s="56" t="s">
        <v>28</v>
      </c>
      <c r="BC31" s="56" t="s">
        <v>29</v>
      </c>
    </row>
    <row r="32" spans="1:55" x14ac:dyDescent="0.25">
      <c r="A32" s="67" t="s">
        <v>38</v>
      </c>
      <c r="B32" s="62">
        <v>0</v>
      </c>
      <c r="C32" s="63">
        <v>0</v>
      </c>
      <c r="D32" s="63">
        <v>0</v>
      </c>
      <c r="E32" s="63">
        <v>0</v>
      </c>
      <c r="F32" s="63">
        <v>0</v>
      </c>
      <c r="G32" s="63">
        <v>1</v>
      </c>
      <c r="H32" s="63">
        <v>0</v>
      </c>
      <c r="I32" s="63">
        <v>0</v>
      </c>
      <c r="J32" s="32">
        <v>1</v>
      </c>
      <c r="K32" s="32">
        <v>1</v>
      </c>
      <c r="L32" s="32">
        <v>1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33">
        <v>1</v>
      </c>
      <c r="S32" s="62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59">
        <v>0</v>
      </c>
      <c r="AC32" s="62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9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70">
        <v>0</v>
      </c>
      <c r="AX32" s="69">
        <v>0</v>
      </c>
      <c r="AY32" s="63">
        <v>0</v>
      </c>
      <c r="AZ32" s="63">
        <v>0</v>
      </c>
      <c r="BA32" s="70">
        <v>0</v>
      </c>
      <c r="BB32" s="63">
        <v>0</v>
      </c>
      <c r="BC32" s="59">
        <v>0</v>
      </c>
    </row>
    <row r="33" spans="1:55" x14ac:dyDescent="0.25">
      <c r="A33" s="67" t="s">
        <v>39</v>
      </c>
      <c r="B33" s="64">
        <v>0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55">
        <v>0</v>
      </c>
      <c r="K33" s="55">
        <v>1</v>
      </c>
      <c r="L33" s="55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35">
        <v>0</v>
      </c>
      <c r="S33" s="6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60">
        <v>0</v>
      </c>
      <c r="AC33" s="6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13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12">
        <v>0</v>
      </c>
      <c r="AX33" s="13">
        <v>0</v>
      </c>
      <c r="AY33" s="4">
        <v>0</v>
      </c>
      <c r="AZ33" s="4">
        <v>0</v>
      </c>
      <c r="BA33" s="12">
        <v>0</v>
      </c>
      <c r="BB33" s="4">
        <v>0</v>
      </c>
      <c r="BC33" s="60">
        <v>0</v>
      </c>
    </row>
    <row r="34" spans="1:55" x14ac:dyDescent="0.25">
      <c r="A34" s="67" t="s">
        <v>40</v>
      </c>
      <c r="B34" s="64">
        <v>0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55">
        <v>0</v>
      </c>
      <c r="K34" s="55">
        <v>1</v>
      </c>
      <c r="L34" s="55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35">
        <v>0</v>
      </c>
      <c r="S34" s="64">
        <v>0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0</v>
      </c>
      <c r="AB34" s="60">
        <v>0</v>
      </c>
      <c r="AC34" s="6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13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12">
        <v>0</v>
      </c>
      <c r="AX34" s="13">
        <v>0</v>
      </c>
      <c r="AY34" s="4">
        <v>0</v>
      </c>
      <c r="AZ34" s="4">
        <v>0</v>
      </c>
      <c r="BA34" s="12">
        <v>0</v>
      </c>
      <c r="BB34" s="4">
        <v>0</v>
      </c>
      <c r="BC34" s="60">
        <v>0</v>
      </c>
    </row>
    <row r="35" spans="1:55" x14ac:dyDescent="0.25">
      <c r="A35" s="67" t="s">
        <v>41</v>
      </c>
      <c r="B35" s="64">
        <v>0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55">
        <v>1</v>
      </c>
      <c r="K35" s="55">
        <v>1</v>
      </c>
      <c r="L35" s="55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35">
        <v>1</v>
      </c>
      <c r="S35" s="6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60">
        <v>0</v>
      </c>
      <c r="AC35" s="6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13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12">
        <v>0</v>
      </c>
      <c r="AX35" s="13">
        <v>0</v>
      </c>
      <c r="AY35" s="4">
        <v>0</v>
      </c>
      <c r="AZ35" s="4">
        <v>0</v>
      </c>
      <c r="BA35" s="12">
        <v>0</v>
      </c>
      <c r="BB35" s="4">
        <v>0</v>
      </c>
      <c r="BC35" s="60">
        <v>0</v>
      </c>
    </row>
    <row r="36" spans="1:55" x14ac:dyDescent="0.25">
      <c r="A36" s="67" t="s">
        <v>42</v>
      </c>
      <c r="B36" s="6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60">
        <v>0</v>
      </c>
      <c r="S36" s="6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60">
        <v>0</v>
      </c>
      <c r="AC36" s="6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13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12">
        <v>0</v>
      </c>
      <c r="AX36" s="13">
        <v>0</v>
      </c>
      <c r="AY36" s="4">
        <v>0</v>
      </c>
      <c r="AZ36" s="4">
        <v>0</v>
      </c>
      <c r="BA36" s="12">
        <v>0</v>
      </c>
      <c r="BB36" s="4">
        <v>0</v>
      </c>
      <c r="BC36" s="60">
        <v>0</v>
      </c>
    </row>
    <row r="37" spans="1:55" x14ac:dyDescent="0.25">
      <c r="A37" s="67" t="s">
        <v>43</v>
      </c>
      <c r="B37" s="6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60">
        <v>0</v>
      </c>
      <c r="S37" s="6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60">
        <v>0</v>
      </c>
      <c r="AC37" s="6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13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12">
        <v>0</v>
      </c>
      <c r="AX37" s="13">
        <v>0</v>
      </c>
      <c r="AY37" s="4">
        <v>0</v>
      </c>
      <c r="AZ37" s="4">
        <v>0</v>
      </c>
      <c r="BA37" s="12">
        <v>0</v>
      </c>
      <c r="BB37" s="4">
        <v>0</v>
      </c>
      <c r="BC37" s="60">
        <v>0</v>
      </c>
    </row>
    <row r="38" spans="1:55" x14ac:dyDescent="0.25">
      <c r="A38" s="67" t="s">
        <v>44</v>
      </c>
      <c r="B38" s="6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60">
        <v>0</v>
      </c>
      <c r="S38" s="6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60">
        <v>0</v>
      </c>
      <c r="AC38" s="6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13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12">
        <v>0</v>
      </c>
      <c r="AX38" s="13">
        <v>0</v>
      </c>
      <c r="AY38" s="4">
        <v>0</v>
      </c>
      <c r="AZ38" s="4">
        <v>0</v>
      </c>
      <c r="BA38" s="12">
        <v>0</v>
      </c>
      <c r="BB38" s="4">
        <v>0</v>
      </c>
      <c r="BC38" s="60">
        <v>0</v>
      </c>
    </row>
    <row r="39" spans="1:55" x14ac:dyDescent="0.25">
      <c r="A39" s="67" t="s">
        <v>45</v>
      </c>
      <c r="B39" s="6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60">
        <v>0</v>
      </c>
      <c r="S39" s="6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60">
        <v>0</v>
      </c>
      <c r="AC39" s="6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13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12">
        <v>0</v>
      </c>
      <c r="AX39" s="13">
        <v>0</v>
      </c>
      <c r="AY39" s="4">
        <v>0</v>
      </c>
      <c r="AZ39" s="4">
        <v>0</v>
      </c>
      <c r="BA39" s="12">
        <v>0</v>
      </c>
      <c r="BB39" s="4">
        <v>0</v>
      </c>
      <c r="BC39" s="60">
        <v>0</v>
      </c>
    </row>
    <row r="40" spans="1:55" x14ac:dyDescent="0.25">
      <c r="A40" s="67" t="s">
        <v>46</v>
      </c>
      <c r="B40" s="6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60">
        <v>0</v>
      </c>
      <c r="S40" s="6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60">
        <v>0</v>
      </c>
      <c r="AC40" s="6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13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12">
        <v>0</v>
      </c>
      <c r="AX40" s="13">
        <v>0</v>
      </c>
      <c r="AY40" s="4">
        <v>0</v>
      </c>
      <c r="AZ40" s="4">
        <v>0</v>
      </c>
      <c r="BA40" s="12">
        <v>0</v>
      </c>
      <c r="BB40" s="4">
        <v>0</v>
      </c>
      <c r="BC40" s="60">
        <v>0</v>
      </c>
    </row>
    <row r="41" spans="1:55" x14ac:dyDescent="0.25">
      <c r="A41" s="67" t="s">
        <v>108</v>
      </c>
      <c r="B41" s="6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60">
        <v>0</v>
      </c>
      <c r="S41" s="6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60">
        <v>0</v>
      </c>
      <c r="AC41" s="6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13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12">
        <v>0</v>
      </c>
      <c r="AX41" s="13">
        <v>0</v>
      </c>
      <c r="AY41" s="4">
        <v>0</v>
      </c>
      <c r="AZ41" s="4">
        <v>0</v>
      </c>
      <c r="BA41" s="12">
        <v>0</v>
      </c>
      <c r="BB41" s="4">
        <v>0</v>
      </c>
      <c r="BC41" s="60">
        <v>0</v>
      </c>
    </row>
    <row r="42" spans="1:55" x14ac:dyDescent="0.25">
      <c r="A42" s="67" t="s">
        <v>109</v>
      </c>
      <c r="B42" s="6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60">
        <v>0</v>
      </c>
      <c r="S42" s="6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60">
        <v>0</v>
      </c>
      <c r="AC42" s="6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13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12">
        <v>0</v>
      </c>
      <c r="AX42" s="13">
        <v>0</v>
      </c>
      <c r="AY42" s="4">
        <v>0</v>
      </c>
      <c r="AZ42" s="4">
        <v>0</v>
      </c>
      <c r="BA42" s="12">
        <v>0</v>
      </c>
      <c r="BB42" s="4">
        <v>0</v>
      </c>
      <c r="BC42" s="60">
        <v>0</v>
      </c>
    </row>
    <row r="43" spans="1:55" ht="15.75" thickBot="1" x14ac:dyDescent="0.3">
      <c r="A43" s="67" t="s">
        <v>110</v>
      </c>
      <c r="B43" s="65">
        <v>0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1">
        <v>0</v>
      </c>
      <c r="S43" s="65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1">
        <v>0</v>
      </c>
      <c r="AC43" s="65">
        <v>0</v>
      </c>
      <c r="AD43" s="66">
        <v>0</v>
      </c>
      <c r="AE43" s="66">
        <v>0</v>
      </c>
      <c r="AF43" s="66">
        <v>0</v>
      </c>
      <c r="AG43" s="66">
        <v>0</v>
      </c>
      <c r="AH43" s="66">
        <v>0</v>
      </c>
      <c r="AI43" s="66">
        <v>0</v>
      </c>
      <c r="AJ43" s="66">
        <v>0</v>
      </c>
      <c r="AK43" s="66">
        <v>0</v>
      </c>
      <c r="AL43" s="66">
        <v>0</v>
      </c>
      <c r="AM43" s="71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6">
        <v>0</v>
      </c>
      <c r="AU43" s="66">
        <v>0</v>
      </c>
      <c r="AV43" s="66">
        <v>0</v>
      </c>
      <c r="AW43" s="72">
        <v>0</v>
      </c>
      <c r="AX43" s="71">
        <v>0</v>
      </c>
      <c r="AY43" s="66">
        <v>0</v>
      </c>
      <c r="AZ43" s="66">
        <v>0</v>
      </c>
      <c r="BA43" s="72">
        <v>0</v>
      </c>
      <c r="BB43" s="66">
        <v>0</v>
      </c>
      <c r="BC43" s="61">
        <v>0</v>
      </c>
    </row>
    <row r="46" spans="1:55" ht="15.75" thickBot="1" x14ac:dyDescent="0.3">
      <c r="A46" s="68" t="s">
        <v>249</v>
      </c>
      <c r="B46" s="56" t="s">
        <v>0</v>
      </c>
      <c r="C46" s="56" t="s">
        <v>1</v>
      </c>
      <c r="D46" s="56" t="s">
        <v>2</v>
      </c>
      <c r="E46" s="56" t="s">
        <v>3</v>
      </c>
      <c r="F46" s="56" t="s">
        <v>4</v>
      </c>
      <c r="G46" s="56" t="s">
        <v>5</v>
      </c>
      <c r="H46" s="56" t="s">
        <v>6</v>
      </c>
      <c r="I46" s="56" t="s">
        <v>7</v>
      </c>
      <c r="J46" s="56" t="s">
        <v>8</v>
      </c>
      <c r="K46" s="56" t="s">
        <v>9</v>
      </c>
      <c r="L46" s="56" t="s">
        <v>10</v>
      </c>
      <c r="M46" s="56" t="s">
        <v>11</v>
      </c>
      <c r="N46" s="56" t="s">
        <v>12</v>
      </c>
      <c r="O46" s="56" t="s">
        <v>13</v>
      </c>
      <c r="P46" s="56" t="s">
        <v>14</v>
      </c>
      <c r="Q46" s="56" t="s">
        <v>15</v>
      </c>
      <c r="R46" s="56" t="s">
        <v>16</v>
      </c>
      <c r="S46" s="56" t="s">
        <v>17</v>
      </c>
      <c r="T46" s="56" t="s">
        <v>18</v>
      </c>
      <c r="U46" s="56" t="s">
        <v>19</v>
      </c>
      <c r="V46" s="56" t="s">
        <v>20</v>
      </c>
      <c r="W46" s="56" t="s">
        <v>21</v>
      </c>
      <c r="X46" s="56" t="s">
        <v>22</v>
      </c>
      <c r="Y46" s="56" t="s">
        <v>107</v>
      </c>
      <c r="Z46" s="56" t="s">
        <v>24</v>
      </c>
      <c r="AA46" s="56" t="s">
        <v>25</v>
      </c>
      <c r="AB46" s="56" t="s">
        <v>26</v>
      </c>
      <c r="AC46" s="56" t="s">
        <v>27</v>
      </c>
      <c r="AD46" s="56" t="s">
        <v>28</v>
      </c>
      <c r="AE46" s="56" t="s">
        <v>29</v>
      </c>
      <c r="AF46" s="56" t="s">
        <v>30</v>
      </c>
      <c r="AG46" s="56" t="s">
        <v>31</v>
      </c>
      <c r="AH46" s="56" t="s">
        <v>32</v>
      </c>
      <c r="AI46" s="56" t="s">
        <v>33</v>
      </c>
      <c r="AJ46" s="56" t="s">
        <v>34</v>
      </c>
      <c r="AK46" s="56" t="s">
        <v>35</v>
      </c>
      <c r="AL46" s="56" t="s">
        <v>36</v>
      </c>
      <c r="AM46" s="56" t="s">
        <v>37</v>
      </c>
      <c r="AN46" s="56" t="s">
        <v>38</v>
      </c>
      <c r="AO46" s="56" t="s">
        <v>39</v>
      </c>
      <c r="AP46" s="56" t="s">
        <v>40</v>
      </c>
      <c r="AQ46" s="56" t="s">
        <v>41</v>
      </c>
      <c r="AR46" s="56" t="s">
        <v>42</v>
      </c>
      <c r="AS46" s="56" t="s">
        <v>43</v>
      </c>
      <c r="AT46" s="56" t="s">
        <v>44</v>
      </c>
      <c r="AU46" s="56" t="s">
        <v>45</v>
      </c>
      <c r="AV46" s="56" t="s">
        <v>46</v>
      </c>
      <c r="AW46" s="56" t="s">
        <v>47</v>
      </c>
      <c r="AX46" s="56" t="s">
        <v>48</v>
      </c>
      <c r="AY46" s="56" t="s">
        <v>49</v>
      </c>
      <c r="AZ46" s="56" t="s">
        <v>50</v>
      </c>
      <c r="BA46" s="56" t="s">
        <v>27</v>
      </c>
      <c r="BB46" s="56" t="s">
        <v>28</v>
      </c>
      <c r="BC46" s="56" t="s">
        <v>29</v>
      </c>
    </row>
    <row r="47" spans="1:55" x14ac:dyDescent="0.25">
      <c r="A47" s="67" t="s">
        <v>38</v>
      </c>
      <c r="B47" s="62">
        <v>0</v>
      </c>
      <c r="C47" s="63">
        <v>0</v>
      </c>
      <c r="D47" s="63">
        <v>1</v>
      </c>
      <c r="E47" s="63">
        <v>1</v>
      </c>
      <c r="F47" s="63">
        <v>1</v>
      </c>
      <c r="G47" s="63">
        <v>1</v>
      </c>
      <c r="H47" s="63">
        <v>1</v>
      </c>
      <c r="I47" s="63">
        <v>1</v>
      </c>
      <c r="J47" s="63">
        <v>1</v>
      </c>
      <c r="K47" s="63">
        <v>1</v>
      </c>
      <c r="L47" s="63">
        <v>1</v>
      </c>
      <c r="M47" s="63">
        <v>0</v>
      </c>
      <c r="N47" s="63">
        <v>0</v>
      </c>
      <c r="O47" s="63">
        <v>0</v>
      </c>
      <c r="P47" s="63">
        <v>1</v>
      </c>
      <c r="Q47" s="63">
        <v>0</v>
      </c>
      <c r="R47" s="69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70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  <c r="AI47" s="63">
        <v>0</v>
      </c>
      <c r="AJ47" s="63">
        <v>0</v>
      </c>
      <c r="AK47" s="63">
        <v>0</v>
      </c>
      <c r="AL47" s="63">
        <v>0</v>
      </c>
      <c r="AM47" s="69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70">
        <v>0</v>
      </c>
      <c r="AX47" s="69">
        <v>0</v>
      </c>
      <c r="AY47" s="63">
        <v>0</v>
      </c>
      <c r="AZ47" s="63">
        <v>0</v>
      </c>
      <c r="BA47" s="70">
        <v>0</v>
      </c>
      <c r="BB47" s="63">
        <v>0</v>
      </c>
      <c r="BC47" s="59">
        <v>0</v>
      </c>
    </row>
    <row r="48" spans="1:55" x14ac:dyDescent="0.25">
      <c r="A48" s="67" t="s">
        <v>39</v>
      </c>
      <c r="B48" s="64">
        <v>0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13">
        <v>0</v>
      </c>
      <c r="S48" s="4">
        <v>0</v>
      </c>
      <c r="T48" s="4">
        <v>0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12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13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12">
        <v>0</v>
      </c>
      <c r="AX48" s="13">
        <v>0</v>
      </c>
      <c r="AY48" s="4">
        <v>0</v>
      </c>
      <c r="AZ48" s="4">
        <v>0</v>
      </c>
      <c r="BA48" s="12">
        <v>0</v>
      </c>
      <c r="BB48" s="4">
        <v>0</v>
      </c>
      <c r="BC48" s="60">
        <v>0</v>
      </c>
    </row>
    <row r="49" spans="1:55" x14ac:dyDescent="0.25">
      <c r="A49" s="67" t="s">
        <v>40</v>
      </c>
      <c r="B49" s="6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13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12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1</v>
      </c>
      <c r="AM49" s="13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12">
        <v>0</v>
      </c>
      <c r="AX49" s="13">
        <v>1</v>
      </c>
      <c r="AY49" s="4">
        <v>0</v>
      </c>
      <c r="AZ49" s="4">
        <v>0</v>
      </c>
      <c r="BA49" s="12">
        <v>0</v>
      </c>
      <c r="BB49" s="4">
        <v>0</v>
      </c>
      <c r="BC49" s="60">
        <v>0</v>
      </c>
    </row>
    <row r="50" spans="1:55" x14ac:dyDescent="0.25">
      <c r="A50" s="67" t="s">
        <v>41</v>
      </c>
      <c r="B50" s="6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13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12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13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12">
        <v>0</v>
      </c>
      <c r="AX50" s="13">
        <v>0</v>
      </c>
      <c r="AY50" s="4">
        <v>0</v>
      </c>
      <c r="AZ50" s="4">
        <v>0</v>
      </c>
      <c r="BA50" s="12">
        <v>0</v>
      </c>
      <c r="BB50" s="4">
        <v>0</v>
      </c>
      <c r="BC50" s="60">
        <v>0</v>
      </c>
    </row>
    <row r="51" spans="1:55" x14ac:dyDescent="0.25">
      <c r="A51" s="67" t="s">
        <v>42</v>
      </c>
      <c r="B51" s="6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13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12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13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12">
        <v>0</v>
      </c>
      <c r="AX51" s="13">
        <v>0</v>
      </c>
      <c r="AY51" s="4">
        <v>0</v>
      </c>
      <c r="AZ51" s="4">
        <v>0</v>
      </c>
      <c r="BA51" s="12">
        <v>0</v>
      </c>
      <c r="BB51" s="4">
        <v>0</v>
      </c>
      <c r="BC51" s="60">
        <v>0</v>
      </c>
    </row>
    <row r="52" spans="1:55" x14ac:dyDescent="0.25">
      <c r="A52" s="67" t="s">
        <v>43</v>
      </c>
      <c r="B52" s="6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13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12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13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12">
        <v>0</v>
      </c>
      <c r="AX52" s="13">
        <v>0</v>
      </c>
      <c r="AY52" s="4">
        <v>0</v>
      </c>
      <c r="AZ52" s="4">
        <v>0</v>
      </c>
      <c r="BA52" s="12">
        <v>0</v>
      </c>
      <c r="BB52" s="4">
        <v>0</v>
      </c>
      <c r="BC52" s="60">
        <v>0</v>
      </c>
    </row>
    <row r="53" spans="1:55" x14ac:dyDescent="0.25">
      <c r="A53" s="67" t="s">
        <v>44</v>
      </c>
      <c r="B53" s="6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13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12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13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12">
        <v>0</v>
      </c>
      <c r="AX53" s="13">
        <v>0</v>
      </c>
      <c r="AY53" s="4">
        <v>0</v>
      </c>
      <c r="AZ53" s="4">
        <v>0</v>
      </c>
      <c r="BA53" s="12">
        <v>0</v>
      </c>
      <c r="BB53" s="4">
        <v>0</v>
      </c>
      <c r="BC53" s="60">
        <v>0</v>
      </c>
    </row>
    <row r="54" spans="1:55" x14ac:dyDescent="0.25">
      <c r="A54" s="67" t="s">
        <v>45</v>
      </c>
      <c r="B54" s="6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13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12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13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12">
        <v>0</v>
      </c>
      <c r="AX54" s="13">
        <v>0</v>
      </c>
      <c r="AY54" s="4">
        <v>0</v>
      </c>
      <c r="AZ54" s="4">
        <v>0</v>
      </c>
      <c r="BA54" s="12">
        <v>0</v>
      </c>
      <c r="BB54" s="4">
        <v>0</v>
      </c>
      <c r="BC54" s="60">
        <v>0</v>
      </c>
    </row>
    <row r="55" spans="1:55" x14ac:dyDescent="0.25">
      <c r="A55" s="67" t="s">
        <v>46</v>
      </c>
      <c r="B55" s="6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13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12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13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12">
        <v>0</v>
      </c>
      <c r="AX55" s="13">
        <v>0</v>
      </c>
      <c r="AY55" s="4">
        <v>0</v>
      </c>
      <c r="AZ55" s="4">
        <v>0</v>
      </c>
      <c r="BA55" s="12">
        <v>0</v>
      </c>
      <c r="BB55" s="4">
        <v>0</v>
      </c>
      <c r="BC55" s="60">
        <v>0</v>
      </c>
    </row>
    <row r="56" spans="1:55" x14ac:dyDescent="0.25">
      <c r="A56" s="67" t="s">
        <v>108</v>
      </c>
      <c r="B56" s="6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13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12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13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12">
        <v>0</v>
      </c>
      <c r="AX56" s="13">
        <v>0</v>
      </c>
      <c r="AY56" s="4">
        <v>0</v>
      </c>
      <c r="AZ56" s="4">
        <v>0</v>
      </c>
      <c r="BA56" s="12">
        <v>0</v>
      </c>
      <c r="BB56" s="4">
        <v>0</v>
      </c>
      <c r="BC56" s="60">
        <v>0</v>
      </c>
    </row>
    <row r="57" spans="1:55" x14ac:dyDescent="0.25">
      <c r="A57" s="67" t="s">
        <v>109</v>
      </c>
      <c r="B57" s="6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13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12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13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12">
        <v>0</v>
      </c>
      <c r="AX57" s="13">
        <v>0</v>
      </c>
      <c r="AY57" s="4">
        <v>0</v>
      </c>
      <c r="AZ57" s="4">
        <v>0</v>
      </c>
      <c r="BA57" s="12">
        <v>0</v>
      </c>
      <c r="BB57" s="4">
        <v>0</v>
      </c>
      <c r="BC57" s="60">
        <v>0</v>
      </c>
    </row>
    <row r="58" spans="1:55" ht="15.75" thickBot="1" x14ac:dyDescent="0.3">
      <c r="A58" s="67" t="s">
        <v>110</v>
      </c>
      <c r="B58" s="65">
        <v>0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0</v>
      </c>
      <c r="P58" s="66">
        <v>0</v>
      </c>
      <c r="Q58" s="66">
        <v>0</v>
      </c>
      <c r="R58" s="71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72">
        <v>0</v>
      </c>
      <c r="AD58" s="66">
        <v>0</v>
      </c>
      <c r="AE58" s="66">
        <v>0</v>
      </c>
      <c r="AF58" s="66">
        <v>0</v>
      </c>
      <c r="AG58" s="66">
        <v>0</v>
      </c>
      <c r="AH58" s="66">
        <v>0</v>
      </c>
      <c r="AI58" s="66">
        <v>0</v>
      </c>
      <c r="AJ58" s="66">
        <v>0</v>
      </c>
      <c r="AK58" s="66">
        <v>0</v>
      </c>
      <c r="AL58" s="66">
        <v>0</v>
      </c>
      <c r="AM58" s="71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6">
        <v>0</v>
      </c>
      <c r="AU58" s="66">
        <v>0</v>
      </c>
      <c r="AV58" s="66">
        <v>0</v>
      </c>
      <c r="AW58" s="72">
        <v>0</v>
      </c>
      <c r="AX58" s="71">
        <v>0</v>
      </c>
      <c r="AY58" s="66">
        <v>0</v>
      </c>
      <c r="AZ58" s="66">
        <v>0</v>
      </c>
      <c r="BA58" s="72">
        <v>0</v>
      </c>
      <c r="BB58" s="66">
        <v>0</v>
      </c>
      <c r="BC58" s="61">
        <v>0</v>
      </c>
    </row>
    <row r="61" spans="1:55" ht="15.75" thickBot="1" x14ac:dyDescent="0.3">
      <c r="A61" s="68" t="s">
        <v>250</v>
      </c>
      <c r="B61" s="56" t="s">
        <v>0</v>
      </c>
      <c r="C61" s="56" t="s">
        <v>1</v>
      </c>
      <c r="D61" s="56" t="s">
        <v>2</v>
      </c>
      <c r="E61" s="56" t="s">
        <v>3</v>
      </c>
      <c r="F61" s="56" t="s">
        <v>4</v>
      </c>
      <c r="G61" s="56" t="s">
        <v>5</v>
      </c>
      <c r="H61" s="56" t="s">
        <v>6</v>
      </c>
      <c r="I61" s="56" t="s">
        <v>7</v>
      </c>
      <c r="J61" s="56" t="s">
        <v>8</v>
      </c>
      <c r="K61" s="56" t="s">
        <v>9</v>
      </c>
      <c r="L61" s="56" t="s">
        <v>10</v>
      </c>
      <c r="M61" s="56" t="s">
        <v>11</v>
      </c>
      <c r="N61" s="56" t="s">
        <v>12</v>
      </c>
      <c r="O61" s="56" t="s">
        <v>13</v>
      </c>
      <c r="P61" s="56" t="s">
        <v>14</v>
      </c>
      <c r="Q61" s="56" t="s">
        <v>15</v>
      </c>
      <c r="R61" s="56" t="s">
        <v>16</v>
      </c>
      <c r="S61" s="56" t="s">
        <v>17</v>
      </c>
      <c r="T61" s="56" t="s">
        <v>18</v>
      </c>
      <c r="U61" s="56" t="s">
        <v>19</v>
      </c>
      <c r="V61" s="56" t="s">
        <v>20</v>
      </c>
      <c r="W61" s="56" t="s">
        <v>21</v>
      </c>
      <c r="X61" s="56" t="s">
        <v>22</v>
      </c>
      <c r="Y61" s="56" t="s">
        <v>107</v>
      </c>
      <c r="Z61" s="56" t="s">
        <v>24</v>
      </c>
      <c r="AA61" s="56" t="s">
        <v>25</v>
      </c>
      <c r="AB61" s="56" t="s">
        <v>26</v>
      </c>
      <c r="AC61" s="56" t="s">
        <v>27</v>
      </c>
      <c r="AD61" s="56" t="s">
        <v>28</v>
      </c>
      <c r="AE61" s="56" t="s">
        <v>29</v>
      </c>
      <c r="AF61" s="56" t="s">
        <v>30</v>
      </c>
      <c r="AG61" s="56" t="s">
        <v>31</v>
      </c>
      <c r="AH61" s="56" t="s">
        <v>32</v>
      </c>
      <c r="AI61" s="56" t="s">
        <v>33</v>
      </c>
      <c r="AJ61" s="56" t="s">
        <v>34</v>
      </c>
      <c r="AK61" s="56" t="s">
        <v>35</v>
      </c>
      <c r="AL61" s="56" t="s">
        <v>36</v>
      </c>
      <c r="AM61" s="56" t="s">
        <v>37</v>
      </c>
      <c r="AN61" s="56" t="s">
        <v>38</v>
      </c>
      <c r="AO61" s="56" t="s">
        <v>39</v>
      </c>
      <c r="AP61" s="56" t="s">
        <v>40</v>
      </c>
      <c r="AQ61" s="56" t="s">
        <v>41</v>
      </c>
      <c r="AR61" s="56" t="s">
        <v>42</v>
      </c>
      <c r="AS61" s="56" t="s">
        <v>43</v>
      </c>
      <c r="AT61" s="56" t="s">
        <v>44</v>
      </c>
      <c r="AU61" s="56" t="s">
        <v>45</v>
      </c>
      <c r="AV61" s="56" t="s">
        <v>46</v>
      </c>
      <c r="AW61" s="56" t="s">
        <v>47</v>
      </c>
      <c r="AX61" s="56" t="s">
        <v>48</v>
      </c>
      <c r="AY61" s="56" t="s">
        <v>49</v>
      </c>
      <c r="AZ61" s="56" t="s">
        <v>50</v>
      </c>
      <c r="BA61" s="56" t="s">
        <v>27</v>
      </c>
      <c r="BB61" s="56" t="s">
        <v>28</v>
      </c>
      <c r="BC61" s="56" t="s">
        <v>29</v>
      </c>
    </row>
    <row r="62" spans="1:55" x14ac:dyDescent="0.25">
      <c r="A62" s="67" t="s">
        <v>38</v>
      </c>
      <c r="B62" s="62">
        <v>0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9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70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9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70">
        <v>0</v>
      </c>
      <c r="AX62" s="69">
        <v>0</v>
      </c>
      <c r="AY62" s="63">
        <v>0</v>
      </c>
      <c r="AZ62" s="63">
        <v>0</v>
      </c>
      <c r="BA62" s="70">
        <v>0</v>
      </c>
      <c r="BB62" s="63">
        <v>1</v>
      </c>
      <c r="BC62" s="59">
        <v>1</v>
      </c>
    </row>
    <row r="63" spans="1:55" x14ac:dyDescent="0.25">
      <c r="A63" s="67" t="s">
        <v>39</v>
      </c>
      <c r="B63" s="6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13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12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13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12">
        <v>0</v>
      </c>
      <c r="AX63" s="13">
        <v>0</v>
      </c>
      <c r="AY63" s="4">
        <v>0</v>
      </c>
      <c r="AZ63" s="4">
        <v>0</v>
      </c>
      <c r="BA63" s="12">
        <v>0</v>
      </c>
      <c r="BB63" s="4">
        <v>1</v>
      </c>
      <c r="BC63" s="60">
        <v>1</v>
      </c>
    </row>
    <row r="64" spans="1:55" x14ac:dyDescent="0.25">
      <c r="A64" s="67" t="s">
        <v>40</v>
      </c>
      <c r="B64" s="6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13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12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13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12">
        <v>0</v>
      </c>
      <c r="AX64" s="13">
        <v>0</v>
      </c>
      <c r="AY64" s="4">
        <v>0</v>
      </c>
      <c r="AZ64" s="4">
        <v>0</v>
      </c>
      <c r="BA64" s="12">
        <v>1</v>
      </c>
      <c r="BB64" s="4">
        <v>0</v>
      </c>
      <c r="BC64" s="60">
        <v>0</v>
      </c>
    </row>
    <row r="65" spans="1:55" x14ac:dyDescent="0.25">
      <c r="A65" s="67" t="s">
        <v>41</v>
      </c>
      <c r="B65" s="6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13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12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13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12">
        <v>0</v>
      </c>
      <c r="AX65" s="13">
        <v>0</v>
      </c>
      <c r="AY65" s="4">
        <v>0</v>
      </c>
      <c r="AZ65" s="4">
        <v>0</v>
      </c>
      <c r="BA65" s="12">
        <v>0</v>
      </c>
      <c r="BB65" s="4">
        <v>0</v>
      </c>
      <c r="BC65" s="60">
        <v>0</v>
      </c>
    </row>
    <row r="66" spans="1:55" x14ac:dyDescent="0.25">
      <c r="A66" s="67" t="s">
        <v>42</v>
      </c>
      <c r="B66" s="6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13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12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13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12">
        <v>0</v>
      </c>
      <c r="AX66" s="13">
        <v>0</v>
      </c>
      <c r="AY66" s="4">
        <v>0</v>
      </c>
      <c r="AZ66" s="4">
        <v>0</v>
      </c>
      <c r="BA66" s="12">
        <v>0</v>
      </c>
      <c r="BB66" s="4">
        <v>0</v>
      </c>
      <c r="BC66" s="60">
        <v>0</v>
      </c>
    </row>
    <row r="67" spans="1:55" x14ac:dyDescent="0.25">
      <c r="A67" s="67" t="s">
        <v>43</v>
      </c>
      <c r="B67" s="6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13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12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13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12">
        <v>0</v>
      </c>
      <c r="AX67" s="13">
        <v>0</v>
      </c>
      <c r="AY67" s="4">
        <v>0</v>
      </c>
      <c r="AZ67" s="4">
        <v>0</v>
      </c>
      <c r="BA67" s="12">
        <v>0</v>
      </c>
      <c r="BB67" s="4">
        <v>0</v>
      </c>
      <c r="BC67" s="60">
        <v>0</v>
      </c>
    </row>
    <row r="68" spans="1:55" x14ac:dyDescent="0.25">
      <c r="A68" s="67" t="s">
        <v>44</v>
      </c>
      <c r="B68" s="6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13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12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13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12">
        <v>0</v>
      </c>
      <c r="AX68" s="13">
        <v>0</v>
      </c>
      <c r="AY68" s="4">
        <v>0</v>
      </c>
      <c r="AZ68" s="4">
        <v>0</v>
      </c>
      <c r="BA68" s="12">
        <v>0</v>
      </c>
      <c r="BB68" s="4">
        <v>0</v>
      </c>
      <c r="BC68" s="60">
        <v>0</v>
      </c>
    </row>
    <row r="69" spans="1:55" x14ac:dyDescent="0.25">
      <c r="A69" s="67" t="s">
        <v>45</v>
      </c>
      <c r="B69" s="6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13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12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13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12">
        <v>0</v>
      </c>
      <c r="AX69" s="13">
        <v>0</v>
      </c>
      <c r="AY69" s="4">
        <v>0</v>
      </c>
      <c r="AZ69" s="4">
        <v>0</v>
      </c>
      <c r="BA69" s="12">
        <v>0</v>
      </c>
      <c r="BB69" s="4">
        <v>0</v>
      </c>
      <c r="BC69" s="60">
        <v>0</v>
      </c>
    </row>
    <row r="70" spans="1:55" x14ac:dyDescent="0.25">
      <c r="A70" s="67" t="s">
        <v>46</v>
      </c>
      <c r="B70" s="6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13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12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13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12">
        <v>0</v>
      </c>
      <c r="AX70" s="13">
        <v>0</v>
      </c>
      <c r="AY70" s="4">
        <v>0</v>
      </c>
      <c r="AZ70" s="4">
        <v>0</v>
      </c>
      <c r="BA70" s="12">
        <v>0</v>
      </c>
      <c r="BB70" s="4">
        <v>0</v>
      </c>
      <c r="BC70" s="60">
        <v>0</v>
      </c>
    </row>
    <row r="71" spans="1:55" x14ac:dyDescent="0.25">
      <c r="A71" s="67" t="s">
        <v>108</v>
      </c>
      <c r="B71" s="6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13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12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13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12">
        <v>0</v>
      </c>
      <c r="AX71" s="13">
        <v>0</v>
      </c>
      <c r="AY71" s="4">
        <v>0</v>
      </c>
      <c r="AZ71" s="4">
        <v>0</v>
      </c>
      <c r="BA71" s="12">
        <v>0</v>
      </c>
      <c r="BB71" s="4">
        <v>0</v>
      </c>
      <c r="BC71" s="60">
        <v>0</v>
      </c>
    </row>
    <row r="72" spans="1:55" x14ac:dyDescent="0.25">
      <c r="A72" s="67" t="s">
        <v>109</v>
      </c>
      <c r="B72" s="6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13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12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13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12">
        <v>0</v>
      </c>
      <c r="AX72" s="13">
        <v>0</v>
      </c>
      <c r="AY72" s="4">
        <v>0</v>
      </c>
      <c r="AZ72" s="4">
        <v>0</v>
      </c>
      <c r="BA72" s="12">
        <v>0</v>
      </c>
      <c r="BB72" s="4">
        <v>0</v>
      </c>
      <c r="BC72" s="60">
        <v>0</v>
      </c>
    </row>
    <row r="73" spans="1:55" ht="15.75" thickBot="1" x14ac:dyDescent="0.3">
      <c r="A73" s="67" t="s">
        <v>110</v>
      </c>
      <c r="B73" s="65">
        <v>0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71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72">
        <v>0</v>
      </c>
      <c r="AD73" s="66">
        <v>0</v>
      </c>
      <c r="AE73" s="66">
        <v>0</v>
      </c>
      <c r="AF73" s="66">
        <v>0</v>
      </c>
      <c r="AG73" s="66">
        <v>0</v>
      </c>
      <c r="AH73" s="66">
        <v>0</v>
      </c>
      <c r="AI73" s="66">
        <v>0</v>
      </c>
      <c r="AJ73" s="66">
        <v>0</v>
      </c>
      <c r="AK73" s="66">
        <v>0</v>
      </c>
      <c r="AL73" s="66">
        <v>0</v>
      </c>
      <c r="AM73" s="71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6">
        <v>0</v>
      </c>
      <c r="AU73" s="66">
        <v>0</v>
      </c>
      <c r="AV73" s="66">
        <v>0</v>
      </c>
      <c r="AW73" s="72">
        <v>0</v>
      </c>
      <c r="AX73" s="71">
        <v>0</v>
      </c>
      <c r="AY73" s="66">
        <v>0</v>
      </c>
      <c r="AZ73" s="66">
        <v>0</v>
      </c>
      <c r="BA73" s="72">
        <v>0</v>
      </c>
      <c r="BB73" s="66">
        <v>0</v>
      </c>
      <c r="BC73" s="61">
        <v>0</v>
      </c>
    </row>
  </sheetData>
  <conditionalFormatting sqref="B2:O12">
    <cfRule type="cellIs" dxfId="30" priority="11" operator="equal">
      <formula>1</formula>
    </cfRule>
  </conditionalFormatting>
  <conditionalFormatting sqref="B17:R26">
    <cfRule type="cellIs" dxfId="29" priority="5" operator="equal">
      <formula>1</formula>
    </cfRule>
  </conditionalFormatting>
  <conditionalFormatting sqref="B27:BC28">
    <cfRule type="cellIs" dxfId="28" priority="15" operator="equal">
      <formula>1</formula>
    </cfRule>
  </conditionalFormatting>
  <conditionalFormatting sqref="B32:BC43">
    <cfRule type="cellIs" dxfId="27" priority="1" operator="equal">
      <formula>1</formula>
    </cfRule>
  </conditionalFormatting>
  <conditionalFormatting sqref="B47:BC58">
    <cfRule type="cellIs" dxfId="26" priority="13" operator="equal">
      <formula>1</formula>
    </cfRule>
  </conditionalFormatting>
  <conditionalFormatting sqref="B62:BC73">
    <cfRule type="cellIs" dxfId="25" priority="12" operator="equal">
      <formula>1</formula>
    </cfRule>
  </conditionalFormatting>
  <conditionalFormatting sqref="P2:P13">
    <cfRule type="cellIs" dxfId="24" priority="10" operator="equal">
      <formula>1</formula>
    </cfRule>
  </conditionalFormatting>
  <conditionalFormatting sqref="R2:R13">
    <cfRule type="cellIs" dxfId="23" priority="9" operator="equal">
      <formula>1</formula>
    </cfRule>
  </conditionalFormatting>
  <conditionalFormatting sqref="S2:X12 Z5 Z7">
    <cfRule type="cellIs" dxfId="22" priority="8" operator="equal">
      <formula>1</formula>
    </cfRule>
  </conditionalFormatting>
  <conditionalFormatting sqref="S17:X17 S18:Z25 S26:X26">
    <cfRule type="cellIs" dxfId="21" priority="4" operator="equal">
      <formula>1</formula>
    </cfRule>
  </conditionalFormatting>
  <conditionalFormatting sqref="AA2:BC13">
    <cfRule type="cellIs" dxfId="20" priority="7" operator="equal">
      <formula>1</formula>
    </cfRule>
  </conditionalFormatting>
  <conditionalFormatting sqref="AA17:BC26">
    <cfRule type="cellIs" dxfId="19" priority="3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AF46"/>
  <sheetViews>
    <sheetView zoomScale="70" zoomScaleNormal="70" workbookViewId="0">
      <selection activeCell="U29" sqref="U29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32" width="6.7109375" style="7" bestFit="1" customWidth="1"/>
  </cols>
  <sheetData>
    <row r="1" spans="1:32" ht="18.75" customHeight="1" x14ac:dyDescent="0.25">
      <c r="B1" s="19">
        <v>1</v>
      </c>
      <c r="C1" s="19">
        <v>2</v>
      </c>
      <c r="D1" s="19">
        <v>3</v>
      </c>
      <c r="E1" s="19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19">
        <v>12</v>
      </c>
      <c r="N1" s="19">
        <v>13</v>
      </c>
      <c r="O1" s="19">
        <v>14</v>
      </c>
      <c r="P1" s="19">
        <v>15</v>
      </c>
      <c r="Q1" s="19">
        <v>16</v>
      </c>
      <c r="R1" s="19">
        <v>17</v>
      </c>
      <c r="S1" s="19">
        <v>18</v>
      </c>
      <c r="T1" s="19">
        <v>19</v>
      </c>
      <c r="U1" s="19">
        <v>20</v>
      </c>
      <c r="V1" s="19">
        <v>21</v>
      </c>
      <c r="W1" s="19">
        <v>22</v>
      </c>
      <c r="X1" s="19">
        <v>23</v>
      </c>
      <c r="Y1" s="19">
        <v>24</v>
      </c>
      <c r="Z1" s="19">
        <v>25</v>
      </c>
      <c r="AA1" s="19">
        <v>26</v>
      </c>
      <c r="AB1" s="19">
        <v>27</v>
      </c>
      <c r="AC1" s="19">
        <v>28</v>
      </c>
      <c r="AD1" s="19">
        <v>29</v>
      </c>
      <c r="AE1" s="19">
        <v>30</v>
      </c>
      <c r="AF1" s="19">
        <v>31</v>
      </c>
    </row>
    <row r="2" spans="1:32" ht="18.75" customHeight="1" x14ac:dyDescent="0.25">
      <c r="A2" s="3" t="s">
        <v>111</v>
      </c>
      <c r="B2" s="4">
        <f>+IF(FORM!B2="AM Y PM",1,IF(FORM!B2="AM",1,0))</f>
        <v>0</v>
      </c>
      <c r="C2" s="4">
        <f>+IF(FORM!C2="AM Y PM",1,IF(FORM!C2="AM",1,0))</f>
        <v>0</v>
      </c>
      <c r="D2" s="4">
        <f>+IF(FORM!D2="AM Y PM",1,IF(FORM!D2="AM",1,0))</f>
        <v>0</v>
      </c>
      <c r="E2" s="4">
        <f>+IF(FORM!E2="AM Y PM",1,IF(FORM!E2="AM",1,0))</f>
        <v>0</v>
      </c>
      <c r="F2" s="4">
        <f>+IF(FORM!F2="AM Y PM",1,IF(FORM!F2="AM",1,0))</f>
        <v>1</v>
      </c>
      <c r="G2" s="4">
        <f>+IF(FORM!G2="AM Y PM",1,IF(FORM!G2="AM",1,0))</f>
        <v>1</v>
      </c>
      <c r="H2" s="4">
        <f>+IF(FORM!H2="AM Y PM",1,IF(FORM!H2="AM",1,0))</f>
        <v>1</v>
      </c>
      <c r="I2" s="4">
        <f>+IF(FORM!I2="AM Y PM",1,IF(FORM!I2="AM",1,0))</f>
        <v>1</v>
      </c>
      <c r="J2" s="4">
        <f>+IF(FORM!J2="AM Y PM",1,IF(FORM!J2="AM",1,0))</f>
        <v>1</v>
      </c>
      <c r="K2" s="4">
        <f>+IF(FORM!K2="AM Y PM",1,IF(FORM!K2="AM",1,0))</f>
        <v>0</v>
      </c>
      <c r="L2" s="4">
        <f>+IF(FORM!L2="AM Y PM",1,IF(FORM!L2="AM",1,0))</f>
        <v>0</v>
      </c>
      <c r="M2" s="4">
        <f>+IF(FORM!M2="AM Y PM",1,IF(FORM!M2="AM",1,0))</f>
        <v>0</v>
      </c>
      <c r="N2" s="4">
        <f>+IF(FORM!N2="AM Y PM",1,IF(FORM!N2="AM",1,0))</f>
        <v>1</v>
      </c>
      <c r="O2" s="4">
        <f>+IF(FORM!O2="AM Y PM",1,IF(FORM!O2="AM",1,0))</f>
        <v>1</v>
      </c>
      <c r="P2" s="4">
        <f>+IF(FORM!P2="AM Y PM",1,IF(FORM!P2="AM",1,0))</f>
        <v>1</v>
      </c>
      <c r="Q2" s="4">
        <f>+IF(FORM!Q2="AM Y PM",1,IF(FORM!Q2="AM",1,0))</f>
        <v>1</v>
      </c>
      <c r="R2" s="4">
        <f>+IF(FORM!R2="AM Y PM",1,IF(FORM!R2="AM",1,0))</f>
        <v>0</v>
      </c>
      <c r="S2" s="4">
        <f>+IF(FORM!S2="AM Y PM",1,IF(FORM!S2="AM",1,0))</f>
        <v>0</v>
      </c>
      <c r="T2" s="4">
        <f>+IF(FORM!T2="AM Y PM",1,IF(FORM!T2="AM",1,0))</f>
        <v>1</v>
      </c>
      <c r="U2" s="4">
        <f>+IF(FORM!U2="AM Y PM",1,IF(FORM!U2="AM",1,0))</f>
        <v>1</v>
      </c>
      <c r="V2" s="4">
        <f>+IF(FORM!V2="AM Y PM",1,IF(FORM!V2="AM",1,0))</f>
        <v>1</v>
      </c>
      <c r="W2" s="4">
        <f>+IF(FORM!W2="AM Y PM",1,IF(FORM!W2="AM",1,0))</f>
        <v>1</v>
      </c>
      <c r="X2" s="4">
        <f>+IF(FORM!X2="AM Y PM",1,IF(FORM!X2="AM",1,0))</f>
        <v>1</v>
      </c>
      <c r="Y2" s="4">
        <f>+IF(FORM!Y2="AM Y PM",1,IF(FORM!Y2="AM",1,0))</f>
        <v>0</v>
      </c>
      <c r="Z2" s="4">
        <f>+IF(FORM!Z2="AM Y PM",1,IF(FORM!Z2="AM",1,0))</f>
        <v>0</v>
      </c>
      <c r="AA2" s="4">
        <f>+IF(FORM!AA2="AM Y PM",1,IF(FORM!AA2="AM",1,0))</f>
        <v>0</v>
      </c>
      <c r="AB2" s="4">
        <f>+IF(FORM!AB2="AM Y PM",1,IF(FORM!AB2="AM",1,0))</f>
        <v>1</v>
      </c>
      <c r="AC2" s="4">
        <f>+IF(FORM!AC2="AM Y PM",1,IF(FORM!AC2="AM",1,0))</f>
        <v>1</v>
      </c>
      <c r="AD2" s="4">
        <f>+IF(FORM!AD2="AM Y PM",1,IF(FORM!AD2="AM",1,0))</f>
        <v>1</v>
      </c>
      <c r="AE2" s="4">
        <f>+IF(FORM!AE2="AM Y PM",1,IF(FORM!AE2="AM",1,0))</f>
        <v>1</v>
      </c>
      <c r="AF2" s="4">
        <f>+IF(FORM!AF2="AM Y PM",1,IF(FORM!AF2="AM",1,0))</f>
        <v>0</v>
      </c>
    </row>
    <row r="3" spans="1:32" ht="18.75" customHeight="1" x14ac:dyDescent="0.25">
      <c r="A3" s="5" t="s">
        <v>54</v>
      </c>
      <c r="B3" s="4">
        <f>+IF(FORM!B3="AM Y PM",1,IF(FORM!B3="AM",1,0))</f>
        <v>0</v>
      </c>
      <c r="C3" s="4">
        <f>+IF(FORM!C3="AM Y PM",1,IF(FORM!C3="AM",1,0))</f>
        <v>0</v>
      </c>
      <c r="D3" s="4">
        <f>+IF(FORM!D3="AM Y PM",1,IF(FORM!D3="AM",1,0))</f>
        <v>0</v>
      </c>
      <c r="E3" s="4">
        <f>+IF(FORM!E3="AM Y PM",1,IF(FORM!E3="AM",1,0))</f>
        <v>0</v>
      </c>
      <c r="F3" s="4">
        <f>+IF(FORM!F3="AM Y PM",1,IF(FORM!F3="AM",1,0))</f>
        <v>1</v>
      </c>
      <c r="G3" s="4">
        <f>+IF(FORM!G3="AM Y PM",1,IF(FORM!G3="AM",1,0))</f>
        <v>1</v>
      </c>
      <c r="H3" s="4">
        <f>+IF(FORM!H3="AM Y PM",1,IF(FORM!H3="AM",1,0))</f>
        <v>1</v>
      </c>
      <c r="I3" s="4">
        <f>+IF(FORM!I3="AM Y PM",1,IF(FORM!I3="AM",1,0))</f>
        <v>1</v>
      </c>
      <c r="J3" s="4">
        <f>+IF(FORM!J3="AM Y PM",1,IF(FORM!J3="AM",1,0))</f>
        <v>1</v>
      </c>
      <c r="K3" s="4">
        <f>+IF(FORM!K3="AM Y PM",1,IF(FORM!K3="AM",1,0))</f>
        <v>0</v>
      </c>
      <c r="L3" s="4">
        <f>+IF(FORM!L3="AM Y PM",1,IF(FORM!L3="AM",1,0))</f>
        <v>0</v>
      </c>
      <c r="M3" s="4">
        <f>+IF(FORM!M3="AM Y PM",1,IF(FORM!M3="AM",1,0))</f>
        <v>0</v>
      </c>
      <c r="N3" s="4">
        <f>+IF(FORM!N3="AM Y PM",1,IF(FORM!N3="AM",1,0))</f>
        <v>1</v>
      </c>
      <c r="O3" s="4">
        <f>+IF(FORM!O3="AM Y PM",1,IF(FORM!O3="AM",1,0))</f>
        <v>1</v>
      </c>
      <c r="P3" s="4">
        <f>+IF(FORM!P3="AM Y PM",1,IF(FORM!P3="AM",1,0))</f>
        <v>1</v>
      </c>
      <c r="Q3" s="4">
        <f>+IF(FORM!Q3="AM Y PM",1,IF(FORM!Q3="AM",1,0))</f>
        <v>1</v>
      </c>
      <c r="R3" s="4">
        <f>+IF(FORM!R3="AM Y PM",1,IF(FORM!R3="AM",1,0))</f>
        <v>1</v>
      </c>
      <c r="S3" s="4">
        <f>+IF(FORM!S3="AM Y PM",1,IF(FORM!S3="AM",1,0))</f>
        <v>0</v>
      </c>
      <c r="T3" s="4">
        <f>+IF(FORM!T3="AM Y PM",1,IF(FORM!T3="AM",1,0))</f>
        <v>1</v>
      </c>
      <c r="U3" s="4">
        <f>+IF(FORM!U3="AM Y PM",1,IF(FORM!U3="AM",1,0))</f>
        <v>1</v>
      </c>
      <c r="V3" s="4">
        <f>+IF(FORM!V3="AM Y PM",1,IF(FORM!V3="AM",1,0))</f>
        <v>1</v>
      </c>
      <c r="W3" s="4">
        <f>+IF(FORM!W3="AM Y PM",1,IF(FORM!W3="AM",1,0))</f>
        <v>1</v>
      </c>
      <c r="X3" s="4">
        <f>+IF(FORM!X3="AM Y PM",1,IF(FORM!X3="AM",1,0))</f>
        <v>1</v>
      </c>
      <c r="Y3" s="4">
        <f>+IF(FORM!Y3="AM Y PM",1,IF(FORM!Y3="AM",1,0))</f>
        <v>1</v>
      </c>
      <c r="Z3" s="4">
        <f>+IF(FORM!Z3="AM Y PM",1,IF(FORM!Z3="AM",1,0))</f>
        <v>0</v>
      </c>
      <c r="AA3" s="4">
        <f>+IF(FORM!AA3="AM Y PM",1,IF(FORM!AA3="AM",1,0))</f>
        <v>1</v>
      </c>
      <c r="AB3" s="4">
        <f>+IF(FORM!AB3="AM Y PM",1,IF(FORM!AB3="AM",1,0))</f>
        <v>1</v>
      </c>
      <c r="AC3" s="4">
        <f>+IF(FORM!AC3="AM Y PM",1,IF(FORM!AC3="AM",1,0))</f>
        <v>1</v>
      </c>
      <c r="AD3" s="4">
        <f>+IF(FORM!AD3="AM Y PM",1,IF(FORM!AD3="AM",1,0))</f>
        <v>1</v>
      </c>
      <c r="AE3" s="4">
        <f>+IF(FORM!AE3="AM Y PM",1,IF(FORM!AE3="AM",1,0))</f>
        <v>1</v>
      </c>
      <c r="AF3" s="4">
        <f>+IF(FORM!AF3="AM Y PM",1,IF(FORM!AF3="AM",1,0))</f>
        <v>0</v>
      </c>
    </row>
    <row r="4" spans="1:32" ht="18.75" customHeight="1" x14ac:dyDescent="0.25">
      <c r="A4" s="5" t="s">
        <v>55</v>
      </c>
      <c r="B4" s="4">
        <f>+IF(FORM!B4="AM Y PM",1,IF(FORM!B4="AM",1,0))</f>
        <v>0</v>
      </c>
      <c r="C4" s="4">
        <f>+IF(FORM!C4="AM Y PM",1,IF(FORM!C4="AM",1,0))</f>
        <v>0</v>
      </c>
      <c r="D4" s="4">
        <f>+IF(FORM!D4="AM Y PM",1,IF(FORM!D4="AM",1,0))</f>
        <v>0</v>
      </c>
      <c r="E4" s="4">
        <f>+IF(FORM!E4="AM Y PM",1,IF(FORM!E4="AM",1,0))</f>
        <v>0</v>
      </c>
      <c r="F4" s="4">
        <f>+IF(FORM!F4="AM Y PM",1,IF(FORM!F4="AM",1,0))</f>
        <v>1</v>
      </c>
      <c r="G4" s="4">
        <f>+IF(FORM!G4="AM Y PM",1,IF(FORM!G4="AM",1,0))</f>
        <v>1</v>
      </c>
      <c r="H4" s="4">
        <f>+IF(FORM!H4="AM Y PM",1,IF(FORM!H4="AM",1,0))</f>
        <v>1</v>
      </c>
      <c r="I4" s="4">
        <f>+IF(FORM!I4="AM Y PM",1,IF(FORM!I4="AM",1,0))</f>
        <v>1</v>
      </c>
      <c r="J4" s="4">
        <f>+IF(FORM!J4="AM Y PM",1,IF(FORM!J4="AM",1,0))</f>
        <v>1</v>
      </c>
      <c r="K4" s="4">
        <f>+IF(FORM!K4="AM Y PM",1,IF(FORM!K4="AM",1,0))</f>
        <v>0</v>
      </c>
      <c r="L4" s="4">
        <f>+IF(FORM!L4="AM Y PM",1,IF(FORM!L4="AM",1,0))</f>
        <v>0</v>
      </c>
      <c r="M4" s="4">
        <f>+IF(FORM!M4="AM Y PM",1,IF(FORM!M4="AM",1,0))</f>
        <v>0</v>
      </c>
      <c r="N4" s="4">
        <f>+IF(FORM!N4="AM Y PM",1,IF(FORM!N4="AM",1,0))</f>
        <v>1</v>
      </c>
      <c r="O4" s="4">
        <f>+IF(FORM!O4="AM Y PM",1,IF(FORM!O4="AM",1,0))</f>
        <v>1</v>
      </c>
      <c r="P4" s="4">
        <f>+IF(FORM!P4="AM Y PM",1,IF(FORM!P4="AM",1,0))</f>
        <v>1</v>
      </c>
      <c r="Q4" s="4">
        <f>+IF(FORM!Q4="AM Y PM",1,IF(FORM!Q4="AM",1,0))</f>
        <v>1</v>
      </c>
      <c r="R4" s="4">
        <f>+IF(FORM!R4="AM Y PM",1,IF(FORM!R4="AM",1,0))</f>
        <v>0</v>
      </c>
      <c r="S4" s="4">
        <f>+IF(FORM!S4="AM Y PM",1,IF(FORM!S4="AM",1,0))</f>
        <v>0</v>
      </c>
      <c r="T4" s="4">
        <f>+IF(FORM!T4="AM Y PM",1,IF(FORM!T4="AM",1,0))</f>
        <v>1</v>
      </c>
      <c r="U4" s="4">
        <f>+IF(FORM!U4="AM Y PM",1,IF(FORM!U4="AM",1,0))</f>
        <v>1</v>
      </c>
      <c r="V4" s="4">
        <f>+IF(FORM!V4="AM Y PM",1,IF(FORM!V4="AM",1,0))</f>
        <v>1</v>
      </c>
      <c r="W4" s="4">
        <f>+IF(FORM!W4="AM Y PM",1,IF(FORM!W4="AM",1,0))</f>
        <v>1</v>
      </c>
      <c r="X4" s="4">
        <f>+IF(FORM!X4="AM Y PM",1,IF(FORM!X4="AM",1,0))</f>
        <v>1</v>
      </c>
      <c r="Y4" s="4">
        <f>+IF(FORM!Y4="AM Y PM",1,IF(FORM!Y4="AM",1,0))</f>
        <v>0</v>
      </c>
      <c r="Z4" s="4">
        <f>+IF(FORM!Z4="AM Y PM",1,IF(FORM!Z4="AM",1,0))</f>
        <v>0</v>
      </c>
      <c r="AA4" s="4">
        <f>+IF(FORM!AA4="AM Y PM",1,IF(FORM!AA4="AM",1,0))</f>
        <v>1</v>
      </c>
      <c r="AB4" s="4">
        <f>+IF(FORM!AB4="AM Y PM",1,IF(FORM!AB4="AM",1,0))</f>
        <v>1</v>
      </c>
      <c r="AC4" s="4">
        <f>+IF(FORM!AC4="AM Y PM",1,IF(FORM!AC4="AM",1,0))</f>
        <v>1</v>
      </c>
      <c r="AD4" s="4">
        <f>+IF(FORM!AD4="AM Y PM",1,IF(FORM!AD4="AM",1,0))</f>
        <v>1</v>
      </c>
      <c r="AE4" s="4">
        <f>+IF(FORM!AE4="AM Y PM",1,IF(FORM!AE4="AM",1,0))</f>
        <v>1</v>
      </c>
      <c r="AF4" s="4">
        <f>+IF(FORM!AF4="AM Y PM",1,IF(FORM!AF4="AM",1,0))</f>
        <v>0</v>
      </c>
    </row>
    <row r="5" spans="1:32" ht="18.75" customHeight="1" x14ac:dyDescent="0.25">
      <c r="A5" s="5" t="s">
        <v>56</v>
      </c>
      <c r="B5" s="4">
        <f>+IF(FORM!B5="AM Y PM",1,IF(FORM!B5="AM",1,0))</f>
        <v>0</v>
      </c>
      <c r="C5" s="4">
        <f>+IF(FORM!C5="AM Y PM",1,IF(FORM!C5="AM",1,0))</f>
        <v>0</v>
      </c>
      <c r="D5" s="4">
        <f>+IF(FORM!D5="AM Y PM",1,IF(FORM!D5="AM",1,0))</f>
        <v>0</v>
      </c>
      <c r="E5" s="4">
        <f>+IF(FORM!E5="AM Y PM",1,IF(FORM!E5="AM",1,0))</f>
        <v>0</v>
      </c>
      <c r="F5" s="4">
        <f>+IF(FORM!F5="AM Y PM",1,IF(FORM!F5="AM",1,0))</f>
        <v>0</v>
      </c>
      <c r="G5" s="4">
        <f>+IF(FORM!G5="AM Y PM",1,IF(FORM!G5="AM",1,0))</f>
        <v>1</v>
      </c>
      <c r="H5" s="4">
        <f>+IF(FORM!H5="AM Y PM",1,IF(FORM!H5="AM",1,0))</f>
        <v>1</v>
      </c>
      <c r="I5" s="4">
        <f>+IF(FORM!I5="AM Y PM",1,IF(FORM!I5="AM",1,0))</f>
        <v>1</v>
      </c>
      <c r="J5" s="4">
        <f>+IF(FORM!J5="AM Y PM",1,IF(FORM!J5="AM",1,0))</f>
        <v>1</v>
      </c>
      <c r="K5" s="4">
        <f>+IF(FORM!K5="AM Y PM",1,IF(FORM!K5="AM",1,0))</f>
        <v>0</v>
      </c>
      <c r="L5" s="4">
        <f>+IF(FORM!L5="AM Y PM",1,IF(FORM!L5="AM",1,0))</f>
        <v>0</v>
      </c>
      <c r="M5" s="4">
        <f>+IF(FORM!M5="AM Y PM",1,IF(FORM!M5="AM",1,0))</f>
        <v>0</v>
      </c>
      <c r="N5" s="4">
        <f>+IF(FORM!N5="AM Y PM",1,IF(FORM!N5="AM",1,0))</f>
        <v>1</v>
      </c>
      <c r="O5" s="4">
        <f>+IF(FORM!O5="AM Y PM",1,IF(FORM!O5="AM",1,0))</f>
        <v>1</v>
      </c>
      <c r="P5" s="4">
        <f>+IF(FORM!P5="AM Y PM",1,IF(FORM!P5="AM",1,0))</f>
        <v>1</v>
      </c>
      <c r="Q5" s="4">
        <f>+IF(FORM!Q5="AM Y PM",1,IF(FORM!Q5="AM",1,0))</f>
        <v>1</v>
      </c>
      <c r="R5" s="4">
        <f>+IF(FORM!R5="AM Y PM",1,IF(FORM!R5="AM",1,0))</f>
        <v>0</v>
      </c>
      <c r="S5" s="4">
        <f>+IF(FORM!S5="AM Y PM",1,IF(FORM!S5="AM",1,0))</f>
        <v>0</v>
      </c>
      <c r="T5" s="4">
        <f>+IF(FORM!T5="AM Y PM",1,IF(FORM!T5="AM",1,0))</f>
        <v>1</v>
      </c>
      <c r="U5" s="4">
        <f>+IF(FORM!U5="AM Y PM",1,IF(FORM!U5="AM",1,0))</f>
        <v>1</v>
      </c>
      <c r="V5" s="4">
        <f>+IF(FORM!V5="AM Y PM",1,IF(FORM!V5="AM",1,0))</f>
        <v>1</v>
      </c>
      <c r="W5" s="4">
        <f>+IF(FORM!W5="AM Y PM",1,IF(FORM!W5="AM",1,0))</f>
        <v>1</v>
      </c>
      <c r="X5" s="4">
        <f>+IF(FORM!X5="AM Y PM",1,IF(FORM!X5="AM",1,0))</f>
        <v>1</v>
      </c>
      <c r="Y5" s="4">
        <f>+IF(FORM!Y5="AM Y PM",1,IF(FORM!Y5="AM",1,0))</f>
        <v>0</v>
      </c>
      <c r="Z5" s="4">
        <f>+IF(FORM!Z5="AM Y PM",1,IF(FORM!Z5="AM",1,0))</f>
        <v>0</v>
      </c>
      <c r="AA5" s="4">
        <f>+IF(FORM!AA5="AM Y PM",1,IF(FORM!AA5="AM",1,0))</f>
        <v>1</v>
      </c>
      <c r="AB5" s="4">
        <f>+IF(FORM!AB5="AM Y PM",1,IF(FORM!AB5="AM",1,0))</f>
        <v>1</v>
      </c>
      <c r="AC5" s="4">
        <f>+IF(FORM!AC5="AM Y PM",1,IF(FORM!AC5="AM",1,0))</f>
        <v>1</v>
      </c>
      <c r="AD5" s="4">
        <f>+IF(FORM!AD5="AM Y PM",1,IF(FORM!AD5="AM",1,0))</f>
        <v>1</v>
      </c>
      <c r="AE5" s="4">
        <f>+IF(FORM!AE5="AM Y PM",1,IF(FORM!AE5="AM",1,0))</f>
        <v>1</v>
      </c>
      <c r="AF5" s="4">
        <f>+IF(FORM!AF5="AM Y PM",1,IF(FORM!AF5="AM",1,0))</f>
        <v>0</v>
      </c>
    </row>
    <row r="6" spans="1:32" ht="18.75" customHeight="1" x14ac:dyDescent="0.25">
      <c r="A6" s="5" t="s">
        <v>57</v>
      </c>
      <c r="B6" s="4">
        <f>+IF(FORM!B6="AM Y PM",1,IF(FORM!B6="AM",1,0))</f>
        <v>0</v>
      </c>
      <c r="C6" s="4">
        <f>+IF(FORM!C6="AM Y PM",1,IF(FORM!C6="AM",1,0))</f>
        <v>0</v>
      </c>
      <c r="D6" s="4">
        <f>+IF(FORM!D6="AM Y PM",1,IF(FORM!D6="AM",1,0))</f>
        <v>0</v>
      </c>
      <c r="E6" s="4">
        <f>+IF(FORM!E6="AM Y PM",1,IF(FORM!E6="AM",1,0))</f>
        <v>0</v>
      </c>
      <c r="F6" s="4">
        <f>+IF(FORM!F6="AM Y PM",1,IF(FORM!F6="AM",1,0))</f>
        <v>0</v>
      </c>
      <c r="G6" s="4">
        <f>+IF(FORM!G6="AM Y PM",1,IF(FORM!G6="AM",1,0))</f>
        <v>0</v>
      </c>
      <c r="H6" s="4">
        <f>+IF(FORM!H6="AM Y PM",1,IF(FORM!H6="AM",1,0))</f>
        <v>0</v>
      </c>
      <c r="I6" s="4">
        <f>+IF(FORM!I6="AM Y PM",1,IF(FORM!I6="AM",1,0))</f>
        <v>0</v>
      </c>
      <c r="J6" s="4">
        <f>+IF(FORM!J6="AM Y PM",1,IF(FORM!J6="AM",1,0))</f>
        <v>0</v>
      </c>
      <c r="K6" s="4">
        <f>+IF(FORM!K6="AM Y PM",1,IF(FORM!K6="AM",1,0))</f>
        <v>0</v>
      </c>
      <c r="L6" s="4">
        <f>+IF(FORM!L6="AM Y PM",1,IF(FORM!L6="AM",1,0))</f>
        <v>0</v>
      </c>
      <c r="M6" s="4">
        <f>+IF(FORM!M6="AM Y PM",1,IF(FORM!M6="AM",1,0))</f>
        <v>0</v>
      </c>
      <c r="N6" s="4">
        <f>+IF(FORM!N6="AM Y PM",1,IF(FORM!N6="AM",1,0))</f>
        <v>0</v>
      </c>
      <c r="O6" s="4">
        <f>+IF(FORM!O6="AM Y PM",1,IF(FORM!O6="AM",1,0))</f>
        <v>0</v>
      </c>
      <c r="P6" s="4">
        <f>+IF(FORM!P6="AM Y PM",1,IF(FORM!P6="AM",1,0))</f>
        <v>0</v>
      </c>
      <c r="Q6" s="4">
        <f>+IF(FORM!Q6="AM Y PM",1,IF(FORM!Q6="AM",1,0))</f>
        <v>0</v>
      </c>
      <c r="R6" s="4">
        <f>+IF(FORM!R6="AM Y PM",1,IF(FORM!R6="AM",1,0))</f>
        <v>0</v>
      </c>
      <c r="S6" s="4">
        <f>+IF(FORM!S6="AM Y PM",1,IF(FORM!S6="AM",1,0))</f>
        <v>0</v>
      </c>
      <c r="T6" s="4">
        <f>+IF(FORM!T6="AM Y PM",1,IF(FORM!T6="AM",1,0))</f>
        <v>0</v>
      </c>
      <c r="U6" s="4">
        <f>+IF(FORM!U6="AM Y PM",1,IF(FORM!U6="AM",1,0))</f>
        <v>0</v>
      </c>
      <c r="V6" s="4">
        <f>+IF(FORM!V6="AM Y PM",1,IF(FORM!V6="AM",1,0))</f>
        <v>0</v>
      </c>
      <c r="W6" s="4">
        <f>+IF(FORM!W6="AM Y PM",1,IF(FORM!W6="AM",1,0))</f>
        <v>0</v>
      </c>
      <c r="X6" s="4">
        <f>+IF(FORM!X6="AM Y PM",1,IF(FORM!X6="AM",1,0))</f>
        <v>0</v>
      </c>
      <c r="Y6" s="4">
        <f>+IF(FORM!Y6="AM Y PM",1,IF(FORM!Y6="AM",1,0))</f>
        <v>0</v>
      </c>
      <c r="Z6" s="4">
        <f>+IF(FORM!Z6="AM Y PM",1,IF(FORM!Z6="AM",1,0))</f>
        <v>0</v>
      </c>
      <c r="AA6" s="4">
        <f>+IF(FORM!AA6="AM Y PM",1,IF(FORM!AA6="AM",1,0))</f>
        <v>0</v>
      </c>
      <c r="AB6" s="4">
        <f>+IF(FORM!AB6="AM Y PM",1,IF(FORM!AB6="AM",1,0))</f>
        <v>0</v>
      </c>
      <c r="AC6" s="4">
        <f>+IF(FORM!AC6="AM Y PM",1,IF(FORM!AC6="AM",1,0))</f>
        <v>0</v>
      </c>
      <c r="AD6" s="4">
        <f>+IF(FORM!AD6="AM Y PM",1,IF(FORM!AD6="AM",1,0))</f>
        <v>0</v>
      </c>
      <c r="AE6" s="4">
        <f>+IF(FORM!AE6="AM Y PM",1,IF(FORM!AE6="AM",1,0))</f>
        <v>0</v>
      </c>
      <c r="AF6" s="4">
        <f>+IF(FORM!AF6="AM Y PM",1,IF(FORM!AF6="AM",1,0))</f>
        <v>0</v>
      </c>
    </row>
    <row r="7" spans="1:32" ht="18.75" customHeight="1" x14ac:dyDescent="0.25">
      <c r="A7" s="5" t="s">
        <v>58</v>
      </c>
      <c r="B7" s="4">
        <f>+IF(FORM!B7="AM Y PM",1,IF(FORM!B7="AM",1,0))</f>
        <v>0</v>
      </c>
      <c r="C7" s="4">
        <f>+IF(FORM!C7="AM Y PM",1,IF(FORM!C7="AM",1,0))</f>
        <v>0</v>
      </c>
      <c r="D7" s="4">
        <f>+IF(FORM!D7="AM Y PM",1,IF(FORM!D7="AM",1,0))</f>
        <v>0</v>
      </c>
      <c r="E7" s="4">
        <f>+IF(FORM!E7="AM Y PM",1,IF(FORM!E7="AM",1,0))</f>
        <v>0</v>
      </c>
      <c r="F7" s="4">
        <f>+IF(FORM!F7="AM Y PM",1,IF(FORM!F7="AM",1,0))</f>
        <v>0</v>
      </c>
      <c r="G7" s="4">
        <f>+IF(FORM!G7="AM Y PM",1,IF(FORM!G7="AM",1,0))</f>
        <v>1</v>
      </c>
      <c r="H7" s="4">
        <f>+IF(FORM!H7="AM Y PM",1,IF(FORM!H7="AM",1,0))</f>
        <v>1</v>
      </c>
      <c r="I7" s="4">
        <f>+IF(FORM!I7="AM Y PM",1,IF(FORM!I7="AM",1,0))</f>
        <v>1</v>
      </c>
      <c r="J7" s="4">
        <f>+IF(FORM!J7="AM Y PM",1,IF(FORM!J7="AM",1,0))</f>
        <v>1</v>
      </c>
      <c r="K7" s="4">
        <f>+IF(FORM!K7="AM Y PM",1,IF(FORM!K7="AM",1,0))</f>
        <v>1</v>
      </c>
      <c r="L7" s="4">
        <f>+IF(FORM!L7="AM Y PM",1,IF(FORM!L7="AM",1,0))</f>
        <v>0</v>
      </c>
      <c r="M7" s="4">
        <f>+IF(FORM!M7="AM Y PM",1,IF(FORM!M7="AM",1,0))</f>
        <v>0</v>
      </c>
      <c r="N7" s="4">
        <f>+IF(FORM!N7="AM Y PM",1,IF(FORM!N7="AM",1,0))</f>
        <v>1</v>
      </c>
      <c r="O7" s="4">
        <f>+IF(FORM!O7="AM Y PM",1,IF(FORM!O7="AM",1,0))</f>
        <v>1</v>
      </c>
      <c r="P7" s="4">
        <f>+IF(FORM!P7="AM Y PM",1,IF(FORM!P7="AM",1,0))</f>
        <v>1</v>
      </c>
      <c r="Q7" s="4">
        <f>+IF(FORM!Q7="AM Y PM",1,IF(FORM!Q7="AM",1,0))</f>
        <v>0</v>
      </c>
      <c r="R7" s="4">
        <f>+IF(FORM!R7="AM Y PM",1,IF(FORM!R7="AM",1,0))</f>
        <v>1</v>
      </c>
      <c r="S7" s="4">
        <f>+IF(FORM!S7="AM Y PM",1,IF(FORM!S7="AM",1,0))</f>
        <v>0</v>
      </c>
      <c r="T7" s="4">
        <f>+IF(FORM!T7="AM Y PM",1,IF(FORM!T7="AM",1,0))</f>
        <v>1</v>
      </c>
      <c r="U7" s="4">
        <f>+IF(FORM!U7="AM Y PM",1,IF(FORM!U7="AM",1,0))</f>
        <v>1</v>
      </c>
      <c r="V7" s="4">
        <f>+IF(FORM!V7="AM Y PM",1,IF(FORM!V7="AM",1,0))</f>
        <v>1</v>
      </c>
      <c r="W7" s="4">
        <f>+IF(FORM!W7="AM Y PM",1,IF(FORM!W7="AM",1,0))</f>
        <v>1</v>
      </c>
      <c r="X7" s="4">
        <f>+IF(FORM!X7="AM Y PM",1,IF(FORM!X7="AM",1,0))</f>
        <v>1</v>
      </c>
      <c r="Y7" s="4">
        <f>+IF(FORM!Y7="AM Y PM",1,IF(FORM!Y7="AM",1,0))</f>
        <v>0</v>
      </c>
      <c r="Z7" s="4">
        <f>+IF(FORM!Z7="AM Y PM",1,IF(FORM!Z7="AM",1,0))</f>
        <v>0</v>
      </c>
      <c r="AA7" s="4">
        <f>+IF(FORM!AA7="AM Y PM",1,IF(FORM!AA7="AM",1,0))</f>
        <v>1</v>
      </c>
      <c r="AB7" s="4">
        <f>+IF(FORM!AB7="AM Y PM",1,IF(FORM!AB7="AM",1,0))</f>
        <v>1</v>
      </c>
      <c r="AC7" s="4">
        <f>+IF(FORM!AC7="AM Y PM",1,IF(FORM!AC7="AM",1,0))</f>
        <v>1</v>
      </c>
      <c r="AD7" s="4">
        <f>+IF(FORM!AD7="AM Y PM",1,IF(FORM!AD7="AM",1,0))</f>
        <v>1</v>
      </c>
      <c r="AE7" s="4">
        <f>+IF(FORM!AE7="AM Y PM",1,IF(FORM!AE7="AM",1,0))</f>
        <v>1</v>
      </c>
      <c r="AF7" s="4">
        <f>+IF(FORM!AF7="AM Y PM",1,IF(FORM!AF7="AM",1,0))</f>
        <v>1</v>
      </c>
    </row>
    <row r="8" spans="1:32" ht="18.75" customHeight="1" x14ac:dyDescent="0.25">
      <c r="A8" s="5" t="s">
        <v>59</v>
      </c>
      <c r="B8" s="4">
        <f>+IF(FORM!B8="AM Y PM",1,IF(FORM!B8="AM",1,0))</f>
        <v>0</v>
      </c>
      <c r="C8" s="4">
        <f>+IF(FORM!C8="AM Y PM",1,IF(FORM!C8="AM",1,0))</f>
        <v>0</v>
      </c>
      <c r="D8" s="4">
        <f>+IF(FORM!D8="AM Y PM",1,IF(FORM!D8="AM",1,0))</f>
        <v>0</v>
      </c>
      <c r="E8" s="4">
        <f>+IF(FORM!E8="AM Y PM",1,IF(FORM!E8="AM",1,0))</f>
        <v>0</v>
      </c>
      <c r="F8" s="4">
        <f>+IF(FORM!F8="AM Y PM",1,IF(FORM!F8="AM",1,0))</f>
        <v>1</v>
      </c>
      <c r="G8" s="4">
        <f>+IF(FORM!G8="AM Y PM",1,IF(FORM!G8="AM",1,0))</f>
        <v>1</v>
      </c>
      <c r="H8" s="4">
        <f>+IF(FORM!H8="AM Y PM",1,IF(FORM!H8="AM",1,0))</f>
        <v>1</v>
      </c>
      <c r="I8" s="4">
        <f>+IF(FORM!I8="AM Y PM",1,IF(FORM!I8="AM",1,0))</f>
        <v>1</v>
      </c>
      <c r="J8" s="4">
        <f>+IF(FORM!J8="AM Y PM",1,IF(FORM!J8="AM",1,0))</f>
        <v>1</v>
      </c>
      <c r="K8" s="4">
        <f>+IF(FORM!K8="AM Y PM",1,IF(FORM!K8="AM",1,0))</f>
        <v>1</v>
      </c>
      <c r="L8" s="4">
        <f>+IF(FORM!L8="AM Y PM",1,IF(FORM!L8="AM",1,0))</f>
        <v>0</v>
      </c>
      <c r="M8" s="4">
        <f>+IF(FORM!M8="AM Y PM",1,IF(FORM!M8="AM",1,0))</f>
        <v>0</v>
      </c>
      <c r="N8" s="4">
        <f>+IF(FORM!N8="AM Y PM",1,IF(FORM!N8="AM",1,0))</f>
        <v>1</v>
      </c>
      <c r="O8" s="4">
        <f>+IF(FORM!O8="AM Y PM",1,IF(FORM!O8="AM",1,0))</f>
        <v>1</v>
      </c>
      <c r="P8" s="4">
        <f>+IF(FORM!P8="AM Y PM",1,IF(FORM!P8="AM",1,0))</f>
        <v>1</v>
      </c>
      <c r="Q8" s="4">
        <f>+IF(FORM!Q8="AM Y PM",1,IF(FORM!Q8="AM",1,0))</f>
        <v>1</v>
      </c>
      <c r="R8" s="4">
        <f>+IF(FORM!R8="AM Y PM",1,IF(FORM!R8="AM",1,0))</f>
        <v>1</v>
      </c>
      <c r="S8" s="4">
        <f>+IF(FORM!S8="AM Y PM",1,IF(FORM!S8="AM",1,0))</f>
        <v>0</v>
      </c>
      <c r="T8" s="4">
        <f>+IF(FORM!T8="AM Y PM",1,IF(FORM!T8="AM",1,0))</f>
        <v>1</v>
      </c>
      <c r="U8" s="4">
        <f>+IF(FORM!U8="AM Y PM",1,IF(FORM!U8="AM",1,0))</f>
        <v>1</v>
      </c>
      <c r="V8" s="4">
        <f>+IF(FORM!V8="AM Y PM",1,IF(FORM!V8="AM",1,0))</f>
        <v>1</v>
      </c>
      <c r="W8" s="4">
        <f>+IF(FORM!W8="AM Y PM",1,IF(FORM!W8="AM",1,0))</f>
        <v>1</v>
      </c>
      <c r="X8" s="4">
        <f>+IF(FORM!X8="AM Y PM",1,IF(FORM!X8="AM",1,0))</f>
        <v>1</v>
      </c>
      <c r="Y8" s="4">
        <f>+IF(FORM!Y8="AM Y PM",1,IF(FORM!Y8="AM",1,0))</f>
        <v>0</v>
      </c>
      <c r="Z8" s="4">
        <f>+IF(FORM!Z8="AM Y PM",1,IF(FORM!Z8="AM",1,0))</f>
        <v>0</v>
      </c>
      <c r="AA8" s="4">
        <f>+IF(FORM!AA8="AM Y PM",1,IF(FORM!AA8="AM",1,0))</f>
        <v>0</v>
      </c>
      <c r="AB8" s="4">
        <f>+IF(FORM!AB8="AM Y PM",1,IF(FORM!AB8="AM",1,0))</f>
        <v>0</v>
      </c>
      <c r="AC8" s="4">
        <f>+IF(FORM!AC8="AM Y PM",1,IF(FORM!AC8="AM",1,0))</f>
        <v>0</v>
      </c>
      <c r="AD8" s="4">
        <f>+IF(FORM!AD8="AM Y PM",1,IF(FORM!AD8="AM",1,0))</f>
        <v>0</v>
      </c>
      <c r="AE8" s="4">
        <f>+IF(FORM!AE8="AM Y PM",1,IF(FORM!AE8="AM",1,0))</f>
        <v>0</v>
      </c>
      <c r="AF8" s="4">
        <f>+IF(FORM!AF8="AM Y PM",1,IF(FORM!AF8="AM",1,0))</f>
        <v>0</v>
      </c>
    </row>
    <row r="9" spans="1:32" ht="18.75" customHeight="1" x14ac:dyDescent="0.25">
      <c r="A9" s="5" t="s">
        <v>60</v>
      </c>
      <c r="B9" s="4">
        <f>+IF(FORM!B9="AM Y PM",1,IF(FORM!B9="AM",1,0))</f>
        <v>0</v>
      </c>
      <c r="C9" s="4">
        <f>+IF(FORM!C9="AM Y PM",1,IF(FORM!C9="AM",1,0))</f>
        <v>0</v>
      </c>
      <c r="D9" s="4">
        <f>+IF(FORM!D9="AM Y PM",1,IF(FORM!D9="AM",1,0))</f>
        <v>0</v>
      </c>
      <c r="E9" s="4">
        <f>+IF(FORM!E9="AM Y PM",1,IF(FORM!E9="AM",1,0))</f>
        <v>0</v>
      </c>
      <c r="F9" s="4">
        <f>+IF(FORM!F9="AM Y PM",1,IF(FORM!F9="AM",1,0))</f>
        <v>0</v>
      </c>
      <c r="G9" s="4">
        <f>+IF(FORM!G9="AM Y PM",1,IF(FORM!G9="AM",1,0))</f>
        <v>1</v>
      </c>
      <c r="H9" s="4">
        <f>+IF(FORM!H9="AM Y PM",1,IF(FORM!H9="AM",1,0))</f>
        <v>1</v>
      </c>
      <c r="I9" s="4">
        <f>+IF(FORM!I9="AM Y PM",1,IF(FORM!I9="AM",1,0))</f>
        <v>1</v>
      </c>
      <c r="J9" s="4">
        <f>+IF(FORM!J9="AM Y PM",1,IF(FORM!J9="AM",1,0))</f>
        <v>1</v>
      </c>
      <c r="K9" s="4">
        <f>+IF(FORM!K9="AM Y PM",1,IF(FORM!K9="AM",1,0))</f>
        <v>1</v>
      </c>
      <c r="L9" s="4">
        <f>+IF(FORM!L9="AM Y PM",1,IF(FORM!L9="AM",1,0))</f>
        <v>0</v>
      </c>
      <c r="M9" s="4">
        <f>+IF(FORM!M9="AM Y PM",1,IF(FORM!M9="AM",1,0))</f>
        <v>0</v>
      </c>
      <c r="N9" s="4">
        <f>+IF(FORM!N9="AM Y PM",1,IF(FORM!N9="AM",1,0))</f>
        <v>1</v>
      </c>
      <c r="O9" s="4">
        <f>+IF(FORM!O9="AM Y PM",1,IF(FORM!O9="AM",1,0))</f>
        <v>1</v>
      </c>
      <c r="P9" s="4">
        <f>+IF(FORM!P9="AM Y PM",1,IF(FORM!P9="AM",1,0))</f>
        <v>1</v>
      </c>
      <c r="Q9" s="4">
        <f>+IF(FORM!Q9="AM Y PM",1,IF(FORM!Q9="AM",1,0))</f>
        <v>1</v>
      </c>
      <c r="R9" s="4">
        <f>+IF(FORM!R9="AM Y PM",1,IF(FORM!R9="AM",1,0))</f>
        <v>1</v>
      </c>
      <c r="S9" s="4">
        <f>+IF(FORM!S9="AM Y PM",1,IF(FORM!S9="AM",1,0))</f>
        <v>0</v>
      </c>
      <c r="T9" s="4">
        <f>+IF(FORM!T9="AM Y PM",1,IF(FORM!T9="AM",1,0))</f>
        <v>1</v>
      </c>
      <c r="U9" s="4">
        <f>+IF(FORM!U9="AM Y PM",1,IF(FORM!U9="AM",1,0))</f>
        <v>1</v>
      </c>
      <c r="V9" s="4">
        <f>+IF(FORM!V9="AM Y PM",1,IF(FORM!V9="AM",1,0))</f>
        <v>1</v>
      </c>
      <c r="W9" s="4">
        <f>+IF(FORM!W9="AM Y PM",1,IF(FORM!W9="AM",1,0))</f>
        <v>1</v>
      </c>
      <c r="X9" s="4">
        <f>+IF(FORM!X9="AM Y PM",1,IF(FORM!X9="AM",1,0))</f>
        <v>1</v>
      </c>
      <c r="Y9" s="4">
        <f>+IF(FORM!Y9="AM Y PM",1,IF(FORM!Y9="AM",1,0))</f>
        <v>1</v>
      </c>
      <c r="Z9" s="4">
        <f>+IF(FORM!Z9="AM Y PM",1,IF(FORM!Z9="AM",1,0))</f>
        <v>0</v>
      </c>
      <c r="AA9" s="4">
        <f>+IF(FORM!AA9="AM Y PM",1,IF(FORM!AA9="AM",1,0))</f>
        <v>1</v>
      </c>
      <c r="AB9" s="4">
        <f>+IF(FORM!AB9="AM Y PM",1,IF(FORM!AB9="AM",1,0))</f>
        <v>1</v>
      </c>
      <c r="AC9" s="4">
        <f>+IF(FORM!AC9="AM Y PM",1,IF(FORM!AC9="AM",1,0))</f>
        <v>1</v>
      </c>
      <c r="AD9" s="4">
        <f>+IF(FORM!AD9="AM Y PM",1,IF(FORM!AD9="AM",1,0))</f>
        <v>1</v>
      </c>
      <c r="AE9" s="4">
        <f>+IF(FORM!AE9="AM Y PM",1,IF(FORM!AE9="AM",1,0))</f>
        <v>1</v>
      </c>
      <c r="AF9" s="4">
        <f>+IF(FORM!AF9="AM Y PM",1,IF(FORM!AF9="AM",1,0))</f>
        <v>1</v>
      </c>
    </row>
    <row r="10" spans="1:32" ht="18.75" customHeight="1" x14ac:dyDescent="0.25">
      <c r="A10" s="5" t="s">
        <v>61</v>
      </c>
      <c r="B10" s="4">
        <f>+IF(FORM!B10="AM Y PM",1,IF(FORM!B10="AM",1,0))</f>
        <v>0</v>
      </c>
      <c r="C10" s="4">
        <f>+IF(FORM!C10="AM Y PM",1,IF(FORM!C10="AM",1,0))</f>
        <v>0</v>
      </c>
      <c r="D10" s="4">
        <f>+IF(FORM!D10="AM Y PM",1,IF(FORM!D10="AM",1,0))</f>
        <v>0</v>
      </c>
      <c r="E10" s="4">
        <f>+IF(FORM!E10="AM Y PM",1,IF(FORM!E10="AM",1,0))</f>
        <v>0</v>
      </c>
      <c r="F10" s="4">
        <f>+IF(FORM!F10="AM Y PM",1,IF(FORM!F10="AM",1,0))</f>
        <v>0</v>
      </c>
      <c r="G10" s="4">
        <f>+IF(FORM!G10="AM Y PM",1,IF(FORM!G10="AM",1,0))</f>
        <v>1</v>
      </c>
      <c r="H10" s="4">
        <f>+IF(FORM!H10="AM Y PM",1,IF(FORM!H10="AM",1,0))</f>
        <v>1</v>
      </c>
      <c r="I10" s="4">
        <f>+IF(FORM!I10="AM Y PM",1,IF(FORM!I10="AM",1,0))</f>
        <v>1</v>
      </c>
      <c r="J10" s="4">
        <f>+IF(FORM!J10="AM Y PM",1,IF(FORM!J10="AM",1,0))</f>
        <v>0</v>
      </c>
      <c r="K10" s="4">
        <f>+IF(FORM!K10="AM Y PM",1,IF(FORM!K10="AM",1,0))</f>
        <v>0</v>
      </c>
      <c r="L10" s="4">
        <f>+IF(FORM!L10="AM Y PM",1,IF(FORM!L10="AM",1,0))</f>
        <v>0</v>
      </c>
      <c r="M10" s="4">
        <f>+IF(FORM!M10="AM Y PM",1,IF(FORM!M10="AM",1,0))</f>
        <v>0</v>
      </c>
      <c r="N10" s="4">
        <f>+IF(FORM!N10="AM Y PM",1,IF(FORM!N10="AM",1,0))</f>
        <v>1</v>
      </c>
      <c r="O10" s="4">
        <f>+IF(FORM!O10="AM Y PM",1,IF(FORM!O10="AM",1,0))</f>
        <v>1</v>
      </c>
      <c r="P10" s="4">
        <f>+IF(FORM!P10="AM Y PM",1,IF(FORM!P10="AM",1,0))</f>
        <v>1</v>
      </c>
      <c r="Q10" s="4">
        <f>+IF(FORM!Q10="AM Y PM",1,IF(FORM!Q10="AM",1,0))</f>
        <v>1</v>
      </c>
      <c r="R10" s="4">
        <f>+IF(FORM!R10="AM Y PM",1,IF(FORM!R10="AM",1,0))</f>
        <v>1</v>
      </c>
      <c r="S10" s="4">
        <f>+IF(FORM!S10="AM Y PM",1,IF(FORM!S10="AM",1,0))</f>
        <v>0</v>
      </c>
      <c r="T10" s="4">
        <f>+IF(FORM!T10="AM Y PM",1,IF(FORM!T10="AM",1,0))</f>
        <v>1</v>
      </c>
      <c r="U10" s="4">
        <f>+IF(FORM!U10="AM Y PM",1,IF(FORM!U10="AM",1,0))</f>
        <v>1</v>
      </c>
      <c r="V10" s="4">
        <f>+IF(FORM!V10="AM Y PM",1,IF(FORM!V10="AM",1,0))</f>
        <v>0</v>
      </c>
      <c r="W10" s="4">
        <f>+IF(FORM!W10="AM Y PM",1,IF(FORM!W10="AM",1,0))</f>
        <v>0</v>
      </c>
      <c r="X10" s="4">
        <f>+IF(FORM!X10="AM Y PM",1,IF(FORM!X10="AM",1,0))</f>
        <v>0</v>
      </c>
      <c r="Y10" s="4">
        <f>+IF(FORM!Y10="AM Y PM",1,IF(FORM!Y10="AM",1,0))</f>
        <v>0</v>
      </c>
      <c r="Z10" s="4">
        <f>+IF(FORM!Z10="AM Y PM",1,IF(FORM!Z10="AM",1,0))</f>
        <v>0</v>
      </c>
      <c r="AA10" s="4">
        <f>+IF(FORM!AA10="AM Y PM",1,IF(FORM!AA10="AM",1,0))</f>
        <v>1</v>
      </c>
      <c r="AB10" s="4">
        <f>+IF(FORM!AB10="AM Y PM",1,IF(FORM!AB10="AM",1,0))</f>
        <v>1</v>
      </c>
      <c r="AC10" s="4">
        <f>+IF(FORM!AC10="AM Y PM",1,IF(FORM!AC10="AM",1,0))</f>
        <v>1</v>
      </c>
      <c r="AD10" s="4">
        <f>+IF(FORM!AD10="AM Y PM",1,IF(FORM!AD10="AM",1,0))</f>
        <v>1</v>
      </c>
      <c r="AE10" s="4">
        <f>+IF(FORM!AE10="AM Y PM",1,IF(FORM!AE10="AM",1,0))</f>
        <v>1</v>
      </c>
      <c r="AF10" s="4">
        <f>+IF(FORM!AF10="AM Y PM",1,IF(FORM!AF10="AM",1,0))</f>
        <v>0</v>
      </c>
    </row>
    <row r="11" spans="1:32" ht="18.75" customHeight="1" x14ac:dyDescent="0.25">
      <c r="A11" s="5" t="s">
        <v>62</v>
      </c>
      <c r="B11" s="4">
        <f>+IF(FORM!B11="AM Y PM",1,IF(FORM!B11="AM",1,0))</f>
        <v>0</v>
      </c>
      <c r="C11" s="4">
        <f>+IF(FORM!C11="AM Y PM",1,IF(FORM!C11="AM",1,0))</f>
        <v>0</v>
      </c>
      <c r="D11" s="4">
        <f>+IF(FORM!D11="AM Y PM",1,IF(FORM!D11="AM",1,0))</f>
        <v>0</v>
      </c>
      <c r="E11" s="4">
        <f>+IF(FORM!E11="AM Y PM",1,IF(FORM!E11="AM",1,0))</f>
        <v>0</v>
      </c>
      <c r="F11" s="4">
        <f>+IF(FORM!F11="AM Y PM",1,IF(FORM!F11="AM",1,0))</f>
        <v>0</v>
      </c>
      <c r="G11" s="4">
        <f>+IF(FORM!G11="AM Y PM",1,IF(FORM!G11="AM",1,0))</f>
        <v>0</v>
      </c>
      <c r="H11" s="4">
        <f>+IF(FORM!H11="AM Y PM",1,IF(FORM!H11="AM",1,0))</f>
        <v>0</v>
      </c>
      <c r="I11" s="4">
        <f>+IF(FORM!I11="AM Y PM",1,IF(FORM!I11="AM",1,0))</f>
        <v>1</v>
      </c>
      <c r="J11" s="4">
        <f>+IF(FORM!J11="AM Y PM",1,IF(FORM!J11="AM",1,0))</f>
        <v>1</v>
      </c>
      <c r="K11" s="4">
        <f>+IF(FORM!K11="AM Y PM",1,IF(FORM!K11="AM",1,0))</f>
        <v>0</v>
      </c>
      <c r="L11" s="4">
        <f>+IF(FORM!L11="AM Y PM",1,IF(FORM!L11="AM",1,0))</f>
        <v>0</v>
      </c>
      <c r="M11" s="4">
        <f>+IF(FORM!M11="AM Y PM",1,IF(FORM!M11="AM",1,0))</f>
        <v>0</v>
      </c>
      <c r="N11" s="4">
        <f>+IF(FORM!N11="AM Y PM",1,IF(FORM!N11="AM",1,0))</f>
        <v>0</v>
      </c>
      <c r="O11" s="4">
        <f>+IF(FORM!O11="AM Y PM",1,IF(FORM!O11="AM",1,0))</f>
        <v>1</v>
      </c>
      <c r="P11" s="4">
        <f>+IF(FORM!P11="AM Y PM",1,IF(FORM!P11="AM",1,0))</f>
        <v>1</v>
      </c>
      <c r="Q11" s="4">
        <f>+IF(FORM!Q11="AM Y PM",1,IF(FORM!Q11="AM",1,0))</f>
        <v>1</v>
      </c>
      <c r="R11" s="4">
        <f>+IF(FORM!R11="AM Y PM",1,IF(FORM!R11="AM",1,0))</f>
        <v>1</v>
      </c>
      <c r="S11" s="4">
        <f>+IF(FORM!S11="AM Y PM",1,IF(FORM!S11="AM",1,0))</f>
        <v>0</v>
      </c>
      <c r="T11" s="4">
        <f>+IF(FORM!T11="AM Y PM",1,IF(FORM!T11="AM",1,0))</f>
        <v>0</v>
      </c>
      <c r="U11" s="4">
        <f>+IF(FORM!U11="AM Y PM",1,IF(FORM!U11="AM",1,0))</f>
        <v>0</v>
      </c>
      <c r="V11" s="4">
        <f>+IF(FORM!V11="AM Y PM",1,IF(FORM!V11="AM",1,0))</f>
        <v>0</v>
      </c>
      <c r="W11" s="4">
        <f>+IF(FORM!W11="AM Y PM",1,IF(FORM!W11="AM",1,0))</f>
        <v>0</v>
      </c>
      <c r="X11" s="4">
        <f>+IF(FORM!X11="AM Y PM",1,IF(FORM!X11="AM",1,0))</f>
        <v>0</v>
      </c>
      <c r="Y11" s="4">
        <f>+IF(FORM!Y11="AM Y PM",1,IF(FORM!Y11="AM",1,0))</f>
        <v>0</v>
      </c>
      <c r="Z11" s="4">
        <f>+IF(FORM!Z11="AM Y PM",1,IF(FORM!Z11="AM",1,0))</f>
        <v>0</v>
      </c>
      <c r="AA11" s="4">
        <f>+IF(FORM!AA11="AM Y PM",1,IF(FORM!AA11="AM",1,0))</f>
        <v>0</v>
      </c>
      <c r="AB11" s="4">
        <f>+IF(FORM!AB11="AM Y PM",1,IF(FORM!AB11="AM",1,0))</f>
        <v>0</v>
      </c>
      <c r="AC11" s="4">
        <f>+IF(FORM!AC11="AM Y PM",1,IF(FORM!AC11="AM",1,0))</f>
        <v>0</v>
      </c>
      <c r="AD11" s="4">
        <f>+IF(FORM!AD11="AM Y PM",1,IF(FORM!AD11="AM",1,0))</f>
        <v>0</v>
      </c>
      <c r="AE11" s="4">
        <f>+IF(FORM!AE11="AM Y PM",1,IF(FORM!AE11="AM",1,0))</f>
        <v>0</v>
      </c>
      <c r="AF11" s="4">
        <f>+IF(FORM!AF11="AM Y PM",1,IF(FORM!AF11="AM",1,0))</f>
        <v>0</v>
      </c>
    </row>
    <row r="12" spans="1:32" ht="18.75" customHeight="1" x14ac:dyDescent="0.25">
      <c r="A12" s="5" t="s">
        <v>63</v>
      </c>
      <c r="B12" s="4">
        <f>+IF(FORM!B12="AM Y PM",1,IF(FORM!B12="AM",1,0))</f>
        <v>0</v>
      </c>
      <c r="C12" s="4">
        <f>+IF(FORM!C12="AM Y PM",1,IF(FORM!C12="AM",1,0))</f>
        <v>0</v>
      </c>
      <c r="D12" s="4">
        <f>+IF(FORM!D12="AM Y PM",1,IF(FORM!D12="AM",1,0))</f>
        <v>0</v>
      </c>
      <c r="E12" s="4">
        <f>+IF(FORM!E12="AM Y PM",1,IF(FORM!E12="AM",1,0))</f>
        <v>0</v>
      </c>
      <c r="F12" s="4">
        <f>+IF(FORM!F12="AM Y PM",1,IF(FORM!F12="AM",1,0))</f>
        <v>0</v>
      </c>
      <c r="G12" s="4">
        <f>+IF(FORM!G12="AM Y PM",1,IF(FORM!G12="AM",1,0))</f>
        <v>0</v>
      </c>
      <c r="H12" s="4">
        <f>+IF(FORM!H12="AM Y PM",1,IF(FORM!H12="AM",1,0))</f>
        <v>0</v>
      </c>
      <c r="I12" s="4">
        <f>+IF(FORM!I12="AM Y PM",1,IF(FORM!I12="AM",1,0))</f>
        <v>1</v>
      </c>
      <c r="J12" s="4">
        <f>+IF(FORM!J12="AM Y PM",1,IF(FORM!J12="AM",1,0))</f>
        <v>1</v>
      </c>
      <c r="K12" s="4">
        <f>+IF(FORM!K12="AM Y PM",1,IF(FORM!K12="AM",1,0))</f>
        <v>0</v>
      </c>
      <c r="L12" s="4">
        <f>+IF(FORM!L12="AM Y PM",1,IF(FORM!L12="AM",1,0))</f>
        <v>0</v>
      </c>
      <c r="M12" s="4">
        <f>+IF(FORM!M12="AM Y PM",1,IF(FORM!M12="AM",1,0))</f>
        <v>0</v>
      </c>
      <c r="N12" s="4">
        <f>+IF(FORM!N12="AM Y PM",1,IF(FORM!N12="AM",1,0))</f>
        <v>1</v>
      </c>
      <c r="O12" s="4">
        <f>+IF(FORM!O12="AM Y PM",1,IF(FORM!O12="AM",1,0))</f>
        <v>1</v>
      </c>
      <c r="P12" s="4">
        <f>+IF(FORM!P12="AM Y PM",1,IF(FORM!P12="AM",1,0))</f>
        <v>1</v>
      </c>
      <c r="Q12" s="4">
        <f>+IF(FORM!Q12="AM Y PM",1,IF(FORM!Q12="AM",1,0))</f>
        <v>1</v>
      </c>
      <c r="R12" s="4">
        <f>+IF(FORM!R12="AM Y PM",1,IF(FORM!R12="AM",1,0))</f>
        <v>0</v>
      </c>
      <c r="S12" s="4">
        <f>+IF(FORM!S12="AM Y PM",1,IF(FORM!S12="AM",1,0))</f>
        <v>0</v>
      </c>
      <c r="T12" s="4">
        <f>+IF(FORM!T12="AM Y PM",1,IF(FORM!T12="AM",1,0))</f>
        <v>1</v>
      </c>
      <c r="U12" s="4">
        <f>+IF(FORM!U12="AM Y PM",1,IF(FORM!U12="AM",1,0))</f>
        <v>1</v>
      </c>
      <c r="V12" s="4">
        <f>+IF(FORM!V12="AM Y PM",1,IF(FORM!V12="AM",1,0))</f>
        <v>1</v>
      </c>
      <c r="W12" s="4">
        <f>+IF(FORM!W12="AM Y PM",1,IF(FORM!W12="AM",1,0))</f>
        <v>1</v>
      </c>
      <c r="X12" s="4">
        <f>+IF(FORM!X12="AM Y PM",1,IF(FORM!X12="AM",1,0))</f>
        <v>1</v>
      </c>
      <c r="Y12" s="4">
        <f>+IF(FORM!Y12="AM Y PM",1,IF(FORM!Y12="AM",1,0))</f>
        <v>0</v>
      </c>
      <c r="Z12" s="4">
        <f>+IF(FORM!Z12="AM Y PM",1,IF(FORM!Z12="AM",1,0))</f>
        <v>0</v>
      </c>
      <c r="AA12" s="4">
        <f>+IF(FORM!AA12="AM Y PM",1,IF(FORM!AA12="AM",1,0))</f>
        <v>1</v>
      </c>
      <c r="AB12" s="4">
        <f>+IF(FORM!AB12="AM Y PM",1,IF(FORM!AB12="AM",1,0))</f>
        <v>1</v>
      </c>
      <c r="AC12" s="4">
        <f>+IF(FORM!AC12="AM Y PM",1,IF(FORM!AC12="AM",1,0))</f>
        <v>1</v>
      </c>
      <c r="AD12" s="4">
        <f>+IF(FORM!AD12="AM Y PM",1,IF(FORM!AD12="AM",1,0))</f>
        <v>1</v>
      </c>
      <c r="AE12" s="4">
        <f>+IF(FORM!AE12="AM Y PM",1,IF(FORM!AE12="AM",1,0))</f>
        <v>1</v>
      </c>
      <c r="AF12" s="4">
        <f>+IF(FORM!AF12="AM Y PM",1,IF(FORM!AF12="AM",1,0))</f>
        <v>0</v>
      </c>
    </row>
    <row r="13" spans="1:32" ht="18.75" customHeight="1" x14ac:dyDescent="0.25">
      <c r="A13" s="5" t="s">
        <v>64</v>
      </c>
      <c r="B13" s="4">
        <f>+IF(FORM!B13="AM Y PM",1,IF(FORM!B13="AM",1,0))</f>
        <v>0</v>
      </c>
      <c r="C13" s="4">
        <f>+IF(FORM!C13="AM Y PM",1,IF(FORM!C13="AM",1,0))</f>
        <v>0</v>
      </c>
      <c r="D13" s="4">
        <f>+IF(FORM!D13="AM Y PM",1,IF(FORM!D13="AM",1,0))</f>
        <v>0</v>
      </c>
      <c r="E13" s="4">
        <f>+IF(FORM!E13="AM Y PM",1,IF(FORM!E13="AM",1,0))</f>
        <v>0</v>
      </c>
      <c r="F13" s="4">
        <f>+IF(FORM!F13="AM Y PM",1,IF(FORM!F13="AM",1,0))</f>
        <v>1</v>
      </c>
      <c r="G13" s="4">
        <f>+IF(FORM!G13="AM Y PM",1,IF(FORM!G13="AM",1,0))</f>
        <v>1</v>
      </c>
      <c r="H13" s="4">
        <f>+IF(FORM!H13="AM Y PM",1,IF(FORM!H13="AM",1,0))</f>
        <v>1</v>
      </c>
      <c r="I13" s="4">
        <f>+IF(FORM!I13="AM Y PM",1,IF(FORM!I13="AM",1,0))</f>
        <v>0</v>
      </c>
      <c r="J13" s="4">
        <f>+IF(FORM!J13="AM Y PM",1,IF(FORM!J13="AM",1,0))</f>
        <v>0</v>
      </c>
      <c r="K13" s="4">
        <f>+IF(FORM!K13="AM Y PM",1,IF(FORM!K13="AM",1,0))</f>
        <v>0</v>
      </c>
      <c r="L13" s="4">
        <f>+IF(FORM!L13="AM Y PM",1,IF(FORM!L13="AM",1,0))</f>
        <v>0</v>
      </c>
      <c r="M13" s="4">
        <f>+IF(FORM!M13="AM Y PM",1,IF(FORM!M13="AM",1,0))</f>
        <v>0</v>
      </c>
      <c r="N13" s="4">
        <f>+IF(FORM!N13="AM Y PM",1,IF(FORM!N13="AM",1,0))</f>
        <v>1</v>
      </c>
      <c r="O13" s="4">
        <f>+IF(FORM!O13="AM Y PM",1,IF(FORM!O13="AM",1,0))</f>
        <v>1</v>
      </c>
      <c r="P13" s="4">
        <f>+IF(FORM!P13="AM Y PM",1,IF(FORM!P13="AM",1,0))</f>
        <v>0</v>
      </c>
      <c r="Q13" s="4">
        <f>+IF(FORM!Q13="AM Y PM",1,IF(FORM!Q13="AM",1,0))</f>
        <v>1</v>
      </c>
      <c r="R13" s="4">
        <f>+IF(FORM!R13="AM Y PM",1,IF(FORM!R13="AM",1,0))</f>
        <v>0</v>
      </c>
      <c r="S13" s="4">
        <f>+IF(FORM!S13="AM Y PM",1,IF(FORM!S13="AM",1,0))</f>
        <v>0</v>
      </c>
      <c r="T13" s="4">
        <f>+IF(FORM!T13="AM Y PM",1,IF(FORM!T13="AM",1,0))</f>
        <v>1</v>
      </c>
      <c r="U13" s="4">
        <f>+IF(FORM!U13="AM Y PM",1,IF(FORM!U13="AM",1,0))</f>
        <v>1</v>
      </c>
      <c r="V13" s="4">
        <f>+IF(FORM!V13="AM Y PM",1,IF(FORM!V13="AM",1,0))</f>
        <v>1</v>
      </c>
      <c r="W13" s="4">
        <f>+IF(FORM!W13="AM Y PM",1,IF(FORM!W13="AM",1,0))</f>
        <v>0</v>
      </c>
      <c r="X13" s="4">
        <f>+IF(FORM!X13="AM Y PM",1,IF(FORM!X13="AM",1,0))</f>
        <v>1</v>
      </c>
      <c r="Y13" s="4">
        <f>+IF(FORM!Y13="AM Y PM",1,IF(FORM!Y13="AM",1,0))</f>
        <v>0</v>
      </c>
      <c r="Z13" s="4">
        <f>+IF(FORM!Z13="AM Y PM",1,IF(FORM!Z13="AM",1,0))</f>
        <v>0</v>
      </c>
      <c r="AA13" s="4">
        <f>+IF(FORM!AA13="AM Y PM",1,IF(FORM!AA13="AM",1,0))</f>
        <v>1</v>
      </c>
      <c r="AB13" s="4">
        <f>+IF(FORM!AB13="AM Y PM",1,IF(FORM!AB13="AM",1,0))</f>
        <v>1</v>
      </c>
      <c r="AC13" s="4">
        <f>+IF(FORM!AC13="AM Y PM",1,IF(FORM!AC13="AM",1,0))</f>
        <v>1</v>
      </c>
      <c r="AD13" s="4">
        <f>+IF(FORM!AD13="AM Y PM",1,IF(FORM!AD13="AM",1,0))</f>
        <v>0</v>
      </c>
      <c r="AE13" s="4">
        <f>+IF(FORM!AE13="AM Y PM",1,IF(FORM!AE13="AM",1,0))</f>
        <v>1</v>
      </c>
      <c r="AF13" s="4">
        <f>+IF(FORM!AF13="AM Y PM",1,IF(FORM!AF13="AM",1,0))</f>
        <v>1</v>
      </c>
    </row>
    <row r="14" spans="1:32" ht="18.75" customHeight="1" x14ac:dyDescent="0.25">
      <c r="A14" s="5" t="s">
        <v>65</v>
      </c>
      <c r="B14" s="4">
        <f>+IF(FORM!B14="AM Y PM",1,IF(FORM!B14="AM",1,0))</f>
        <v>0</v>
      </c>
      <c r="C14" s="4">
        <f>+IF(FORM!C14="AM Y PM",1,IF(FORM!C14="AM",1,0))</f>
        <v>0</v>
      </c>
      <c r="D14" s="4">
        <f>+IF(FORM!D14="AM Y PM",1,IF(FORM!D14="AM",1,0))</f>
        <v>0</v>
      </c>
      <c r="E14" s="4">
        <f>+IF(FORM!E14="AM Y PM",1,IF(FORM!E14="AM",1,0))</f>
        <v>0</v>
      </c>
      <c r="F14" s="4">
        <f>+IF(FORM!F14="AM Y PM",1,IF(FORM!F14="AM",1,0))</f>
        <v>0</v>
      </c>
      <c r="G14" s="4">
        <f>+IF(FORM!G14="AM Y PM",1,IF(FORM!G14="AM",1,0))</f>
        <v>0</v>
      </c>
      <c r="H14" s="4">
        <f>+IF(FORM!H14="AM Y PM",1,IF(FORM!H14="AM",1,0))</f>
        <v>1</v>
      </c>
      <c r="I14" s="4">
        <f>+IF(FORM!I14="AM Y PM",1,IF(FORM!I14="AM",1,0))</f>
        <v>1</v>
      </c>
      <c r="J14" s="4">
        <f>+IF(FORM!J14="AM Y PM",1,IF(FORM!J14="AM",1,0))</f>
        <v>1</v>
      </c>
      <c r="K14" s="4">
        <f>+IF(FORM!K14="AM Y PM",1,IF(FORM!K14="AM",1,0))</f>
        <v>0</v>
      </c>
      <c r="L14" s="4">
        <f>+IF(FORM!L14="AM Y PM",1,IF(FORM!L14="AM",1,0))</f>
        <v>0</v>
      </c>
      <c r="M14" s="4">
        <f>+IF(FORM!M14="AM Y PM",1,IF(FORM!M14="AM",1,0))</f>
        <v>0</v>
      </c>
      <c r="N14" s="4">
        <f>+IF(FORM!N14="AM Y PM",1,IF(FORM!N14="AM",1,0))</f>
        <v>0</v>
      </c>
      <c r="O14" s="4">
        <f>+IF(FORM!O14="AM Y PM",1,IF(FORM!O14="AM",1,0))</f>
        <v>1</v>
      </c>
      <c r="P14" s="4">
        <f>+IF(FORM!P14="AM Y PM",1,IF(FORM!P14="AM",1,0))</f>
        <v>0</v>
      </c>
      <c r="Q14" s="4">
        <f>+IF(FORM!Q14="AM Y PM",1,IF(FORM!Q14="AM",1,0))</f>
        <v>1</v>
      </c>
      <c r="R14" s="4">
        <f>+IF(FORM!R14="AM Y PM",1,IF(FORM!R14="AM",1,0))</f>
        <v>0</v>
      </c>
      <c r="S14" s="4">
        <f>+IF(FORM!S14="AM Y PM",1,IF(FORM!S14="AM",1,0))</f>
        <v>0</v>
      </c>
      <c r="T14" s="4">
        <f>+IF(FORM!T14="AM Y PM",1,IF(FORM!T14="AM",1,0))</f>
        <v>0</v>
      </c>
      <c r="U14" s="4">
        <f>+IF(FORM!U14="AM Y PM",1,IF(FORM!U14="AM",1,0))</f>
        <v>1</v>
      </c>
      <c r="V14" s="4">
        <f>+IF(FORM!V14="AM Y PM",1,IF(FORM!V14="AM",1,0))</f>
        <v>1</v>
      </c>
      <c r="W14" s="4">
        <f>+IF(FORM!W14="AM Y PM",1,IF(FORM!W14="AM",1,0))</f>
        <v>0</v>
      </c>
      <c r="X14" s="4">
        <f>+IF(FORM!X14="AM Y PM",1,IF(FORM!X14="AM",1,0))</f>
        <v>1</v>
      </c>
      <c r="Y14" s="4">
        <f>+IF(FORM!Y14="AM Y PM",1,IF(FORM!Y14="AM",1,0))</f>
        <v>0</v>
      </c>
      <c r="Z14" s="4">
        <f>+IF(FORM!Z14="AM Y PM",1,IF(FORM!Z14="AM",1,0))</f>
        <v>0</v>
      </c>
      <c r="AA14" s="4">
        <f>+IF(FORM!AA14="AM Y PM",1,IF(FORM!AA14="AM",1,0))</f>
        <v>0</v>
      </c>
      <c r="AB14" s="4">
        <f>+IF(FORM!AB14="AM Y PM",1,IF(FORM!AB14="AM",1,0))</f>
        <v>0</v>
      </c>
      <c r="AC14" s="4">
        <f>+IF(FORM!AC14="AM Y PM",1,IF(FORM!AC14="AM",1,0))</f>
        <v>1</v>
      </c>
      <c r="AD14" s="4">
        <f>+IF(FORM!AD14="AM Y PM",1,IF(FORM!AD14="AM",1,0))</f>
        <v>0</v>
      </c>
      <c r="AE14" s="4">
        <f>+IF(FORM!AE14="AM Y PM",1,IF(FORM!AE14="AM",1,0))</f>
        <v>1</v>
      </c>
      <c r="AF14" s="4">
        <f>+IF(FORM!AF14="AM Y PM",1,IF(FORM!AF14="AM",1,0))</f>
        <v>0</v>
      </c>
    </row>
    <row r="15" spans="1:32" ht="18.75" customHeight="1" x14ac:dyDescent="0.25">
      <c r="A15" s="5" t="s">
        <v>66</v>
      </c>
      <c r="B15" s="4">
        <f>+IF(FORM!B15="AM Y PM",1,IF(FORM!B15="AM",1,0))</f>
        <v>0</v>
      </c>
      <c r="C15" s="4">
        <f>+IF(FORM!C15="AM Y PM",1,IF(FORM!C15="AM",1,0))</f>
        <v>0</v>
      </c>
      <c r="D15" s="4">
        <f>+IF(FORM!D15="AM Y PM",1,IF(FORM!D15="AM",1,0))</f>
        <v>0</v>
      </c>
      <c r="E15" s="4">
        <f>+IF(FORM!E15="AM Y PM",1,IF(FORM!E15="AM",1,0))</f>
        <v>0</v>
      </c>
      <c r="F15" s="4">
        <f>+IF(FORM!F15="AM Y PM",1,IF(FORM!F15="AM",1,0))</f>
        <v>0</v>
      </c>
      <c r="G15" s="4">
        <f>+IF(FORM!G15="AM Y PM",1,IF(FORM!G15="AM",1,0))</f>
        <v>0</v>
      </c>
      <c r="H15" s="4">
        <f>+IF(FORM!H15="AM Y PM",1,IF(FORM!H15="AM",1,0))</f>
        <v>0</v>
      </c>
      <c r="I15" s="4">
        <f>+IF(FORM!I15="AM Y PM",1,IF(FORM!I15="AM",1,0))</f>
        <v>0</v>
      </c>
      <c r="J15" s="4">
        <f>+IF(FORM!J15="AM Y PM",1,IF(FORM!J15="AM",1,0))</f>
        <v>0</v>
      </c>
      <c r="K15" s="4">
        <f>+IF(FORM!K15="AM Y PM",1,IF(FORM!K15="AM",1,0))</f>
        <v>0</v>
      </c>
      <c r="L15" s="4">
        <f>+IF(FORM!L15="AM Y PM",1,IF(FORM!L15="AM",1,0))</f>
        <v>0</v>
      </c>
      <c r="M15" s="4">
        <f>+IF(FORM!M15="AM Y PM",1,IF(FORM!M15="AM",1,0))</f>
        <v>0</v>
      </c>
      <c r="N15" s="4">
        <f>+IF(FORM!N15="AM Y PM",1,IF(FORM!N15="AM",1,0))</f>
        <v>0</v>
      </c>
      <c r="O15" s="4">
        <f>+IF(FORM!O15="AM Y PM",1,IF(FORM!O15="AM",1,0))</f>
        <v>0</v>
      </c>
      <c r="P15" s="4">
        <f>+IF(FORM!P15="AM Y PM",1,IF(FORM!P15="AM",1,0))</f>
        <v>0</v>
      </c>
      <c r="Q15" s="4">
        <f>+IF(FORM!Q15="AM Y PM",1,IF(FORM!Q15="AM",1,0))</f>
        <v>0</v>
      </c>
      <c r="R15" s="4">
        <f>+IF(FORM!R15="AM Y PM",1,IF(FORM!R15="AM",1,0))</f>
        <v>0</v>
      </c>
      <c r="S15" s="4">
        <f>+IF(FORM!S15="AM Y PM",1,IF(FORM!S15="AM",1,0))</f>
        <v>0</v>
      </c>
      <c r="T15" s="4">
        <f>+IF(FORM!T15="AM Y PM",1,IF(FORM!T15="AM",1,0))</f>
        <v>0</v>
      </c>
      <c r="U15" s="4">
        <f>+IF(FORM!U15="AM Y PM",1,IF(FORM!U15="AM",1,0))</f>
        <v>0</v>
      </c>
      <c r="V15" s="4">
        <f>+IF(FORM!V15="AM Y PM",1,IF(FORM!V15="AM",1,0))</f>
        <v>0</v>
      </c>
      <c r="W15" s="4">
        <f>+IF(FORM!W15="AM Y PM",1,IF(FORM!W15="AM",1,0))</f>
        <v>1</v>
      </c>
      <c r="X15" s="4">
        <f>+IF(FORM!X15="AM Y PM",1,IF(FORM!X15="AM",1,0))</f>
        <v>1</v>
      </c>
      <c r="Y15" s="4">
        <f>+IF(FORM!Y15="AM Y PM",1,IF(FORM!Y15="AM",1,0))</f>
        <v>1</v>
      </c>
      <c r="Z15" s="4">
        <f>+IF(FORM!Z15="AM Y PM",1,IF(FORM!Z15="AM",1,0))</f>
        <v>0</v>
      </c>
      <c r="AA15" s="4">
        <f>+IF(FORM!AA15="AM Y PM",1,IF(FORM!AA15="AM",1,0))</f>
        <v>0</v>
      </c>
      <c r="AB15" s="4">
        <f>+IF(FORM!AB15="AM Y PM",1,IF(FORM!AB15="AM",1,0))</f>
        <v>0</v>
      </c>
      <c r="AC15" s="4">
        <f>+IF(FORM!AC15="AM Y PM",1,IF(FORM!AC15="AM",1,0))</f>
        <v>0</v>
      </c>
      <c r="AD15" s="4">
        <f>+IF(FORM!AD15="AM Y PM",1,IF(FORM!AD15="AM",1,0))</f>
        <v>1</v>
      </c>
      <c r="AE15" s="4">
        <f>+IF(FORM!AE15="AM Y PM",1,IF(FORM!AE15="AM",1,0))</f>
        <v>1</v>
      </c>
      <c r="AF15" s="4">
        <f>+IF(FORM!AF15="AM Y PM",1,IF(FORM!AF15="AM",1,0))</f>
        <v>1</v>
      </c>
    </row>
    <row r="16" spans="1:32" ht="18.75" customHeight="1" x14ac:dyDescent="0.25">
      <c r="A16" s="5" t="s">
        <v>67</v>
      </c>
      <c r="B16" s="4">
        <f>+IF(FORM!B16="AM Y PM",1,IF(FORM!B16="AM",1,0))</f>
        <v>0</v>
      </c>
      <c r="C16" s="4">
        <f>+IF(FORM!C16="AM Y PM",1,IF(FORM!C16="AM",1,0))</f>
        <v>0</v>
      </c>
      <c r="D16" s="4">
        <f>+IF(FORM!D16="AM Y PM",1,IF(FORM!D16="AM",1,0))</f>
        <v>0</v>
      </c>
      <c r="E16" s="4">
        <f>+IF(FORM!E16="AM Y PM",1,IF(FORM!E16="AM",1,0))</f>
        <v>0</v>
      </c>
      <c r="F16" s="4">
        <f>+IF(FORM!F16="AM Y PM",1,IF(FORM!F16="AM",1,0))</f>
        <v>0</v>
      </c>
      <c r="G16" s="4">
        <f>+IF(FORM!G16="AM Y PM",1,IF(FORM!G16="AM",1,0))</f>
        <v>1</v>
      </c>
      <c r="H16" s="4">
        <f>+IF(FORM!H16="AM Y PM",1,IF(FORM!H16="AM",1,0))</f>
        <v>1</v>
      </c>
      <c r="I16" s="4">
        <f>+IF(FORM!I16="AM Y PM",1,IF(FORM!I16="AM",1,0))</f>
        <v>1</v>
      </c>
      <c r="J16" s="4">
        <f>+IF(FORM!J16="AM Y PM",1,IF(FORM!J16="AM",1,0))</f>
        <v>1</v>
      </c>
      <c r="K16" s="4">
        <f>+IF(FORM!K16="AM Y PM",1,IF(FORM!K16="AM",1,0))</f>
        <v>1</v>
      </c>
      <c r="L16" s="4">
        <f>+IF(FORM!L16="AM Y PM",1,IF(FORM!L16="AM",1,0))</f>
        <v>0</v>
      </c>
      <c r="M16" s="4">
        <f>+IF(FORM!M16="AM Y PM",1,IF(FORM!M16="AM",1,0))</f>
        <v>0</v>
      </c>
      <c r="N16" s="4">
        <f>+IF(FORM!N16="AM Y PM",1,IF(FORM!N16="AM",1,0))</f>
        <v>1</v>
      </c>
      <c r="O16" s="4">
        <f>+IF(FORM!O16="AM Y PM",1,IF(FORM!O16="AM",1,0))</f>
        <v>1</v>
      </c>
      <c r="P16" s="4">
        <f>+IF(FORM!P16="AM Y PM",1,IF(FORM!P16="AM",1,0))</f>
        <v>1</v>
      </c>
      <c r="Q16" s="4">
        <f>+IF(FORM!Q16="AM Y PM",1,IF(FORM!Q16="AM",1,0))</f>
        <v>0</v>
      </c>
      <c r="R16" s="4">
        <f>+IF(FORM!R16="AM Y PM",1,IF(FORM!R16="AM",1,0))</f>
        <v>0</v>
      </c>
      <c r="S16" s="4">
        <f>+IF(FORM!S16="AM Y PM",1,IF(FORM!S16="AM",1,0))</f>
        <v>0</v>
      </c>
      <c r="T16" s="4">
        <f>+IF(FORM!T16="AM Y PM",1,IF(FORM!T16="AM",1,0))</f>
        <v>0</v>
      </c>
      <c r="U16" s="4">
        <f>+IF(FORM!U16="AM Y PM",1,IF(FORM!U16="AM",1,0))</f>
        <v>1</v>
      </c>
      <c r="V16" s="4">
        <f>+IF(FORM!V16="AM Y PM",1,IF(FORM!V16="AM",1,0))</f>
        <v>1</v>
      </c>
      <c r="W16" s="4">
        <f>+IF(FORM!W16="AM Y PM",1,IF(FORM!W16="AM",1,0))</f>
        <v>1</v>
      </c>
      <c r="X16" s="4">
        <f>+IF(FORM!X16="AM Y PM",1,IF(FORM!X16="AM",1,0))</f>
        <v>1</v>
      </c>
      <c r="Y16" s="4">
        <f>+IF(FORM!Y16="AM Y PM",1,IF(FORM!Y16="AM",1,0))</f>
        <v>1</v>
      </c>
      <c r="Z16" s="4">
        <f>+IF(FORM!Z16="AM Y PM",1,IF(FORM!Z16="AM",1,0))</f>
        <v>0</v>
      </c>
      <c r="AA16" s="4">
        <f>+IF(FORM!AA16="AM Y PM",1,IF(FORM!AA16="AM",1,0))</f>
        <v>1</v>
      </c>
      <c r="AB16" s="4">
        <f>+IF(FORM!AB16="AM Y PM",1,IF(FORM!AB16="AM",1,0))</f>
        <v>1</v>
      </c>
      <c r="AC16" s="4">
        <f>+IF(FORM!AC16="AM Y PM",1,IF(FORM!AC16="AM",1,0))</f>
        <v>1</v>
      </c>
      <c r="AD16" s="4">
        <f>+IF(FORM!AD16="AM Y PM",1,IF(FORM!AD16="AM",1,0))</f>
        <v>1</v>
      </c>
      <c r="AE16" s="4">
        <f>+IF(FORM!AE16="AM Y PM",1,IF(FORM!AE16="AM",1,0))</f>
        <v>0</v>
      </c>
      <c r="AF16" s="4">
        <f>+IF(FORM!AF16="AM Y PM",1,IF(FORM!AF16="AM",1,0))</f>
        <v>0</v>
      </c>
    </row>
    <row r="17" spans="1:32" ht="18.75" customHeight="1" x14ac:dyDescent="0.25">
      <c r="A17" s="5" t="s">
        <v>68</v>
      </c>
      <c r="B17" s="4">
        <f>+IF(FORM!B17="AM Y PM",1,IF(FORM!B17="AM",1,0))</f>
        <v>0</v>
      </c>
      <c r="C17" s="4">
        <f>+IF(FORM!C17="AM Y PM",1,IF(FORM!C17="AM",1,0))</f>
        <v>0</v>
      </c>
      <c r="D17" s="4">
        <f>+IF(FORM!D17="AM Y PM",1,IF(FORM!D17="AM",1,0))</f>
        <v>0</v>
      </c>
      <c r="E17" s="4">
        <f>+IF(FORM!E17="AM Y PM",1,IF(FORM!E17="AM",1,0))</f>
        <v>0</v>
      </c>
      <c r="F17" s="4">
        <f>+IF(FORM!F17="AM Y PM",1,IF(FORM!F17="AM",1,0))</f>
        <v>0</v>
      </c>
      <c r="G17" s="4">
        <f>+IF(FORM!G17="AM Y PM",1,IF(FORM!G17="AM",1,0))</f>
        <v>0</v>
      </c>
      <c r="H17" s="4">
        <f>+IF(FORM!H17="AM Y PM",1,IF(FORM!H17="AM",1,0))</f>
        <v>0</v>
      </c>
      <c r="I17" s="4">
        <f>+IF(FORM!I17="AM Y PM",1,IF(FORM!I17="AM",1,0))</f>
        <v>0</v>
      </c>
      <c r="J17" s="4">
        <f>+IF(FORM!J17="AM Y PM",1,IF(FORM!J17="AM",1,0))</f>
        <v>0</v>
      </c>
      <c r="K17" s="4">
        <f>+IF(FORM!K17="AM Y PM",1,IF(FORM!K17="AM",1,0))</f>
        <v>0</v>
      </c>
      <c r="L17" s="4">
        <f>+IF(FORM!L17="AM Y PM",1,IF(FORM!L17="AM",1,0))</f>
        <v>0</v>
      </c>
      <c r="M17" s="4">
        <f>+IF(FORM!M17="AM Y PM",1,IF(FORM!M17="AM",1,0))</f>
        <v>0</v>
      </c>
      <c r="N17" s="4">
        <f>+IF(FORM!N17="AM Y PM",1,IF(FORM!N17="AM",1,0))</f>
        <v>0</v>
      </c>
      <c r="O17" s="4">
        <f>+IF(FORM!O17="AM Y PM",1,IF(FORM!O17="AM",1,0))</f>
        <v>0</v>
      </c>
      <c r="P17" s="4">
        <f>+IF(FORM!P17="AM Y PM",1,IF(FORM!P17="AM",1,0))</f>
        <v>0</v>
      </c>
      <c r="Q17" s="4">
        <f>+IF(FORM!Q17="AM Y PM",1,IF(FORM!Q17="AM",1,0))</f>
        <v>0</v>
      </c>
      <c r="R17" s="4">
        <f>+IF(FORM!R17="AM Y PM",1,IF(FORM!R17="AM",1,0))</f>
        <v>0</v>
      </c>
      <c r="S17" s="4">
        <f>+IF(FORM!S17="AM Y PM",1,IF(FORM!S17="AM",1,0))</f>
        <v>0</v>
      </c>
      <c r="T17" s="4">
        <f>+IF(FORM!T17="AM Y PM",1,IF(FORM!T17="AM",1,0))</f>
        <v>0</v>
      </c>
      <c r="U17" s="4">
        <f>+IF(FORM!U17="AM Y PM",1,IF(FORM!U17="AM",1,0))</f>
        <v>0</v>
      </c>
      <c r="V17" s="4">
        <f>+IF(FORM!V17="AM Y PM",1,IF(FORM!V17="AM",1,0))</f>
        <v>0</v>
      </c>
      <c r="W17" s="4">
        <f>+IF(FORM!W17="AM Y PM",1,IF(FORM!W17="AM",1,0))</f>
        <v>0</v>
      </c>
      <c r="X17" s="4">
        <f>+IF(FORM!X17="AM Y PM",1,IF(FORM!X17="AM",1,0))</f>
        <v>0</v>
      </c>
      <c r="Y17" s="4">
        <f>+IF(FORM!Y17="AM Y PM",1,IF(FORM!Y17="AM",1,0))</f>
        <v>0</v>
      </c>
      <c r="Z17" s="4">
        <f>+IF(FORM!Z17="AM Y PM",1,IF(FORM!Z17="AM",1,0))</f>
        <v>0</v>
      </c>
      <c r="AA17" s="4">
        <f>+IF(FORM!AA17="AM Y PM",1,IF(FORM!AA17="AM",1,0))</f>
        <v>0</v>
      </c>
      <c r="AB17" s="4">
        <f>+IF(FORM!AB17="AM Y PM",1,IF(FORM!AB17="AM",1,0))</f>
        <v>0</v>
      </c>
      <c r="AC17" s="4">
        <f>+IF(FORM!AC17="AM Y PM",1,IF(FORM!AC17="AM",1,0))</f>
        <v>0</v>
      </c>
      <c r="AD17" s="4">
        <f>+IF(FORM!AD17="AM Y PM",1,IF(FORM!AD17="AM",1,0))</f>
        <v>0</v>
      </c>
      <c r="AE17" s="4">
        <f>+IF(FORM!AE17="AM Y PM",1,IF(FORM!AE17="AM",1,0))</f>
        <v>0</v>
      </c>
      <c r="AF17" s="4">
        <f>+IF(FORM!AF17="AM Y PM",1,IF(FORM!AF17="AM",1,0))</f>
        <v>0</v>
      </c>
    </row>
    <row r="18" spans="1:32" ht="18.75" customHeight="1" x14ac:dyDescent="0.25">
      <c r="A18" s="5" t="s">
        <v>69</v>
      </c>
      <c r="B18" s="4">
        <f>+IF(FORM!B18="AM Y PM",1,IF(FORM!B18="AM",1,0))</f>
        <v>0</v>
      </c>
      <c r="C18" s="4">
        <f>+IF(FORM!C18="AM Y PM",1,IF(FORM!C18="AM",1,0))</f>
        <v>0</v>
      </c>
      <c r="D18" s="4">
        <f>+IF(FORM!D18="AM Y PM",1,IF(FORM!D18="AM",1,0))</f>
        <v>0</v>
      </c>
      <c r="E18" s="4">
        <f>+IF(FORM!E18="AM Y PM",1,IF(FORM!E18="AM",1,0))</f>
        <v>0</v>
      </c>
      <c r="F18" s="4">
        <f>+IF(FORM!F18="AM Y PM",1,IF(FORM!F18="AM",1,0))</f>
        <v>0</v>
      </c>
      <c r="G18" s="4">
        <f>+IF(FORM!G18="AM Y PM",1,IF(FORM!G18="AM",1,0))</f>
        <v>1</v>
      </c>
      <c r="H18" s="4">
        <f>+IF(FORM!H18="AM Y PM",1,IF(FORM!H18="AM",1,0))</f>
        <v>0</v>
      </c>
      <c r="I18" s="4">
        <f>+IF(FORM!I18="AM Y PM",1,IF(FORM!I18="AM",1,0))</f>
        <v>1</v>
      </c>
      <c r="J18" s="4">
        <f>+IF(FORM!J18="AM Y PM",1,IF(FORM!J18="AM",1,0))</f>
        <v>0</v>
      </c>
      <c r="K18" s="4">
        <f>+IF(FORM!K18="AM Y PM",1,IF(FORM!K18="AM",1,0))</f>
        <v>0</v>
      </c>
      <c r="L18" s="4">
        <f>+IF(FORM!L18="AM Y PM",1,IF(FORM!L18="AM",1,0))</f>
        <v>0</v>
      </c>
      <c r="M18" s="4">
        <f>+IF(FORM!M18="AM Y PM",1,IF(FORM!M18="AM",1,0))</f>
        <v>0</v>
      </c>
      <c r="N18" s="4">
        <f>+IF(FORM!N18="AM Y PM",1,IF(FORM!N18="AM",1,0))</f>
        <v>0</v>
      </c>
      <c r="O18" s="4">
        <f>+IF(FORM!O18="AM Y PM",1,IF(FORM!O18="AM",1,0))</f>
        <v>0</v>
      </c>
      <c r="P18" s="4">
        <f>+IF(FORM!P18="AM Y PM",1,IF(FORM!P18="AM",1,0))</f>
        <v>1</v>
      </c>
      <c r="Q18" s="4">
        <f>+IF(FORM!Q18="AM Y PM",1,IF(FORM!Q18="AM",1,0))</f>
        <v>0</v>
      </c>
      <c r="R18" s="4">
        <f>+IF(FORM!R18="AM Y PM",1,IF(FORM!R18="AM",1,0))</f>
        <v>0</v>
      </c>
      <c r="S18" s="4">
        <f>+IF(FORM!S18="AM Y PM",1,IF(FORM!S18="AM",1,0))</f>
        <v>0</v>
      </c>
      <c r="T18" s="4">
        <f>+IF(FORM!T18="AM Y PM",1,IF(FORM!T18="AM",1,0))</f>
        <v>1</v>
      </c>
      <c r="U18" s="4">
        <f>+IF(FORM!U18="AM Y PM",1,IF(FORM!U18="AM",1,0))</f>
        <v>1</v>
      </c>
      <c r="V18" s="4">
        <f>+IF(FORM!V18="AM Y PM",1,IF(FORM!V18="AM",1,0))</f>
        <v>0</v>
      </c>
      <c r="W18" s="4">
        <f>+IF(FORM!W18="AM Y PM",1,IF(FORM!W18="AM",1,0))</f>
        <v>0</v>
      </c>
      <c r="X18" s="4">
        <f>+IF(FORM!X18="AM Y PM",1,IF(FORM!X18="AM",1,0))</f>
        <v>0</v>
      </c>
      <c r="Y18" s="4">
        <f>+IF(FORM!Y18="AM Y PM",1,IF(FORM!Y18="AM",1,0))</f>
        <v>0</v>
      </c>
      <c r="Z18" s="4">
        <f>+IF(FORM!Z18="AM Y PM",1,IF(FORM!Z18="AM",1,0))</f>
        <v>0</v>
      </c>
      <c r="AA18" s="4">
        <f>+IF(FORM!AA18="AM Y PM",1,IF(FORM!AA18="AM",1,0))</f>
        <v>0</v>
      </c>
      <c r="AB18" s="4">
        <f>+IF(FORM!AB18="AM Y PM",1,IF(FORM!AB18="AM",1,0))</f>
        <v>1</v>
      </c>
      <c r="AC18" s="4">
        <f>+IF(FORM!AC18="AM Y PM",1,IF(FORM!AC18="AM",1,0))</f>
        <v>0</v>
      </c>
      <c r="AD18" s="4">
        <f>+IF(FORM!AD18="AM Y PM",1,IF(FORM!AD18="AM",1,0))</f>
        <v>1</v>
      </c>
      <c r="AE18" s="4">
        <f>+IF(FORM!AE18="AM Y PM",1,IF(FORM!AE18="AM",1,0))</f>
        <v>0</v>
      </c>
      <c r="AF18" s="4">
        <f>+IF(FORM!AF18="AM Y PM",1,IF(FORM!AF18="AM",1,0))</f>
        <v>0</v>
      </c>
    </row>
    <row r="19" spans="1:32" ht="18.75" customHeight="1" x14ac:dyDescent="0.25">
      <c r="A19" s="5" t="s">
        <v>70</v>
      </c>
      <c r="B19" s="4">
        <f>+IF(FORM!B19="AM Y PM",1,IF(FORM!B19="AM",1,0))</f>
        <v>0</v>
      </c>
      <c r="C19" s="4">
        <f>+IF(FORM!C19="AM Y PM",1,IF(FORM!C19="AM",1,0))</f>
        <v>0</v>
      </c>
      <c r="D19" s="4">
        <f>+IF(FORM!D19="AM Y PM",1,IF(FORM!D19="AM",1,0))</f>
        <v>0</v>
      </c>
      <c r="E19" s="4">
        <f>+IF(FORM!E19="AM Y PM",1,IF(FORM!E19="AM",1,0))</f>
        <v>0</v>
      </c>
      <c r="F19" s="4">
        <f>+IF(FORM!F19="AM Y PM",1,IF(FORM!F19="AM",1,0))</f>
        <v>0</v>
      </c>
      <c r="G19" s="4">
        <f>+IF(FORM!G19="AM Y PM",1,IF(FORM!G19="AM",1,0))</f>
        <v>0</v>
      </c>
      <c r="H19" s="4">
        <f>+IF(FORM!H19="AM Y PM",1,IF(FORM!H19="AM",1,0))</f>
        <v>1</v>
      </c>
      <c r="I19" s="4">
        <f>+IF(FORM!I19="AM Y PM",1,IF(FORM!I19="AM",1,0))</f>
        <v>0</v>
      </c>
      <c r="J19" s="4">
        <f>+IF(FORM!J19="AM Y PM",1,IF(FORM!J19="AM",1,0))</f>
        <v>0</v>
      </c>
      <c r="K19" s="4">
        <f>+IF(FORM!K19="AM Y PM",1,IF(FORM!K19="AM",1,0))</f>
        <v>0</v>
      </c>
      <c r="L19" s="4">
        <f>+IF(FORM!L19="AM Y PM",1,IF(FORM!L19="AM",1,0))</f>
        <v>0</v>
      </c>
      <c r="M19" s="4">
        <f>+IF(FORM!M19="AM Y PM",1,IF(FORM!M19="AM",1,0))</f>
        <v>0</v>
      </c>
      <c r="N19" s="4">
        <f>+IF(FORM!N19="AM Y PM",1,IF(FORM!N19="AM",1,0))</f>
        <v>0</v>
      </c>
      <c r="O19" s="4">
        <f>+IF(FORM!O19="AM Y PM",1,IF(FORM!O19="AM",1,0))</f>
        <v>1</v>
      </c>
      <c r="P19" s="4">
        <f>+IF(FORM!P19="AM Y PM",1,IF(FORM!P19="AM",1,0))</f>
        <v>0</v>
      </c>
      <c r="Q19" s="4">
        <f>+IF(FORM!Q19="AM Y PM",1,IF(FORM!Q19="AM",1,0))</f>
        <v>0</v>
      </c>
      <c r="R19" s="4">
        <f>+IF(FORM!R19="AM Y PM",1,IF(FORM!R19="AM",1,0))</f>
        <v>0</v>
      </c>
      <c r="S19" s="4">
        <f>+IF(FORM!S19="AM Y PM",1,IF(FORM!S19="AM",1,0))</f>
        <v>0</v>
      </c>
      <c r="T19" s="4">
        <f>+IF(FORM!T19="AM Y PM",1,IF(FORM!T19="AM",1,0))</f>
        <v>0</v>
      </c>
      <c r="U19" s="4">
        <f>+IF(FORM!U19="AM Y PM",1,IF(FORM!U19="AM",1,0))</f>
        <v>0</v>
      </c>
      <c r="V19" s="4">
        <f>+IF(FORM!V19="AM Y PM",1,IF(FORM!V19="AM",1,0))</f>
        <v>1</v>
      </c>
      <c r="W19" s="4">
        <f>+IF(FORM!W19="AM Y PM",1,IF(FORM!W19="AM",1,0))</f>
        <v>0</v>
      </c>
      <c r="X19" s="4">
        <f>+IF(FORM!X19="AM Y PM",1,IF(FORM!X19="AM",1,0))</f>
        <v>0</v>
      </c>
      <c r="Y19" s="4">
        <f>+IF(FORM!Y19="AM Y PM",1,IF(FORM!Y19="AM",1,0))</f>
        <v>0</v>
      </c>
      <c r="Z19" s="4">
        <f>+IF(FORM!Z19="AM Y PM",1,IF(FORM!Z19="AM",1,0))</f>
        <v>0</v>
      </c>
      <c r="AA19" s="4">
        <f>+IF(FORM!AA19="AM Y PM",1,IF(FORM!AA19="AM",1,0))</f>
        <v>0</v>
      </c>
      <c r="AB19" s="4">
        <f>+IF(FORM!AB19="AM Y PM",1,IF(FORM!AB19="AM",1,0))</f>
        <v>0</v>
      </c>
      <c r="AC19" s="4">
        <f>+IF(FORM!AC19="AM Y PM",1,IF(FORM!AC19="AM",1,0))</f>
        <v>1</v>
      </c>
      <c r="AD19" s="4">
        <f>+IF(FORM!AD19="AM Y PM",1,IF(FORM!AD19="AM",1,0))</f>
        <v>0</v>
      </c>
      <c r="AE19" s="4">
        <f>+IF(FORM!AE19="AM Y PM",1,IF(FORM!AE19="AM",1,0))</f>
        <v>0</v>
      </c>
      <c r="AF19" s="4">
        <f>+IF(FORM!AF19="AM Y PM",1,IF(FORM!AF19="AM",1,0))</f>
        <v>0</v>
      </c>
    </row>
    <row r="20" spans="1:32" ht="18.75" customHeight="1" x14ac:dyDescent="0.25">
      <c r="A20" s="5" t="s">
        <v>71</v>
      </c>
      <c r="B20" s="4">
        <f>+IF(FORM!B20="AM Y PM",1,IF(FORM!B20="AM",1,0))</f>
        <v>0</v>
      </c>
      <c r="C20" s="4">
        <f>+IF(FORM!C20="AM Y PM",1,IF(FORM!C20="AM",1,0))</f>
        <v>0</v>
      </c>
      <c r="D20" s="4">
        <f>+IF(FORM!D20="AM Y PM",1,IF(FORM!D20="AM",1,0))</f>
        <v>0</v>
      </c>
      <c r="E20" s="4">
        <f>+IF(FORM!E20="AM Y PM",1,IF(FORM!E20="AM",1,0))</f>
        <v>0</v>
      </c>
      <c r="F20" s="4">
        <f>+IF(FORM!F20="AM Y PM",1,IF(FORM!F20="AM",1,0))</f>
        <v>0</v>
      </c>
      <c r="G20" s="4">
        <f>+IF(FORM!G20="AM Y PM",1,IF(FORM!G20="AM",1,0))</f>
        <v>0</v>
      </c>
      <c r="H20" s="4">
        <f>+IF(FORM!H20="AM Y PM",1,IF(FORM!H20="AM",1,0))</f>
        <v>0</v>
      </c>
      <c r="I20" s="4">
        <f>+IF(FORM!I20="AM Y PM",1,IF(FORM!I20="AM",1,0))</f>
        <v>0</v>
      </c>
      <c r="J20" s="4">
        <f>+IF(FORM!J20="AM Y PM",1,IF(FORM!J20="AM",1,0))</f>
        <v>1</v>
      </c>
      <c r="K20" s="4">
        <f>+IF(FORM!K20="AM Y PM",1,IF(FORM!K20="AM",1,0))</f>
        <v>0</v>
      </c>
      <c r="L20" s="4">
        <f>+IF(FORM!L20="AM Y PM",1,IF(FORM!L20="AM",1,0))</f>
        <v>0</v>
      </c>
      <c r="M20" s="4">
        <f>+IF(FORM!M20="AM Y PM",1,IF(FORM!M20="AM",1,0))</f>
        <v>0</v>
      </c>
      <c r="N20" s="4">
        <f>+IF(FORM!N20="AM Y PM",1,IF(FORM!N20="AM",1,0))</f>
        <v>1</v>
      </c>
      <c r="O20" s="4">
        <f>+IF(FORM!O20="AM Y PM",1,IF(FORM!O20="AM",1,0))</f>
        <v>0</v>
      </c>
      <c r="P20" s="4">
        <f>+IF(FORM!P20="AM Y PM",1,IF(FORM!P20="AM",1,0))</f>
        <v>0</v>
      </c>
      <c r="Q20" s="4">
        <f>+IF(FORM!Q20="AM Y PM",1,IF(FORM!Q20="AM",1,0))</f>
        <v>1</v>
      </c>
      <c r="R20" s="4">
        <f>+IF(FORM!R20="AM Y PM",1,IF(FORM!R20="AM",1,0))</f>
        <v>0</v>
      </c>
      <c r="S20" s="4">
        <f>+IF(FORM!S20="AM Y PM",1,IF(FORM!S20="AM",1,0))</f>
        <v>0</v>
      </c>
      <c r="T20" s="4">
        <f>+IF(FORM!T20="AM Y PM",1,IF(FORM!T20="AM",1,0))</f>
        <v>0</v>
      </c>
      <c r="U20" s="4">
        <f>+IF(FORM!U20="AM Y PM",1,IF(FORM!U20="AM",1,0))</f>
        <v>0</v>
      </c>
      <c r="V20" s="4">
        <f>+IF(FORM!V20="AM Y PM",1,IF(FORM!V20="AM",1,0))</f>
        <v>0</v>
      </c>
      <c r="W20" s="4">
        <f>+IF(FORM!W20="AM Y PM",1,IF(FORM!W20="AM",1,0))</f>
        <v>0</v>
      </c>
      <c r="X20" s="4">
        <f>+IF(FORM!X20="AM Y PM",1,IF(FORM!X20="AM",1,0))</f>
        <v>1</v>
      </c>
      <c r="Y20" s="4">
        <f>+IF(FORM!Y20="AM Y PM",1,IF(FORM!Y20="AM",1,0))</f>
        <v>0</v>
      </c>
      <c r="Z20" s="4">
        <f>+IF(FORM!Z20="AM Y PM",1,IF(FORM!Z20="AM",1,0))</f>
        <v>0</v>
      </c>
      <c r="AA20" s="4">
        <f>+IF(FORM!AA20="AM Y PM",1,IF(FORM!AA20="AM",1,0))</f>
        <v>0</v>
      </c>
      <c r="AB20" s="4">
        <f>+IF(FORM!AB20="AM Y PM",1,IF(FORM!AB20="AM",1,0))</f>
        <v>1</v>
      </c>
      <c r="AC20" s="4">
        <f>+IF(FORM!AC20="AM Y PM",1,IF(FORM!AC20="AM",1,0))</f>
        <v>0</v>
      </c>
      <c r="AD20" s="4">
        <f>+IF(FORM!AD20="AM Y PM",1,IF(FORM!AD20="AM",1,0))</f>
        <v>0</v>
      </c>
      <c r="AE20" s="4">
        <f>+IF(FORM!AE20="AM Y PM",1,IF(FORM!AE20="AM",1,0))</f>
        <v>1</v>
      </c>
      <c r="AF20" s="4">
        <f>+IF(FORM!AF20="AM Y PM",1,IF(FORM!AF20="AM",1,0))</f>
        <v>0</v>
      </c>
    </row>
    <row r="21" spans="1:32" ht="18.75" customHeight="1" x14ac:dyDescent="0.25">
      <c r="A21" s="5" t="s">
        <v>72</v>
      </c>
      <c r="B21" s="4">
        <f>+IF(FORM!B21="AM Y PM",1,IF(FORM!B21="AM",1,0))</f>
        <v>0</v>
      </c>
      <c r="C21" s="4">
        <f>+IF(FORM!C21="AM Y PM",1,IF(FORM!C21="AM",1,0))</f>
        <v>0</v>
      </c>
      <c r="D21" s="4">
        <f>+IF(FORM!D21="AM Y PM",1,IF(FORM!D21="AM",1,0))</f>
        <v>0</v>
      </c>
      <c r="E21" s="4">
        <f>+IF(FORM!E21="AM Y PM",1,IF(FORM!E21="AM",1,0))</f>
        <v>0</v>
      </c>
      <c r="F21" s="4">
        <f>+IF(FORM!F21="AM Y PM",1,IF(FORM!F21="AM",1,0))</f>
        <v>0</v>
      </c>
      <c r="G21" s="4">
        <f>+IF(FORM!G21="AM Y PM",1,IF(FORM!G21="AM",1,0))</f>
        <v>0</v>
      </c>
      <c r="H21" s="4">
        <f>+IF(FORM!H21="AM Y PM",1,IF(FORM!H21="AM",1,0))</f>
        <v>1</v>
      </c>
      <c r="I21" s="4">
        <f>+IF(FORM!I21="AM Y PM",1,IF(FORM!I21="AM",1,0))</f>
        <v>1</v>
      </c>
      <c r="J21" s="4">
        <f>+IF(FORM!J21="AM Y PM",1,IF(FORM!J21="AM",1,0))</f>
        <v>1</v>
      </c>
      <c r="K21" s="4">
        <f>+IF(FORM!K21="AM Y PM",1,IF(FORM!K21="AM",1,0))</f>
        <v>1</v>
      </c>
      <c r="L21" s="4">
        <f>+IF(FORM!L21="AM Y PM",1,IF(FORM!L21="AM",1,0))</f>
        <v>0</v>
      </c>
      <c r="M21" s="4">
        <f>+IF(FORM!M21="AM Y PM",1,IF(FORM!M21="AM",1,0))</f>
        <v>0</v>
      </c>
      <c r="N21" s="4">
        <f>+IF(FORM!N21="AM Y PM",1,IF(FORM!N21="AM",1,0))</f>
        <v>1</v>
      </c>
      <c r="O21" s="4">
        <f>+IF(FORM!O21="AM Y PM",1,IF(FORM!O21="AM",1,0))</f>
        <v>1</v>
      </c>
      <c r="P21" s="4">
        <f>+IF(FORM!P21="AM Y PM",1,IF(FORM!P21="AM",1,0))</f>
        <v>1</v>
      </c>
      <c r="Q21" s="4">
        <f>+IF(FORM!Q21="AM Y PM",1,IF(FORM!Q21="AM",1,0))</f>
        <v>1</v>
      </c>
      <c r="R21" s="4">
        <f>+IF(FORM!R21="AM Y PM",1,IF(FORM!R21="AM",1,0))</f>
        <v>1</v>
      </c>
      <c r="S21" s="4">
        <f>+IF(FORM!S21="AM Y PM",1,IF(FORM!S21="AM",1,0))</f>
        <v>0</v>
      </c>
      <c r="T21" s="4">
        <f>+IF(FORM!T21="AM Y PM",1,IF(FORM!T21="AM",1,0))</f>
        <v>1</v>
      </c>
      <c r="U21" s="4">
        <f>+IF(FORM!U21="AM Y PM",1,IF(FORM!U21="AM",1,0))</f>
        <v>1</v>
      </c>
      <c r="V21" s="4">
        <f>+IF(FORM!V21="AM Y PM",1,IF(FORM!V21="AM",1,0))</f>
        <v>1</v>
      </c>
      <c r="W21" s="4">
        <f>+IF(FORM!W21="AM Y PM",1,IF(FORM!W21="AM",1,0))</f>
        <v>1</v>
      </c>
      <c r="X21" s="4">
        <f>+IF(FORM!X21="AM Y PM",1,IF(FORM!X21="AM",1,0))</f>
        <v>1</v>
      </c>
      <c r="Y21" s="4">
        <f>+IF(FORM!Y21="AM Y PM",1,IF(FORM!Y21="AM",1,0))</f>
        <v>1</v>
      </c>
      <c r="Z21" s="4">
        <f>+IF(FORM!Z21="AM Y PM",1,IF(FORM!Z21="AM",1,0))</f>
        <v>0</v>
      </c>
      <c r="AA21" s="4">
        <f>+IF(FORM!AA21="AM Y PM",1,IF(FORM!AA21="AM",1,0))</f>
        <v>1</v>
      </c>
      <c r="AB21" s="4">
        <f>+IF(FORM!AB21="AM Y PM",1,IF(FORM!AB21="AM",1,0))</f>
        <v>1</v>
      </c>
      <c r="AC21" s="4">
        <f>+IF(FORM!AC21="AM Y PM",1,IF(FORM!AC21="AM",1,0))</f>
        <v>1</v>
      </c>
      <c r="AD21" s="4">
        <f>+IF(FORM!AD21="AM Y PM",1,IF(FORM!AD21="AM",1,0))</f>
        <v>1</v>
      </c>
      <c r="AE21" s="4">
        <f>+IF(FORM!AE21="AM Y PM",1,IF(FORM!AE21="AM",1,0))</f>
        <v>1</v>
      </c>
      <c r="AF21" s="4">
        <f>+IF(FORM!AF21="AM Y PM",1,IF(FORM!AF21="AM",1,0))</f>
        <v>1</v>
      </c>
    </row>
    <row r="22" spans="1:32" ht="18.75" customHeight="1" x14ac:dyDescent="0.25">
      <c r="A22" s="5" t="s">
        <v>73</v>
      </c>
      <c r="B22" s="4">
        <f>+IF(FORM!B22="AM Y PM",1,IF(FORM!B22="AM",1,0))</f>
        <v>0</v>
      </c>
      <c r="C22" s="4">
        <f>+IF(FORM!C22="AM Y PM",1,IF(FORM!C22="AM",1,0))</f>
        <v>0</v>
      </c>
      <c r="D22" s="4">
        <f>+IF(FORM!D22="AM Y PM",1,IF(FORM!D22="AM",1,0))</f>
        <v>0</v>
      </c>
      <c r="E22" s="4">
        <f>+IF(FORM!E22="AM Y PM",1,IF(FORM!E22="AM",1,0))</f>
        <v>0</v>
      </c>
      <c r="F22" s="4">
        <f>+IF(FORM!F22="AM Y PM",1,IF(FORM!F22="AM",1,0))</f>
        <v>0</v>
      </c>
      <c r="G22" s="4">
        <f>+IF(FORM!G22="AM Y PM",1,IF(FORM!G22="AM",1,0))</f>
        <v>0</v>
      </c>
      <c r="H22" s="4">
        <f>+IF(FORM!H22="AM Y PM",1,IF(FORM!H22="AM",1,0))</f>
        <v>0</v>
      </c>
      <c r="I22" s="4">
        <f>+IF(FORM!I22="AM Y PM",1,IF(FORM!I22="AM",1,0))</f>
        <v>0</v>
      </c>
      <c r="J22" s="4">
        <f>+IF(FORM!J22="AM Y PM",1,IF(FORM!J22="AM",1,0))</f>
        <v>0</v>
      </c>
      <c r="K22" s="4">
        <f>+IF(FORM!K22="AM Y PM",1,IF(FORM!K22="AM",1,0))</f>
        <v>0</v>
      </c>
      <c r="L22" s="4">
        <f>+IF(FORM!L22="AM Y PM",1,IF(FORM!L22="AM",1,0))</f>
        <v>0</v>
      </c>
      <c r="M22" s="4">
        <f>+IF(FORM!M22="AM Y PM",1,IF(FORM!M22="AM",1,0))</f>
        <v>0</v>
      </c>
      <c r="N22" s="4">
        <f>+IF(FORM!N22="AM Y PM",1,IF(FORM!N22="AM",1,0))</f>
        <v>1</v>
      </c>
      <c r="O22" s="4">
        <f>+IF(FORM!O22="AM Y PM",1,IF(FORM!O22="AM",1,0))</f>
        <v>1</v>
      </c>
      <c r="P22" s="4">
        <f>+IF(FORM!P22="AM Y PM",1,IF(FORM!P22="AM",1,0))</f>
        <v>1</v>
      </c>
      <c r="Q22" s="4">
        <f>+IF(FORM!Q22="AM Y PM",1,IF(FORM!Q22="AM",1,0))</f>
        <v>1</v>
      </c>
      <c r="R22" s="4">
        <f>+IF(FORM!R22="AM Y PM",1,IF(FORM!R22="AM",1,0))</f>
        <v>1</v>
      </c>
      <c r="S22" s="4">
        <f>+IF(FORM!S22="AM Y PM",1,IF(FORM!S22="AM",1,0))</f>
        <v>0</v>
      </c>
      <c r="T22" s="4">
        <f>+IF(FORM!T22="AM Y PM",1,IF(FORM!T22="AM",1,0))</f>
        <v>1</v>
      </c>
      <c r="U22" s="4">
        <f>+IF(FORM!U22="AM Y PM",1,IF(FORM!U22="AM",1,0))</f>
        <v>1</v>
      </c>
      <c r="V22" s="4">
        <f>+IF(FORM!V22="AM Y PM",1,IF(FORM!V22="AM",1,0))</f>
        <v>1</v>
      </c>
      <c r="W22" s="4">
        <f>+IF(FORM!W22="AM Y PM",1,IF(FORM!W22="AM",1,0))</f>
        <v>0</v>
      </c>
      <c r="X22" s="4">
        <f>+IF(FORM!X22="AM Y PM",1,IF(FORM!X22="AM",1,0))</f>
        <v>0</v>
      </c>
      <c r="Y22" s="4">
        <f>+IF(FORM!Y22="AM Y PM",1,IF(FORM!Y22="AM",1,0))</f>
        <v>1</v>
      </c>
      <c r="Z22" s="4">
        <f>+IF(FORM!Z22="AM Y PM",1,IF(FORM!Z22="AM",1,0))</f>
        <v>0</v>
      </c>
      <c r="AA22" s="4">
        <f>+IF(FORM!AA22="AM Y PM",1,IF(FORM!AA22="AM",1,0))</f>
        <v>1</v>
      </c>
      <c r="AB22" s="4">
        <f>+IF(FORM!AB22="AM Y PM",1,IF(FORM!AB22="AM",1,0))</f>
        <v>1</v>
      </c>
      <c r="AC22" s="4">
        <f>+IF(FORM!AC22="AM Y PM",1,IF(FORM!AC22="AM",1,0))</f>
        <v>1</v>
      </c>
      <c r="AD22" s="4">
        <f>+IF(FORM!AD22="AM Y PM",1,IF(FORM!AD22="AM",1,0))</f>
        <v>1</v>
      </c>
      <c r="AE22" s="4">
        <f>+IF(FORM!AE22="AM Y PM",1,IF(FORM!AE22="AM",1,0))</f>
        <v>1</v>
      </c>
      <c r="AF22" s="4">
        <f>+IF(FORM!AF22="AM Y PM",1,IF(FORM!AF22="AM",1,0))</f>
        <v>1</v>
      </c>
    </row>
    <row r="23" spans="1:32" ht="18.75" customHeight="1" x14ac:dyDescent="0.25">
      <c r="A23" s="5" t="s">
        <v>74</v>
      </c>
      <c r="B23" s="4">
        <f>+IF(FORM!B23="AM Y PM",1,IF(FORM!B23="AM",1,0))</f>
        <v>0</v>
      </c>
      <c r="C23" s="4">
        <f>+IF(FORM!C23="AM Y PM",1,IF(FORM!C23="AM",1,0))</f>
        <v>0</v>
      </c>
      <c r="D23" s="4">
        <f>+IF(FORM!D23="AM Y PM",1,IF(FORM!D23="AM",1,0))</f>
        <v>0</v>
      </c>
      <c r="E23" s="4">
        <f>+IF(FORM!E23="AM Y PM",1,IF(FORM!E23="AM",1,0))</f>
        <v>0</v>
      </c>
      <c r="F23" s="4">
        <f>+IF(FORM!F23="AM Y PM",1,IF(FORM!F23="AM",1,0))</f>
        <v>0</v>
      </c>
      <c r="G23" s="4">
        <f>+IF(FORM!G23="AM Y PM",1,IF(FORM!G23="AM",1,0))</f>
        <v>0</v>
      </c>
      <c r="H23" s="4">
        <f>+IF(FORM!H23="AM Y PM",1,IF(FORM!H23="AM",1,0))</f>
        <v>0</v>
      </c>
      <c r="I23" s="4">
        <f>+IF(FORM!I23="AM Y PM",1,IF(FORM!I23="AM",1,0))</f>
        <v>0</v>
      </c>
      <c r="J23" s="4">
        <f>+IF(FORM!J23="AM Y PM",1,IF(FORM!J23="AM",1,0))</f>
        <v>0</v>
      </c>
      <c r="K23" s="4">
        <f>+IF(FORM!K23="AM Y PM",1,IF(FORM!K23="AM",1,0))</f>
        <v>0</v>
      </c>
      <c r="L23" s="4">
        <f>+IF(FORM!L23="AM Y PM",1,IF(FORM!L23="AM",1,0))</f>
        <v>0</v>
      </c>
      <c r="M23" s="4">
        <f>+IF(FORM!M23="AM Y PM",1,IF(FORM!M23="AM",1,0))</f>
        <v>0</v>
      </c>
      <c r="N23" s="4">
        <f>+IF(FORM!N23="AM Y PM",1,IF(FORM!N23="AM",1,0))</f>
        <v>0</v>
      </c>
      <c r="O23" s="4">
        <f>+IF(FORM!O23="AM Y PM",1,IF(FORM!O23="AM",1,0))</f>
        <v>1</v>
      </c>
      <c r="P23" s="4">
        <f>+IF(FORM!P23="AM Y PM",1,IF(FORM!P23="AM",1,0))</f>
        <v>1</v>
      </c>
      <c r="Q23" s="4">
        <f>+IF(FORM!Q23="AM Y PM",1,IF(FORM!Q23="AM",1,0))</f>
        <v>1</v>
      </c>
      <c r="R23" s="4">
        <f>+IF(FORM!R23="AM Y PM",1,IF(FORM!R23="AM",1,0))</f>
        <v>1</v>
      </c>
      <c r="S23" s="4">
        <f>+IF(FORM!S23="AM Y PM",1,IF(FORM!S23="AM",1,0))</f>
        <v>0</v>
      </c>
      <c r="T23" s="4">
        <f>+IF(FORM!T23="AM Y PM",1,IF(FORM!T23="AM",1,0))</f>
        <v>1</v>
      </c>
      <c r="U23" s="4">
        <f>+IF(FORM!U23="AM Y PM",1,IF(FORM!U23="AM",1,0))</f>
        <v>1</v>
      </c>
      <c r="V23" s="4">
        <f>+IF(FORM!V23="AM Y PM",1,IF(FORM!V23="AM",1,0))</f>
        <v>1</v>
      </c>
      <c r="W23" s="4">
        <f>+IF(FORM!W23="AM Y PM",1,IF(FORM!W23="AM",1,0))</f>
        <v>1</v>
      </c>
      <c r="X23" s="4">
        <f>+IF(FORM!X23="AM Y PM",1,IF(FORM!X23="AM",1,0))</f>
        <v>1</v>
      </c>
      <c r="Y23" s="4">
        <f>+IF(FORM!Y23="AM Y PM",1,IF(FORM!Y23="AM",1,0))</f>
        <v>0</v>
      </c>
      <c r="Z23" s="4">
        <f>+IF(FORM!Z23="AM Y PM",1,IF(FORM!Z23="AM",1,0))</f>
        <v>0</v>
      </c>
      <c r="AA23" s="4">
        <f>+IF(FORM!AA23="AM Y PM",1,IF(FORM!AA23="AM",1,0))</f>
        <v>1</v>
      </c>
      <c r="AB23" s="4">
        <f>+IF(FORM!AB23="AM Y PM",1,IF(FORM!AB23="AM",1,0))</f>
        <v>1</v>
      </c>
      <c r="AC23" s="4">
        <f>+IF(FORM!AC23="AM Y PM",1,IF(FORM!AC23="AM",1,0))</f>
        <v>1</v>
      </c>
      <c r="AD23" s="4">
        <f>+IF(FORM!AD23="AM Y PM",1,IF(FORM!AD23="AM",1,0))</f>
        <v>1</v>
      </c>
      <c r="AE23" s="4">
        <f>+IF(FORM!AE23="AM Y PM",1,IF(FORM!AE23="AM",1,0))</f>
        <v>1</v>
      </c>
      <c r="AF23" s="4">
        <f>+IF(FORM!AF23="AM Y PM",1,IF(FORM!AF23="AM",1,0))</f>
        <v>1</v>
      </c>
    </row>
    <row r="24" spans="1:32" ht="18.75" customHeight="1" x14ac:dyDescent="0.25">
      <c r="A24" s="5" t="s">
        <v>75</v>
      </c>
      <c r="B24" s="4">
        <f>+IF(FORM!B24="AM Y PM",1,IF(FORM!B24="AM",1,0))</f>
        <v>0</v>
      </c>
      <c r="C24" s="4">
        <f>+IF(FORM!C24="AM Y PM",1,IF(FORM!C24="AM",1,0))</f>
        <v>0</v>
      </c>
      <c r="D24" s="4">
        <f>+IF(FORM!D24="AM Y PM",1,IF(FORM!D24="AM",1,0))</f>
        <v>0</v>
      </c>
      <c r="E24" s="4">
        <f>+IF(FORM!E24="AM Y PM",1,IF(FORM!E24="AM",1,0))</f>
        <v>0</v>
      </c>
      <c r="F24" s="4">
        <f>+IF(FORM!F24="AM Y PM",1,IF(FORM!F24="AM",1,0))</f>
        <v>1</v>
      </c>
      <c r="G24" s="4">
        <f>+IF(FORM!G24="AM Y PM",1,IF(FORM!G24="AM",1,0))</f>
        <v>1</v>
      </c>
      <c r="H24" s="4">
        <f>+IF(FORM!H24="AM Y PM",1,IF(FORM!H24="AM",1,0))</f>
        <v>1</v>
      </c>
      <c r="I24" s="4">
        <f>+IF(FORM!I24="AM Y PM",1,IF(FORM!I24="AM",1,0))</f>
        <v>1</v>
      </c>
      <c r="J24" s="4">
        <f>+IF(FORM!J24="AM Y PM",1,IF(FORM!J24="AM",1,0))</f>
        <v>0</v>
      </c>
      <c r="K24" s="4">
        <f>+IF(FORM!K24="AM Y PM",1,IF(FORM!K24="AM",1,0))</f>
        <v>0</v>
      </c>
      <c r="L24" s="4">
        <f>+IF(FORM!L24="AM Y PM",1,IF(FORM!L24="AM",1,0))</f>
        <v>0</v>
      </c>
      <c r="M24" s="4">
        <f>+IF(FORM!M24="AM Y PM",1,IF(FORM!M24="AM",1,0))</f>
        <v>0</v>
      </c>
      <c r="N24" s="4">
        <f>+IF(FORM!N24="AM Y PM",1,IF(FORM!N24="AM",1,0))</f>
        <v>1</v>
      </c>
      <c r="O24" s="4">
        <f>+IF(FORM!O24="AM Y PM",1,IF(FORM!O24="AM",1,0))</f>
        <v>1</v>
      </c>
      <c r="P24" s="4">
        <f>+IF(FORM!P24="AM Y PM",1,IF(FORM!P24="AM",1,0))</f>
        <v>1</v>
      </c>
      <c r="Q24" s="4">
        <f>+IF(FORM!Q24="AM Y PM",1,IF(FORM!Q24="AM",1,0))</f>
        <v>1</v>
      </c>
      <c r="R24" s="4">
        <f>+IF(FORM!R24="AM Y PM",1,IF(FORM!R24="AM",1,0))</f>
        <v>0</v>
      </c>
      <c r="S24" s="4">
        <f>+IF(FORM!S24="AM Y PM",1,IF(FORM!S24="AM",1,0))</f>
        <v>0</v>
      </c>
      <c r="T24" s="4">
        <f>+IF(FORM!T24="AM Y PM",1,IF(FORM!T24="AM",1,0))</f>
        <v>1</v>
      </c>
      <c r="U24" s="4">
        <f>+IF(FORM!U24="AM Y PM",1,IF(FORM!U24="AM",1,0))</f>
        <v>1</v>
      </c>
      <c r="V24" s="4">
        <f>+IF(FORM!V24="AM Y PM",1,IF(FORM!V24="AM",1,0))</f>
        <v>1</v>
      </c>
      <c r="W24" s="4">
        <f>+IF(FORM!W24="AM Y PM",1,IF(FORM!W24="AM",1,0))</f>
        <v>1</v>
      </c>
      <c r="X24" s="4">
        <f>+IF(FORM!X24="AM Y PM",1,IF(FORM!X24="AM",1,0))</f>
        <v>1</v>
      </c>
      <c r="Y24" s="4">
        <f>+IF(FORM!Y24="AM Y PM",1,IF(FORM!Y24="AM",1,0))</f>
        <v>0</v>
      </c>
      <c r="Z24" s="4">
        <f>+IF(FORM!Z24="AM Y PM",1,IF(FORM!Z24="AM",1,0))</f>
        <v>0</v>
      </c>
      <c r="AA24" s="4">
        <f>+IF(FORM!AA24="AM Y PM",1,IF(FORM!AA24="AM",1,0))</f>
        <v>1</v>
      </c>
      <c r="AB24" s="4">
        <f>+IF(FORM!AB24="AM Y PM",1,IF(FORM!AB24="AM",1,0))</f>
        <v>1</v>
      </c>
      <c r="AC24" s="4">
        <f>+IF(FORM!AC24="AM Y PM",1,IF(FORM!AC24="AM",1,0))</f>
        <v>1</v>
      </c>
      <c r="AD24" s="4">
        <f>+IF(FORM!AD24="AM Y PM",1,IF(FORM!AD24="AM",1,0))</f>
        <v>0</v>
      </c>
      <c r="AE24" s="4">
        <f>+IF(FORM!AE24="AM Y PM",1,IF(FORM!AE24="AM",1,0))</f>
        <v>0</v>
      </c>
      <c r="AF24" s="4">
        <f>+IF(FORM!AF24="AM Y PM",1,IF(FORM!AF24="AM",1,0))</f>
        <v>0</v>
      </c>
    </row>
    <row r="25" spans="1:32" ht="18.75" customHeight="1" x14ac:dyDescent="0.25">
      <c r="A25" s="5" t="s">
        <v>76</v>
      </c>
      <c r="B25" s="4">
        <f>+IF(FORM!B25="AM Y PM",1,IF(FORM!B25="AM",1,0))</f>
        <v>0</v>
      </c>
      <c r="C25" s="4">
        <f>+IF(FORM!C25="AM Y PM",1,IF(FORM!C25="AM",1,0))</f>
        <v>0</v>
      </c>
      <c r="D25" s="4">
        <f>+IF(FORM!D25="AM Y PM",1,IF(FORM!D25="AM",1,0))</f>
        <v>0</v>
      </c>
      <c r="E25" s="4">
        <f>+IF(FORM!E25="AM Y PM",1,IF(FORM!E25="AM",1,0))</f>
        <v>0</v>
      </c>
      <c r="F25" s="4">
        <f>+IF(FORM!F25="AM Y PM",1,IF(FORM!F25="AM",1,0))</f>
        <v>0</v>
      </c>
      <c r="G25" s="4">
        <f>+IF(FORM!G25="AM Y PM",1,IF(FORM!G25="AM",1,0))</f>
        <v>0</v>
      </c>
      <c r="H25" s="4">
        <f>+IF(FORM!H25="AM Y PM",1,IF(FORM!H25="AM",1,0))</f>
        <v>0</v>
      </c>
      <c r="I25" s="4">
        <f>+IF(FORM!I25="AM Y PM",1,IF(FORM!I25="AM",1,0))</f>
        <v>0</v>
      </c>
      <c r="J25" s="4">
        <f>+IF(FORM!J25="AM Y PM",1,IF(FORM!J25="AM",1,0))</f>
        <v>0</v>
      </c>
      <c r="K25" s="4">
        <f>+IF(FORM!K25="AM Y PM",1,IF(FORM!K25="AM",1,0))</f>
        <v>0</v>
      </c>
      <c r="L25" s="4">
        <f>+IF(FORM!L25="AM Y PM",1,IF(FORM!L25="AM",1,0))</f>
        <v>0</v>
      </c>
      <c r="M25" s="4">
        <f>+IF(FORM!M25="AM Y PM",1,IF(FORM!M25="AM",1,0))</f>
        <v>0</v>
      </c>
      <c r="N25" s="4">
        <f>+IF(FORM!N25="AM Y PM",1,IF(FORM!N25="AM",1,0))</f>
        <v>1</v>
      </c>
      <c r="O25" s="4">
        <f>+IF(FORM!O25="AM Y PM",1,IF(FORM!O25="AM",1,0))</f>
        <v>1</v>
      </c>
      <c r="P25" s="4">
        <f>+IF(FORM!P25="AM Y PM",1,IF(FORM!P25="AM",1,0))</f>
        <v>1</v>
      </c>
      <c r="Q25" s="4">
        <f>+IF(FORM!Q25="AM Y PM",1,IF(FORM!Q25="AM",1,0))</f>
        <v>1</v>
      </c>
      <c r="R25" s="4">
        <f>+IF(FORM!R25="AM Y PM",1,IF(FORM!R25="AM",1,0))</f>
        <v>1</v>
      </c>
      <c r="S25" s="4">
        <f>+IF(FORM!S25="AM Y PM",1,IF(FORM!S25="AM",1,0))</f>
        <v>0</v>
      </c>
      <c r="T25" s="4">
        <f>+IF(FORM!T25="AM Y PM",1,IF(FORM!T25="AM",1,0))</f>
        <v>1</v>
      </c>
      <c r="U25" s="4">
        <f>+IF(FORM!U25="AM Y PM",1,IF(FORM!U25="AM",1,0))</f>
        <v>1</v>
      </c>
      <c r="V25" s="4">
        <f>+IF(FORM!V25="AM Y PM",1,IF(FORM!V25="AM",1,0))</f>
        <v>1</v>
      </c>
      <c r="W25" s="4">
        <f>+IF(FORM!W25="AM Y PM",1,IF(FORM!W25="AM",1,0))</f>
        <v>1</v>
      </c>
      <c r="X25" s="4">
        <f>+IF(FORM!X25="AM Y PM",1,IF(FORM!X25="AM",1,0))</f>
        <v>1</v>
      </c>
      <c r="Y25" s="4">
        <f>+IF(FORM!Y25="AM Y PM",1,IF(FORM!Y25="AM",1,0))</f>
        <v>1</v>
      </c>
      <c r="Z25" s="4">
        <f>+IF(FORM!Z25="AM Y PM",1,IF(FORM!Z25="AM",1,0))</f>
        <v>0</v>
      </c>
      <c r="AA25" s="4">
        <f>+IF(FORM!AA25="AM Y PM",1,IF(FORM!AA25="AM",1,0))</f>
        <v>1</v>
      </c>
      <c r="AB25" s="4">
        <f>+IF(FORM!AB25="AM Y PM",1,IF(FORM!AB25="AM",1,0))</f>
        <v>1</v>
      </c>
      <c r="AC25" s="4">
        <f>+IF(FORM!AC25="AM Y PM",1,IF(FORM!AC25="AM",1,0))</f>
        <v>1</v>
      </c>
      <c r="AD25" s="4">
        <f>+IF(FORM!AD25="AM Y PM",1,IF(FORM!AD25="AM",1,0))</f>
        <v>1</v>
      </c>
      <c r="AE25" s="4">
        <f>+IF(FORM!AE25="AM Y PM",1,IF(FORM!AE25="AM",1,0))</f>
        <v>1</v>
      </c>
      <c r="AF25" s="4">
        <f>+IF(FORM!AF25="AM Y PM",1,IF(FORM!AF25="AM",1,0))</f>
        <v>1</v>
      </c>
    </row>
    <row r="26" spans="1:32" ht="18.75" customHeight="1" x14ac:dyDescent="0.25">
      <c r="A26" s="5" t="s">
        <v>77</v>
      </c>
      <c r="B26" s="4">
        <f>+IF(FORM!B26="AM Y PM",1,IF(FORM!B26="AM",1,0))</f>
        <v>0</v>
      </c>
      <c r="C26" s="4">
        <f>+IF(FORM!C26="AM Y PM",1,IF(FORM!C26="AM",1,0))</f>
        <v>0</v>
      </c>
      <c r="D26" s="4">
        <f>+IF(FORM!D26="AM Y PM",1,IF(FORM!D26="AM",1,0))</f>
        <v>0</v>
      </c>
      <c r="E26" s="4">
        <f>+IF(FORM!E26="AM Y PM",1,IF(FORM!E26="AM",1,0))</f>
        <v>0</v>
      </c>
      <c r="F26" s="4">
        <f>+IF(FORM!F26="AM Y PM",1,IF(FORM!F26="AM",1,0))</f>
        <v>0</v>
      </c>
      <c r="G26" s="4">
        <f>+IF(FORM!G26="AM Y PM",1,IF(FORM!G26="AM",1,0))</f>
        <v>0</v>
      </c>
      <c r="H26" s="4">
        <f>+IF(FORM!H26="AM Y PM",1,IF(FORM!H26="AM",1,0))</f>
        <v>0</v>
      </c>
      <c r="I26" s="4">
        <f>+IF(FORM!I26="AM Y PM",1,IF(FORM!I26="AM",1,0))</f>
        <v>0</v>
      </c>
      <c r="J26" s="4">
        <f>+IF(FORM!J26="AM Y PM",1,IF(FORM!J26="AM",1,0))</f>
        <v>0</v>
      </c>
      <c r="K26" s="4">
        <f>+IF(FORM!K26="AM Y PM",1,IF(FORM!K26="AM",1,0))</f>
        <v>0</v>
      </c>
      <c r="L26" s="4">
        <f>+IF(FORM!L26="AM Y PM",1,IF(FORM!L26="AM",1,0))</f>
        <v>0</v>
      </c>
      <c r="M26" s="4">
        <f>+IF(FORM!M26="AM Y PM",1,IF(FORM!M26="AM",1,0))</f>
        <v>0</v>
      </c>
      <c r="N26" s="4">
        <f>+IF(FORM!N26="AM Y PM",1,IF(FORM!N26="AM",1,0))</f>
        <v>0</v>
      </c>
      <c r="O26" s="4">
        <f>+IF(FORM!O26="AM Y PM",1,IF(FORM!O26="AM",1,0))</f>
        <v>0</v>
      </c>
      <c r="P26" s="4">
        <f>+IF(FORM!P26="AM Y PM",1,IF(FORM!P26="AM",1,0))</f>
        <v>0</v>
      </c>
      <c r="Q26" s="4">
        <f>+IF(FORM!Q26="AM Y PM",1,IF(FORM!Q26="AM",1,0))</f>
        <v>0</v>
      </c>
      <c r="R26" s="4">
        <f>+IF(FORM!R26="AM Y PM",1,IF(FORM!R26="AM",1,0))</f>
        <v>1</v>
      </c>
      <c r="S26" s="4">
        <f>+IF(FORM!S26="AM Y PM",1,IF(FORM!S26="AM",1,0))</f>
        <v>0</v>
      </c>
      <c r="T26" s="4">
        <f>+IF(FORM!T26="AM Y PM",1,IF(FORM!T26="AM",1,0))</f>
        <v>0</v>
      </c>
      <c r="U26" s="4">
        <f>+IF(FORM!U26="AM Y PM",1,IF(FORM!U26="AM",1,0))</f>
        <v>0</v>
      </c>
      <c r="V26" s="4">
        <f>+IF(FORM!V26="AM Y PM",1,IF(FORM!V26="AM",1,0))</f>
        <v>0</v>
      </c>
      <c r="W26" s="4">
        <f>+IF(FORM!W26="AM Y PM",1,IF(FORM!W26="AM",1,0))</f>
        <v>0</v>
      </c>
      <c r="X26" s="4">
        <f>+IF(FORM!X26="AM Y PM",1,IF(FORM!X26="AM",1,0))</f>
        <v>0</v>
      </c>
      <c r="Y26" s="4">
        <f>+IF(FORM!Y26="AM Y PM",1,IF(FORM!Y26="AM",1,0))</f>
        <v>1</v>
      </c>
      <c r="Z26" s="4">
        <f>+IF(FORM!Z26="AM Y PM",1,IF(FORM!Z26="AM",1,0))</f>
        <v>0</v>
      </c>
      <c r="AA26" s="4">
        <f>+IF(FORM!AA26="AM Y PM",1,IF(FORM!AA26="AM",1,0))</f>
        <v>0</v>
      </c>
      <c r="AB26" s="4">
        <f>+IF(FORM!AB26="AM Y PM",1,IF(FORM!AB26="AM",1,0))</f>
        <v>0</v>
      </c>
      <c r="AC26" s="4">
        <f>+IF(FORM!AC26="AM Y PM",1,IF(FORM!AC26="AM",1,0))</f>
        <v>0</v>
      </c>
      <c r="AD26" s="4">
        <f>+IF(FORM!AD26="AM Y PM",1,IF(FORM!AD26="AM",1,0))</f>
        <v>0</v>
      </c>
      <c r="AE26" s="4">
        <f>+IF(FORM!AE26="AM Y PM",1,IF(FORM!AE26="AM",1,0))</f>
        <v>0</v>
      </c>
      <c r="AF26" s="4">
        <f>+IF(FORM!AF26="AM Y PM",1,IF(FORM!AF26="AM",1,0))</f>
        <v>1</v>
      </c>
    </row>
    <row r="27" spans="1:32" ht="18.75" customHeight="1" x14ac:dyDescent="0.25">
      <c r="A27" s="5" t="s">
        <v>78</v>
      </c>
      <c r="B27" s="4">
        <f>+IF(FORM!B27="AM Y PM",1,IF(FORM!B27="AM",1,0))</f>
        <v>0</v>
      </c>
      <c r="C27" s="4">
        <f>+IF(FORM!C27="AM Y PM",1,IF(FORM!C27="AM",1,0))</f>
        <v>0</v>
      </c>
      <c r="D27" s="4">
        <f>+IF(FORM!D27="AM Y PM",1,IF(FORM!D27="AM",1,0))</f>
        <v>0</v>
      </c>
      <c r="E27" s="4">
        <f>+IF(FORM!E27="AM Y PM",1,IF(FORM!E27="AM",1,0))</f>
        <v>0</v>
      </c>
      <c r="F27" s="4">
        <f>+IF(FORM!F27="AM Y PM",1,IF(FORM!F27="AM",1,0))</f>
        <v>0</v>
      </c>
      <c r="G27" s="4">
        <f>+IF(FORM!G27="AM Y PM",1,IF(FORM!G27="AM",1,0))</f>
        <v>0</v>
      </c>
      <c r="H27" s="4">
        <f>+IF(FORM!H27="AM Y PM",1,IF(FORM!H27="AM",1,0))</f>
        <v>0</v>
      </c>
      <c r="I27" s="4">
        <f>+IF(FORM!I27="AM Y PM",1,IF(FORM!I27="AM",1,0))</f>
        <v>0</v>
      </c>
      <c r="J27" s="4">
        <f>+IF(FORM!J27="AM Y PM",1,IF(FORM!J27="AM",1,0))</f>
        <v>0</v>
      </c>
      <c r="K27" s="4">
        <f>+IF(FORM!K27="AM Y PM",1,IF(FORM!K27="AM",1,0))</f>
        <v>0</v>
      </c>
      <c r="L27" s="4">
        <f>+IF(FORM!L27="AM Y PM",1,IF(FORM!L27="AM",1,0))</f>
        <v>0</v>
      </c>
      <c r="M27" s="4">
        <f>+IF(FORM!M27="AM Y PM",1,IF(FORM!M27="AM",1,0))</f>
        <v>0</v>
      </c>
      <c r="N27" s="4">
        <f>+IF(FORM!N27="AM Y PM",1,IF(FORM!N27="AM",1,0))</f>
        <v>1</v>
      </c>
      <c r="O27" s="4">
        <f>+IF(FORM!O27="AM Y PM",1,IF(FORM!O27="AM",1,0))</f>
        <v>1</v>
      </c>
      <c r="P27" s="4">
        <f>+IF(FORM!P27="AM Y PM",1,IF(FORM!P27="AM",1,0))</f>
        <v>1</v>
      </c>
      <c r="Q27" s="4">
        <f>+IF(FORM!Q27="AM Y PM",1,IF(FORM!Q27="AM",1,0))</f>
        <v>1</v>
      </c>
      <c r="R27" s="4">
        <f>+IF(FORM!R27="AM Y PM",1,IF(FORM!R27="AM",1,0))</f>
        <v>1</v>
      </c>
      <c r="S27" s="4">
        <f>+IF(FORM!S27="AM Y PM",1,IF(FORM!S27="AM",1,0))</f>
        <v>0</v>
      </c>
      <c r="T27" s="4">
        <f>+IF(FORM!T27="AM Y PM",1,IF(FORM!T27="AM",1,0))</f>
        <v>1</v>
      </c>
      <c r="U27" s="4">
        <f>+IF(FORM!U27="AM Y PM",1,IF(FORM!U27="AM",1,0))</f>
        <v>1</v>
      </c>
      <c r="V27" s="4">
        <f>+IF(FORM!V27="AM Y PM",1,IF(FORM!V27="AM",1,0))</f>
        <v>1</v>
      </c>
      <c r="W27" s="4">
        <f>+IF(FORM!W27="AM Y PM",1,IF(FORM!W27="AM",1,0))</f>
        <v>1</v>
      </c>
      <c r="X27" s="4">
        <f>+IF(FORM!X27="AM Y PM",1,IF(FORM!X27="AM",1,0))</f>
        <v>1</v>
      </c>
      <c r="Y27" s="4">
        <f>+IF(FORM!Y27="AM Y PM",1,IF(FORM!Y27="AM",1,0))</f>
        <v>1</v>
      </c>
      <c r="Z27" s="4">
        <f>+IF(FORM!Z27="AM Y PM",1,IF(FORM!Z27="AM",1,0))</f>
        <v>0</v>
      </c>
      <c r="AA27" s="4">
        <f>+IF(FORM!AA27="AM Y PM",1,IF(FORM!AA27="AM",1,0))</f>
        <v>1</v>
      </c>
      <c r="AB27" s="4">
        <f>+IF(FORM!AB27="AM Y PM",1,IF(FORM!AB27="AM",1,0))</f>
        <v>1</v>
      </c>
      <c r="AC27" s="4">
        <f>+IF(FORM!AC27="AM Y PM",1,IF(FORM!AC27="AM",1,0))</f>
        <v>1</v>
      </c>
      <c r="AD27" s="4">
        <f>+IF(FORM!AD27="AM Y PM",1,IF(FORM!AD27="AM",1,0))</f>
        <v>1</v>
      </c>
      <c r="AE27" s="4">
        <f>+IF(FORM!AE27="AM Y PM",1,IF(FORM!AE27="AM",1,0))</f>
        <v>1</v>
      </c>
      <c r="AF27" s="4">
        <f>+IF(FORM!AF27="AM Y PM",1,IF(FORM!AF27="AM",1,0))</f>
        <v>1</v>
      </c>
    </row>
    <row r="28" spans="1:32" ht="18.75" customHeight="1" x14ac:dyDescent="0.25">
      <c r="A28" s="5" t="s">
        <v>79</v>
      </c>
      <c r="B28" s="4">
        <f>+IF(FORM!B28="AM Y PM",1,IF(FORM!B28="AM",1,0))</f>
        <v>0</v>
      </c>
      <c r="C28" s="4">
        <f>+IF(FORM!C28="AM Y PM",1,IF(FORM!C28="AM",1,0))</f>
        <v>0</v>
      </c>
      <c r="D28" s="4">
        <f>+IF(FORM!D28="AM Y PM",1,IF(FORM!D28="AM",1,0))</f>
        <v>0</v>
      </c>
      <c r="E28" s="4">
        <f>+IF(FORM!E28="AM Y PM",1,IF(FORM!E28="AM",1,0))</f>
        <v>0</v>
      </c>
      <c r="F28" s="4">
        <f>+IF(FORM!F28="AM Y PM",1,IF(FORM!F28="AM",1,0))</f>
        <v>0</v>
      </c>
      <c r="G28" s="4">
        <f>+IF(FORM!G28="AM Y PM",1,IF(FORM!G28="AM",1,0))</f>
        <v>0</v>
      </c>
      <c r="H28" s="4">
        <f>+IF(FORM!H28="AM Y PM",1,IF(FORM!H28="AM",1,0))</f>
        <v>1</v>
      </c>
      <c r="I28" s="4">
        <f>+IF(FORM!I28="AM Y PM",1,IF(FORM!I28="AM",1,0))</f>
        <v>1</v>
      </c>
      <c r="J28" s="4">
        <f>+IF(FORM!J28="AM Y PM",1,IF(FORM!J28="AM",1,0))</f>
        <v>1</v>
      </c>
      <c r="K28" s="4">
        <f>+IF(FORM!K28="AM Y PM",1,IF(FORM!K28="AM",1,0))</f>
        <v>1</v>
      </c>
      <c r="L28" s="4">
        <f>+IF(FORM!L28="AM Y PM",1,IF(FORM!L28="AM",1,0))</f>
        <v>0</v>
      </c>
      <c r="M28" s="4">
        <f>+IF(FORM!M28="AM Y PM",1,IF(FORM!M28="AM",1,0))</f>
        <v>0</v>
      </c>
      <c r="N28" s="4">
        <f>+IF(FORM!N28="AM Y PM",1,IF(FORM!N28="AM",1,0))</f>
        <v>1</v>
      </c>
      <c r="O28" s="4">
        <f>+IF(FORM!O28="AM Y PM",1,IF(FORM!O28="AM",1,0))</f>
        <v>1</v>
      </c>
      <c r="P28" s="4">
        <f>+IF(FORM!P28="AM Y PM",1,IF(FORM!P28="AM",1,0))</f>
        <v>1</v>
      </c>
      <c r="Q28" s="4">
        <f>+IF(FORM!Q28="AM Y PM",1,IF(FORM!Q28="AM",1,0))</f>
        <v>1</v>
      </c>
      <c r="R28" s="4">
        <f>+IF(FORM!R28="AM Y PM",1,IF(FORM!R28="AM",1,0))</f>
        <v>1</v>
      </c>
      <c r="S28" s="4">
        <f>+IF(FORM!S28="AM Y PM",1,IF(FORM!S28="AM",1,0))</f>
        <v>0</v>
      </c>
      <c r="T28" s="4">
        <f>+IF(FORM!T28="AM Y PM",1,IF(FORM!T28="AM",1,0))</f>
        <v>1</v>
      </c>
      <c r="U28" s="4">
        <f>+IF(FORM!U28="AM Y PM",1,IF(FORM!U28="AM",1,0))</f>
        <v>1</v>
      </c>
      <c r="V28" s="4">
        <f>+IF(FORM!V28="AM Y PM",1,IF(FORM!V28="AM",1,0))</f>
        <v>1</v>
      </c>
      <c r="W28" s="4">
        <f>+IF(FORM!W28="AM Y PM",1,IF(FORM!W28="AM",1,0))</f>
        <v>1</v>
      </c>
      <c r="X28" s="4">
        <f>+IF(FORM!X28="AM Y PM",1,IF(FORM!X28="AM",1,0))</f>
        <v>1</v>
      </c>
      <c r="Y28" s="4">
        <f>+IF(FORM!Y28="AM Y PM",1,IF(FORM!Y28="AM",1,0))</f>
        <v>1</v>
      </c>
      <c r="Z28" s="4">
        <f>+IF(FORM!Z28="AM Y PM",1,IF(FORM!Z28="AM",1,0))</f>
        <v>0</v>
      </c>
      <c r="AA28" s="4">
        <f>+IF(FORM!AA28="AM Y PM",1,IF(FORM!AA28="AM",1,0))</f>
        <v>1</v>
      </c>
      <c r="AB28" s="4">
        <f>+IF(FORM!AB28="AM Y PM",1,IF(FORM!AB28="AM",1,0))</f>
        <v>1</v>
      </c>
      <c r="AC28" s="4">
        <f>+IF(FORM!AC28="AM Y PM",1,IF(FORM!AC28="AM",1,0))</f>
        <v>1</v>
      </c>
      <c r="AD28" s="4">
        <f>+IF(FORM!AD28="AM Y PM",1,IF(FORM!AD28="AM",1,0))</f>
        <v>1</v>
      </c>
      <c r="AE28" s="4">
        <f>+IF(FORM!AE28="AM Y PM",1,IF(FORM!AE28="AM",1,0))</f>
        <v>1</v>
      </c>
      <c r="AF28" s="4">
        <f>+IF(FORM!AF28="AM Y PM",1,IF(FORM!AF28="AM",1,0))</f>
        <v>1</v>
      </c>
    </row>
    <row r="29" spans="1:32" ht="18.75" customHeight="1" x14ac:dyDescent="0.25">
      <c r="A29" s="5" t="s">
        <v>80</v>
      </c>
      <c r="B29" s="4">
        <f>+IF(FORM!B29="AM Y PM",1,IF(FORM!B29="AM",1,0))</f>
        <v>0</v>
      </c>
      <c r="C29" s="4">
        <f>+IF(FORM!C29="AM Y PM",1,IF(FORM!C29="AM",1,0))</f>
        <v>0</v>
      </c>
      <c r="D29" s="4">
        <f>+IF(FORM!D29="AM Y PM",1,IF(FORM!D29="AM",1,0))</f>
        <v>0</v>
      </c>
      <c r="E29" s="4">
        <f>+IF(FORM!E29="AM Y PM",1,IF(FORM!E29="AM",1,0))</f>
        <v>0</v>
      </c>
      <c r="F29" s="4">
        <f>+IF(FORM!F29="AM Y PM",1,IF(FORM!F29="AM",1,0))</f>
        <v>0</v>
      </c>
      <c r="G29" s="4">
        <f>+IF(FORM!G29="AM Y PM",1,IF(FORM!G29="AM",1,0))</f>
        <v>0</v>
      </c>
      <c r="H29" s="4">
        <f>+IF(FORM!H29="AM Y PM",1,IF(FORM!H29="AM",1,0))</f>
        <v>0</v>
      </c>
      <c r="I29" s="4">
        <f>+IF(FORM!I29="AM Y PM",1,IF(FORM!I29="AM",1,0))</f>
        <v>0</v>
      </c>
      <c r="J29" s="4">
        <f>+IF(FORM!J29="AM Y PM",1,IF(FORM!J29="AM",1,0))</f>
        <v>0</v>
      </c>
      <c r="K29" s="4">
        <f>+IF(FORM!K29="AM Y PM",1,IF(FORM!K29="AM",1,0))</f>
        <v>0</v>
      </c>
      <c r="L29" s="4">
        <f>+IF(FORM!L29="AM Y PM",1,IF(FORM!L29="AM",1,0))</f>
        <v>0</v>
      </c>
      <c r="M29" s="4">
        <f>+IF(FORM!M29="AM Y PM",1,IF(FORM!M29="AM",1,0))</f>
        <v>0</v>
      </c>
      <c r="N29" s="4">
        <f>+IF(FORM!N29="AM Y PM",1,IF(FORM!N29="AM",1,0))</f>
        <v>0</v>
      </c>
      <c r="O29" s="4">
        <f>+IF(FORM!O29="AM Y PM",1,IF(FORM!O29="AM",1,0))</f>
        <v>0</v>
      </c>
      <c r="P29" s="4">
        <f>+IF(FORM!P29="AM Y PM",1,IF(FORM!P29="AM",1,0))</f>
        <v>0</v>
      </c>
      <c r="Q29" s="4">
        <f>+IF(FORM!Q29="AM Y PM",1,IF(FORM!Q29="AM",1,0))</f>
        <v>0</v>
      </c>
      <c r="R29" s="4">
        <f>+IF(FORM!R29="AM Y PM",1,IF(FORM!R29="AM",1,0))</f>
        <v>0</v>
      </c>
      <c r="S29" s="4">
        <f>+IF(FORM!S29="AM Y PM",1,IF(FORM!S29="AM",1,0))</f>
        <v>0</v>
      </c>
      <c r="T29" s="4">
        <f>+IF(FORM!T29="AM Y PM",1,IF(FORM!T29="AM",1,0))</f>
        <v>0</v>
      </c>
      <c r="U29" s="4">
        <f>+IF(FORM!U29="AM Y PM",1,IF(FORM!U29="AM",1,0))</f>
        <v>0</v>
      </c>
      <c r="V29" s="4">
        <f>+IF(FORM!V29="AM Y PM",1,IF(FORM!V29="AM",1,0))</f>
        <v>0</v>
      </c>
      <c r="W29" s="4">
        <f>+IF(FORM!W29="AM Y PM",1,IF(FORM!W29="AM",1,0))</f>
        <v>0</v>
      </c>
      <c r="X29" s="4">
        <f>+IF(FORM!X29="AM Y PM",1,IF(FORM!X29="AM",1,0))</f>
        <v>0</v>
      </c>
      <c r="Y29" s="4">
        <f>+IF(FORM!Y29="AM Y PM",1,IF(FORM!Y29="AM",1,0))</f>
        <v>0</v>
      </c>
      <c r="Z29" s="4">
        <f>+IF(FORM!Z29="AM Y PM",1,IF(FORM!Z29="AM",1,0))</f>
        <v>0</v>
      </c>
      <c r="AA29" s="4">
        <f>+IF(FORM!AA29="AM Y PM",1,IF(FORM!AA29="AM",1,0))</f>
        <v>0</v>
      </c>
      <c r="AB29" s="4">
        <f>+IF(FORM!AB29="AM Y PM",1,IF(FORM!AB29="AM",1,0))</f>
        <v>0</v>
      </c>
      <c r="AC29" s="4">
        <f>+IF(FORM!AC29="AM Y PM",1,IF(FORM!AC29="AM",1,0))</f>
        <v>0</v>
      </c>
      <c r="AD29" s="4">
        <f>+IF(FORM!AD29="AM Y PM",1,IF(FORM!AD29="AM",1,0))</f>
        <v>0</v>
      </c>
      <c r="AE29" s="4">
        <f>+IF(FORM!AE29="AM Y PM",1,IF(FORM!AE29="AM",1,0))</f>
        <v>0</v>
      </c>
      <c r="AF29" s="4">
        <f>+IF(FORM!AF29="AM Y PM",1,IF(FORM!AF29="AM",1,0))</f>
        <v>0</v>
      </c>
    </row>
    <row r="30" spans="1:32" ht="18.75" customHeight="1" x14ac:dyDescent="0.25">
      <c r="A30" s="5" t="s">
        <v>81</v>
      </c>
      <c r="B30" s="4">
        <f>+IF(FORM!B30="AM Y PM",1,IF(FORM!B30="AM",1,0))</f>
        <v>0</v>
      </c>
      <c r="C30" s="4">
        <f>+IF(FORM!C30="AM Y PM",1,IF(FORM!C30="AM",1,0))</f>
        <v>0</v>
      </c>
      <c r="D30" s="4">
        <f>+IF(FORM!D30="AM Y PM",1,IF(FORM!D30="AM",1,0))</f>
        <v>0</v>
      </c>
      <c r="E30" s="4">
        <f>+IF(FORM!E30="AM Y PM",1,IF(FORM!E30="AM",1,0))</f>
        <v>0</v>
      </c>
      <c r="F30" s="4">
        <f>+IF(FORM!F30="AM Y PM",1,IF(FORM!F30="AM",1,0))</f>
        <v>0</v>
      </c>
      <c r="G30" s="4">
        <f>+IF(FORM!G30="AM Y PM",1,IF(FORM!G30="AM",1,0))</f>
        <v>0</v>
      </c>
      <c r="H30" s="4">
        <f>+IF(FORM!H30="AM Y PM",1,IF(FORM!H30="AM",1,0))</f>
        <v>0</v>
      </c>
      <c r="I30" s="4">
        <f>+IF(FORM!I30="AM Y PM",1,IF(FORM!I30="AM",1,0))</f>
        <v>0</v>
      </c>
      <c r="J30" s="4">
        <f>+IF(FORM!J30="AM Y PM",1,IF(FORM!J30="AM",1,0))</f>
        <v>0</v>
      </c>
      <c r="K30" s="4">
        <f>+IF(FORM!K30="AM Y PM",1,IF(FORM!K30="AM",1,0))</f>
        <v>0</v>
      </c>
      <c r="L30" s="4">
        <f>+IF(FORM!L30="AM Y PM",1,IF(FORM!L30="AM",1,0))</f>
        <v>0</v>
      </c>
      <c r="M30" s="4">
        <f>+IF(FORM!M30="AM Y PM",1,IF(FORM!M30="AM",1,0))</f>
        <v>0</v>
      </c>
      <c r="N30" s="4">
        <f>+IF(FORM!N30="AM Y PM",1,IF(FORM!N30="AM",1,0))</f>
        <v>0</v>
      </c>
      <c r="O30" s="4">
        <f>+IF(FORM!O30="AM Y PM",1,IF(FORM!O30="AM",1,0))</f>
        <v>0</v>
      </c>
      <c r="P30" s="4">
        <f>+IF(FORM!P30="AM Y PM",1,IF(FORM!P30="AM",1,0))</f>
        <v>0</v>
      </c>
      <c r="Q30" s="4">
        <f>+IF(FORM!Q30="AM Y PM",1,IF(FORM!Q30="AM",1,0))</f>
        <v>0</v>
      </c>
      <c r="R30" s="4">
        <f>+IF(FORM!R30="AM Y PM",1,IF(FORM!R30="AM",1,0))</f>
        <v>0</v>
      </c>
      <c r="S30" s="4">
        <f>+IF(FORM!S30="AM Y PM",1,IF(FORM!S30="AM",1,0))</f>
        <v>0</v>
      </c>
      <c r="T30" s="4">
        <f>+IF(FORM!T30="AM Y PM",1,IF(FORM!T30="AM",1,0))</f>
        <v>0</v>
      </c>
      <c r="U30" s="4">
        <f>+IF(FORM!U30="AM Y PM",1,IF(FORM!U30="AM",1,0))</f>
        <v>1</v>
      </c>
      <c r="V30" s="4">
        <f>+IF(FORM!V30="AM Y PM",1,IF(FORM!V30="AM",1,0))</f>
        <v>0</v>
      </c>
      <c r="W30" s="4">
        <f>+IF(FORM!W30="AM Y PM",1,IF(FORM!W30="AM",1,0))</f>
        <v>0</v>
      </c>
      <c r="X30" s="4">
        <f>+IF(FORM!X30="AM Y PM",1,IF(FORM!X30="AM",1,0))</f>
        <v>0</v>
      </c>
      <c r="Y30" s="4">
        <f>+IF(FORM!Y30="AM Y PM",1,IF(FORM!Y30="AM",1,0))</f>
        <v>0</v>
      </c>
      <c r="Z30" s="4">
        <f>+IF(FORM!Z30="AM Y PM",1,IF(FORM!Z30="AM",1,0))</f>
        <v>0</v>
      </c>
      <c r="AA30" s="4">
        <f>+IF(FORM!AA30="AM Y PM",1,IF(FORM!AA30="AM",1,0))</f>
        <v>0</v>
      </c>
      <c r="AB30" s="4">
        <f>+IF(FORM!AB30="AM Y PM",1,IF(FORM!AB30="AM",1,0))</f>
        <v>1</v>
      </c>
      <c r="AC30" s="4">
        <f>+IF(FORM!AC30="AM Y PM",1,IF(FORM!AC30="AM",1,0))</f>
        <v>0</v>
      </c>
      <c r="AD30" s="4">
        <f>+IF(FORM!AD30="AM Y PM",1,IF(FORM!AD30="AM",1,0))</f>
        <v>0</v>
      </c>
      <c r="AE30" s="4">
        <f>+IF(FORM!AE30="AM Y PM",1,IF(FORM!AE30="AM",1,0))</f>
        <v>0</v>
      </c>
      <c r="AF30" s="4">
        <f>+IF(FORM!AF30="AM Y PM",1,IF(FORM!AF30="AM",1,0))</f>
        <v>0</v>
      </c>
    </row>
    <row r="31" spans="1:32" ht="18.75" customHeight="1" x14ac:dyDescent="0.25">
      <c r="A31" s="5" t="s">
        <v>82</v>
      </c>
      <c r="B31" s="4">
        <f>+IF(FORM!B31="AM Y PM",1,IF(FORM!B31="AM",1,0))</f>
        <v>0</v>
      </c>
      <c r="C31" s="4">
        <f>+IF(FORM!C31="AM Y PM",1,IF(FORM!C31="AM",1,0))</f>
        <v>0</v>
      </c>
      <c r="D31" s="4">
        <f>+IF(FORM!D31="AM Y PM",1,IF(FORM!D31="AM",1,0))</f>
        <v>0</v>
      </c>
      <c r="E31" s="4">
        <f>+IF(FORM!E31="AM Y PM",1,IF(FORM!E31="AM",1,0))</f>
        <v>0</v>
      </c>
      <c r="F31" s="4">
        <f>+IF(FORM!F31="AM Y PM",1,IF(FORM!F31="AM",1,0))</f>
        <v>0</v>
      </c>
      <c r="G31" s="4">
        <f>+IF(FORM!G31="AM Y PM",1,IF(FORM!G31="AM",1,0))</f>
        <v>0</v>
      </c>
      <c r="H31" s="4">
        <f>+IF(FORM!H31="AM Y PM",1,IF(FORM!H31="AM",1,0))</f>
        <v>1</v>
      </c>
      <c r="I31" s="4">
        <f>+IF(FORM!I31="AM Y PM",1,IF(FORM!I31="AM",1,0))</f>
        <v>1</v>
      </c>
      <c r="J31" s="4">
        <f>+IF(FORM!J31="AM Y PM",1,IF(FORM!J31="AM",1,0))</f>
        <v>1</v>
      </c>
      <c r="K31" s="4">
        <f>+IF(FORM!K31="AM Y PM",1,IF(FORM!K31="AM",1,0))</f>
        <v>1</v>
      </c>
      <c r="L31" s="4">
        <f>+IF(FORM!L31="AM Y PM",1,IF(FORM!L31="AM",1,0))</f>
        <v>0</v>
      </c>
      <c r="M31" s="4">
        <f>+IF(FORM!M31="AM Y PM",1,IF(FORM!M31="AM",1,0))</f>
        <v>0</v>
      </c>
      <c r="N31" s="4">
        <f>+IF(FORM!N31="AM Y PM",1,IF(FORM!N31="AM",1,0))</f>
        <v>1</v>
      </c>
      <c r="O31" s="4">
        <f>+IF(FORM!O31="AM Y PM",1,IF(FORM!O31="AM",1,0))</f>
        <v>1</v>
      </c>
      <c r="P31" s="4">
        <f>+IF(FORM!P31="AM Y PM",1,IF(FORM!P31="AM",1,0))</f>
        <v>1</v>
      </c>
      <c r="Q31" s="4">
        <f>+IF(FORM!Q31="AM Y PM",1,IF(FORM!Q31="AM",1,0))</f>
        <v>1</v>
      </c>
      <c r="R31" s="4">
        <f>+IF(FORM!R31="AM Y PM",1,IF(FORM!R31="AM",1,0))</f>
        <v>1</v>
      </c>
      <c r="S31" s="4">
        <f>+IF(FORM!S31="AM Y PM",1,IF(FORM!S31="AM",1,0))</f>
        <v>0</v>
      </c>
      <c r="T31" s="4">
        <f>+IF(FORM!T31="AM Y PM",1,IF(FORM!T31="AM",1,0))</f>
        <v>1</v>
      </c>
      <c r="U31" s="4">
        <f>+IF(FORM!U31="AM Y PM",1,IF(FORM!U31="AM",1,0))</f>
        <v>1</v>
      </c>
      <c r="V31" s="4">
        <f>+IF(FORM!V31="AM Y PM",1,IF(FORM!V31="AM",1,0))</f>
        <v>1</v>
      </c>
      <c r="W31" s="4">
        <f>+IF(FORM!W31="AM Y PM",1,IF(FORM!W31="AM",1,0))</f>
        <v>1</v>
      </c>
      <c r="X31" s="4">
        <f>+IF(FORM!X31="AM Y PM",1,IF(FORM!X31="AM",1,0))</f>
        <v>1</v>
      </c>
      <c r="Y31" s="4">
        <f>+IF(FORM!Y31="AM Y PM",1,IF(FORM!Y31="AM",1,0))</f>
        <v>1</v>
      </c>
      <c r="Z31" s="4">
        <f>+IF(FORM!Z31="AM Y PM",1,IF(FORM!Z31="AM",1,0))</f>
        <v>0</v>
      </c>
      <c r="AA31" s="4">
        <f>+IF(FORM!AA31="AM Y PM",1,IF(FORM!AA31="AM",1,0))</f>
        <v>1</v>
      </c>
      <c r="AB31" s="4">
        <f>+IF(FORM!AB31="AM Y PM",1,IF(FORM!AB31="AM",1,0))</f>
        <v>1</v>
      </c>
      <c r="AC31" s="4">
        <f>+IF(FORM!AC31="AM Y PM",1,IF(FORM!AC31="AM",1,0))</f>
        <v>1</v>
      </c>
      <c r="AD31" s="4">
        <f>+IF(FORM!AD31="AM Y PM",1,IF(FORM!AD31="AM",1,0))</f>
        <v>1</v>
      </c>
      <c r="AE31" s="4">
        <f>+IF(FORM!AE31="AM Y PM",1,IF(FORM!AE31="AM",1,0))</f>
        <v>1</v>
      </c>
      <c r="AF31" s="4">
        <f>+IF(FORM!AF31="AM Y PM",1,IF(FORM!AF31="AM",1,0))</f>
        <v>1</v>
      </c>
    </row>
    <row r="32" spans="1:32" ht="18.75" customHeight="1" x14ac:dyDescent="0.25">
      <c r="A32" s="5" t="s">
        <v>83</v>
      </c>
      <c r="B32" s="4">
        <f>+IF(FORM!B32="AM Y PM",1,IF(FORM!B32="AM",1,0))</f>
        <v>0</v>
      </c>
      <c r="C32" s="4">
        <f>+IF(FORM!C32="AM Y PM",1,IF(FORM!C32="AM",1,0))</f>
        <v>0</v>
      </c>
      <c r="D32" s="4">
        <f>+IF(FORM!D32="AM Y PM",1,IF(FORM!D32="AM",1,0))</f>
        <v>0</v>
      </c>
      <c r="E32" s="4">
        <f>+IF(FORM!E32="AM Y PM",1,IF(FORM!E32="AM",1,0))</f>
        <v>0</v>
      </c>
      <c r="F32" s="4">
        <f>+IF(FORM!F32="AM Y PM",1,IF(FORM!F32="AM",1,0))</f>
        <v>0</v>
      </c>
      <c r="G32" s="4">
        <f>+IF(FORM!G32="AM Y PM",1,IF(FORM!G32="AM",1,0))</f>
        <v>0</v>
      </c>
      <c r="H32" s="4">
        <f>+IF(FORM!H32="AM Y PM",1,IF(FORM!H32="AM",1,0))</f>
        <v>1</v>
      </c>
      <c r="I32" s="4">
        <f>+IF(FORM!I32="AM Y PM",1,IF(FORM!I32="AM",1,0))</f>
        <v>1</v>
      </c>
      <c r="J32" s="4">
        <f>+IF(FORM!J32="AM Y PM",1,IF(FORM!J32="AM",1,0))</f>
        <v>1</v>
      </c>
      <c r="K32" s="4">
        <f>+IF(FORM!K32="AM Y PM",1,IF(FORM!K32="AM",1,0))</f>
        <v>1</v>
      </c>
      <c r="L32" s="4">
        <f>+IF(FORM!L32="AM Y PM",1,IF(FORM!L32="AM",1,0))</f>
        <v>0</v>
      </c>
      <c r="M32" s="4">
        <f>+IF(FORM!M32="AM Y PM",1,IF(FORM!M32="AM",1,0))</f>
        <v>0</v>
      </c>
      <c r="N32" s="4">
        <f>+IF(FORM!N32="AM Y PM",1,IF(FORM!N32="AM",1,0))</f>
        <v>1</v>
      </c>
      <c r="O32" s="4">
        <f>+IF(FORM!O32="AM Y PM",1,IF(FORM!O32="AM",1,0))</f>
        <v>1</v>
      </c>
      <c r="P32" s="4">
        <f>+IF(FORM!P32="AM Y PM",1,IF(FORM!P32="AM",1,0))</f>
        <v>1</v>
      </c>
      <c r="Q32" s="4">
        <f>+IF(FORM!Q32="AM Y PM",1,IF(FORM!Q32="AM",1,0))</f>
        <v>1</v>
      </c>
      <c r="R32" s="4">
        <f>+IF(FORM!R32="AM Y PM",1,IF(FORM!R32="AM",1,0))</f>
        <v>1</v>
      </c>
      <c r="S32" s="4">
        <f>+IF(FORM!S32="AM Y PM",1,IF(FORM!S32="AM",1,0))</f>
        <v>0</v>
      </c>
      <c r="T32" s="4">
        <f>+IF(FORM!T32="AM Y PM",1,IF(FORM!T32="AM",1,0))</f>
        <v>1</v>
      </c>
      <c r="U32" s="4">
        <f>+IF(FORM!U32="AM Y PM",1,IF(FORM!U32="AM",1,0))</f>
        <v>1</v>
      </c>
      <c r="V32" s="4">
        <f>+IF(FORM!V32="AM Y PM",1,IF(FORM!V32="AM",1,0))</f>
        <v>1</v>
      </c>
      <c r="W32" s="4">
        <f>+IF(FORM!W32="AM Y PM",1,IF(FORM!W32="AM",1,0))</f>
        <v>1</v>
      </c>
      <c r="X32" s="4">
        <f>+IF(FORM!X32="AM Y PM",1,IF(FORM!X32="AM",1,0))</f>
        <v>1</v>
      </c>
      <c r="Y32" s="4">
        <f>+IF(FORM!Y32="AM Y PM",1,IF(FORM!Y32="AM",1,0))</f>
        <v>1</v>
      </c>
      <c r="Z32" s="4">
        <f>+IF(FORM!Z32="AM Y PM",1,IF(FORM!Z32="AM",1,0))</f>
        <v>0</v>
      </c>
      <c r="AA32" s="4">
        <f>+IF(FORM!AA32="AM Y PM",1,IF(FORM!AA32="AM",1,0))</f>
        <v>1</v>
      </c>
      <c r="AB32" s="4">
        <f>+IF(FORM!AB32="AM Y PM",1,IF(FORM!AB32="AM",1,0))</f>
        <v>1</v>
      </c>
      <c r="AC32" s="4">
        <f>+IF(FORM!AC32="AM Y PM",1,IF(FORM!AC32="AM",1,0))</f>
        <v>1</v>
      </c>
      <c r="AD32" s="4">
        <f>+IF(FORM!AD32="AM Y PM",1,IF(FORM!AD32="AM",1,0))</f>
        <v>1</v>
      </c>
      <c r="AE32" s="4">
        <f>+IF(FORM!AE32="AM Y PM",1,IF(FORM!AE32="AM",1,0))</f>
        <v>1</v>
      </c>
      <c r="AF32" s="4">
        <f>+IF(FORM!AF32="AM Y PM",1,IF(FORM!AF32="AM",1,0))</f>
        <v>1</v>
      </c>
    </row>
    <row r="33" spans="1:32" ht="18.75" customHeight="1" x14ac:dyDescent="0.25">
      <c r="A33" s="5" t="s">
        <v>84</v>
      </c>
      <c r="B33" s="4">
        <f>+IF(FORM!B33="AM Y PM",1,IF(FORM!B33="AM",1,0))</f>
        <v>0</v>
      </c>
      <c r="C33" s="4">
        <f>+IF(FORM!C33="AM Y PM",1,IF(FORM!C33="AM",1,0))</f>
        <v>0</v>
      </c>
      <c r="D33" s="4">
        <f>+IF(FORM!D33="AM Y PM",1,IF(FORM!D33="AM",1,0))</f>
        <v>0</v>
      </c>
      <c r="E33" s="4">
        <f>+IF(FORM!E33="AM Y PM",1,IF(FORM!E33="AM",1,0))</f>
        <v>0</v>
      </c>
      <c r="F33" s="4">
        <f>+IF(FORM!F33="AM Y PM",1,IF(FORM!F33="AM",1,0))</f>
        <v>0</v>
      </c>
      <c r="G33" s="4">
        <f>+IF(FORM!G33="AM Y PM",1,IF(FORM!G33="AM",1,0))</f>
        <v>0</v>
      </c>
      <c r="H33" s="4">
        <f>+IF(FORM!H33="AM Y PM",1,IF(FORM!H33="AM",1,0))</f>
        <v>0</v>
      </c>
      <c r="I33" s="4">
        <f>+IF(FORM!I33="AM Y PM",1,IF(FORM!I33="AM",1,0))</f>
        <v>0</v>
      </c>
      <c r="J33" s="4">
        <f>+IF(FORM!J33="AM Y PM",1,IF(FORM!J33="AM",1,0))</f>
        <v>0</v>
      </c>
      <c r="K33" s="4">
        <f>+IF(FORM!K33="AM Y PM",1,IF(FORM!K33="AM",1,0))</f>
        <v>0</v>
      </c>
      <c r="L33" s="4">
        <f>+IF(FORM!L33="AM Y PM",1,IF(FORM!L33="AM",1,0))</f>
        <v>0</v>
      </c>
      <c r="M33" s="4">
        <f>+IF(FORM!M33="AM Y PM",1,IF(FORM!M33="AM",1,0))</f>
        <v>0</v>
      </c>
      <c r="N33" s="4">
        <f>+IF(FORM!N33="AM Y PM",1,IF(FORM!N33="AM",1,0))</f>
        <v>0</v>
      </c>
      <c r="O33" s="4">
        <f>+IF(FORM!O33="AM Y PM",1,IF(FORM!O33="AM",1,0))</f>
        <v>0</v>
      </c>
      <c r="P33" s="4">
        <f>+IF(FORM!P33="AM Y PM",1,IF(FORM!P33="AM",1,0))</f>
        <v>0</v>
      </c>
      <c r="Q33" s="4">
        <f>+IF(FORM!Q33="AM Y PM",1,IF(FORM!Q33="AM",1,0))</f>
        <v>0</v>
      </c>
      <c r="R33" s="4">
        <f>+IF(FORM!R33="AM Y PM",1,IF(FORM!R33="AM",1,0))</f>
        <v>0</v>
      </c>
      <c r="S33" s="4">
        <f>+IF(FORM!S33="AM Y PM",1,IF(FORM!S33="AM",1,0))</f>
        <v>0</v>
      </c>
      <c r="T33" s="4">
        <f>+IF(FORM!T33="AM Y PM",1,IF(FORM!T33="AM",1,0))</f>
        <v>0</v>
      </c>
      <c r="U33" s="4">
        <f>+IF(FORM!U33="AM Y PM",1,IF(FORM!U33="AM",1,0))</f>
        <v>0</v>
      </c>
      <c r="V33" s="4">
        <f>+IF(FORM!V33="AM Y PM",1,IF(FORM!V33="AM",1,0))</f>
        <v>0</v>
      </c>
      <c r="W33" s="4">
        <f>+IF(FORM!W33="AM Y PM",1,IF(FORM!W33="AM",1,0))</f>
        <v>0</v>
      </c>
      <c r="X33" s="4">
        <f>+IF(FORM!X33="AM Y PM",1,IF(FORM!X33="AM",1,0))</f>
        <v>0</v>
      </c>
      <c r="Y33" s="4">
        <f>+IF(FORM!Y33="AM Y PM",1,IF(FORM!Y33="AM",1,0))</f>
        <v>0</v>
      </c>
      <c r="Z33" s="4">
        <f>+IF(FORM!Z33="AM Y PM",1,IF(FORM!Z33="AM",1,0))</f>
        <v>0</v>
      </c>
      <c r="AA33" s="4">
        <f>+IF(FORM!AA33="AM Y PM",1,IF(FORM!AA33="AM",1,0))</f>
        <v>0</v>
      </c>
      <c r="AB33" s="4">
        <f>+IF(FORM!AB33="AM Y PM",1,IF(FORM!AB33="AM",1,0))</f>
        <v>0</v>
      </c>
      <c r="AC33" s="4">
        <f>+IF(FORM!AC33="AM Y PM",1,IF(FORM!AC33="AM",1,0))</f>
        <v>0</v>
      </c>
      <c r="AD33" s="4">
        <f>+IF(FORM!AD33="AM Y PM",1,IF(FORM!AD33="AM",1,0))</f>
        <v>0</v>
      </c>
      <c r="AE33" s="4">
        <f>+IF(FORM!AE33="AM Y PM",1,IF(FORM!AE33="AM",1,0))</f>
        <v>0</v>
      </c>
      <c r="AF33" s="4">
        <f>+IF(FORM!AF33="AM Y PM",1,IF(FORM!AF33="AM",1,0))</f>
        <v>0</v>
      </c>
    </row>
    <row r="34" spans="1:32" ht="18.75" customHeight="1" x14ac:dyDescent="0.25">
      <c r="A34" s="5" t="s">
        <v>85</v>
      </c>
      <c r="B34" s="4">
        <f>+IF(FORM!B34="AM Y PM",1,IF(FORM!B34="AM",1,0))</f>
        <v>0</v>
      </c>
      <c r="C34" s="4">
        <f>+IF(FORM!C34="AM Y PM",1,IF(FORM!C34="AM",1,0))</f>
        <v>0</v>
      </c>
      <c r="D34" s="4">
        <f>+IF(FORM!D34="AM Y PM",1,IF(FORM!D34="AM",1,0))</f>
        <v>0</v>
      </c>
      <c r="E34" s="4">
        <f>+IF(FORM!E34="AM Y PM",1,IF(FORM!E34="AM",1,0))</f>
        <v>0</v>
      </c>
      <c r="F34" s="4">
        <f>+IF(FORM!F34="AM Y PM",1,IF(FORM!F34="AM",1,0))</f>
        <v>0</v>
      </c>
      <c r="G34" s="4">
        <f>+IF(FORM!G34="AM Y PM",1,IF(FORM!G34="AM",1,0))</f>
        <v>0</v>
      </c>
      <c r="H34" s="4">
        <f>+IF(FORM!H34="AM Y PM",1,IF(FORM!H34="AM",1,0))</f>
        <v>0</v>
      </c>
      <c r="I34" s="4">
        <f>+IF(FORM!I34="AM Y PM",1,IF(FORM!I34="AM",1,0))</f>
        <v>0</v>
      </c>
      <c r="J34" s="4">
        <f>+IF(FORM!J34="AM Y PM",1,IF(FORM!J34="AM",1,0))</f>
        <v>0</v>
      </c>
      <c r="K34" s="4">
        <f>+IF(FORM!K34="AM Y PM",1,IF(FORM!K34="AM",1,0))</f>
        <v>0</v>
      </c>
      <c r="L34" s="4">
        <f>+IF(FORM!L34="AM Y PM",1,IF(FORM!L34="AM",1,0))</f>
        <v>0</v>
      </c>
      <c r="M34" s="4">
        <f>+IF(FORM!M34="AM Y PM",1,IF(FORM!M34="AM",1,0))</f>
        <v>0</v>
      </c>
      <c r="N34" s="4">
        <f>+IF(FORM!N34="AM Y PM",1,IF(FORM!N34="AM",1,0))</f>
        <v>0</v>
      </c>
      <c r="O34" s="4">
        <f>+IF(FORM!O34="AM Y PM",1,IF(FORM!O34="AM",1,0))</f>
        <v>0</v>
      </c>
      <c r="P34" s="4">
        <f>+IF(FORM!P34="AM Y PM",1,IF(FORM!P34="AM",1,0))</f>
        <v>0</v>
      </c>
      <c r="Q34" s="4">
        <f>+IF(FORM!Q34="AM Y PM",1,IF(FORM!Q34="AM",1,0))</f>
        <v>0</v>
      </c>
      <c r="R34" s="4">
        <f>+IF(FORM!R34="AM Y PM",1,IF(FORM!R34="AM",1,0))</f>
        <v>0</v>
      </c>
      <c r="S34" s="4">
        <f>+IF(FORM!S34="AM Y PM",1,IF(FORM!S34="AM",1,0))</f>
        <v>0</v>
      </c>
      <c r="T34" s="4">
        <f>+IF(FORM!T34="AM Y PM",1,IF(FORM!T34="AM",1,0))</f>
        <v>0</v>
      </c>
      <c r="U34" s="4">
        <f>+IF(FORM!U34="AM Y PM",1,IF(FORM!U34="AM",1,0))</f>
        <v>0</v>
      </c>
      <c r="V34" s="4">
        <f>+IF(FORM!V34="AM Y PM",1,IF(FORM!V34="AM",1,0))</f>
        <v>0</v>
      </c>
      <c r="W34" s="4">
        <f>+IF(FORM!W34="AM Y PM",1,IF(FORM!W34="AM",1,0))</f>
        <v>0</v>
      </c>
      <c r="X34" s="4">
        <f>+IF(FORM!X34="AM Y PM",1,IF(FORM!X34="AM",1,0))</f>
        <v>0</v>
      </c>
      <c r="Y34" s="4">
        <f>+IF(FORM!Y34="AM Y PM",1,IF(FORM!Y34="AM",1,0))</f>
        <v>0</v>
      </c>
      <c r="Z34" s="4">
        <f>+IF(FORM!Z34="AM Y PM",1,IF(FORM!Z34="AM",1,0))</f>
        <v>0</v>
      </c>
      <c r="AA34" s="4">
        <f>+IF(FORM!AA34="AM Y PM",1,IF(FORM!AA34="AM",1,0))</f>
        <v>0</v>
      </c>
      <c r="AB34" s="4">
        <f>+IF(FORM!AB34="AM Y PM",1,IF(FORM!AB34="AM",1,0))</f>
        <v>0</v>
      </c>
      <c r="AC34" s="4">
        <f>+IF(FORM!AC34="AM Y PM",1,IF(FORM!AC34="AM",1,0))</f>
        <v>0</v>
      </c>
      <c r="AD34" s="4">
        <f>+IF(FORM!AD34="AM Y PM",1,IF(FORM!AD34="AM",1,0))</f>
        <v>0</v>
      </c>
      <c r="AE34" s="4">
        <f>+IF(FORM!AE34="AM Y PM",1,IF(FORM!AE34="AM",1,0))</f>
        <v>0</v>
      </c>
      <c r="AF34" s="4">
        <f>+IF(FORM!AF34="AM Y PM",1,IF(FORM!AF34="AM",1,0))</f>
        <v>0</v>
      </c>
    </row>
    <row r="35" spans="1:32" ht="18.75" customHeight="1" x14ac:dyDescent="0.25">
      <c r="A35" s="5" t="s">
        <v>86</v>
      </c>
      <c r="B35" s="4">
        <f>+IF(FORM!B35="AM Y PM",1,IF(FORM!B35="AM",1,0))</f>
        <v>0</v>
      </c>
      <c r="C35" s="4">
        <f>+IF(FORM!C35="AM Y PM",1,IF(FORM!C35="AM",1,0))</f>
        <v>0</v>
      </c>
      <c r="D35" s="4">
        <f>+IF(FORM!D35="AM Y PM",1,IF(FORM!D35="AM",1,0))</f>
        <v>0</v>
      </c>
      <c r="E35" s="4">
        <f>+IF(FORM!E35="AM Y PM",1,IF(FORM!E35="AM",1,0))</f>
        <v>0</v>
      </c>
      <c r="F35" s="4">
        <f>+IF(FORM!F35="AM Y PM",1,IF(FORM!F35="AM",1,0))</f>
        <v>1</v>
      </c>
      <c r="G35" s="4">
        <f>+IF(FORM!G35="AM Y PM",1,IF(FORM!G35="AM",1,0))</f>
        <v>1</v>
      </c>
      <c r="H35" s="4">
        <f>+IF(FORM!H35="AM Y PM",1,IF(FORM!H35="AM",1,0))</f>
        <v>1</v>
      </c>
      <c r="I35" s="4">
        <f>+IF(FORM!I35="AM Y PM",1,IF(FORM!I35="AM",1,0))</f>
        <v>1</v>
      </c>
      <c r="J35" s="4">
        <f>+IF(FORM!J35="AM Y PM",1,IF(FORM!J35="AM",1,0))</f>
        <v>1</v>
      </c>
      <c r="K35" s="4">
        <f>+IF(FORM!K35="AM Y PM",1,IF(FORM!K35="AM",1,0))</f>
        <v>1</v>
      </c>
      <c r="L35" s="4">
        <f>+IF(FORM!L35="AM Y PM",1,IF(FORM!L35="AM",1,0))</f>
        <v>0</v>
      </c>
      <c r="M35" s="4">
        <f>+IF(FORM!M35="AM Y PM",1,IF(FORM!M35="AM",1,0))</f>
        <v>0</v>
      </c>
      <c r="N35" s="4">
        <f>+IF(FORM!N35="AM Y PM",1,IF(FORM!N35="AM",1,0))</f>
        <v>1</v>
      </c>
      <c r="O35" s="4">
        <f>+IF(FORM!O35="AM Y PM",1,IF(FORM!O35="AM",1,0))</f>
        <v>1</v>
      </c>
      <c r="P35" s="4">
        <f>+IF(FORM!P35="AM Y PM",1,IF(FORM!P35="AM",1,0))</f>
        <v>1</v>
      </c>
      <c r="Q35" s="4">
        <f>+IF(FORM!Q35="AM Y PM",1,IF(FORM!Q35="AM",1,0))</f>
        <v>1</v>
      </c>
      <c r="R35" s="4">
        <f>+IF(FORM!R35="AM Y PM",1,IF(FORM!R35="AM",1,0))</f>
        <v>1</v>
      </c>
      <c r="S35" s="4">
        <f>+IF(FORM!S35="AM Y PM",1,IF(FORM!S35="AM",1,0))</f>
        <v>0</v>
      </c>
      <c r="T35" s="4">
        <f>+IF(FORM!T35="AM Y PM",1,IF(FORM!T35="AM",1,0))</f>
        <v>1</v>
      </c>
      <c r="U35" s="4">
        <f>+IF(FORM!U35="AM Y PM",1,IF(FORM!U35="AM",1,0))</f>
        <v>1</v>
      </c>
      <c r="V35" s="4">
        <f>+IF(FORM!V35="AM Y PM",1,IF(FORM!V35="AM",1,0))</f>
        <v>1</v>
      </c>
      <c r="W35" s="4">
        <f>+IF(FORM!W35="AM Y PM",1,IF(FORM!W35="AM",1,0))</f>
        <v>1</v>
      </c>
      <c r="X35" s="4">
        <f>+IF(FORM!X35="AM Y PM",1,IF(FORM!X35="AM",1,0))</f>
        <v>1</v>
      </c>
      <c r="Y35" s="4">
        <f>+IF(FORM!Y35="AM Y PM",1,IF(FORM!Y35="AM",1,0))</f>
        <v>1</v>
      </c>
      <c r="Z35" s="4">
        <f>+IF(FORM!Z35="AM Y PM",1,IF(FORM!Z35="AM",1,0))</f>
        <v>0</v>
      </c>
      <c r="AA35" s="4">
        <f>+IF(FORM!AA35="AM Y PM",1,IF(FORM!AA35="AM",1,0))</f>
        <v>1</v>
      </c>
      <c r="AB35" s="4">
        <f>+IF(FORM!AB35="AM Y PM",1,IF(FORM!AB35="AM",1,0))</f>
        <v>1</v>
      </c>
      <c r="AC35" s="4">
        <f>+IF(FORM!AC35="AM Y PM",1,IF(FORM!AC35="AM",1,0))</f>
        <v>1</v>
      </c>
      <c r="AD35" s="4">
        <f>+IF(FORM!AD35="AM Y PM",1,IF(FORM!AD35="AM",1,0))</f>
        <v>1</v>
      </c>
      <c r="AE35" s="4">
        <f>+IF(FORM!AE35="AM Y PM",1,IF(FORM!AE35="AM",1,0))</f>
        <v>1</v>
      </c>
      <c r="AF35" s="4">
        <f>+IF(FORM!AF35="AM Y PM",1,IF(FORM!AF35="AM",1,0))</f>
        <v>1</v>
      </c>
    </row>
    <row r="36" spans="1:32" ht="18.75" customHeight="1" x14ac:dyDescent="0.25">
      <c r="A36" s="5" t="s">
        <v>87</v>
      </c>
      <c r="B36" s="4">
        <f>+IF(FORM!B36="AM Y PM",1,IF(FORM!B36="AM",1,0))</f>
        <v>0</v>
      </c>
      <c r="C36" s="4">
        <f>+IF(FORM!C36="AM Y PM",1,IF(FORM!C36="AM",1,0))</f>
        <v>0</v>
      </c>
      <c r="D36" s="4">
        <f>+IF(FORM!D36="AM Y PM",1,IF(FORM!D36="AM",1,0))</f>
        <v>0</v>
      </c>
      <c r="E36" s="4">
        <f>+IF(FORM!E36="AM Y PM",1,IF(FORM!E36="AM",1,0))</f>
        <v>0</v>
      </c>
      <c r="F36" s="4">
        <f>+IF(FORM!F36="AM Y PM",1,IF(FORM!F36="AM",1,0))</f>
        <v>0</v>
      </c>
      <c r="G36" s="4">
        <f>+IF(FORM!G36="AM Y PM",1,IF(FORM!G36="AM",1,0))</f>
        <v>0</v>
      </c>
      <c r="H36" s="4">
        <f>+IF(FORM!H36="AM Y PM",1,IF(FORM!H36="AM",1,0))</f>
        <v>0</v>
      </c>
      <c r="I36" s="4">
        <f>+IF(FORM!I36="AM Y PM",1,IF(FORM!I36="AM",1,0))</f>
        <v>0</v>
      </c>
      <c r="J36" s="4">
        <f>+IF(FORM!J36="AM Y PM",1,IF(FORM!J36="AM",1,0))</f>
        <v>0</v>
      </c>
      <c r="K36" s="4">
        <f>+IF(FORM!K36="AM Y PM",1,IF(FORM!K36="AM",1,0))</f>
        <v>0</v>
      </c>
      <c r="L36" s="4">
        <f>+IF(FORM!L36="AM Y PM",1,IF(FORM!L36="AM",1,0))</f>
        <v>0</v>
      </c>
      <c r="M36" s="4">
        <f>+IF(FORM!M36="AM Y PM",1,IF(FORM!M36="AM",1,0))</f>
        <v>0</v>
      </c>
      <c r="N36" s="4">
        <f>+IF(FORM!N36="AM Y PM",1,IF(FORM!N36="AM",1,0))</f>
        <v>0</v>
      </c>
      <c r="O36" s="4">
        <f>+IF(FORM!O36="AM Y PM",1,IF(FORM!O36="AM",1,0))</f>
        <v>0</v>
      </c>
      <c r="P36" s="4">
        <f>+IF(FORM!P36="AM Y PM",1,IF(FORM!P36="AM",1,0))</f>
        <v>0</v>
      </c>
      <c r="Q36" s="4">
        <f>+IF(FORM!Q36="AM Y PM",1,IF(FORM!Q36="AM",1,0))</f>
        <v>0</v>
      </c>
      <c r="R36" s="4">
        <f>+IF(FORM!R36="AM Y PM",1,IF(FORM!R36="AM",1,0))</f>
        <v>0</v>
      </c>
      <c r="S36" s="4">
        <f>+IF(FORM!S36="AM Y PM",1,IF(FORM!S36="AM",1,0))</f>
        <v>0</v>
      </c>
      <c r="T36" s="4">
        <f>+IF(FORM!T36="AM Y PM",1,IF(FORM!T36="AM",1,0))</f>
        <v>0</v>
      </c>
      <c r="U36" s="4">
        <f>+IF(FORM!U36="AM Y PM",1,IF(FORM!U36="AM",1,0))</f>
        <v>0</v>
      </c>
      <c r="V36" s="4">
        <f>+IF(FORM!V36="AM Y PM",1,IF(FORM!V36="AM",1,0))</f>
        <v>0</v>
      </c>
      <c r="W36" s="4">
        <f>+IF(FORM!W36="AM Y PM",1,IF(FORM!W36="AM",1,0))</f>
        <v>0</v>
      </c>
      <c r="X36" s="4">
        <f>+IF(FORM!X36="AM Y PM",1,IF(FORM!X36="AM",1,0))</f>
        <v>0</v>
      </c>
      <c r="Y36" s="4">
        <f>+IF(FORM!Y36="AM Y PM",1,IF(FORM!Y36="AM",1,0))</f>
        <v>0</v>
      </c>
      <c r="Z36" s="4">
        <f>+IF(FORM!Z36="AM Y PM",1,IF(FORM!Z36="AM",1,0))</f>
        <v>0</v>
      </c>
      <c r="AA36" s="4">
        <f>+IF(FORM!AA36="AM Y PM",1,IF(FORM!AA36="AM",1,0))</f>
        <v>0</v>
      </c>
      <c r="AB36" s="4">
        <f>+IF(FORM!AB36="AM Y PM",1,IF(FORM!AB36="AM",1,0))</f>
        <v>0</v>
      </c>
      <c r="AC36" s="4">
        <f>+IF(FORM!AC36="AM Y PM",1,IF(FORM!AC36="AM",1,0))</f>
        <v>0</v>
      </c>
      <c r="AD36" s="4">
        <f>+IF(FORM!AD36="AM Y PM",1,IF(FORM!AD36="AM",1,0))</f>
        <v>0</v>
      </c>
      <c r="AE36" s="4">
        <f>+IF(FORM!AE36="AM Y PM",1,IF(FORM!AE36="AM",1,0))</f>
        <v>0</v>
      </c>
      <c r="AF36" s="4">
        <f>+IF(FORM!AF36="AM Y PM",1,IF(FORM!AF36="AM",1,0))</f>
        <v>0</v>
      </c>
    </row>
    <row r="37" spans="1:32" ht="18.75" customHeight="1" x14ac:dyDescent="0.25">
      <c r="A37" s="5" t="s">
        <v>88</v>
      </c>
      <c r="B37" s="4">
        <f>+IF(FORM!B37="AM Y PM",1,IF(FORM!B37="AM",1,0))</f>
        <v>0</v>
      </c>
      <c r="C37" s="4">
        <f>+IF(FORM!C37="AM Y PM",1,IF(FORM!C37="AM",1,0))</f>
        <v>0</v>
      </c>
      <c r="D37" s="4">
        <f>+IF(FORM!D37="AM Y PM",1,IF(FORM!D37="AM",1,0))</f>
        <v>0</v>
      </c>
      <c r="E37" s="4">
        <f>+IF(FORM!E37="AM Y PM",1,IF(FORM!E37="AM",1,0))</f>
        <v>0</v>
      </c>
      <c r="F37" s="4">
        <f>+IF(FORM!F37="AM Y PM",1,IF(FORM!F37="AM",1,0))</f>
        <v>0</v>
      </c>
      <c r="G37" s="4">
        <f>+IF(FORM!G37="AM Y PM",1,IF(FORM!G37="AM",1,0))</f>
        <v>0</v>
      </c>
      <c r="H37" s="4">
        <f>+IF(FORM!H37="AM Y PM",1,IF(FORM!H37="AM",1,0))</f>
        <v>0</v>
      </c>
      <c r="I37" s="4">
        <f>+IF(FORM!I37="AM Y PM",1,IF(FORM!I37="AM",1,0))</f>
        <v>0</v>
      </c>
      <c r="J37" s="4">
        <f>+IF(FORM!J37="AM Y PM",1,IF(FORM!J37="AM",1,0))</f>
        <v>0</v>
      </c>
      <c r="K37" s="4">
        <f>+IF(FORM!K37="AM Y PM",1,IF(FORM!K37="AM",1,0))</f>
        <v>0</v>
      </c>
      <c r="L37" s="4">
        <f>+IF(FORM!L37="AM Y PM",1,IF(FORM!L37="AM",1,0))</f>
        <v>0</v>
      </c>
      <c r="M37" s="4">
        <f>+IF(FORM!M37="AM Y PM",1,IF(FORM!M37="AM",1,0))</f>
        <v>0</v>
      </c>
      <c r="N37" s="4">
        <f>+IF(FORM!N37="AM Y PM",1,IF(FORM!N37="AM",1,0))</f>
        <v>0</v>
      </c>
      <c r="O37" s="4">
        <f>+IF(FORM!O37="AM Y PM",1,IF(FORM!O37="AM",1,0))</f>
        <v>0</v>
      </c>
      <c r="P37" s="4">
        <f>+IF(FORM!P37="AM Y PM",1,IF(FORM!P37="AM",1,0))</f>
        <v>0</v>
      </c>
      <c r="Q37" s="4">
        <f>+IF(FORM!Q37="AM Y PM",1,IF(FORM!Q37="AM",1,0))</f>
        <v>0</v>
      </c>
      <c r="R37" s="4">
        <f>+IF(FORM!R37="AM Y PM",1,IF(FORM!R37="AM",1,0))</f>
        <v>0</v>
      </c>
      <c r="S37" s="4">
        <f>+IF(FORM!S37="AM Y PM",1,IF(FORM!S37="AM",1,0))</f>
        <v>0</v>
      </c>
      <c r="T37" s="4">
        <f>+IF(FORM!T37="AM Y PM",1,IF(FORM!T37="AM",1,0))</f>
        <v>0</v>
      </c>
      <c r="U37" s="4">
        <f>+IF(FORM!U37="AM Y PM",1,IF(FORM!U37="AM",1,0))</f>
        <v>0</v>
      </c>
      <c r="V37" s="4">
        <f>+IF(FORM!V37="AM Y PM",1,IF(FORM!V37="AM",1,0))</f>
        <v>0</v>
      </c>
      <c r="W37" s="4">
        <f>+IF(FORM!W37="AM Y PM",1,IF(FORM!W37="AM",1,0))</f>
        <v>0</v>
      </c>
      <c r="X37" s="4">
        <f>+IF(FORM!X37="AM Y PM",1,IF(FORM!X37="AM",1,0))</f>
        <v>0</v>
      </c>
      <c r="Y37" s="4">
        <f>+IF(FORM!Y37="AM Y PM",1,IF(FORM!Y37="AM",1,0))</f>
        <v>0</v>
      </c>
      <c r="Z37" s="4">
        <f>+IF(FORM!Z37="AM Y PM",1,IF(FORM!Z37="AM",1,0))</f>
        <v>0</v>
      </c>
      <c r="AA37" s="4">
        <f>+IF(FORM!AA37="AM Y PM",1,IF(FORM!AA37="AM",1,0))</f>
        <v>0</v>
      </c>
      <c r="AB37" s="4">
        <f>+IF(FORM!AB37="AM Y PM",1,IF(FORM!AB37="AM",1,0))</f>
        <v>0</v>
      </c>
      <c r="AC37" s="4">
        <f>+IF(FORM!AC37="AM Y PM",1,IF(FORM!AC37="AM",1,0))</f>
        <v>0</v>
      </c>
      <c r="AD37" s="4">
        <f>+IF(FORM!AD37="AM Y PM",1,IF(FORM!AD37="AM",1,0))</f>
        <v>0</v>
      </c>
      <c r="AE37" s="4">
        <f>+IF(FORM!AE37="AM Y PM",1,IF(FORM!AE37="AM",1,0))</f>
        <v>0</v>
      </c>
      <c r="AF37" s="4">
        <f>+IF(FORM!AF37="AM Y PM",1,IF(FORM!AF37="AM",1,0))</f>
        <v>0</v>
      </c>
    </row>
    <row r="38" spans="1:32" ht="18.75" customHeight="1" x14ac:dyDescent="0.25">
      <c r="A38" s="5" t="s">
        <v>89</v>
      </c>
      <c r="B38" s="4">
        <f>+IF(FORM!B38="AM Y PM",1,IF(FORM!B38="AM",1,0))</f>
        <v>0</v>
      </c>
      <c r="C38" s="4">
        <f>+IF(FORM!C38="AM Y PM",1,IF(FORM!C38="AM",1,0))</f>
        <v>0</v>
      </c>
      <c r="D38" s="4">
        <f>+IF(FORM!D38="AM Y PM",1,IF(FORM!D38="AM",1,0))</f>
        <v>0</v>
      </c>
      <c r="E38" s="4">
        <f>+IF(FORM!E38="AM Y PM",1,IF(FORM!E38="AM",1,0))</f>
        <v>0</v>
      </c>
      <c r="F38" s="4">
        <f>+IF(FORM!F38="AM Y PM",1,IF(FORM!F38="AM",1,0))</f>
        <v>1</v>
      </c>
      <c r="G38" s="4">
        <f>+IF(FORM!G38="AM Y PM",1,IF(FORM!G38="AM",1,0))</f>
        <v>1</v>
      </c>
      <c r="H38" s="4">
        <f>+IF(FORM!H38="AM Y PM",1,IF(FORM!H38="AM",1,0))</f>
        <v>1</v>
      </c>
      <c r="I38" s="4">
        <f>+IF(FORM!I38="AM Y PM",1,IF(FORM!I38="AM",1,0))</f>
        <v>1</v>
      </c>
      <c r="J38" s="4">
        <f>+IF(FORM!J38="AM Y PM",1,IF(FORM!J38="AM",1,0))</f>
        <v>1</v>
      </c>
      <c r="K38" s="4">
        <f>+IF(FORM!K38="AM Y PM",1,IF(FORM!K38="AM",1,0))</f>
        <v>0</v>
      </c>
      <c r="L38" s="4">
        <f>+IF(FORM!L38="AM Y PM",1,IF(FORM!L38="AM",1,0))</f>
        <v>0</v>
      </c>
      <c r="M38" s="4">
        <f>+IF(FORM!M38="AM Y PM",1,IF(FORM!M38="AM",1,0))</f>
        <v>0</v>
      </c>
      <c r="N38" s="4">
        <f>+IF(FORM!N38="AM Y PM",1,IF(FORM!N38="AM",1,0))</f>
        <v>1</v>
      </c>
      <c r="O38" s="4">
        <f>+IF(FORM!O38="AM Y PM",1,IF(FORM!O38="AM",1,0))</f>
        <v>1</v>
      </c>
      <c r="P38" s="4">
        <f>+IF(FORM!P38="AM Y PM",1,IF(FORM!P38="AM",1,0))</f>
        <v>1</v>
      </c>
      <c r="Q38" s="4">
        <f>+IF(FORM!Q38="AM Y PM",1,IF(FORM!Q38="AM",1,0))</f>
        <v>1</v>
      </c>
      <c r="R38" s="4">
        <f>+IF(FORM!R38="AM Y PM",1,IF(FORM!R38="AM",1,0))</f>
        <v>0</v>
      </c>
      <c r="S38" s="4">
        <f>+IF(FORM!S38="AM Y PM",1,IF(FORM!S38="AM",1,0))</f>
        <v>0</v>
      </c>
      <c r="T38" s="4">
        <f>+IF(FORM!T38="AM Y PM",1,IF(FORM!T38="AM",1,0))</f>
        <v>1</v>
      </c>
      <c r="U38" s="4">
        <f>+IF(FORM!U38="AM Y PM",1,IF(FORM!U38="AM",1,0))</f>
        <v>1</v>
      </c>
      <c r="V38" s="4">
        <f>+IF(FORM!V38="AM Y PM",1,IF(FORM!V38="AM",1,0))</f>
        <v>1</v>
      </c>
      <c r="W38" s="4">
        <f>+IF(FORM!W38="AM Y PM",1,IF(FORM!W38="AM",1,0))</f>
        <v>1</v>
      </c>
      <c r="X38" s="4">
        <f>+IF(FORM!X38="AM Y PM",1,IF(FORM!X38="AM",1,0))</f>
        <v>1</v>
      </c>
      <c r="Y38" s="4">
        <f>+IF(FORM!Y38="AM Y PM",1,IF(FORM!Y38="AM",1,0))</f>
        <v>0</v>
      </c>
      <c r="Z38" s="4">
        <f>+IF(FORM!Z38="AM Y PM",1,IF(FORM!Z38="AM",1,0))</f>
        <v>0</v>
      </c>
      <c r="AA38" s="4">
        <f>+IF(FORM!AA38="AM Y PM",1,IF(FORM!AA38="AM",1,0))</f>
        <v>1</v>
      </c>
      <c r="AB38" s="4">
        <f>+IF(FORM!AB38="AM Y PM",1,IF(FORM!AB38="AM",1,0))</f>
        <v>1</v>
      </c>
      <c r="AC38" s="4">
        <f>+IF(FORM!AC38="AM Y PM",1,IF(FORM!AC38="AM",1,0))</f>
        <v>1</v>
      </c>
      <c r="AD38" s="4">
        <f>+IF(FORM!AD38="AM Y PM",1,IF(FORM!AD38="AM",1,0))</f>
        <v>1</v>
      </c>
      <c r="AE38" s="4">
        <f>+IF(FORM!AE38="AM Y PM",1,IF(FORM!AE38="AM",1,0))</f>
        <v>1</v>
      </c>
      <c r="AF38" s="4">
        <f>+IF(FORM!AF38="AM Y PM",1,IF(FORM!AF38="AM",1,0))</f>
        <v>0</v>
      </c>
    </row>
    <row r="39" spans="1:32" ht="18.75" customHeight="1" x14ac:dyDescent="0.25">
      <c r="A39" s="5" t="s">
        <v>90</v>
      </c>
      <c r="B39" s="4">
        <f>+IF(FORM!B39="AM Y PM",1,IF(FORM!B39="AM",1,0))</f>
        <v>0</v>
      </c>
      <c r="C39" s="4">
        <f>+IF(FORM!C39="AM Y PM",1,IF(FORM!C39="AM",1,0))</f>
        <v>0</v>
      </c>
      <c r="D39" s="4">
        <f>+IF(FORM!D39="AM Y PM",1,IF(FORM!D39="AM",1,0))</f>
        <v>0</v>
      </c>
      <c r="E39" s="4">
        <f>+IF(FORM!E39="AM Y PM",1,IF(FORM!E39="AM",1,0))</f>
        <v>0</v>
      </c>
      <c r="F39" s="4">
        <f>+IF(FORM!F39="AM Y PM",1,IF(FORM!F39="AM",1,0))</f>
        <v>1</v>
      </c>
      <c r="G39" s="4">
        <f>+IF(FORM!G39="AM Y PM",1,IF(FORM!G39="AM",1,0))</f>
        <v>1</v>
      </c>
      <c r="H39" s="4">
        <f>+IF(FORM!H39="AM Y PM",1,IF(FORM!H39="AM",1,0))</f>
        <v>1</v>
      </c>
      <c r="I39" s="4">
        <f>+IF(FORM!I39="AM Y PM",1,IF(FORM!I39="AM",1,0))</f>
        <v>1</v>
      </c>
      <c r="J39" s="4">
        <f>+IF(FORM!J39="AM Y PM",1,IF(FORM!J39="AM",1,0))</f>
        <v>1</v>
      </c>
      <c r="K39" s="4">
        <f>+IF(FORM!K39="AM Y PM",1,IF(FORM!K39="AM",1,0))</f>
        <v>0</v>
      </c>
      <c r="L39" s="4">
        <f>+IF(FORM!L39="AM Y PM",1,IF(FORM!L39="AM",1,0))</f>
        <v>0</v>
      </c>
      <c r="M39" s="4">
        <f>+IF(FORM!M39="AM Y PM",1,IF(FORM!M39="AM",1,0))</f>
        <v>0</v>
      </c>
      <c r="N39" s="4">
        <f>+IF(FORM!N39="AM Y PM",1,IF(FORM!N39="AM",1,0))</f>
        <v>1</v>
      </c>
      <c r="O39" s="4">
        <f>+IF(FORM!O39="AM Y PM",1,IF(FORM!O39="AM",1,0))</f>
        <v>1</v>
      </c>
      <c r="P39" s="4">
        <f>+IF(FORM!P39="AM Y PM",1,IF(FORM!P39="AM",1,0))</f>
        <v>1</v>
      </c>
      <c r="Q39" s="4">
        <f>+IF(FORM!Q39="AM Y PM",1,IF(FORM!Q39="AM",1,0))</f>
        <v>1</v>
      </c>
      <c r="R39" s="4">
        <f>+IF(FORM!R39="AM Y PM",1,IF(FORM!R39="AM",1,0))</f>
        <v>0</v>
      </c>
      <c r="S39" s="4">
        <f>+IF(FORM!S39="AM Y PM",1,IF(FORM!S39="AM",1,0))</f>
        <v>0</v>
      </c>
      <c r="T39" s="4">
        <f>+IF(FORM!T39="AM Y PM",1,IF(FORM!T39="AM",1,0))</f>
        <v>1</v>
      </c>
      <c r="U39" s="4">
        <f>+IF(FORM!U39="AM Y PM",1,IF(FORM!U39="AM",1,0))</f>
        <v>1</v>
      </c>
      <c r="V39" s="4">
        <f>+IF(FORM!V39="AM Y PM",1,IF(FORM!V39="AM",1,0))</f>
        <v>1</v>
      </c>
      <c r="W39" s="4">
        <f>+IF(FORM!W39="AM Y PM",1,IF(FORM!W39="AM",1,0))</f>
        <v>1</v>
      </c>
      <c r="X39" s="4">
        <f>+IF(FORM!X39="AM Y PM",1,IF(FORM!X39="AM",1,0))</f>
        <v>1</v>
      </c>
      <c r="Y39" s="4">
        <f>+IF(FORM!Y39="AM Y PM",1,IF(FORM!Y39="AM",1,0))</f>
        <v>0</v>
      </c>
      <c r="Z39" s="4">
        <f>+IF(FORM!Z39="AM Y PM",1,IF(FORM!Z39="AM",1,0))</f>
        <v>0</v>
      </c>
      <c r="AA39" s="4">
        <f>+IF(FORM!AA39="AM Y PM",1,IF(FORM!AA39="AM",1,0))</f>
        <v>1</v>
      </c>
      <c r="AB39" s="4">
        <f>+IF(FORM!AB39="AM Y PM",1,IF(FORM!AB39="AM",1,0))</f>
        <v>1</v>
      </c>
      <c r="AC39" s="4">
        <f>+IF(FORM!AC39="AM Y PM",1,IF(FORM!AC39="AM",1,0))</f>
        <v>1</v>
      </c>
      <c r="AD39" s="4">
        <f>+IF(FORM!AD39="AM Y PM",1,IF(FORM!AD39="AM",1,0))</f>
        <v>1</v>
      </c>
      <c r="AE39" s="4">
        <f>+IF(FORM!AE39="AM Y PM",1,IF(FORM!AE39="AM",1,0))</f>
        <v>1</v>
      </c>
      <c r="AF39" s="4">
        <f>+IF(FORM!AF39="AM Y PM",1,IF(FORM!AF39="AM",1,0))</f>
        <v>0</v>
      </c>
    </row>
    <row r="40" spans="1:32" ht="18.75" customHeight="1" x14ac:dyDescent="0.25">
      <c r="A40" s="5" t="s">
        <v>91</v>
      </c>
      <c r="B40" s="4">
        <f>+IF(FORM!B40="AM Y PM",1,IF(FORM!B40="AM",1,0))</f>
        <v>0</v>
      </c>
      <c r="C40" s="4">
        <f>+IF(FORM!C40="AM Y PM",1,IF(FORM!C40="AM",1,0))</f>
        <v>0</v>
      </c>
      <c r="D40" s="4">
        <f>+IF(FORM!D40="AM Y PM",1,IF(FORM!D40="AM",1,0))</f>
        <v>0</v>
      </c>
      <c r="E40" s="4">
        <f>+IF(FORM!E40="AM Y PM",1,IF(FORM!E40="AM",1,0))</f>
        <v>0</v>
      </c>
      <c r="F40" s="4">
        <f>+IF(FORM!F40="AM Y PM",1,IF(FORM!F40="AM",1,0))</f>
        <v>0</v>
      </c>
      <c r="G40" s="4">
        <f>+IF(FORM!G40="AM Y PM",1,IF(FORM!G40="AM",1,0))</f>
        <v>0</v>
      </c>
      <c r="H40" s="4">
        <f>+IF(FORM!H40="AM Y PM",1,IF(FORM!H40="AM",1,0))</f>
        <v>0</v>
      </c>
      <c r="I40" s="4">
        <f>+IF(FORM!I40="AM Y PM",1,IF(FORM!I40="AM",1,0))</f>
        <v>0</v>
      </c>
      <c r="J40" s="4">
        <f>+IF(FORM!J40="AM Y PM",1,IF(FORM!J40="AM",1,0))</f>
        <v>0</v>
      </c>
      <c r="K40" s="4">
        <f>+IF(FORM!K40="AM Y PM",1,IF(FORM!K40="AM",1,0))</f>
        <v>0</v>
      </c>
      <c r="L40" s="4">
        <f>+IF(FORM!L40="AM Y PM",1,IF(FORM!L40="AM",1,0))</f>
        <v>0</v>
      </c>
      <c r="M40" s="4">
        <f>+IF(FORM!M40="AM Y PM",1,IF(FORM!M40="AM",1,0))</f>
        <v>0</v>
      </c>
      <c r="N40" s="4">
        <f>+IF(FORM!N40="AM Y PM",1,IF(FORM!N40="AM",1,0))</f>
        <v>0</v>
      </c>
      <c r="O40" s="4">
        <f>+IF(FORM!O40="AM Y PM",1,IF(FORM!O40="AM",1,0))</f>
        <v>0</v>
      </c>
      <c r="P40" s="4">
        <f>+IF(FORM!P40="AM Y PM",1,IF(FORM!P40="AM",1,0))</f>
        <v>0</v>
      </c>
      <c r="Q40" s="4">
        <f>+IF(FORM!Q40="AM Y PM",1,IF(FORM!Q40="AM",1,0))</f>
        <v>0</v>
      </c>
      <c r="R40" s="4">
        <f>+IF(FORM!R40="AM Y PM",1,IF(FORM!R40="AM",1,0))</f>
        <v>0</v>
      </c>
      <c r="S40" s="4">
        <f>+IF(FORM!S40="AM Y PM",1,IF(FORM!S40="AM",1,0))</f>
        <v>0</v>
      </c>
      <c r="T40" s="4">
        <f>+IF(FORM!T40="AM Y PM",1,IF(FORM!T40="AM",1,0))</f>
        <v>0</v>
      </c>
      <c r="U40" s="4">
        <f>+IF(FORM!U40="AM Y PM",1,IF(FORM!U40="AM",1,0))</f>
        <v>0</v>
      </c>
      <c r="V40" s="4">
        <f>+IF(FORM!V40="AM Y PM",1,IF(FORM!V40="AM",1,0))</f>
        <v>0</v>
      </c>
      <c r="W40" s="4">
        <f>+IF(FORM!W40="AM Y PM",1,IF(FORM!W40="AM",1,0))</f>
        <v>0</v>
      </c>
      <c r="X40" s="4">
        <f>+IF(FORM!X40="AM Y PM",1,IF(FORM!X40="AM",1,0))</f>
        <v>0</v>
      </c>
      <c r="Y40" s="4">
        <f>+IF(FORM!Y40="AM Y PM",1,IF(FORM!Y40="AM",1,0))</f>
        <v>0</v>
      </c>
      <c r="Z40" s="4">
        <f>+IF(FORM!Z40="AM Y PM",1,IF(FORM!Z40="AM",1,0))</f>
        <v>0</v>
      </c>
      <c r="AA40" s="4">
        <f>+IF(FORM!AA40="AM Y PM",1,IF(FORM!AA40="AM",1,0))</f>
        <v>1</v>
      </c>
      <c r="AB40" s="4">
        <f>+IF(FORM!AB40="AM Y PM",1,IF(FORM!AB40="AM",1,0))</f>
        <v>1</v>
      </c>
      <c r="AC40" s="4">
        <f>+IF(FORM!AC40="AM Y PM",1,IF(FORM!AC40="AM",1,0))</f>
        <v>1</v>
      </c>
      <c r="AD40" s="4">
        <f>+IF(FORM!AD40="AM Y PM",1,IF(FORM!AD40="AM",1,0))</f>
        <v>1</v>
      </c>
      <c r="AE40" s="4">
        <f>+IF(FORM!AE40="AM Y PM",1,IF(FORM!AE40="AM",1,0))</f>
        <v>1</v>
      </c>
      <c r="AF40" s="4">
        <f>+IF(FORM!AF40="AM Y PM",1,IF(FORM!AF40="AM",1,0))</f>
        <v>0</v>
      </c>
    </row>
    <row r="41" spans="1:32" ht="18.75" customHeight="1" x14ac:dyDescent="0.25">
      <c r="A41" s="5" t="s">
        <v>92</v>
      </c>
      <c r="B41" s="4">
        <f>+IF(FORM!B41="AM Y PM",1,IF(FORM!B41="AM",1,0))</f>
        <v>0</v>
      </c>
      <c r="C41" s="4">
        <f>+IF(FORM!C41="AM Y PM",1,IF(FORM!C41="AM",1,0))</f>
        <v>0</v>
      </c>
      <c r="D41" s="4">
        <f>+IF(FORM!D41="AM Y PM",1,IF(FORM!D41="AM",1,0))</f>
        <v>0</v>
      </c>
      <c r="E41" s="4">
        <f>+IF(FORM!E41="AM Y PM",1,IF(FORM!E41="AM",1,0))</f>
        <v>0</v>
      </c>
      <c r="F41" s="4">
        <f>+IF(FORM!F41="AM Y PM",1,IF(FORM!F41="AM",1,0))</f>
        <v>0</v>
      </c>
      <c r="G41" s="4">
        <f>+IF(FORM!G41="AM Y PM",1,IF(FORM!G41="AM",1,0))</f>
        <v>0</v>
      </c>
      <c r="H41" s="4">
        <f>+IF(FORM!H41="AM Y PM",1,IF(FORM!H41="AM",1,0))</f>
        <v>0</v>
      </c>
      <c r="I41" s="4">
        <f>+IF(FORM!I41="AM Y PM",1,IF(FORM!I41="AM",1,0))</f>
        <v>0</v>
      </c>
      <c r="J41" s="4">
        <f>+IF(FORM!J41="AM Y PM",1,IF(FORM!J41="AM",1,0))</f>
        <v>0</v>
      </c>
      <c r="K41" s="4">
        <f>+IF(FORM!K41="AM Y PM",1,IF(FORM!K41="AM",1,0))</f>
        <v>0</v>
      </c>
      <c r="L41" s="4">
        <f>+IF(FORM!L41="AM Y PM",1,IF(FORM!L41="AM",1,0))</f>
        <v>0</v>
      </c>
      <c r="M41" s="4">
        <f>+IF(FORM!M41="AM Y PM",1,IF(FORM!M41="AM",1,0))</f>
        <v>0</v>
      </c>
      <c r="N41" s="4">
        <f>+IF(FORM!N41="AM Y PM",1,IF(FORM!N41="AM",1,0))</f>
        <v>0</v>
      </c>
      <c r="O41" s="4">
        <f>+IF(FORM!O41="AM Y PM",1,IF(FORM!O41="AM",1,0))</f>
        <v>0</v>
      </c>
      <c r="P41" s="4">
        <f>+IF(FORM!P41="AM Y PM",1,IF(FORM!P41="AM",1,0))</f>
        <v>0</v>
      </c>
      <c r="Q41" s="4">
        <f>+IF(FORM!Q41="AM Y PM",1,IF(FORM!Q41="AM",1,0))</f>
        <v>0</v>
      </c>
      <c r="R41" s="4">
        <f>+IF(FORM!R41="AM Y PM",1,IF(FORM!R41="AM",1,0))</f>
        <v>0</v>
      </c>
      <c r="S41" s="4">
        <f>+IF(FORM!S41="AM Y PM",1,IF(FORM!S41="AM",1,0))</f>
        <v>0</v>
      </c>
      <c r="T41" s="4">
        <f>+IF(FORM!T41="AM Y PM",1,IF(FORM!T41="AM",1,0))</f>
        <v>0</v>
      </c>
      <c r="U41" s="4">
        <f>+IF(FORM!U41="AM Y PM",1,IF(FORM!U41="AM",1,0))</f>
        <v>0</v>
      </c>
      <c r="V41" s="4">
        <f>+IF(FORM!V41="AM Y PM",1,IF(FORM!V41="AM",1,0))</f>
        <v>0</v>
      </c>
      <c r="W41" s="4">
        <f>+IF(FORM!W41="AM Y PM",1,IF(FORM!W41="AM",1,0))</f>
        <v>0</v>
      </c>
      <c r="X41" s="4">
        <f>+IF(FORM!X41="AM Y PM",1,IF(FORM!X41="AM",1,0))</f>
        <v>0</v>
      </c>
      <c r="Y41" s="4">
        <f>+IF(FORM!Y41="AM Y PM",1,IF(FORM!Y41="AM",1,0))</f>
        <v>0</v>
      </c>
      <c r="Z41" s="4">
        <f>+IF(FORM!Z41="AM Y PM",1,IF(FORM!Z41="AM",1,0))</f>
        <v>0</v>
      </c>
      <c r="AA41" s="4">
        <f>+IF(FORM!AA41="AM Y PM",1,IF(FORM!AA41="AM",1,0))</f>
        <v>0</v>
      </c>
      <c r="AB41" s="4">
        <f>+IF(FORM!AB41="AM Y PM",1,IF(FORM!AB41="AM",1,0))</f>
        <v>0</v>
      </c>
      <c r="AC41" s="4">
        <f>+IF(FORM!AC41="AM Y PM",1,IF(FORM!AC41="AM",1,0))</f>
        <v>0</v>
      </c>
      <c r="AD41" s="4">
        <f>+IF(FORM!AD41="AM Y PM",1,IF(FORM!AD41="AM",1,0))</f>
        <v>0</v>
      </c>
      <c r="AE41" s="4">
        <f>+IF(FORM!AE41="AM Y PM",1,IF(FORM!AE41="AM",1,0))</f>
        <v>0</v>
      </c>
      <c r="AF41" s="4">
        <f>+IF(FORM!AF41="AM Y PM",1,IF(FORM!AF41="AM",1,0))</f>
        <v>0</v>
      </c>
    </row>
    <row r="42" spans="1:32" ht="18.75" customHeight="1" x14ac:dyDescent="0.25">
      <c r="A42" s="5" t="s">
        <v>93</v>
      </c>
      <c r="B42" s="4">
        <f>+IF(FORM!B42="AM Y PM",1,IF(FORM!B42="AM",1,0))</f>
        <v>0</v>
      </c>
      <c r="C42" s="4">
        <f>+IF(FORM!C42="AM Y PM",1,IF(FORM!C42="AM",1,0))</f>
        <v>0</v>
      </c>
      <c r="D42" s="4">
        <f>+IF(FORM!D42="AM Y PM",1,IF(FORM!D42="AM",1,0))</f>
        <v>0</v>
      </c>
      <c r="E42" s="4">
        <f>+IF(FORM!E42="AM Y PM",1,IF(FORM!E42="AM",1,0))</f>
        <v>0</v>
      </c>
      <c r="F42" s="4">
        <f>+IF(FORM!F42="AM Y PM",1,IF(FORM!F42="AM",1,0))</f>
        <v>0</v>
      </c>
      <c r="G42" s="4">
        <f>+IF(FORM!G42="AM Y PM",1,IF(FORM!G42="AM",1,0))</f>
        <v>0</v>
      </c>
      <c r="H42" s="4">
        <f>+IF(FORM!H42="AM Y PM",1,IF(FORM!H42="AM",1,0))</f>
        <v>0</v>
      </c>
      <c r="I42" s="4">
        <f>+IF(FORM!I42="AM Y PM",1,IF(FORM!I42="AM",1,0))</f>
        <v>0</v>
      </c>
      <c r="J42" s="4">
        <f>+IF(FORM!J42="AM Y PM",1,IF(FORM!J42="AM",1,0))</f>
        <v>0</v>
      </c>
      <c r="K42" s="4">
        <f>+IF(FORM!K42="AM Y PM",1,IF(FORM!K42="AM",1,0))</f>
        <v>0</v>
      </c>
      <c r="L42" s="4">
        <f>+IF(FORM!L42="AM Y PM",1,IF(FORM!L42="AM",1,0))</f>
        <v>0</v>
      </c>
      <c r="M42" s="4">
        <f>+IF(FORM!M42="AM Y PM",1,IF(FORM!M42="AM",1,0))</f>
        <v>0</v>
      </c>
      <c r="N42" s="4">
        <f>+IF(FORM!N42="AM Y PM",1,IF(FORM!N42="AM",1,0))</f>
        <v>0</v>
      </c>
      <c r="O42" s="4">
        <f>+IF(FORM!O42="AM Y PM",1,IF(FORM!O42="AM",1,0))</f>
        <v>0</v>
      </c>
      <c r="P42" s="4">
        <f>+IF(FORM!P42="AM Y PM",1,IF(FORM!P42="AM",1,0))</f>
        <v>0</v>
      </c>
      <c r="Q42" s="4">
        <f>+IF(FORM!Q42="AM Y PM",1,IF(FORM!Q42="AM",1,0))</f>
        <v>0</v>
      </c>
      <c r="R42" s="4">
        <f>+IF(FORM!R42="AM Y PM",1,IF(FORM!R42="AM",1,0))</f>
        <v>0</v>
      </c>
      <c r="S42" s="4">
        <f>+IF(FORM!S42="AM Y PM",1,IF(FORM!S42="AM",1,0))</f>
        <v>0</v>
      </c>
      <c r="T42" s="4">
        <f>+IF(FORM!T42="AM Y PM",1,IF(FORM!T42="AM",1,0))</f>
        <v>0</v>
      </c>
      <c r="U42" s="4">
        <f>+IF(FORM!U42="AM Y PM",1,IF(FORM!U42="AM",1,0))</f>
        <v>0</v>
      </c>
      <c r="V42" s="4">
        <f>+IF(FORM!V42="AM Y PM",1,IF(FORM!V42="AM",1,0))</f>
        <v>0</v>
      </c>
      <c r="W42" s="4">
        <f>+IF(FORM!W42="AM Y PM",1,IF(FORM!W42="AM",1,0))</f>
        <v>0</v>
      </c>
      <c r="X42" s="4">
        <f>+IF(FORM!X42="AM Y PM",1,IF(FORM!X42="AM",1,0))</f>
        <v>0</v>
      </c>
      <c r="Y42" s="4">
        <f>+IF(FORM!Y42="AM Y PM",1,IF(FORM!Y42="AM",1,0))</f>
        <v>0</v>
      </c>
      <c r="Z42" s="4">
        <f>+IF(FORM!Z42="AM Y PM",1,IF(FORM!Z42="AM",1,0))</f>
        <v>0</v>
      </c>
      <c r="AA42" s="4">
        <f>+IF(FORM!AA42="AM Y PM",1,IF(FORM!AA42="AM",1,0))</f>
        <v>0</v>
      </c>
      <c r="AB42" s="4">
        <f>+IF(FORM!AB42="AM Y PM",1,IF(FORM!AB42="AM",1,0))</f>
        <v>0</v>
      </c>
      <c r="AC42" s="4">
        <f>+IF(FORM!AC42="AM Y PM",1,IF(FORM!AC42="AM",1,0))</f>
        <v>0</v>
      </c>
      <c r="AD42" s="4">
        <f>+IF(FORM!AD42="AM Y PM",1,IF(FORM!AD42="AM",1,0))</f>
        <v>0</v>
      </c>
      <c r="AE42" s="4">
        <f>+IF(FORM!AE42="AM Y PM",1,IF(FORM!AE42="AM",1,0))</f>
        <v>0</v>
      </c>
      <c r="AF42" s="4">
        <f>+IF(FORM!AF42="AM Y PM",1,IF(FORM!AF42="AM",1,0))</f>
        <v>0</v>
      </c>
    </row>
    <row r="43" spans="1:32" ht="18.75" customHeight="1" x14ac:dyDescent="0.25">
      <c r="A43" s="5" t="s">
        <v>94</v>
      </c>
      <c r="B43" s="4">
        <f>+IF(FORM!B43="AM Y PM",1,IF(FORM!B43="AM",1,0))</f>
        <v>0</v>
      </c>
      <c r="C43" s="4">
        <f>+IF(FORM!C43="AM Y PM",1,IF(FORM!C43="AM",1,0))</f>
        <v>0</v>
      </c>
      <c r="D43" s="4">
        <f>+IF(FORM!D43="AM Y PM",1,IF(FORM!D43="AM",1,0))</f>
        <v>0</v>
      </c>
      <c r="E43" s="4">
        <f>+IF(FORM!E43="AM Y PM",1,IF(FORM!E43="AM",1,0))</f>
        <v>0</v>
      </c>
      <c r="F43" s="4">
        <f>+IF(FORM!F43="AM Y PM",1,IF(FORM!F43="AM",1,0))</f>
        <v>1</v>
      </c>
      <c r="G43" s="4">
        <f>+IF(FORM!G43="AM Y PM",1,IF(FORM!G43="AM",1,0))</f>
        <v>1</v>
      </c>
      <c r="H43" s="4">
        <f>+IF(FORM!H43="AM Y PM",1,IF(FORM!H43="AM",1,0))</f>
        <v>1</v>
      </c>
      <c r="I43" s="4">
        <f>+IF(FORM!I43="AM Y PM",1,IF(FORM!I43="AM",1,0))</f>
        <v>1</v>
      </c>
      <c r="J43" s="4">
        <f>+IF(FORM!J43="AM Y PM",1,IF(FORM!J43="AM",1,0))</f>
        <v>1</v>
      </c>
      <c r="K43" s="4">
        <f>+IF(FORM!K43="AM Y PM",1,IF(FORM!K43="AM",1,0))</f>
        <v>1</v>
      </c>
      <c r="L43" s="4">
        <f>+IF(FORM!L43="AM Y PM",1,IF(FORM!L43="AM",1,0))</f>
        <v>0</v>
      </c>
      <c r="M43" s="4">
        <f>+IF(FORM!M43="AM Y PM",1,IF(FORM!M43="AM",1,0))</f>
        <v>0</v>
      </c>
      <c r="N43" s="4">
        <f>+IF(FORM!N43="AM Y PM",1,IF(FORM!N43="AM",1,0))</f>
        <v>1</v>
      </c>
      <c r="O43" s="4">
        <f>+IF(FORM!O43="AM Y PM",1,IF(FORM!O43="AM",1,0))</f>
        <v>1</v>
      </c>
      <c r="P43" s="4">
        <f>+IF(FORM!P43="AM Y PM",1,IF(FORM!P43="AM",1,0))</f>
        <v>1</v>
      </c>
      <c r="Q43" s="4">
        <f>+IF(FORM!Q43="AM Y PM",1,IF(FORM!Q43="AM",1,0))</f>
        <v>1</v>
      </c>
      <c r="R43" s="4">
        <f>+IF(FORM!R43="AM Y PM",1,IF(FORM!R43="AM",1,0))</f>
        <v>1</v>
      </c>
      <c r="S43" s="4">
        <f>+IF(FORM!S43="AM Y PM",1,IF(FORM!S43="AM",1,0))</f>
        <v>0</v>
      </c>
      <c r="T43" s="4">
        <f>+IF(FORM!T43="AM Y PM",1,IF(FORM!T43="AM",1,0))</f>
        <v>1</v>
      </c>
      <c r="U43" s="4">
        <f>+IF(FORM!U43="AM Y PM",1,IF(FORM!U43="AM",1,0))</f>
        <v>1</v>
      </c>
      <c r="V43" s="4">
        <f>+IF(FORM!V43="AM Y PM",1,IF(FORM!V43="AM",1,0))</f>
        <v>1</v>
      </c>
      <c r="W43" s="4">
        <f>+IF(FORM!W43="AM Y PM",1,IF(FORM!W43="AM",1,0))</f>
        <v>1</v>
      </c>
      <c r="X43" s="4">
        <f>+IF(FORM!X43="AM Y PM",1,IF(FORM!X43="AM",1,0))</f>
        <v>1</v>
      </c>
      <c r="Y43" s="4">
        <f>+IF(FORM!Y43="AM Y PM",1,IF(FORM!Y43="AM",1,0))</f>
        <v>1</v>
      </c>
      <c r="Z43" s="4">
        <f>+IF(FORM!Z43="AM Y PM",1,IF(FORM!Z43="AM",1,0))</f>
        <v>0</v>
      </c>
      <c r="AA43" s="4">
        <f>+IF(FORM!AA43="AM Y PM",1,IF(FORM!AA43="AM",1,0))</f>
        <v>1</v>
      </c>
      <c r="AB43" s="4">
        <f>+IF(FORM!AB43="AM Y PM",1,IF(FORM!AB43="AM",1,0))</f>
        <v>1</v>
      </c>
      <c r="AC43" s="4">
        <f>+IF(FORM!AC43="AM Y PM",1,IF(FORM!AC43="AM",1,0))</f>
        <v>1</v>
      </c>
      <c r="AD43" s="4">
        <f>+IF(FORM!AD43="AM Y PM",1,IF(FORM!AD43="AM",1,0))</f>
        <v>1</v>
      </c>
      <c r="AE43" s="4">
        <f>+IF(FORM!AE43="AM Y PM",1,IF(FORM!AE43="AM",1,0))</f>
        <v>1</v>
      </c>
      <c r="AF43" s="4">
        <f>+IF(FORM!AF43="AM Y PM",1,IF(FORM!AF43="AM",1,0))</f>
        <v>1</v>
      </c>
    </row>
    <row r="44" spans="1:32" ht="18.75" customHeight="1" x14ac:dyDescent="0.25">
      <c r="A44" s="5" t="s">
        <v>95</v>
      </c>
      <c r="B44" s="4">
        <f>+IF(FORM!B44="AM Y PM",1,IF(FORM!B44="AM",1,0))</f>
        <v>0</v>
      </c>
      <c r="C44" s="4">
        <f>+IF(FORM!C44="AM Y PM",1,IF(FORM!C44="AM",1,0))</f>
        <v>0</v>
      </c>
      <c r="D44" s="4">
        <f>+IF(FORM!D44="AM Y PM",1,IF(FORM!D44="AM",1,0))</f>
        <v>0</v>
      </c>
      <c r="E44" s="4">
        <f>+IF(FORM!E44="AM Y PM",1,IF(FORM!E44="AM",1,0))</f>
        <v>0</v>
      </c>
      <c r="F44" s="4">
        <f>+IF(FORM!F44="AM Y PM",1,IF(FORM!F44="AM",1,0))</f>
        <v>1</v>
      </c>
      <c r="G44" s="4">
        <f>+IF(FORM!G44="AM Y PM",1,IF(FORM!G44="AM",1,0))</f>
        <v>1</v>
      </c>
      <c r="H44" s="4">
        <f>+IF(FORM!H44="AM Y PM",1,IF(FORM!H44="AM",1,0))</f>
        <v>1</v>
      </c>
      <c r="I44" s="4">
        <f>+IF(FORM!I44="AM Y PM",1,IF(FORM!I44="AM",1,0))</f>
        <v>1</v>
      </c>
      <c r="J44" s="4">
        <f>+IF(FORM!J44="AM Y PM",1,IF(FORM!J44="AM",1,0))</f>
        <v>1</v>
      </c>
      <c r="K44" s="4">
        <f>+IF(FORM!K44="AM Y PM",1,IF(FORM!K44="AM",1,0))</f>
        <v>1</v>
      </c>
      <c r="L44" s="4">
        <f>+IF(FORM!L44="AM Y PM",1,IF(FORM!L44="AM",1,0))</f>
        <v>0</v>
      </c>
      <c r="M44" s="4">
        <f>+IF(FORM!M44="AM Y PM",1,IF(FORM!M44="AM",1,0))</f>
        <v>0</v>
      </c>
      <c r="N44" s="4">
        <f>+IF(FORM!N44="AM Y PM",1,IF(FORM!N44="AM",1,0))</f>
        <v>1</v>
      </c>
      <c r="O44" s="4">
        <f>+IF(FORM!O44="AM Y PM",1,IF(FORM!O44="AM",1,0))</f>
        <v>1</v>
      </c>
      <c r="P44" s="4">
        <f>+IF(FORM!P44="AM Y PM",1,IF(FORM!P44="AM",1,0))</f>
        <v>1</v>
      </c>
      <c r="Q44" s="4">
        <f>+IF(FORM!Q44="AM Y PM",1,IF(FORM!Q44="AM",1,0))</f>
        <v>1</v>
      </c>
      <c r="R44" s="4">
        <f>+IF(FORM!R44="AM Y PM",1,IF(FORM!R44="AM",1,0))</f>
        <v>1</v>
      </c>
      <c r="S44" s="4">
        <f>+IF(FORM!S44="AM Y PM",1,IF(FORM!S44="AM",1,0))</f>
        <v>0</v>
      </c>
      <c r="T44" s="4">
        <f>+IF(FORM!T44="AM Y PM",1,IF(FORM!T44="AM",1,0))</f>
        <v>1</v>
      </c>
      <c r="U44" s="4">
        <f>+IF(FORM!U44="AM Y PM",1,IF(FORM!U44="AM",1,0))</f>
        <v>1</v>
      </c>
      <c r="V44" s="4">
        <f>+IF(FORM!V44="AM Y PM",1,IF(FORM!V44="AM",1,0))</f>
        <v>1</v>
      </c>
      <c r="W44" s="4">
        <f>+IF(FORM!W44="AM Y PM",1,IF(FORM!W44="AM",1,0))</f>
        <v>1</v>
      </c>
      <c r="X44" s="4">
        <f>+IF(FORM!X44="AM Y PM",1,IF(FORM!X44="AM",1,0))</f>
        <v>1</v>
      </c>
      <c r="Y44" s="4">
        <f>+IF(FORM!Y44="AM Y PM",1,IF(FORM!Y44="AM",1,0))</f>
        <v>1</v>
      </c>
      <c r="Z44" s="4">
        <f>+IF(FORM!Z44="AM Y PM",1,IF(FORM!Z44="AM",1,0))</f>
        <v>0</v>
      </c>
      <c r="AA44" s="4">
        <f>+IF(FORM!AA44="AM Y PM",1,IF(FORM!AA44="AM",1,0))</f>
        <v>1</v>
      </c>
      <c r="AB44" s="4">
        <f>+IF(FORM!AB44="AM Y PM",1,IF(FORM!AB44="AM",1,0))</f>
        <v>1</v>
      </c>
      <c r="AC44" s="4">
        <f>+IF(FORM!AC44="AM Y PM",1,IF(FORM!AC44="AM",1,0))</f>
        <v>1</v>
      </c>
      <c r="AD44" s="4">
        <f>+IF(FORM!AD44="AM Y PM",1,IF(FORM!AD44="AM",1,0))</f>
        <v>1</v>
      </c>
      <c r="AE44" s="4">
        <f>+IF(FORM!AE44="AM Y PM",1,IF(FORM!AE44="AM",1,0))</f>
        <v>1</v>
      </c>
      <c r="AF44" s="4">
        <f>+IF(FORM!AF44="AM Y PM",1,IF(FORM!AF44="AM",1,0))</f>
        <v>1</v>
      </c>
    </row>
    <row r="45" spans="1:32" ht="18.75" customHeight="1" x14ac:dyDescent="0.25">
      <c r="A45" s="5" t="s">
        <v>96</v>
      </c>
      <c r="B45" s="4">
        <f>+IF(FORM!B45="AM Y PM",1,IF(FORM!B45="AM",1,0))</f>
        <v>0</v>
      </c>
      <c r="C45" s="4">
        <f>+IF(FORM!C45="AM Y PM",1,IF(FORM!C45="AM",1,0))</f>
        <v>0</v>
      </c>
      <c r="D45" s="4">
        <f>+IF(FORM!D45="AM Y PM",1,IF(FORM!D45="AM",1,0))</f>
        <v>0</v>
      </c>
      <c r="E45" s="4">
        <f>+IF(FORM!E45="AM Y PM",1,IF(FORM!E45="AM",1,0))</f>
        <v>0</v>
      </c>
      <c r="F45" s="4">
        <f>+IF(FORM!F45="AM Y PM",1,IF(FORM!F45="AM",1,0))</f>
        <v>1</v>
      </c>
      <c r="G45" s="4">
        <f>+IF(FORM!G45="AM Y PM",1,IF(FORM!G45="AM",1,0))</f>
        <v>1</v>
      </c>
      <c r="H45" s="4">
        <f>+IF(FORM!H45="AM Y PM",1,IF(FORM!H45="AM",1,0))</f>
        <v>1</v>
      </c>
      <c r="I45" s="4">
        <f>+IF(FORM!I45="AM Y PM",1,IF(FORM!I45="AM",1,0))</f>
        <v>1</v>
      </c>
      <c r="J45" s="4">
        <f>+IF(FORM!J45="AM Y PM",1,IF(FORM!J45="AM",1,0))</f>
        <v>1</v>
      </c>
      <c r="K45" s="4">
        <f>+IF(FORM!K45="AM Y PM",1,IF(FORM!K45="AM",1,0))</f>
        <v>0</v>
      </c>
      <c r="L45" s="4">
        <f>+IF(FORM!L45="AM Y PM",1,IF(FORM!L45="AM",1,0))</f>
        <v>0</v>
      </c>
      <c r="M45" s="4">
        <f>+IF(FORM!M45="AM Y PM",1,IF(FORM!M45="AM",1,0))</f>
        <v>0</v>
      </c>
      <c r="N45" s="4">
        <f>+IF(FORM!N45="AM Y PM",1,IF(FORM!N45="AM",1,0))</f>
        <v>1</v>
      </c>
      <c r="O45" s="4">
        <f>+IF(FORM!O45="AM Y PM",1,IF(FORM!O45="AM",1,0))</f>
        <v>1</v>
      </c>
      <c r="P45" s="4">
        <f>+IF(FORM!P45="AM Y PM",1,IF(FORM!P45="AM",1,0))</f>
        <v>1</v>
      </c>
      <c r="Q45" s="4">
        <f>+IF(FORM!Q45="AM Y PM",1,IF(FORM!Q45="AM",1,0))</f>
        <v>1</v>
      </c>
      <c r="R45" s="4">
        <f>+IF(FORM!R45="AM Y PM",1,IF(FORM!R45="AM",1,0))</f>
        <v>0</v>
      </c>
      <c r="S45" s="4">
        <f>+IF(FORM!S45="AM Y PM",1,IF(FORM!S45="AM",1,0))</f>
        <v>0</v>
      </c>
      <c r="T45" s="4">
        <f>+IF(FORM!T45="AM Y PM",1,IF(FORM!T45="AM",1,0))</f>
        <v>1</v>
      </c>
      <c r="U45" s="4">
        <f>+IF(FORM!U45="AM Y PM",1,IF(FORM!U45="AM",1,0))</f>
        <v>0</v>
      </c>
      <c r="V45" s="4">
        <f>+IF(FORM!V45="AM Y PM",1,IF(FORM!V45="AM",1,0))</f>
        <v>1</v>
      </c>
      <c r="W45" s="4">
        <f>+IF(FORM!W45="AM Y PM",1,IF(FORM!W45="AM",1,0))</f>
        <v>1</v>
      </c>
      <c r="X45" s="4">
        <f>+IF(FORM!X45="AM Y PM",1,IF(FORM!X45="AM",1,0))</f>
        <v>1</v>
      </c>
      <c r="Y45" s="4">
        <f>+IF(FORM!Y45="AM Y PM",1,IF(FORM!Y45="AM",1,0))</f>
        <v>0</v>
      </c>
      <c r="Z45" s="4">
        <f>+IF(FORM!Z45="AM Y PM",1,IF(FORM!Z45="AM",1,0))</f>
        <v>0</v>
      </c>
      <c r="AA45" s="4">
        <f>+IF(FORM!AA45="AM Y PM",1,IF(FORM!AA45="AM",1,0))</f>
        <v>1</v>
      </c>
      <c r="AB45" s="4">
        <f>+IF(FORM!AB45="AM Y PM",1,IF(FORM!AB45="AM",1,0))</f>
        <v>1</v>
      </c>
      <c r="AC45" s="4">
        <f>+IF(FORM!AC45="AM Y PM",1,IF(FORM!AC45="AM",1,0))</f>
        <v>1</v>
      </c>
      <c r="AD45" s="4">
        <f>+IF(FORM!AD45="AM Y PM",1,IF(FORM!AD45="AM",1,0))</f>
        <v>1</v>
      </c>
      <c r="AE45" s="4">
        <f>+IF(FORM!AE45="AM Y PM",1,IF(FORM!AE45="AM",1,0))</f>
        <v>0</v>
      </c>
      <c r="AF45" s="4">
        <f>+IF(FORM!AF45="AM Y PM",1,IF(FORM!AF45="AM",1,0))</f>
        <v>0</v>
      </c>
    </row>
    <row r="46" spans="1:32" ht="18.75" customHeight="1" x14ac:dyDescent="0.25">
      <c r="A46" s="6" t="s">
        <v>97</v>
      </c>
      <c r="B46" s="4">
        <f>+IF(FORM!B46="AM Y PM",1,IF(FORM!B46="AM",1,0))</f>
        <v>0</v>
      </c>
      <c r="C46" s="4">
        <f>+IF(FORM!C46="AM Y PM",1,IF(FORM!C46="AM",1,0))</f>
        <v>0</v>
      </c>
      <c r="D46" s="4">
        <f>+IF(FORM!D46="AM Y PM",1,IF(FORM!D46="AM",1,0))</f>
        <v>0</v>
      </c>
      <c r="E46" s="4">
        <f>+IF(FORM!E46="AM Y PM",1,IF(FORM!E46="AM",1,0))</f>
        <v>0</v>
      </c>
      <c r="F46" s="4">
        <f>+IF(FORM!F46="AM Y PM",1,IF(FORM!F46="AM",1,0))</f>
        <v>0</v>
      </c>
      <c r="G46" s="4">
        <f>+IF(FORM!G46="AM Y PM",1,IF(FORM!G46="AM",1,0))</f>
        <v>0</v>
      </c>
      <c r="H46" s="4">
        <f>+IF(FORM!H46="AM Y PM",1,IF(FORM!H46="AM",1,0))</f>
        <v>1</v>
      </c>
      <c r="I46" s="4">
        <f>+IF(FORM!I46="AM Y PM",1,IF(FORM!I46="AM",1,0))</f>
        <v>1</v>
      </c>
      <c r="J46" s="4">
        <f>+IF(FORM!J46="AM Y PM",1,IF(FORM!J46="AM",1,0))</f>
        <v>1</v>
      </c>
      <c r="K46" s="4">
        <f>+IF(FORM!K46="AM Y PM",1,IF(FORM!K46="AM",1,0))</f>
        <v>1</v>
      </c>
      <c r="L46" s="4">
        <f>+IF(FORM!L46="AM Y PM",1,IF(FORM!L46="AM",1,0))</f>
        <v>0</v>
      </c>
      <c r="M46" s="4">
        <f>+IF(FORM!M46="AM Y PM",1,IF(FORM!M46="AM",1,0))</f>
        <v>0</v>
      </c>
      <c r="N46" s="4">
        <f>+IF(FORM!N46="AM Y PM",1,IF(FORM!N46="AM",1,0))</f>
        <v>1</v>
      </c>
      <c r="O46" s="4">
        <f>+IF(FORM!O46="AM Y PM",1,IF(FORM!O46="AM",1,0))</f>
        <v>1</v>
      </c>
      <c r="P46" s="4">
        <f>+IF(FORM!P46="AM Y PM",1,IF(FORM!P46="AM",1,0))</f>
        <v>1</v>
      </c>
      <c r="Q46" s="4">
        <f>+IF(FORM!Q46="AM Y PM",1,IF(FORM!Q46="AM",1,0))</f>
        <v>1</v>
      </c>
      <c r="R46" s="4">
        <f>+IF(FORM!R46="AM Y PM",1,IF(FORM!R46="AM",1,0))</f>
        <v>1</v>
      </c>
      <c r="S46" s="4">
        <f>+IF(FORM!S46="AM Y PM",1,IF(FORM!S46="AM",1,0))</f>
        <v>0</v>
      </c>
      <c r="T46" s="4">
        <f>+IF(FORM!T46="AM Y PM",1,IF(FORM!T46="AM",1,0))</f>
        <v>1</v>
      </c>
      <c r="U46" s="4">
        <f>+IF(FORM!U46="AM Y PM",1,IF(FORM!U46="AM",1,0))</f>
        <v>1</v>
      </c>
      <c r="V46" s="4">
        <f>+IF(FORM!V46="AM Y PM",1,IF(FORM!V46="AM",1,0))</f>
        <v>1</v>
      </c>
      <c r="W46" s="4">
        <f>+IF(FORM!W46="AM Y PM",1,IF(FORM!W46="AM",1,0))</f>
        <v>1</v>
      </c>
      <c r="X46" s="4">
        <f>+IF(FORM!X46="AM Y PM",1,IF(FORM!X46="AM",1,0))</f>
        <v>1</v>
      </c>
      <c r="Y46" s="4">
        <f>+IF(FORM!Y46="AM Y PM",1,IF(FORM!Y46="AM",1,0))</f>
        <v>1</v>
      </c>
      <c r="Z46" s="4">
        <f>+IF(FORM!Z46="AM Y PM",1,IF(FORM!Z46="AM",1,0))</f>
        <v>0</v>
      </c>
      <c r="AA46" s="4">
        <f>+IF(FORM!AA46="AM Y PM",1,IF(FORM!AA46="AM",1,0))</f>
        <v>1</v>
      </c>
      <c r="AB46" s="4">
        <f>+IF(FORM!AB46="AM Y PM",1,IF(FORM!AB46="AM",1,0))</f>
        <v>1</v>
      </c>
      <c r="AC46" s="4">
        <f>+IF(FORM!AC46="AM Y PM",1,IF(FORM!AC46="AM",1,0))</f>
        <v>1</v>
      </c>
      <c r="AD46" s="4">
        <f>+IF(FORM!AD46="AM Y PM",1,IF(FORM!AD46="AM",1,0))</f>
        <v>1</v>
      </c>
      <c r="AE46" s="4">
        <f>+IF(FORM!AE46="AM Y PM",1,IF(FORM!AE46="AM",1,0))</f>
        <v>1</v>
      </c>
      <c r="AF46" s="4">
        <f>+IF(FORM!AF46="AM Y PM",1,IF(FORM!AF46="AM",1,0))</f>
        <v>1</v>
      </c>
    </row>
  </sheetData>
  <conditionalFormatting sqref="B2:AF46">
    <cfRule type="cellIs" dxfId="18" priority="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AF46"/>
  <sheetViews>
    <sheetView zoomScale="70" zoomScaleNormal="70" workbookViewId="0">
      <selection activeCell="B31" sqref="B31:AF31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32" width="6.7109375" style="7" bestFit="1" customWidth="1"/>
  </cols>
  <sheetData>
    <row r="1" spans="1:32" ht="18.75" customHeight="1" x14ac:dyDescent="0.25">
      <c r="B1" s="19">
        <v>1</v>
      </c>
      <c r="C1" s="19">
        <v>2</v>
      </c>
      <c r="D1" s="19">
        <v>3</v>
      </c>
      <c r="E1" s="19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19">
        <v>12</v>
      </c>
      <c r="N1" s="19">
        <v>13</v>
      </c>
      <c r="O1" s="19">
        <v>14</v>
      </c>
      <c r="P1" s="19">
        <v>15</v>
      </c>
      <c r="Q1" s="19">
        <v>16</v>
      </c>
      <c r="R1" s="19">
        <v>17</v>
      </c>
      <c r="S1" s="19">
        <v>18</v>
      </c>
      <c r="T1" s="19">
        <v>19</v>
      </c>
      <c r="U1" s="19">
        <v>20</v>
      </c>
      <c r="V1" s="19">
        <v>21</v>
      </c>
      <c r="W1" s="19">
        <v>22</v>
      </c>
      <c r="X1" s="19">
        <v>23</v>
      </c>
      <c r="Y1" s="19">
        <v>24</v>
      </c>
      <c r="Z1" s="19">
        <v>25</v>
      </c>
      <c r="AA1" s="19">
        <v>26</v>
      </c>
      <c r="AB1" s="19">
        <v>27</v>
      </c>
      <c r="AC1" s="19">
        <v>28</v>
      </c>
      <c r="AD1" s="19">
        <v>29</v>
      </c>
      <c r="AE1" s="19">
        <v>30</v>
      </c>
      <c r="AF1" s="19">
        <v>31</v>
      </c>
    </row>
    <row r="2" spans="1:32" ht="18.75" customHeight="1" x14ac:dyDescent="0.25">
      <c r="A2" s="3" t="s">
        <v>111</v>
      </c>
      <c r="B2" s="4">
        <f>+IF(FORM!B2="AM Y PM",1,IF(FORM!B2="PM",1,0))</f>
        <v>0</v>
      </c>
      <c r="C2" s="4">
        <f>+IF(FORM!C2="AM Y PM",1,IF(FORM!C2="PM",1,0))</f>
        <v>0</v>
      </c>
      <c r="D2" s="4">
        <f>+IF(FORM!D2="AM Y PM",1,IF(FORM!D2="PM",1,0))</f>
        <v>0</v>
      </c>
      <c r="E2" s="4">
        <f>+IF(FORM!E2="AM Y PM",1,IF(FORM!E2="PM",1,0))</f>
        <v>0</v>
      </c>
      <c r="F2" s="4">
        <f>+IF(FORM!F2="AM Y PM",1,IF(FORM!F2="PM",1,0))</f>
        <v>1</v>
      </c>
      <c r="G2" s="4">
        <f>+IF(FORM!G2="AM Y PM",1,IF(FORM!G2="PM",1,0))</f>
        <v>1</v>
      </c>
      <c r="H2" s="4">
        <f>+IF(FORM!H2="AM Y PM",1,IF(FORM!H2="PM",1,0))</f>
        <v>1</v>
      </c>
      <c r="I2" s="4">
        <f>+IF(FORM!I2="AM Y PM",1,IF(FORM!I2="PM",1,0))</f>
        <v>1</v>
      </c>
      <c r="J2" s="4">
        <f>+IF(FORM!J2="AM Y PM",1,IF(FORM!J2="PM",1,0))</f>
        <v>1</v>
      </c>
      <c r="K2" s="4">
        <f>+IF(FORM!K2="AM Y PM",1,IF(FORM!K2="PM",1,0))</f>
        <v>0</v>
      </c>
      <c r="L2" s="4">
        <f>+IF(FORM!L2="AM Y PM",1,IF(FORM!L2="PM",1,0))</f>
        <v>0</v>
      </c>
      <c r="M2" s="4">
        <f>+IF(FORM!M2="AM Y PM",1,IF(FORM!M2="PM",1,0))</f>
        <v>0</v>
      </c>
      <c r="N2" s="4">
        <f>+IF(FORM!N2="AM Y PM",1,IF(FORM!N2="PM",1,0))</f>
        <v>1</v>
      </c>
      <c r="O2" s="4">
        <f>+IF(FORM!O2="AM Y PM",1,IF(FORM!O2="PM",1,0))</f>
        <v>1</v>
      </c>
      <c r="P2" s="4">
        <f>+IF(FORM!P2="AM Y PM",1,IF(FORM!P2="PM",1,0))</f>
        <v>1</v>
      </c>
      <c r="Q2" s="4">
        <f>+IF(FORM!Q2="AM Y PM",1,IF(FORM!Q2="PM",1,0))</f>
        <v>1</v>
      </c>
      <c r="R2" s="4">
        <f>+IF(FORM!R2="AM Y PM",1,IF(FORM!R2="PM",1,0))</f>
        <v>0</v>
      </c>
      <c r="S2" s="4">
        <f>+IF(FORM!S2="AM Y PM",1,IF(FORM!S2="PM",1,0))</f>
        <v>0</v>
      </c>
      <c r="T2" s="4">
        <f>+IF(FORM!T2="AM Y PM",1,IF(FORM!T2="PM",1,0))</f>
        <v>1</v>
      </c>
      <c r="U2" s="4">
        <f>+IF(FORM!U2="AM Y PM",1,IF(FORM!U2="PM",1,0))</f>
        <v>1</v>
      </c>
      <c r="V2" s="4">
        <f>+IF(FORM!V2="AM Y PM",1,IF(FORM!V2="PM",1,0))</f>
        <v>1</v>
      </c>
      <c r="W2" s="4">
        <f>+IF(FORM!W2="AM Y PM",1,IF(FORM!W2="PM",1,0))</f>
        <v>1</v>
      </c>
      <c r="X2" s="4">
        <f>+IF(FORM!X2="AM Y PM",1,IF(FORM!X2="PM",1,0))</f>
        <v>0</v>
      </c>
      <c r="Y2" s="4">
        <f>+IF(FORM!Y2="AM Y PM",1,IF(FORM!Y2="PM",1,0))</f>
        <v>0</v>
      </c>
      <c r="Z2" s="4">
        <f>+IF(FORM!Z2="AM Y PM",1,IF(FORM!Z2="PM",1,0))</f>
        <v>0</v>
      </c>
      <c r="AA2" s="4">
        <f>+IF(FORM!AA2="AM Y PM",1,IF(FORM!AA2="PM",1,0))</f>
        <v>0</v>
      </c>
      <c r="AB2" s="4">
        <f>+IF(FORM!AB2="AM Y PM",1,IF(FORM!AB2="PM",1,0))</f>
        <v>1</v>
      </c>
      <c r="AC2" s="4">
        <f>+IF(FORM!AC2="AM Y PM",1,IF(FORM!AC2="PM",1,0))</f>
        <v>1</v>
      </c>
      <c r="AD2" s="4">
        <f>+IF(FORM!AD2="AM Y PM",1,IF(FORM!AD2="PM",1,0))</f>
        <v>1</v>
      </c>
      <c r="AE2" s="4">
        <f>+IF(FORM!AE2="AM Y PM",1,IF(FORM!AE2="PM",1,0))</f>
        <v>1</v>
      </c>
      <c r="AF2" s="4">
        <f>+IF(FORM!AF2="AM Y PM",1,IF(FORM!AF2="PM",1,0))</f>
        <v>0</v>
      </c>
    </row>
    <row r="3" spans="1:32" ht="18.75" customHeight="1" x14ac:dyDescent="0.25">
      <c r="A3" s="5" t="s">
        <v>54</v>
      </c>
      <c r="B3" s="4">
        <f>+IF(FORM!B3="AM Y PM",1,IF(FORM!B3="PM",1,0))</f>
        <v>0</v>
      </c>
      <c r="C3" s="4">
        <f>+IF(FORM!C3="AM Y PM",1,IF(FORM!C3="PM",1,0))</f>
        <v>0</v>
      </c>
      <c r="D3" s="4">
        <f>+IF(FORM!D3="AM Y PM",1,IF(FORM!D3="PM",1,0))</f>
        <v>0</v>
      </c>
      <c r="E3" s="4">
        <f>+IF(FORM!E3="AM Y PM",1,IF(FORM!E3="PM",1,0))</f>
        <v>0</v>
      </c>
      <c r="F3" s="4">
        <f>+IF(FORM!F3="AM Y PM",1,IF(FORM!F3="PM",1,0))</f>
        <v>1</v>
      </c>
      <c r="G3" s="4">
        <f>+IF(FORM!G3="AM Y PM",1,IF(FORM!G3="PM",1,0))</f>
        <v>1</v>
      </c>
      <c r="H3" s="4">
        <f>+IF(FORM!H3="AM Y PM",1,IF(FORM!H3="PM",1,0))</f>
        <v>1</v>
      </c>
      <c r="I3" s="4">
        <f>+IF(FORM!I3="AM Y PM",1,IF(FORM!I3="PM",1,0))</f>
        <v>1</v>
      </c>
      <c r="J3" s="4">
        <f>+IF(FORM!J3="AM Y PM",1,IF(FORM!J3="PM",1,0))</f>
        <v>1</v>
      </c>
      <c r="K3" s="4">
        <f>+IF(FORM!K3="AM Y PM",1,IF(FORM!K3="PM",1,0))</f>
        <v>0</v>
      </c>
      <c r="L3" s="4">
        <f>+IF(FORM!L3="AM Y PM",1,IF(FORM!L3="PM",1,0))</f>
        <v>0</v>
      </c>
      <c r="M3" s="4">
        <f>+IF(FORM!M3="AM Y PM",1,IF(FORM!M3="PM",1,0))</f>
        <v>0</v>
      </c>
      <c r="N3" s="4">
        <f>+IF(FORM!N3="AM Y PM",1,IF(FORM!N3="PM",1,0))</f>
        <v>1</v>
      </c>
      <c r="O3" s="4">
        <f>+IF(FORM!O3="AM Y PM",1,IF(FORM!O3="PM",1,0))</f>
        <v>1</v>
      </c>
      <c r="P3" s="4">
        <f>+IF(FORM!P3="AM Y PM",1,IF(FORM!P3="PM",1,0))</f>
        <v>1</v>
      </c>
      <c r="Q3" s="4">
        <f>+IF(FORM!Q3="AM Y PM",1,IF(FORM!Q3="PM",1,0))</f>
        <v>1</v>
      </c>
      <c r="R3" s="4">
        <f>+IF(FORM!R3="AM Y PM",1,IF(FORM!R3="PM",1,0))</f>
        <v>0</v>
      </c>
      <c r="S3" s="4">
        <f>+IF(FORM!S3="AM Y PM",1,IF(FORM!S3="PM",1,0))</f>
        <v>0</v>
      </c>
      <c r="T3" s="4">
        <f>+IF(FORM!T3="AM Y PM",1,IF(FORM!T3="PM",1,0))</f>
        <v>1</v>
      </c>
      <c r="U3" s="4">
        <f>+IF(FORM!U3="AM Y PM",1,IF(FORM!U3="PM",1,0))</f>
        <v>1</v>
      </c>
      <c r="V3" s="4">
        <f>+IF(FORM!V3="AM Y PM",1,IF(FORM!V3="PM",1,0))</f>
        <v>1</v>
      </c>
      <c r="W3" s="4">
        <f>+IF(FORM!W3="AM Y PM",1,IF(FORM!W3="PM",1,0))</f>
        <v>1</v>
      </c>
      <c r="X3" s="4">
        <f>+IF(FORM!X3="AM Y PM",1,IF(FORM!X3="PM",1,0))</f>
        <v>1</v>
      </c>
      <c r="Y3" s="4">
        <f>+IF(FORM!Y3="AM Y PM",1,IF(FORM!Y3="PM",1,0))</f>
        <v>0</v>
      </c>
      <c r="Z3" s="4">
        <f>+IF(FORM!Z3="AM Y PM",1,IF(FORM!Z3="PM",1,0))</f>
        <v>0</v>
      </c>
      <c r="AA3" s="4">
        <f>+IF(FORM!AA3="AM Y PM",1,IF(FORM!AA3="PM",1,0))</f>
        <v>1</v>
      </c>
      <c r="AB3" s="4">
        <f>+IF(FORM!AB3="AM Y PM",1,IF(FORM!AB3="PM",1,0))</f>
        <v>1</v>
      </c>
      <c r="AC3" s="4">
        <f>+IF(FORM!AC3="AM Y PM",1,IF(FORM!AC3="PM",1,0))</f>
        <v>1</v>
      </c>
      <c r="AD3" s="4">
        <f>+IF(FORM!AD3="AM Y PM",1,IF(FORM!AD3="PM",1,0))</f>
        <v>1</v>
      </c>
      <c r="AE3" s="4">
        <f>+IF(FORM!AE3="AM Y PM",1,IF(FORM!AE3="PM",1,0))</f>
        <v>1</v>
      </c>
      <c r="AF3" s="4">
        <f>+IF(FORM!AF3="AM Y PM",1,IF(FORM!AF3="PM",1,0))</f>
        <v>0</v>
      </c>
    </row>
    <row r="4" spans="1:32" ht="18.75" customHeight="1" x14ac:dyDescent="0.25">
      <c r="A4" s="5" t="s">
        <v>55</v>
      </c>
      <c r="B4" s="4">
        <f>+IF(FORM!B4="AM Y PM",1,IF(FORM!B4="PM",1,0))</f>
        <v>0</v>
      </c>
      <c r="C4" s="4">
        <f>+IF(FORM!C4="AM Y PM",1,IF(FORM!C4="PM",1,0))</f>
        <v>0</v>
      </c>
      <c r="D4" s="4">
        <f>+IF(FORM!D4="AM Y PM",1,IF(FORM!D4="PM",1,0))</f>
        <v>0</v>
      </c>
      <c r="E4" s="4">
        <f>+IF(FORM!E4="AM Y PM",1,IF(FORM!E4="PM",1,0))</f>
        <v>0</v>
      </c>
      <c r="F4" s="4">
        <f>+IF(FORM!F4="AM Y PM",1,IF(FORM!F4="PM",1,0))</f>
        <v>1</v>
      </c>
      <c r="G4" s="4">
        <f>+IF(FORM!G4="AM Y PM",1,IF(FORM!G4="PM",1,0))</f>
        <v>1</v>
      </c>
      <c r="H4" s="4">
        <f>+IF(FORM!H4="AM Y PM",1,IF(FORM!H4="PM",1,0))</f>
        <v>1</v>
      </c>
      <c r="I4" s="4">
        <f>+IF(FORM!I4="AM Y PM",1,IF(FORM!I4="PM",1,0))</f>
        <v>1</v>
      </c>
      <c r="J4" s="4">
        <f>+IF(FORM!J4="AM Y PM",1,IF(FORM!J4="PM",1,0))</f>
        <v>1</v>
      </c>
      <c r="K4" s="4">
        <f>+IF(FORM!K4="AM Y PM",1,IF(FORM!K4="PM",1,0))</f>
        <v>0</v>
      </c>
      <c r="L4" s="4">
        <f>+IF(FORM!L4="AM Y PM",1,IF(FORM!L4="PM",1,0))</f>
        <v>0</v>
      </c>
      <c r="M4" s="4">
        <f>+IF(FORM!M4="AM Y PM",1,IF(FORM!M4="PM",1,0))</f>
        <v>0</v>
      </c>
      <c r="N4" s="4">
        <f>+IF(FORM!N4="AM Y PM",1,IF(FORM!N4="PM",1,0))</f>
        <v>1</v>
      </c>
      <c r="O4" s="4">
        <f>+IF(FORM!O4="AM Y PM",1,IF(FORM!O4="PM",1,0))</f>
        <v>1</v>
      </c>
      <c r="P4" s="4">
        <f>+IF(FORM!P4="AM Y PM",1,IF(FORM!P4="PM",1,0))</f>
        <v>1</v>
      </c>
      <c r="Q4" s="4">
        <f>+IF(FORM!Q4="AM Y PM",1,IF(FORM!Q4="PM",1,0))</f>
        <v>1</v>
      </c>
      <c r="R4" s="4">
        <f>+IF(FORM!R4="AM Y PM",1,IF(FORM!R4="PM",1,0))</f>
        <v>0</v>
      </c>
      <c r="S4" s="4">
        <f>+IF(FORM!S4="AM Y PM",1,IF(FORM!S4="PM",1,0))</f>
        <v>0</v>
      </c>
      <c r="T4" s="4">
        <f>+IF(FORM!T4="AM Y PM",1,IF(FORM!T4="PM",1,0))</f>
        <v>1</v>
      </c>
      <c r="U4" s="4">
        <f>+IF(FORM!U4="AM Y PM",1,IF(FORM!U4="PM",1,0))</f>
        <v>1</v>
      </c>
      <c r="V4" s="4">
        <f>+IF(FORM!V4="AM Y PM",1,IF(FORM!V4="PM",1,0))</f>
        <v>1</v>
      </c>
      <c r="W4" s="4">
        <f>+IF(FORM!W4="AM Y PM",1,IF(FORM!W4="PM",1,0))</f>
        <v>1</v>
      </c>
      <c r="X4" s="4">
        <f>+IF(FORM!X4="AM Y PM",1,IF(FORM!X4="PM",1,0))</f>
        <v>1</v>
      </c>
      <c r="Y4" s="4">
        <f>+IF(FORM!Y4="AM Y PM",1,IF(FORM!Y4="PM",1,0))</f>
        <v>0</v>
      </c>
      <c r="Z4" s="4">
        <f>+IF(FORM!Z4="AM Y PM",1,IF(FORM!Z4="PM",1,0))</f>
        <v>0</v>
      </c>
      <c r="AA4" s="4">
        <f>+IF(FORM!AA4="AM Y PM",1,IF(FORM!AA4="PM",1,0))</f>
        <v>1</v>
      </c>
      <c r="AB4" s="4">
        <f>+IF(FORM!AB4="AM Y PM",1,IF(FORM!AB4="PM",1,0))</f>
        <v>1</v>
      </c>
      <c r="AC4" s="4">
        <f>+IF(FORM!AC4="AM Y PM",1,IF(FORM!AC4="PM",1,0))</f>
        <v>1</v>
      </c>
      <c r="AD4" s="4">
        <f>+IF(FORM!AD4="AM Y PM",1,IF(FORM!AD4="PM",1,0))</f>
        <v>1</v>
      </c>
      <c r="AE4" s="4">
        <f>+IF(FORM!AE4="AM Y PM",1,IF(FORM!AE4="PM",1,0))</f>
        <v>1</v>
      </c>
      <c r="AF4" s="4">
        <f>+IF(FORM!AF4="AM Y PM",1,IF(FORM!AF4="PM",1,0))</f>
        <v>0</v>
      </c>
    </row>
    <row r="5" spans="1:32" ht="18.75" customHeight="1" x14ac:dyDescent="0.25">
      <c r="A5" s="5" t="s">
        <v>56</v>
      </c>
      <c r="B5" s="4">
        <f>+IF(FORM!B5="AM Y PM",1,IF(FORM!B5="PM",1,0))</f>
        <v>0</v>
      </c>
      <c r="C5" s="4">
        <f>+IF(FORM!C5="AM Y PM",1,IF(FORM!C5="PM",1,0))</f>
        <v>0</v>
      </c>
      <c r="D5" s="4">
        <f>+IF(FORM!D5="AM Y PM",1,IF(FORM!D5="PM",1,0))</f>
        <v>0</v>
      </c>
      <c r="E5" s="4">
        <f>+IF(FORM!E5="AM Y PM",1,IF(FORM!E5="PM",1,0))</f>
        <v>0</v>
      </c>
      <c r="F5" s="4">
        <f>+IF(FORM!F5="AM Y PM",1,IF(FORM!F5="PM",1,0))</f>
        <v>0</v>
      </c>
      <c r="G5" s="4">
        <f>+IF(FORM!G5="AM Y PM",1,IF(FORM!G5="PM",1,0))</f>
        <v>1</v>
      </c>
      <c r="H5" s="4">
        <f>+IF(FORM!H5="AM Y PM",1,IF(FORM!H5="PM",1,0))</f>
        <v>1</v>
      </c>
      <c r="I5" s="4">
        <f>+IF(FORM!I5="AM Y PM",1,IF(FORM!I5="PM",1,0))</f>
        <v>1</v>
      </c>
      <c r="J5" s="4">
        <f>+IF(FORM!J5="AM Y PM",1,IF(FORM!J5="PM",1,0))</f>
        <v>1</v>
      </c>
      <c r="K5" s="4">
        <f>+IF(FORM!K5="AM Y PM",1,IF(FORM!K5="PM",1,0))</f>
        <v>0</v>
      </c>
      <c r="L5" s="4">
        <f>+IF(FORM!L5="AM Y PM",1,IF(FORM!L5="PM",1,0))</f>
        <v>0</v>
      </c>
      <c r="M5" s="4">
        <f>+IF(FORM!M5="AM Y PM",1,IF(FORM!M5="PM",1,0))</f>
        <v>0</v>
      </c>
      <c r="N5" s="4">
        <f>+IF(FORM!N5="AM Y PM",1,IF(FORM!N5="PM",1,0))</f>
        <v>1</v>
      </c>
      <c r="O5" s="4">
        <f>+IF(FORM!O5="AM Y PM",1,IF(FORM!O5="PM",1,0))</f>
        <v>1</v>
      </c>
      <c r="P5" s="4">
        <f>+IF(FORM!P5="AM Y PM",1,IF(FORM!P5="PM",1,0))</f>
        <v>1</v>
      </c>
      <c r="Q5" s="4">
        <f>+IF(FORM!Q5="AM Y PM",1,IF(FORM!Q5="PM",1,0))</f>
        <v>1</v>
      </c>
      <c r="R5" s="4">
        <f>+IF(FORM!R5="AM Y PM",1,IF(FORM!R5="PM",1,0))</f>
        <v>0</v>
      </c>
      <c r="S5" s="4">
        <f>+IF(FORM!S5="AM Y PM",1,IF(FORM!S5="PM",1,0))</f>
        <v>0</v>
      </c>
      <c r="T5" s="4">
        <f>+IF(FORM!T5="AM Y PM",1,IF(FORM!T5="PM",1,0))</f>
        <v>1</v>
      </c>
      <c r="U5" s="4">
        <f>+IF(FORM!U5="AM Y PM",1,IF(FORM!U5="PM",1,0))</f>
        <v>1</v>
      </c>
      <c r="V5" s="4">
        <f>+IF(FORM!V5="AM Y PM",1,IF(FORM!V5="PM",1,0))</f>
        <v>1</v>
      </c>
      <c r="W5" s="4">
        <f>+IF(FORM!W5="AM Y PM",1,IF(FORM!W5="PM",1,0))</f>
        <v>1</v>
      </c>
      <c r="X5" s="4">
        <f>+IF(FORM!X5="AM Y PM",1,IF(FORM!X5="PM",1,0))</f>
        <v>0</v>
      </c>
      <c r="Y5" s="4">
        <f>+IF(FORM!Y5="AM Y PM",1,IF(FORM!Y5="PM",1,0))</f>
        <v>0</v>
      </c>
      <c r="Z5" s="4">
        <f>+IF(FORM!Z5="AM Y PM",1,IF(FORM!Z5="PM",1,0))</f>
        <v>0</v>
      </c>
      <c r="AA5" s="4">
        <f>+IF(FORM!AA5="AM Y PM",1,IF(FORM!AA5="PM",1,0))</f>
        <v>1</v>
      </c>
      <c r="AB5" s="4">
        <f>+IF(FORM!AB5="AM Y PM",1,IF(FORM!AB5="PM",1,0))</f>
        <v>1</v>
      </c>
      <c r="AC5" s="4">
        <f>+IF(FORM!AC5="AM Y PM",1,IF(FORM!AC5="PM",1,0))</f>
        <v>1</v>
      </c>
      <c r="AD5" s="4">
        <f>+IF(FORM!AD5="AM Y PM",1,IF(FORM!AD5="PM",1,0))</f>
        <v>1</v>
      </c>
      <c r="AE5" s="4">
        <f>+IF(FORM!AE5="AM Y PM",1,IF(FORM!AE5="PM",1,0))</f>
        <v>0</v>
      </c>
      <c r="AF5" s="4">
        <f>+IF(FORM!AF5="AM Y PM",1,IF(FORM!AF5="PM",1,0))</f>
        <v>0</v>
      </c>
    </row>
    <row r="6" spans="1:32" ht="18.75" customHeight="1" x14ac:dyDescent="0.25">
      <c r="A6" s="5" t="s">
        <v>57</v>
      </c>
      <c r="B6" s="4">
        <f>+IF(FORM!B6="AM Y PM",1,IF(FORM!B6="PM",1,0))</f>
        <v>0</v>
      </c>
      <c r="C6" s="4">
        <f>+IF(FORM!C6="AM Y PM",1,IF(FORM!C6="PM",1,0))</f>
        <v>0</v>
      </c>
      <c r="D6" s="4">
        <f>+IF(FORM!D6="AM Y PM",1,IF(FORM!D6="PM",1,0))</f>
        <v>0</v>
      </c>
      <c r="E6" s="4">
        <f>+IF(FORM!E6="AM Y PM",1,IF(FORM!E6="PM",1,0))</f>
        <v>0</v>
      </c>
      <c r="F6" s="4">
        <f>+IF(FORM!F6="AM Y PM",1,IF(FORM!F6="PM",1,0))</f>
        <v>0</v>
      </c>
      <c r="G6" s="4">
        <f>+IF(FORM!G6="AM Y PM",1,IF(FORM!G6="PM",1,0))</f>
        <v>0</v>
      </c>
      <c r="H6" s="4">
        <f>+IF(FORM!H6="AM Y PM",1,IF(FORM!H6="PM",1,0))</f>
        <v>0</v>
      </c>
      <c r="I6" s="4">
        <f>+IF(FORM!I6="AM Y PM",1,IF(FORM!I6="PM",1,0))</f>
        <v>0</v>
      </c>
      <c r="J6" s="4">
        <f>+IF(FORM!J6="AM Y PM",1,IF(FORM!J6="PM",1,0))</f>
        <v>0</v>
      </c>
      <c r="K6" s="4">
        <f>+IF(FORM!K6="AM Y PM",1,IF(FORM!K6="PM",1,0))</f>
        <v>0</v>
      </c>
      <c r="L6" s="4">
        <f>+IF(FORM!L6="AM Y PM",1,IF(FORM!L6="PM",1,0))</f>
        <v>0</v>
      </c>
      <c r="M6" s="4">
        <f>+IF(FORM!M6="AM Y PM",1,IF(FORM!M6="PM",1,0))</f>
        <v>0</v>
      </c>
      <c r="N6" s="4">
        <f>+IF(FORM!N6="AM Y PM",1,IF(FORM!N6="PM",1,0))</f>
        <v>0</v>
      </c>
      <c r="O6" s="4">
        <f>+IF(FORM!O6="AM Y PM",1,IF(FORM!O6="PM",1,0))</f>
        <v>0</v>
      </c>
      <c r="P6" s="4">
        <f>+IF(FORM!P6="AM Y PM",1,IF(FORM!P6="PM",1,0))</f>
        <v>0</v>
      </c>
      <c r="Q6" s="4">
        <f>+IF(FORM!Q6="AM Y PM",1,IF(FORM!Q6="PM",1,0))</f>
        <v>0</v>
      </c>
      <c r="R6" s="4">
        <f>+IF(FORM!R6="AM Y PM",1,IF(FORM!R6="PM",1,0))</f>
        <v>0</v>
      </c>
      <c r="S6" s="4">
        <f>+IF(FORM!S6="AM Y PM",1,IF(FORM!S6="PM",1,0))</f>
        <v>0</v>
      </c>
      <c r="T6" s="4">
        <f>+IF(FORM!T6="AM Y PM",1,IF(FORM!T6="PM",1,0))</f>
        <v>0</v>
      </c>
      <c r="U6" s="4">
        <f>+IF(FORM!U6="AM Y PM",1,IF(FORM!U6="PM",1,0))</f>
        <v>0</v>
      </c>
      <c r="V6" s="4">
        <f>+IF(FORM!V6="AM Y PM",1,IF(FORM!V6="PM",1,0))</f>
        <v>0</v>
      </c>
      <c r="W6" s="4">
        <f>+IF(FORM!W6="AM Y PM",1,IF(FORM!W6="PM",1,0))</f>
        <v>0</v>
      </c>
      <c r="X6" s="4">
        <f>+IF(FORM!X6="AM Y PM",1,IF(FORM!X6="PM",1,0))</f>
        <v>0</v>
      </c>
      <c r="Y6" s="4">
        <f>+IF(FORM!Y6="AM Y PM",1,IF(FORM!Y6="PM",1,0))</f>
        <v>0</v>
      </c>
      <c r="Z6" s="4">
        <f>+IF(FORM!Z6="AM Y PM",1,IF(FORM!Z6="PM",1,0))</f>
        <v>0</v>
      </c>
      <c r="AA6" s="4">
        <f>+IF(FORM!AA6="AM Y PM",1,IF(FORM!AA6="PM",1,0))</f>
        <v>0</v>
      </c>
      <c r="AB6" s="4">
        <f>+IF(FORM!AB6="AM Y PM",1,IF(FORM!AB6="PM",1,0))</f>
        <v>0</v>
      </c>
      <c r="AC6" s="4">
        <f>+IF(FORM!AC6="AM Y PM",1,IF(FORM!AC6="PM",1,0))</f>
        <v>0</v>
      </c>
      <c r="AD6" s="4">
        <f>+IF(FORM!AD6="AM Y PM",1,IF(FORM!AD6="PM",1,0))</f>
        <v>0</v>
      </c>
      <c r="AE6" s="4">
        <f>+IF(FORM!AE6="AM Y PM",1,IF(FORM!AE6="PM",1,0))</f>
        <v>0</v>
      </c>
      <c r="AF6" s="4">
        <f>+IF(FORM!AF6="AM Y PM",1,IF(FORM!AF6="PM",1,0))</f>
        <v>0</v>
      </c>
    </row>
    <row r="7" spans="1:32" ht="18.75" customHeight="1" x14ac:dyDescent="0.25">
      <c r="A7" s="5" t="s">
        <v>58</v>
      </c>
      <c r="B7" s="4">
        <f>+IF(FORM!B7="AM Y PM",1,IF(FORM!B7="PM",1,0))</f>
        <v>0</v>
      </c>
      <c r="C7" s="4">
        <f>+IF(FORM!C7="AM Y PM",1,IF(FORM!C7="PM",1,0))</f>
        <v>0</v>
      </c>
      <c r="D7" s="4">
        <f>+IF(FORM!D7="AM Y PM",1,IF(FORM!D7="PM",1,0))</f>
        <v>0</v>
      </c>
      <c r="E7" s="4">
        <f>+IF(FORM!E7="AM Y PM",1,IF(FORM!E7="PM",1,0))</f>
        <v>0</v>
      </c>
      <c r="F7" s="4">
        <f>+IF(FORM!F7="AM Y PM",1,IF(FORM!F7="PM",1,0))</f>
        <v>0</v>
      </c>
      <c r="G7" s="4">
        <f>+IF(FORM!G7="AM Y PM",1,IF(FORM!G7="PM",1,0))</f>
        <v>1</v>
      </c>
      <c r="H7" s="4">
        <f>+IF(FORM!H7="AM Y PM",1,IF(FORM!H7="PM",1,0))</f>
        <v>1</v>
      </c>
      <c r="I7" s="4">
        <f>+IF(FORM!I7="AM Y PM",1,IF(FORM!I7="PM",1,0))</f>
        <v>1</v>
      </c>
      <c r="J7" s="4">
        <f>+IF(FORM!J7="AM Y PM",1,IF(FORM!J7="PM",1,0))</f>
        <v>1</v>
      </c>
      <c r="K7" s="4">
        <f>+IF(FORM!K7="AM Y PM",1,IF(FORM!K7="PM",1,0))</f>
        <v>0</v>
      </c>
      <c r="L7" s="4">
        <f>+IF(FORM!L7="AM Y PM",1,IF(FORM!L7="PM",1,0))</f>
        <v>0</v>
      </c>
      <c r="M7" s="4">
        <f>+IF(FORM!M7="AM Y PM",1,IF(FORM!M7="PM",1,0))</f>
        <v>0</v>
      </c>
      <c r="N7" s="4">
        <f>+IF(FORM!N7="AM Y PM",1,IF(FORM!N7="PM",1,0))</f>
        <v>1</v>
      </c>
      <c r="O7" s="4">
        <f>+IF(FORM!O7="AM Y PM",1,IF(FORM!O7="PM",1,0))</f>
        <v>1</v>
      </c>
      <c r="P7" s="4">
        <f>+IF(FORM!P7="AM Y PM",1,IF(FORM!P7="PM",1,0))</f>
        <v>1</v>
      </c>
      <c r="Q7" s="4">
        <f>+IF(FORM!Q7="AM Y PM",1,IF(FORM!Q7="PM",1,0))</f>
        <v>1</v>
      </c>
      <c r="R7" s="4">
        <f>+IF(FORM!R7="AM Y PM",1,IF(FORM!R7="PM",1,0))</f>
        <v>0</v>
      </c>
      <c r="S7" s="4">
        <f>+IF(FORM!S7="AM Y PM",1,IF(FORM!S7="PM",1,0))</f>
        <v>0</v>
      </c>
      <c r="T7" s="4">
        <f>+IF(FORM!T7="AM Y PM",1,IF(FORM!T7="PM",1,0))</f>
        <v>1</v>
      </c>
      <c r="U7" s="4">
        <f>+IF(FORM!U7="AM Y PM",1,IF(FORM!U7="PM",1,0))</f>
        <v>1</v>
      </c>
      <c r="V7" s="4">
        <f>+IF(FORM!V7="AM Y PM",1,IF(FORM!V7="PM",1,0))</f>
        <v>1</v>
      </c>
      <c r="W7" s="4">
        <f>+IF(FORM!W7="AM Y PM",1,IF(FORM!W7="PM",1,0))</f>
        <v>1</v>
      </c>
      <c r="X7" s="4">
        <f>+IF(FORM!X7="AM Y PM",1,IF(FORM!X7="PM",1,0))</f>
        <v>1</v>
      </c>
      <c r="Y7" s="4">
        <f>+IF(FORM!Y7="AM Y PM",1,IF(FORM!Y7="PM",1,0))</f>
        <v>0</v>
      </c>
      <c r="Z7" s="4">
        <f>+IF(FORM!Z7="AM Y PM",1,IF(FORM!Z7="PM",1,0))</f>
        <v>0</v>
      </c>
      <c r="AA7" s="4">
        <f>+IF(FORM!AA7="AM Y PM",1,IF(FORM!AA7="PM",1,0))</f>
        <v>1</v>
      </c>
      <c r="AB7" s="4">
        <f>+IF(FORM!AB7="AM Y PM",1,IF(FORM!AB7="PM",1,0))</f>
        <v>1</v>
      </c>
      <c r="AC7" s="4">
        <f>+IF(FORM!AC7="AM Y PM",1,IF(FORM!AC7="PM",1,0))</f>
        <v>1</v>
      </c>
      <c r="AD7" s="4">
        <f>+IF(FORM!AD7="AM Y PM",1,IF(FORM!AD7="PM",1,0))</f>
        <v>1</v>
      </c>
      <c r="AE7" s="4">
        <f>+IF(FORM!AE7="AM Y PM",1,IF(FORM!AE7="PM",1,0))</f>
        <v>1</v>
      </c>
      <c r="AF7" s="4">
        <f>+IF(FORM!AF7="AM Y PM",1,IF(FORM!AF7="PM",1,0))</f>
        <v>0</v>
      </c>
    </row>
    <row r="8" spans="1:32" ht="18.75" customHeight="1" x14ac:dyDescent="0.25">
      <c r="A8" s="5" t="s">
        <v>59</v>
      </c>
      <c r="B8" s="4">
        <f>+IF(FORM!B8="AM Y PM",1,IF(FORM!B8="PM",1,0))</f>
        <v>0</v>
      </c>
      <c r="C8" s="4">
        <f>+IF(FORM!C8="AM Y PM",1,IF(FORM!C8="PM",1,0))</f>
        <v>0</v>
      </c>
      <c r="D8" s="4">
        <f>+IF(FORM!D8="AM Y PM",1,IF(FORM!D8="PM",1,0))</f>
        <v>0</v>
      </c>
      <c r="E8" s="4">
        <f>+IF(FORM!E8="AM Y PM",1,IF(FORM!E8="PM",1,0))</f>
        <v>0</v>
      </c>
      <c r="F8" s="4">
        <f>+IF(FORM!F8="AM Y PM",1,IF(FORM!F8="PM",1,0))</f>
        <v>1</v>
      </c>
      <c r="G8" s="4">
        <f>+IF(FORM!G8="AM Y PM",1,IF(FORM!G8="PM",1,0))</f>
        <v>1</v>
      </c>
      <c r="H8" s="4">
        <f>+IF(FORM!H8="AM Y PM",1,IF(FORM!H8="PM",1,0))</f>
        <v>1</v>
      </c>
      <c r="I8" s="4">
        <f>+IF(FORM!I8="AM Y PM",1,IF(FORM!I8="PM",1,0))</f>
        <v>1</v>
      </c>
      <c r="J8" s="4">
        <f>+IF(FORM!J8="AM Y PM",1,IF(FORM!J8="PM",1,0))</f>
        <v>1</v>
      </c>
      <c r="K8" s="4">
        <f>+IF(FORM!K8="AM Y PM",1,IF(FORM!K8="PM",1,0))</f>
        <v>0</v>
      </c>
      <c r="L8" s="4">
        <f>+IF(FORM!L8="AM Y PM",1,IF(FORM!L8="PM",1,0))</f>
        <v>0</v>
      </c>
      <c r="M8" s="4">
        <f>+IF(FORM!M8="AM Y PM",1,IF(FORM!M8="PM",1,0))</f>
        <v>0</v>
      </c>
      <c r="N8" s="4">
        <f>+IF(FORM!N8="AM Y PM",1,IF(FORM!N8="PM",1,0))</f>
        <v>1</v>
      </c>
      <c r="O8" s="4">
        <f>+IF(FORM!O8="AM Y PM",1,IF(FORM!O8="PM",1,0))</f>
        <v>1</v>
      </c>
      <c r="P8" s="4">
        <f>+IF(FORM!P8="AM Y PM",1,IF(FORM!P8="PM",1,0))</f>
        <v>1</v>
      </c>
      <c r="Q8" s="4">
        <f>+IF(FORM!Q8="AM Y PM",1,IF(FORM!Q8="PM",1,0))</f>
        <v>1</v>
      </c>
      <c r="R8" s="4">
        <f>+IF(FORM!R8="AM Y PM",1,IF(FORM!R8="PM",1,0))</f>
        <v>0</v>
      </c>
      <c r="S8" s="4">
        <f>+IF(FORM!S8="AM Y PM",1,IF(FORM!S8="PM",1,0))</f>
        <v>0</v>
      </c>
      <c r="T8" s="4">
        <f>+IF(FORM!T8="AM Y PM",1,IF(FORM!T8="PM",1,0))</f>
        <v>1</v>
      </c>
      <c r="U8" s="4">
        <f>+IF(FORM!U8="AM Y PM",1,IF(FORM!U8="PM",1,0))</f>
        <v>1</v>
      </c>
      <c r="V8" s="4">
        <f>+IF(FORM!V8="AM Y PM",1,IF(FORM!V8="PM",1,0))</f>
        <v>1</v>
      </c>
      <c r="W8" s="4">
        <f>+IF(FORM!W8="AM Y PM",1,IF(FORM!W8="PM",1,0))</f>
        <v>1</v>
      </c>
      <c r="X8" s="4">
        <f>+IF(FORM!X8="AM Y PM",1,IF(FORM!X8="PM",1,0))</f>
        <v>1</v>
      </c>
      <c r="Y8" s="4">
        <f>+IF(FORM!Y8="AM Y PM",1,IF(FORM!Y8="PM",1,0))</f>
        <v>0</v>
      </c>
      <c r="Z8" s="4">
        <f>+IF(FORM!Z8="AM Y PM",1,IF(FORM!Z8="PM",1,0))</f>
        <v>0</v>
      </c>
      <c r="AA8" s="4">
        <f>+IF(FORM!AA8="AM Y PM",1,IF(FORM!AA8="PM",1,0))</f>
        <v>0</v>
      </c>
      <c r="AB8" s="4">
        <f>+IF(FORM!AB8="AM Y PM",1,IF(FORM!AB8="PM",1,0))</f>
        <v>0</v>
      </c>
      <c r="AC8" s="4">
        <f>+IF(FORM!AC8="AM Y PM",1,IF(FORM!AC8="PM",1,0))</f>
        <v>0</v>
      </c>
      <c r="AD8" s="4">
        <f>+IF(FORM!AD8="AM Y PM",1,IF(FORM!AD8="PM",1,0))</f>
        <v>0</v>
      </c>
      <c r="AE8" s="4">
        <f>+IF(FORM!AE8="AM Y PM",1,IF(FORM!AE8="PM",1,0))</f>
        <v>0</v>
      </c>
      <c r="AF8" s="4">
        <f>+IF(FORM!AF8="AM Y PM",1,IF(FORM!AF8="PM",1,0))</f>
        <v>0</v>
      </c>
    </row>
    <row r="9" spans="1:32" ht="18.75" customHeight="1" x14ac:dyDescent="0.25">
      <c r="A9" s="5" t="s">
        <v>60</v>
      </c>
      <c r="B9" s="4">
        <f>+IF(FORM!B9="AM Y PM",1,IF(FORM!B9="PM",1,0))</f>
        <v>0</v>
      </c>
      <c r="C9" s="4">
        <f>+IF(FORM!C9="AM Y PM",1,IF(FORM!C9="PM",1,0))</f>
        <v>0</v>
      </c>
      <c r="D9" s="4">
        <f>+IF(FORM!D9="AM Y PM",1,IF(FORM!D9="PM",1,0))</f>
        <v>0</v>
      </c>
      <c r="E9" s="4">
        <f>+IF(FORM!E9="AM Y PM",1,IF(FORM!E9="PM",1,0))</f>
        <v>0</v>
      </c>
      <c r="F9" s="4">
        <f>+IF(FORM!F9="AM Y PM",1,IF(FORM!F9="PM",1,0))</f>
        <v>0</v>
      </c>
      <c r="G9" s="4">
        <f>+IF(FORM!G9="AM Y PM",1,IF(FORM!G9="PM",1,0))</f>
        <v>1</v>
      </c>
      <c r="H9" s="4">
        <f>+IF(FORM!H9="AM Y PM",1,IF(FORM!H9="PM",1,0))</f>
        <v>1</v>
      </c>
      <c r="I9" s="4">
        <f>+IF(FORM!I9="AM Y PM",1,IF(FORM!I9="PM",1,0))</f>
        <v>1</v>
      </c>
      <c r="J9" s="4">
        <f>+IF(FORM!J9="AM Y PM",1,IF(FORM!J9="PM",1,0))</f>
        <v>1</v>
      </c>
      <c r="K9" s="4">
        <f>+IF(FORM!K9="AM Y PM",1,IF(FORM!K9="PM",1,0))</f>
        <v>0</v>
      </c>
      <c r="L9" s="4">
        <f>+IF(FORM!L9="AM Y PM",1,IF(FORM!L9="PM",1,0))</f>
        <v>0</v>
      </c>
      <c r="M9" s="4">
        <f>+IF(FORM!M9="AM Y PM",1,IF(FORM!M9="PM",1,0))</f>
        <v>0</v>
      </c>
      <c r="N9" s="4">
        <f>+IF(FORM!N9="AM Y PM",1,IF(FORM!N9="PM",1,0))</f>
        <v>1</v>
      </c>
      <c r="O9" s="4">
        <f>+IF(FORM!O9="AM Y PM",1,IF(FORM!O9="PM",1,0))</f>
        <v>1</v>
      </c>
      <c r="P9" s="4">
        <f>+IF(FORM!P9="AM Y PM",1,IF(FORM!P9="PM",1,0))</f>
        <v>1</v>
      </c>
      <c r="Q9" s="4">
        <f>+IF(FORM!Q9="AM Y PM",1,IF(FORM!Q9="PM",1,0))</f>
        <v>1</v>
      </c>
      <c r="R9" s="4">
        <f>+IF(FORM!R9="AM Y PM",1,IF(FORM!R9="PM",1,0))</f>
        <v>0</v>
      </c>
      <c r="S9" s="4">
        <f>+IF(FORM!S9="AM Y PM",1,IF(FORM!S9="PM",1,0))</f>
        <v>0</v>
      </c>
      <c r="T9" s="4">
        <f>+IF(FORM!T9="AM Y PM",1,IF(FORM!T9="PM",1,0))</f>
        <v>1</v>
      </c>
      <c r="U9" s="4">
        <f>+IF(FORM!U9="AM Y PM",1,IF(FORM!U9="PM",1,0))</f>
        <v>1</v>
      </c>
      <c r="V9" s="4">
        <f>+IF(FORM!V9="AM Y PM",1,IF(FORM!V9="PM",1,0))</f>
        <v>1</v>
      </c>
      <c r="W9" s="4">
        <f>+IF(FORM!W9="AM Y PM",1,IF(FORM!W9="PM",1,0))</f>
        <v>1</v>
      </c>
      <c r="X9" s="4">
        <f>+IF(FORM!X9="AM Y PM",1,IF(FORM!X9="PM",1,0))</f>
        <v>1</v>
      </c>
      <c r="Y9" s="4">
        <f>+IF(FORM!Y9="AM Y PM",1,IF(FORM!Y9="PM",1,0))</f>
        <v>0</v>
      </c>
      <c r="Z9" s="4">
        <f>+IF(FORM!Z9="AM Y PM",1,IF(FORM!Z9="PM",1,0))</f>
        <v>0</v>
      </c>
      <c r="AA9" s="4">
        <f>+IF(FORM!AA9="AM Y PM",1,IF(FORM!AA9="PM",1,0))</f>
        <v>1</v>
      </c>
      <c r="AB9" s="4">
        <f>+IF(FORM!AB9="AM Y PM",1,IF(FORM!AB9="PM",1,0))</f>
        <v>1</v>
      </c>
      <c r="AC9" s="4">
        <f>+IF(FORM!AC9="AM Y PM",1,IF(FORM!AC9="PM",1,0))</f>
        <v>1</v>
      </c>
      <c r="AD9" s="4">
        <f>+IF(FORM!AD9="AM Y PM",1,IF(FORM!AD9="PM",1,0))</f>
        <v>1</v>
      </c>
      <c r="AE9" s="4">
        <f>+IF(FORM!AE9="AM Y PM",1,IF(FORM!AE9="PM",1,0))</f>
        <v>1</v>
      </c>
      <c r="AF9" s="4">
        <f>+IF(FORM!AF9="AM Y PM",1,IF(FORM!AF9="PM",1,0))</f>
        <v>0</v>
      </c>
    </row>
    <row r="10" spans="1:32" ht="18.75" customHeight="1" x14ac:dyDescent="0.25">
      <c r="A10" s="5" t="s">
        <v>61</v>
      </c>
      <c r="B10" s="4">
        <f>+IF(FORM!B10="AM Y PM",1,IF(FORM!B10="PM",1,0))</f>
        <v>0</v>
      </c>
      <c r="C10" s="4">
        <f>+IF(FORM!C10="AM Y PM",1,IF(FORM!C10="PM",1,0))</f>
        <v>0</v>
      </c>
      <c r="D10" s="4">
        <f>+IF(FORM!D10="AM Y PM",1,IF(FORM!D10="PM",1,0))</f>
        <v>0</v>
      </c>
      <c r="E10" s="4">
        <f>+IF(FORM!E10="AM Y PM",1,IF(FORM!E10="PM",1,0))</f>
        <v>0</v>
      </c>
      <c r="F10" s="4">
        <f>+IF(FORM!F10="AM Y PM",1,IF(FORM!F10="PM",1,0))</f>
        <v>0</v>
      </c>
      <c r="G10" s="4">
        <f>+IF(FORM!G10="AM Y PM",1,IF(FORM!G10="PM",1,0))</f>
        <v>0</v>
      </c>
      <c r="H10" s="4">
        <f>+IF(FORM!H10="AM Y PM",1,IF(FORM!H10="PM",1,0))</f>
        <v>0</v>
      </c>
      <c r="I10" s="4">
        <f>+IF(FORM!I10="AM Y PM",1,IF(FORM!I10="PM",1,0))</f>
        <v>0</v>
      </c>
      <c r="J10" s="4">
        <f>+IF(FORM!J10="AM Y PM",1,IF(FORM!J10="PM",1,0))</f>
        <v>0</v>
      </c>
      <c r="K10" s="4">
        <f>+IF(FORM!K10="AM Y PM",1,IF(FORM!K10="PM",1,0))</f>
        <v>0</v>
      </c>
      <c r="L10" s="4">
        <f>+IF(FORM!L10="AM Y PM",1,IF(FORM!L10="PM",1,0))</f>
        <v>0</v>
      </c>
      <c r="M10" s="4">
        <f>+IF(FORM!M10="AM Y PM",1,IF(FORM!M10="PM",1,0))</f>
        <v>0</v>
      </c>
      <c r="N10" s="4">
        <f>+IF(FORM!N10="AM Y PM",1,IF(FORM!N10="PM",1,0))</f>
        <v>1</v>
      </c>
      <c r="O10" s="4">
        <f>+IF(FORM!O10="AM Y PM",1,IF(FORM!O10="PM",1,0))</f>
        <v>1</v>
      </c>
      <c r="P10" s="4">
        <f>+IF(FORM!P10="AM Y PM",1,IF(FORM!P10="PM",1,0))</f>
        <v>1</v>
      </c>
      <c r="Q10" s="4">
        <f>+IF(FORM!Q10="AM Y PM",1,IF(FORM!Q10="PM",1,0))</f>
        <v>0</v>
      </c>
      <c r="R10" s="4">
        <f>+IF(FORM!R10="AM Y PM",1,IF(FORM!R10="PM",1,0))</f>
        <v>0</v>
      </c>
      <c r="S10" s="4">
        <f>+IF(FORM!S10="AM Y PM",1,IF(FORM!S10="PM",1,0))</f>
        <v>0</v>
      </c>
      <c r="T10" s="4">
        <f>+IF(FORM!T10="AM Y PM",1,IF(FORM!T10="PM",1,0))</f>
        <v>0</v>
      </c>
      <c r="U10" s="4">
        <f>+IF(FORM!U10="AM Y PM",1,IF(FORM!U10="PM",1,0))</f>
        <v>0</v>
      </c>
      <c r="V10" s="4">
        <f>+IF(FORM!V10="AM Y PM",1,IF(FORM!V10="PM",1,0))</f>
        <v>0</v>
      </c>
      <c r="W10" s="4">
        <f>+IF(FORM!W10="AM Y PM",1,IF(FORM!W10="PM",1,0))</f>
        <v>0</v>
      </c>
      <c r="X10" s="4">
        <f>+IF(FORM!X10="AM Y PM",1,IF(FORM!X10="PM",1,0))</f>
        <v>0</v>
      </c>
      <c r="Y10" s="4">
        <f>+IF(FORM!Y10="AM Y PM",1,IF(FORM!Y10="PM",1,0))</f>
        <v>0</v>
      </c>
      <c r="Z10" s="4">
        <f>+IF(FORM!Z10="AM Y PM",1,IF(FORM!Z10="PM",1,0))</f>
        <v>0</v>
      </c>
      <c r="AA10" s="4">
        <f>+IF(FORM!AA10="AM Y PM",1,IF(FORM!AA10="PM",1,0))</f>
        <v>1</v>
      </c>
      <c r="AB10" s="4">
        <f>+IF(FORM!AB10="AM Y PM",1,IF(FORM!AB10="PM",1,0))</f>
        <v>1</v>
      </c>
      <c r="AC10" s="4">
        <f>+IF(FORM!AC10="AM Y PM",1,IF(FORM!AC10="PM",1,0))</f>
        <v>1</v>
      </c>
      <c r="AD10" s="4">
        <f>+IF(FORM!AD10="AM Y PM",1,IF(FORM!AD10="PM",1,0))</f>
        <v>1</v>
      </c>
      <c r="AE10" s="4">
        <f>+IF(FORM!AE10="AM Y PM",1,IF(FORM!AE10="PM",1,0))</f>
        <v>0</v>
      </c>
      <c r="AF10" s="4">
        <f>+IF(FORM!AF10="AM Y PM",1,IF(FORM!AF10="PM",1,0))</f>
        <v>0</v>
      </c>
    </row>
    <row r="11" spans="1:32" ht="18.75" customHeight="1" x14ac:dyDescent="0.25">
      <c r="A11" s="5" t="s">
        <v>62</v>
      </c>
      <c r="B11" s="4">
        <f>+IF(FORM!B11="AM Y PM",1,IF(FORM!B11="PM",1,0))</f>
        <v>0</v>
      </c>
      <c r="C11" s="4">
        <f>+IF(FORM!C11="AM Y PM",1,IF(FORM!C11="PM",1,0))</f>
        <v>0</v>
      </c>
      <c r="D11" s="4">
        <f>+IF(FORM!D11="AM Y PM",1,IF(FORM!D11="PM",1,0))</f>
        <v>0</v>
      </c>
      <c r="E11" s="4">
        <f>+IF(FORM!E11="AM Y PM",1,IF(FORM!E11="PM",1,0))</f>
        <v>0</v>
      </c>
      <c r="F11" s="4">
        <f>+IF(FORM!F11="AM Y PM",1,IF(FORM!F11="PM",1,0))</f>
        <v>0</v>
      </c>
      <c r="G11" s="4">
        <f>+IF(FORM!G11="AM Y PM",1,IF(FORM!G11="PM",1,0))</f>
        <v>0</v>
      </c>
      <c r="H11" s="4">
        <f>+IF(FORM!H11="AM Y PM",1,IF(FORM!H11="PM",1,0))</f>
        <v>0</v>
      </c>
      <c r="I11" s="4">
        <f>+IF(FORM!I11="AM Y PM",1,IF(FORM!I11="PM",1,0))</f>
        <v>0</v>
      </c>
      <c r="J11" s="4">
        <f>+IF(FORM!J11="AM Y PM",1,IF(FORM!J11="PM",1,0))</f>
        <v>0</v>
      </c>
      <c r="K11" s="4">
        <f>+IF(FORM!K11="AM Y PM",1,IF(FORM!K11="PM",1,0))</f>
        <v>0</v>
      </c>
      <c r="L11" s="4">
        <f>+IF(FORM!L11="AM Y PM",1,IF(FORM!L11="PM",1,0))</f>
        <v>0</v>
      </c>
      <c r="M11" s="4">
        <f>+IF(FORM!M11="AM Y PM",1,IF(FORM!M11="PM",1,0))</f>
        <v>0</v>
      </c>
      <c r="N11" s="4">
        <f>+IF(FORM!N11="AM Y PM",1,IF(FORM!N11="PM",1,0))</f>
        <v>1</v>
      </c>
      <c r="O11" s="4">
        <f>+IF(FORM!O11="AM Y PM",1,IF(FORM!O11="PM",1,0))</f>
        <v>1</v>
      </c>
      <c r="P11" s="4">
        <f>+IF(FORM!P11="AM Y PM",1,IF(FORM!P11="PM",1,0))</f>
        <v>0</v>
      </c>
      <c r="Q11" s="4">
        <f>+IF(FORM!Q11="AM Y PM",1,IF(FORM!Q11="PM",1,0))</f>
        <v>1</v>
      </c>
      <c r="R11" s="4">
        <f>+IF(FORM!R11="AM Y PM",1,IF(FORM!R11="PM",1,0))</f>
        <v>0</v>
      </c>
      <c r="S11" s="4">
        <f>+IF(FORM!S11="AM Y PM",1,IF(FORM!S11="PM",1,0))</f>
        <v>0</v>
      </c>
      <c r="T11" s="4">
        <f>+IF(FORM!T11="AM Y PM",1,IF(FORM!T11="PM",1,0))</f>
        <v>1</v>
      </c>
      <c r="U11" s="4">
        <f>+IF(FORM!U11="AM Y PM",1,IF(FORM!U11="PM",1,0))</f>
        <v>0</v>
      </c>
      <c r="V11" s="4">
        <f>+IF(FORM!V11="AM Y PM",1,IF(FORM!V11="PM",1,0))</f>
        <v>1</v>
      </c>
      <c r="W11" s="4">
        <f>+IF(FORM!W11="AM Y PM",1,IF(FORM!W11="PM",1,0))</f>
        <v>0</v>
      </c>
      <c r="X11" s="4">
        <f>+IF(FORM!X11="AM Y PM",1,IF(FORM!X11="PM",1,0))</f>
        <v>0</v>
      </c>
      <c r="Y11" s="4">
        <f>+IF(FORM!Y11="AM Y PM",1,IF(FORM!Y11="PM",1,0))</f>
        <v>0</v>
      </c>
      <c r="Z11" s="4">
        <f>+IF(FORM!Z11="AM Y PM",1,IF(FORM!Z11="PM",1,0))</f>
        <v>0</v>
      </c>
      <c r="AA11" s="4">
        <f>+IF(FORM!AA11="AM Y PM",1,IF(FORM!AA11="PM",1,0))</f>
        <v>1</v>
      </c>
      <c r="AB11" s="4">
        <f>+IF(FORM!AB11="AM Y PM",1,IF(FORM!AB11="PM",1,0))</f>
        <v>0</v>
      </c>
      <c r="AC11" s="4">
        <f>+IF(FORM!AC11="AM Y PM",1,IF(FORM!AC11="PM",1,0))</f>
        <v>0</v>
      </c>
      <c r="AD11" s="4">
        <f>+IF(FORM!AD11="AM Y PM",1,IF(FORM!AD11="PM",1,0))</f>
        <v>0</v>
      </c>
      <c r="AE11" s="4">
        <f>+IF(FORM!AE11="AM Y PM",1,IF(FORM!AE11="PM",1,0))</f>
        <v>0</v>
      </c>
      <c r="AF11" s="4">
        <f>+IF(FORM!AF11="AM Y PM",1,IF(FORM!AF11="PM",1,0))</f>
        <v>0</v>
      </c>
    </row>
    <row r="12" spans="1:32" ht="18.75" customHeight="1" x14ac:dyDescent="0.25">
      <c r="A12" s="5" t="s">
        <v>63</v>
      </c>
      <c r="B12" s="4">
        <f>+IF(FORM!B12="AM Y PM",1,IF(FORM!B12="PM",1,0))</f>
        <v>0</v>
      </c>
      <c r="C12" s="4">
        <f>+IF(FORM!C12="AM Y PM",1,IF(FORM!C12="PM",1,0))</f>
        <v>0</v>
      </c>
      <c r="D12" s="4">
        <f>+IF(FORM!D12="AM Y PM",1,IF(FORM!D12="PM",1,0))</f>
        <v>0</v>
      </c>
      <c r="E12" s="4">
        <f>+IF(FORM!E12="AM Y PM",1,IF(FORM!E12="PM",1,0))</f>
        <v>0</v>
      </c>
      <c r="F12" s="4">
        <f>+IF(FORM!F12="AM Y PM",1,IF(FORM!F12="PM",1,0))</f>
        <v>0</v>
      </c>
      <c r="G12" s="4">
        <f>+IF(FORM!G12="AM Y PM",1,IF(FORM!G12="PM",1,0))</f>
        <v>0</v>
      </c>
      <c r="H12" s="4">
        <f>+IF(FORM!H12="AM Y PM",1,IF(FORM!H12="PM",1,0))</f>
        <v>0</v>
      </c>
      <c r="I12" s="4">
        <f>+IF(FORM!I12="AM Y PM",1,IF(FORM!I12="PM",1,0))</f>
        <v>1</v>
      </c>
      <c r="J12" s="4">
        <f>+IF(FORM!J12="AM Y PM",1,IF(FORM!J12="PM",1,0))</f>
        <v>1</v>
      </c>
      <c r="K12" s="4">
        <f>+IF(FORM!K12="AM Y PM",1,IF(FORM!K12="PM",1,0))</f>
        <v>0</v>
      </c>
      <c r="L12" s="4">
        <f>+IF(FORM!L12="AM Y PM",1,IF(FORM!L12="PM",1,0))</f>
        <v>0</v>
      </c>
      <c r="M12" s="4">
        <f>+IF(FORM!M12="AM Y PM",1,IF(FORM!M12="PM",1,0))</f>
        <v>0</v>
      </c>
      <c r="N12" s="4">
        <f>+IF(FORM!N12="AM Y PM",1,IF(FORM!N12="PM",1,0))</f>
        <v>0</v>
      </c>
      <c r="O12" s="4">
        <f>+IF(FORM!O12="AM Y PM",1,IF(FORM!O12="PM",1,0))</f>
        <v>0</v>
      </c>
      <c r="P12" s="4">
        <f>+IF(FORM!P12="AM Y PM",1,IF(FORM!P12="PM",1,0))</f>
        <v>1</v>
      </c>
      <c r="Q12" s="4">
        <f>+IF(FORM!Q12="AM Y PM",1,IF(FORM!Q12="PM",1,0))</f>
        <v>1</v>
      </c>
      <c r="R12" s="4">
        <f>+IF(FORM!R12="AM Y PM",1,IF(FORM!R12="PM",1,0))</f>
        <v>0</v>
      </c>
      <c r="S12" s="4">
        <f>+IF(FORM!S12="AM Y PM",1,IF(FORM!S12="PM",1,0))</f>
        <v>0</v>
      </c>
      <c r="T12" s="4">
        <f>+IF(FORM!T12="AM Y PM",1,IF(FORM!T12="PM",1,0))</f>
        <v>1</v>
      </c>
      <c r="U12" s="4">
        <f>+IF(FORM!U12="AM Y PM",1,IF(FORM!U12="PM",1,0))</f>
        <v>1</v>
      </c>
      <c r="V12" s="4">
        <f>+IF(FORM!V12="AM Y PM",1,IF(FORM!V12="PM",1,0))</f>
        <v>1</v>
      </c>
      <c r="W12" s="4">
        <f>+IF(FORM!W12="AM Y PM",1,IF(FORM!W12="PM",1,0))</f>
        <v>1</v>
      </c>
      <c r="X12" s="4">
        <f>+IF(FORM!X12="AM Y PM",1,IF(FORM!X12="PM",1,0))</f>
        <v>1</v>
      </c>
      <c r="Y12" s="4">
        <f>+IF(FORM!Y12="AM Y PM",1,IF(FORM!Y12="PM",1,0))</f>
        <v>0</v>
      </c>
      <c r="Z12" s="4">
        <f>+IF(FORM!Z12="AM Y PM",1,IF(FORM!Z12="PM",1,0))</f>
        <v>0</v>
      </c>
      <c r="AA12" s="4">
        <f>+IF(FORM!AA12="AM Y PM",1,IF(FORM!AA12="PM",1,0))</f>
        <v>1</v>
      </c>
      <c r="AB12" s="4">
        <f>+IF(FORM!AB12="AM Y PM",1,IF(FORM!AB12="PM",1,0))</f>
        <v>1</v>
      </c>
      <c r="AC12" s="4">
        <f>+IF(FORM!AC12="AM Y PM",1,IF(FORM!AC12="PM",1,0))</f>
        <v>1</v>
      </c>
      <c r="AD12" s="4">
        <f>+IF(FORM!AD12="AM Y PM",1,IF(FORM!AD12="PM",1,0))</f>
        <v>1</v>
      </c>
      <c r="AE12" s="4">
        <f>+IF(FORM!AE12="AM Y PM",1,IF(FORM!AE12="PM",1,0))</f>
        <v>1</v>
      </c>
      <c r="AF12" s="4">
        <f>+IF(FORM!AF12="AM Y PM",1,IF(FORM!AF12="PM",1,0))</f>
        <v>0</v>
      </c>
    </row>
    <row r="13" spans="1:32" ht="18.75" customHeight="1" x14ac:dyDescent="0.25">
      <c r="A13" s="5" t="s">
        <v>64</v>
      </c>
      <c r="B13" s="4">
        <f>+IF(FORM!B13="AM Y PM",1,IF(FORM!B13="PM",1,0))</f>
        <v>0</v>
      </c>
      <c r="C13" s="4">
        <f>+IF(FORM!C13="AM Y PM",1,IF(FORM!C13="PM",1,0))</f>
        <v>0</v>
      </c>
      <c r="D13" s="4">
        <f>+IF(FORM!D13="AM Y PM",1,IF(FORM!D13="PM",1,0))</f>
        <v>0</v>
      </c>
      <c r="E13" s="4">
        <f>+IF(FORM!E13="AM Y PM",1,IF(FORM!E13="PM",1,0))</f>
        <v>0</v>
      </c>
      <c r="F13" s="4">
        <f>+IF(FORM!F13="AM Y PM",1,IF(FORM!F13="PM",1,0))</f>
        <v>0</v>
      </c>
      <c r="G13" s="4">
        <f>+IF(FORM!G13="AM Y PM",1,IF(FORM!G13="PM",1,0))</f>
        <v>1</v>
      </c>
      <c r="H13" s="4">
        <f>+IF(FORM!H13="AM Y PM",1,IF(FORM!H13="PM",1,0))</f>
        <v>1</v>
      </c>
      <c r="I13" s="4">
        <f>+IF(FORM!I13="AM Y PM",1,IF(FORM!I13="PM",1,0))</f>
        <v>0</v>
      </c>
      <c r="J13" s="4">
        <f>+IF(FORM!J13="AM Y PM",1,IF(FORM!J13="PM",1,0))</f>
        <v>0</v>
      </c>
      <c r="K13" s="4">
        <f>+IF(FORM!K13="AM Y PM",1,IF(FORM!K13="PM",1,0))</f>
        <v>0</v>
      </c>
      <c r="L13" s="4">
        <f>+IF(FORM!L13="AM Y PM",1,IF(FORM!L13="PM",1,0))</f>
        <v>0</v>
      </c>
      <c r="M13" s="4">
        <f>+IF(FORM!M13="AM Y PM",1,IF(FORM!M13="PM",1,0))</f>
        <v>0</v>
      </c>
      <c r="N13" s="4">
        <f>+IF(FORM!N13="AM Y PM",1,IF(FORM!N13="PM",1,0))</f>
        <v>0</v>
      </c>
      <c r="O13" s="4">
        <f>+IF(FORM!O13="AM Y PM",1,IF(FORM!O13="PM",1,0))</f>
        <v>1</v>
      </c>
      <c r="P13" s="4">
        <f>+IF(FORM!P13="AM Y PM",1,IF(FORM!P13="PM",1,0))</f>
        <v>1</v>
      </c>
      <c r="Q13" s="4">
        <f>+IF(FORM!Q13="AM Y PM",1,IF(FORM!Q13="PM",1,0))</f>
        <v>1</v>
      </c>
      <c r="R13" s="4">
        <f>+IF(FORM!R13="AM Y PM",1,IF(FORM!R13="PM",1,0))</f>
        <v>0</v>
      </c>
      <c r="S13" s="4">
        <f>+IF(FORM!S13="AM Y PM",1,IF(FORM!S13="PM",1,0))</f>
        <v>0</v>
      </c>
      <c r="T13" s="4">
        <f>+IF(FORM!T13="AM Y PM",1,IF(FORM!T13="PM",1,0))</f>
        <v>0</v>
      </c>
      <c r="U13" s="4">
        <f>+IF(FORM!U13="AM Y PM",1,IF(FORM!U13="PM",1,0))</f>
        <v>1</v>
      </c>
      <c r="V13" s="4">
        <f>+IF(FORM!V13="AM Y PM",1,IF(FORM!V13="PM",1,0))</f>
        <v>0</v>
      </c>
      <c r="W13" s="4">
        <f>+IF(FORM!W13="AM Y PM",1,IF(FORM!W13="PM",1,0))</f>
        <v>1</v>
      </c>
      <c r="X13" s="4">
        <f>+IF(FORM!X13="AM Y PM",1,IF(FORM!X13="PM",1,0))</f>
        <v>1</v>
      </c>
      <c r="Y13" s="4">
        <f>+IF(FORM!Y13="AM Y PM",1,IF(FORM!Y13="PM",1,0))</f>
        <v>0</v>
      </c>
      <c r="Z13" s="4">
        <f>+IF(FORM!Z13="AM Y PM",1,IF(FORM!Z13="PM",1,0))</f>
        <v>0</v>
      </c>
      <c r="AA13" s="4">
        <f>+IF(FORM!AA13="AM Y PM",1,IF(FORM!AA13="PM",1,0))</f>
        <v>0</v>
      </c>
      <c r="AB13" s="4">
        <f>+IF(FORM!AB13="AM Y PM",1,IF(FORM!AB13="PM",1,0))</f>
        <v>1</v>
      </c>
      <c r="AC13" s="4">
        <f>+IF(FORM!AC13="AM Y PM",1,IF(FORM!AC13="PM",1,0))</f>
        <v>1</v>
      </c>
      <c r="AD13" s="4">
        <f>+IF(FORM!AD13="AM Y PM",1,IF(FORM!AD13="PM",1,0))</f>
        <v>0</v>
      </c>
      <c r="AE13" s="4">
        <f>+IF(FORM!AE13="AM Y PM",1,IF(FORM!AE13="PM",1,0))</f>
        <v>1</v>
      </c>
      <c r="AF13" s="4">
        <f>+IF(FORM!AF13="AM Y PM",1,IF(FORM!AF13="PM",1,0))</f>
        <v>0</v>
      </c>
    </row>
    <row r="14" spans="1:32" ht="18.75" customHeight="1" x14ac:dyDescent="0.25">
      <c r="A14" s="5" t="s">
        <v>65</v>
      </c>
      <c r="B14" s="4">
        <f>+IF(FORM!B14="AM Y PM",1,IF(FORM!B14="PM",1,0))</f>
        <v>0</v>
      </c>
      <c r="C14" s="4">
        <f>+IF(FORM!C14="AM Y PM",1,IF(FORM!C14="PM",1,0))</f>
        <v>0</v>
      </c>
      <c r="D14" s="4">
        <f>+IF(FORM!D14="AM Y PM",1,IF(FORM!D14="PM",1,0))</f>
        <v>0</v>
      </c>
      <c r="E14" s="4">
        <f>+IF(FORM!E14="AM Y PM",1,IF(FORM!E14="PM",1,0))</f>
        <v>0</v>
      </c>
      <c r="F14" s="4">
        <f>+IF(FORM!F14="AM Y PM",1,IF(FORM!F14="PM",1,0))</f>
        <v>0</v>
      </c>
      <c r="G14" s="4">
        <f>+IF(FORM!G14="AM Y PM",1,IF(FORM!G14="PM",1,0))</f>
        <v>0</v>
      </c>
      <c r="H14" s="4">
        <f>+IF(FORM!H14="AM Y PM",1,IF(FORM!H14="PM",1,0))</f>
        <v>0</v>
      </c>
      <c r="I14" s="4">
        <f>+IF(FORM!I14="AM Y PM",1,IF(FORM!I14="PM",1,0))</f>
        <v>1</v>
      </c>
      <c r="J14" s="4">
        <f>+IF(FORM!J14="AM Y PM",1,IF(FORM!J14="PM",1,0))</f>
        <v>0</v>
      </c>
      <c r="K14" s="4">
        <f>+IF(FORM!K14="AM Y PM",1,IF(FORM!K14="PM",1,0))</f>
        <v>0</v>
      </c>
      <c r="L14" s="4">
        <f>+IF(FORM!L14="AM Y PM",1,IF(FORM!L14="PM",1,0))</f>
        <v>0</v>
      </c>
      <c r="M14" s="4">
        <f>+IF(FORM!M14="AM Y PM",1,IF(FORM!M14="PM",1,0))</f>
        <v>0</v>
      </c>
      <c r="N14" s="4">
        <f>+IF(FORM!N14="AM Y PM",1,IF(FORM!N14="PM",1,0))</f>
        <v>1</v>
      </c>
      <c r="O14" s="4">
        <f>+IF(FORM!O14="AM Y PM",1,IF(FORM!O14="PM",1,0))</f>
        <v>0</v>
      </c>
      <c r="P14" s="4">
        <f>+IF(FORM!P14="AM Y PM",1,IF(FORM!P14="PM",1,0))</f>
        <v>1</v>
      </c>
      <c r="Q14" s="4">
        <f>+IF(FORM!Q14="AM Y PM",1,IF(FORM!Q14="PM",1,0))</f>
        <v>0</v>
      </c>
      <c r="R14" s="4">
        <f>+IF(FORM!R14="AM Y PM",1,IF(FORM!R14="PM",1,0))</f>
        <v>0</v>
      </c>
      <c r="S14" s="4">
        <f>+IF(FORM!S14="AM Y PM",1,IF(FORM!S14="PM",1,0))</f>
        <v>0</v>
      </c>
      <c r="T14" s="4">
        <f>+IF(FORM!T14="AM Y PM",1,IF(FORM!T14="PM",1,0))</f>
        <v>1</v>
      </c>
      <c r="U14" s="4">
        <f>+IF(FORM!U14="AM Y PM",1,IF(FORM!U14="PM",1,0))</f>
        <v>1</v>
      </c>
      <c r="V14" s="4">
        <f>+IF(FORM!V14="AM Y PM",1,IF(FORM!V14="PM",1,0))</f>
        <v>0</v>
      </c>
      <c r="W14" s="4">
        <f>+IF(FORM!W14="AM Y PM",1,IF(FORM!W14="PM",1,0))</f>
        <v>0</v>
      </c>
      <c r="X14" s="4">
        <f>+IF(FORM!X14="AM Y PM",1,IF(FORM!X14="PM",1,0))</f>
        <v>0</v>
      </c>
      <c r="Y14" s="4">
        <f>+IF(FORM!Y14="AM Y PM",1,IF(FORM!Y14="PM",1,0))</f>
        <v>0</v>
      </c>
      <c r="Z14" s="4">
        <f>+IF(FORM!Z14="AM Y PM",1,IF(FORM!Z14="PM",1,0))</f>
        <v>0</v>
      </c>
      <c r="AA14" s="4">
        <f>+IF(FORM!AA14="AM Y PM",1,IF(FORM!AA14="PM",1,0))</f>
        <v>1</v>
      </c>
      <c r="AB14" s="4">
        <f>+IF(FORM!AB14="AM Y PM",1,IF(FORM!AB14="PM",1,0))</f>
        <v>1</v>
      </c>
      <c r="AC14" s="4">
        <f>+IF(FORM!AC14="AM Y PM",1,IF(FORM!AC14="PM",1,0))</f>
        <v>0</v>
      </c>
      <c r="AD14" s="4">
        <f>+IF(FORM!AD14="AM Y PM",1,IF(FORM!AD14="PM",1,0))</f>
        <v>0</v>
      </c>
      <c r="AE14" s="4">
        <f>+IF(FORM!AE14="AM Y PM",1,IF(FORM!AE14="PM",1,0))</f>
        <v>0</v>
      </c>
      <c r="AF14" s="4">
        <f>+IF(FORM!AF14="AM Y PM",1,IF(FORM!AF14="PM",1,0))</f>
        <v>0</v>
      </c>
    </row>
    <row r="15" spans="1:32" ht="18.75" customHeight="1" x14ac:dyDescent="0.25">
      <c r="A15" s="5" t="s">
        <v>66</v>
      </c>
      <c r="B15" s="4">
        <f>+IF(FORM!B15="AM Y PM",1,IF(FORM!B15="PM",1,0))</f>
        <v>0</v>
      </c>
      <c r="C15" s="4">
        <f>+IF(FORM!C15="AM Y PM",1,IF(FORM!C15="PM",1,0))</f>
        <v>0</v>
      </c>
      <c r="D15" s="4">
        <f>+IF(FORM!D15="AM Y PM",1,IF(FORM!D15="PM",1,0))</f>
        <v>0</v>
      </c>
      <c r="E15" s="4">
        <f>+IF(FORM!E15="AM Y PM",1,IF(FORM!E15="PM",1,0))</f>
        <v>0</v>
      </c>
      <c r="F15" s="4">
        <f>+IF(FORM!F15="AM Y PM",1,IF(FORM!F15="PM",1,0))</f>
        <v>0</v>
      </c>
      <c r="G15" s="4">
        <f>+IF(FORM!G15="AM Y PM",1,IF(FORM!G15="PM",1,0))</f>
        <v>0</v>
      </c>
      <c r="H15" s="4">
        <f>+IF(FORM!H15="AM Y PM",1,IF(FORM!H15="PM",1,0))</f>
        <v>0</v>
      </c>
      <c r="I15" s="4">
        <f>+IF(FORM!I15="AM Y PM",1,IF(FORM!I15="PM",1,0))</f>
        <v>0</v>
      </c>
      <c r="J15" s="4">
        <f>+IF(FORM!J15="AM Y PM",1,IF(FORM!J15="PM",1,0))</f>
        <v>0</v>
      </c>
      <c r="K15" s="4">
        <f>+IF(FORM!K15="AM Y PM",1,IF(FORM!K15="PM",1,0))</f>
        <v>0</v>
      </c>
      <c r="L15" s="4">
        <f>+IF(FORM!L15="AM Y PM",1,IF(FORM!L15="PM",1,0))</f>
        <v>0</v>
      </c>
      <c r="M15" s="4">
        <f>+IF(FORM!M15="AM Y PM",1,IF(FORM!M15="PM",1,0))</f>
        <v>0</v>
      </c>
      <c r="N15" s="4">
        <f>+IF(FORM!N15="AM Y PM",1,IF(FORM!N15="PM",1,0))</f>
        <v>0</v>
      </c>
      <c r="O15" s="4">
        <f>+IF(FORM!O15="AM Y PM",1,IF(FORM!O15="PM",1,0))</f>
        <v>0</v>
      </c>
      <c r="P15" s="4">
        <f>+IF(FORM!P15="AM Y PM",1,IF(FORM!P15="PM",1,0))</f>
        <v>0</v>
      </c>
      <c r="Q15" s="4">
        <f>+IF(FORM!Q15="AM Y PM",1,IF(FORM!Q15="PM",1,0))</f>
        <v>0</v>
      </c>
      <c r="R15" s="4">
        <f>+IF(FORM!R15="AM Y PM",1,IF(FORM!R15="PM",1,0))</f>
        <v>0</v>
      </c>
      <c r="S15" s="4">
        <f>+IF(FORM!S15="AM Y PM",1,IF(FORM!S15="PM",1,0))</f>
        <v>0</v>
      </c>
      <c r="T15" s="4">
        <f>+IF(FORM!T15="AM Y PM",1,IF(FORM!T15="PM",1,0))</f>
        <v>0</v>
      </c>
      <c r="U15" s="4">
        <f>+IF(FORM!U15="AM Y PM",1,IF(FORM!U15="PM",1,0))</f>
        <v>0</v>
      </c>
      <c r="V15" s="4">
        <f>+IF(FORM!V15="AM Y PM",1,IF(FORM!V15="PM",1,0))</f>
        <v>0</v>
      </c>
      <c r="W15" s="4">
        <f>+IF(FORM!W15="AM Y PM",1,IF(FORM!W15="PM",1,0))</f>
        <v>1</v>
      </c>
      <c r="X15" s="4">
        <f>+IF(FORM!X15="AM Y PM",1,IF(FORM!X15="PM",1,0))</f>
        <v>1</v>
      </c>
      <c r="Y15" s="4">
        <f>+IF(FORM!Y15="AM Y PM",1,IF(FORM!Y15="PM",1,0))</f>
        <v>0</v>
      </c>
      <c r="Z15" s="4">
        <f>+IF(FORM!Z15="AM Y PM",1,IF(FORM!Z15="PM",1,0))</f>
        <v>0</v>
      </c>
      <c r="AA15" s="4">
        <f>+IF(FORM!AA15="AM Y PM",1,IF(FORM!AA15="PM",1,0))</f>
        <v>0</v>
      </c>
      <c r="AB15" s="4">
        <f>+IF(FORM!AB15="AM Y PM",1,IF(FORM!AB15="PM",1,0))</f>
        <v>0</v>
      </c>
      <c r="AC15" s="4">
        <f>+IF(FORM!AC15="AM Y PM",1,IF(FORM!AC15="PM",1,0))</f>
        <v>0</v>
      </c>
      <c r="AD15" s="4">
        <f>+IF(FORM!AD15="AM Y PM",1,IF(FORM!AD15="PM",1,0))</f>
        <v>1</v>
      </c>
      <c r="AE15" s="4">
        <f>+IF(FORM!AE15="AM Y PM",1,IF(FORM!AE15="PM",1,0))</f>
        <v>1</v>
      </c>
      <c r="AF15" s="4">
        <f>+IF(FORM!AF15="AM Y PM",1,IF(FORM!AF15="PM",1,0))</f>
        <v>0</v>
      </c>
    </row>
    <row r="16" spans="1:32" ht="18.75" customHeight="1" x14ac:dyDescent="0.25">
      <c r="A16" s="5" t="s">
        <v>67</v>
      </c>
      <c r="B16" s="4">
        <f>+IF(FORM!B16="AM Y PM",1,IF(FORM!B16="PM",1,0))</f>
        <v>0</v>
      </c>
      <c r="C16" s="4">
        <f>+IF(FORM!C16="AM Y PM",1,IF(FORM!C16="PM",1,0))</f>
        <v>0</v>
      </c>
      <c r="D16" s="4">
        <f>+IF(FORM!D16="AM Y PM",1,IF(FORM!D16="PM",1,0))</f>
        <v>0</v>
      </c>
      <c r="E16" s="4">
        <f>+IF(FORM!E16="AM Y PM",1,IF(FORM!E16="PM",1,0))</f>
        <v>0</v>
      </c>
      <c r="F16" s="4">
        <f>+IF(FORM!F16="AM Y PM",1,IF(FORM!F16="PM",1,0))</f>
        <v>0</v>
      </c>
      <c r="G16" s="4">
        <f>+IF(FORM!G16="AM Y PM",1,IF(FORM!G16="PM",1,0))</f>
        <v>1</v>
      </c>
      <c r="H16" s="4">
        <f>+IF(FORM!H16="AM Y PM",1,IF(FORM!H16="PM",1,0))</f>
        <v>1</v>
      </c>
      <c r="I16" s="4">
        <f>+IF(FORM!I16="AM Y PM",1,IF(FORM!I16="PM",1,0))</f>
        <v>1</v>
      </c>
      <c r="J16" s="4">
        <f>+IF(FORM!J16="AM Y PM",1,IF(FORM!J16="PM",1,0))</f>
        <v>1</v>
      </c>
      <c r="K16" s="4">
        <f>+IF(FORM!K16="AM Y PM",1,IF(FORM!K16="PM",1,0))</f>
        <v>0</v>
      </c>
      <c r="L16" s="4">
        <f>+IF(FORM!L16="AM Y PM",1,IF(FORM!L16="PM",1,0))</f>
        <v>0</v>
      </c>
      <c r="M16" s="4">
        <f>+IF(FORM!M16="AM Y PM",1,IF(FORM!M16="PM",1,0))</f>
        <v>0</v>
      </c>
      <c r="N16" s="4">
        <f>+IF(FORM!N16="AM Y PM",1,IF(FORM!N16="PM",1,0))</f>
        <v>1</v>
      </c>
      <c r="O16" s="4">
        <f>+IF(FORM!O16="AM Y PM",1,IF(FORM!O16="PM",1,0))</f>
        <v>1</v>
      </c>
      <c r="P16" s="4">
        <f>+IF(FORM!P16="AM Y PM",1,IF(FORM!P16="PM",1,0))</f>
        <v>1</v>
      </c>
      <c r="Q16" s="4">
        <f>+IF(FORM!Q16="AM Y PM",1,IF(FORM!Q16="PM",1,0))</f>
        <v>0</v>
      </c>
      <c r="R16" s="4">
        <f>+IF(FORM!R16="AM Y PM",1,IF(FORM!R16="PM",1,0))</f>
        <v>0</v>
      </c>
      <c r="S16" s="4">
        <f>+IF(FORM!S16="AM Y PM",1,IF(FORM!S16="PM",1,0))</f>
        <v>0</v>
      </c>
      <c r="T16" s="4">
        <f>+IF(FORM!T16="AM Y PM",1,IF(FORM!T16="PM",1,0))</f>
        <v>0</v>
      </c>
      <c r="U16" s="4">
        <f>+IF(FORM!U16="AM Y PM",1,IF(FORM!U16="PM",1,0))</f>
        <v>1</v>
      </c>
      <c r="V16" s="4">
        <f>+IF(FORM!V16="AM Y PM",1,IF(FORM!V16="PM",1,0))</f>
        <v>1</v>
      </c>
      <c r="W16" s="4">
        <f>+IF(FORM!W16="AM Y PM",1,IF(FORM!W16="PM",1,0))</f>
        <v>1</v>
      </c>
      <c r="X16" s="4">
        <f>+IF(FORM!X16="AM Y PM",1,IF(FORM!X16="PM",1,0))</f>
        <v>1</v>
      </c>
      <c r="Y16" s="4">
        <f>+IF(FORM!Y16="AM Y PM",1,IF(FORM!Y16="PM",1,0))</f>
        <v>0</v>
      </c>
      <c r="Z16" s="4">
        <f>+IF(FORM!Z16="AM Y PM",1,IF(FORM!Z16="PM",1,0))</f>
        <v>0</v>
      </c>
      <c r="AA16" s="4">
        <f>+IF(FORM!AA16="AM Y PM",1,IF(FORM!AA16="PM",1,0))</f>
        <v>1</v>
      </c>
      <c r="AB16" s="4">
        <f>+IF(FORM!AB16="AM Y PM",1,IF(FORM!AB16="PM",1,0))</f>
        <v>1</v>
      </c>
      <c r="AC16" s="4">
        <f>+IF(FORM!AC16="AM Y PM",1,IF(FORM!AC16="PM",1,0))</f>
        <v>1</v>
      </c>
      <c r="AD16" s="4">
        <f>+IF(FORM!AD16="AM Y PM",1,IF(FORM!AD16="PM",1,0))</f>
        <v>1</v>
      </c>
      <c r="AE16" s="4">
        <f>+IF(FORM!AE16="AM Y PM",1,IF(FORM!AE16="PM",1,0))</f>
        <v>0</v>
      </c>
      <c r="AF16" s="4">
        <f>+IF(FORM!AF16="AM Y PM",1,IF(FORM!AF16="PM",1,0))</f>
        <v>0</v>
      </c>
    </row>
    <row r="17" spans="1:32" ht="18.75" customHeight="1" x14ac:dyDescent="0.25">
      <c r="A17" s="5" t="s">
        <v>68</v>
      </c>
      <c r="B17" s="4">
        <f>+IF(FORM!B17="AM Y PM",1,IF(FORM!B17="PM",1,0))</f>
        <v>0</v>
      </c>
      <c r="C17" s="4">
        <f>+IF(FORM!C17="AM Y PM",1,IF(FORM!C17="PM",1,0))</f>
        <v>0</v>
      </c>
      <c r="D17" s="4">
        <f>+IF(FORM!D17="AM Y PM",1,IF(FORM!D17="PM",1,0))</f>
        <v>0</v>
      </c>
      <c r="E17" s="4">
        <f>+IF(FORM!E17="AM Y PM",1,IF(FORM!E17="PM",1,0))</f>
        <v>0</v>
      </c>
      <c r="F17" s="4">
        <f>+IF(FORM!F17="AM Y PM",1,IF(FORM!F17="PM",1,0))</f>
        <v>0</v>
      </c>
      <c r="G17" s="4">
        <f>+IF(FORM!G17="AM Y PM",1,IF(FORM!G17="PM",1,0))</f>
        <v>0</v>
      </c>
      <c r="H17" s="4">
        <f>+IF(FORM!H17="AM Y PM",1,IF(FORM!H17="PM",1,0))</f>
        <v>0</v>
      </c>
      <c r="I17" s="4">
        <f>+IF(FORM!I17="AM Y PM",1,IF(FORM!I17="PM",1,0))</f>
        <v>0</v>
      </c>
      <c r="J17" s="4">
        <f>+IF(FORM!J17="AM Y PM",1,IF(FORM!J17="PM",1,0))</f>
        <v>0</v>
      </c>
      <c r="K17" s="4">
        <f>+IF(FORM!K17="AM Y PM",1,IF(FORM!K17="PM",1,0))</f>
        <v>0</v>
      </c>
      <c r="L17" s="4">
        <f>+IF(FORM!L17="AM Y PM",1,IF(FORM!L17="PM",1,0))</f>
        <v>0</v>
      </c>
      <c r="M17" s="4">
        <f>+IF(FORM!M17="AM Y PM",1,IF(FORM!M17="PM",1,0))</f>
        <v>0</v>
      </c>
      <c r="N17" s="4">
        <f>+IF(FORM!N17="AM Y PM",1,IF(FORM!N17="PM",1,0))</f>
        <v>0</v>
      </c>
      <c r="O17" s="4">
        <f>+IF(FORM!O17="AM Y PM",1,IF(FORM!O17="PM",1,0))</f>
        <v>0</v>
      </c>
      <c r="P17" s="4">
        <f>+IF(FORM!P17="AM Y PM",1,IF(FORM!P17="PM",1,0))</f>
        <v>0</v>
      </c>
      <c r="Q17" s="4">
        <f>+IF(FORM!Q17="AM Y PM",1,IF(FORM!Q17="PM",1,0))</f>
        <v>0</v>
      </c>
      <c r="R17" s="4">
        <f>+IF(FORM!R17="AM Y PM",1,IF(FORM!R17="PM",1,0))</f>
        <v>0</v>
      </c>
      <c r="S17" s="4">
        <f>+IF(FORM!S17="AM Y PM",1,IF(FORM!S17="PM",1,0))</f>
        <v>0</v>
      </c>
      <c r="T17" s="4">
        <f>+IF(FORM!T17="AM Y PM",1,IF(FORM!T17="PM",1,0))</f>
        <v>0</v>
      </c>
      <c r="U17" s="4">
        <f>+IF(FORM!U17="AM Y PM",1,IF(FORM!U17="PM",1,0))</f>
        <v>0</v>
      </c>
      <c r="V17" s="4">
        <f>+IF(FORM!V17="AM Y PM",1,IF(FORM!V17="PM",1,0))</f>
        <v>0</v>
      </c>
      <c r="W17" s="4">
        <f>+IF(FORM!W17="AM Y PM",1,IF(FORM!W17="PM",1,0))</f>
        <v>0</v>
      </c>
      <c r="X17" s="4">
        <f>+IF(FORM!X17="AM Y PM",1,IF(FORM!X17="PM",1,0))</f>
        <v>0</v>
      </c>
      <c r="Y17" s="4">
        <f>+IF(FORM!Y17="AM Y PM",1,IF(FORM!Y17="PM",1,0))</f>
        <v>0</v>
      </c>
      <c r="Z17" s="4">
        <f>+IF(FORM!Z17="AM Y PM",1,IF(FORM!Z17="PM",1,0))</f>
        <v>0</v>
      </c>
      <c r="AA17" s="4">
        <f>+IF(FORM!AA17="AM Y PM",1,IF(FORM!AA17="PM",1,0))</f>
        <v>0</v>
      </c>
      <c r="AB17" s="4">
        <f>+IF(FORM!AB17="AM Y PM",1,IF(FORM!AB17="PM",1,0))</f>
        <v>0</v>
      </c>
      <c r="AC17" s="4">
        <f>+IF(FORM!AC17="AM Y PM",1,IF(FORM!AC17="PM",1,0))</f>
        <v>0</v>
      </c>
      <c r="AD17" s="4">
        <f>+IF(FORM!AD17="AM Y PM",1,IF(FORM!AD17="PM",1,0))</f>
        <v>0</v>
      </c>
      <c r="AE17" s="4">
        <f>+IF(FORM!AE17="AM Y PM",1,IF(FORM!AE17="PM",1,0))</f>
        <v>0</v>
      </c>
      <c r="AF17" s="4">
        <f>+IF(FORM!AF17="AM Y PM",1,IF(FORM!AF17="PM",1,0))</f>
        <v>0</v>
      </c>
    </row>
    <row r="18" spans="1:32" ht="18.75" customHeight="1" x14ac:dyDescent="0.25">
      <c r="A18" s="5" t="s">
        <v>69</v>
      </c>
      <c r="B18" s="4">
        <f>+IF(FORM!B18="AM Y PM",1,IF(FORM!B18="PM",1,0))</f>
        <v>0</v>
      </c>
      <c r="C18" s="4">
        <f>+IF(FORM!C18="AM Y PM",1,IF(FORM!C18="PM",1,0))</f>
        <v>0</v>
      </c>
      <c r="D18" s="4">
        <f>+IF(FORM!D18="AM Y PM",1,IF(FORM!D18="PM",1,0))</f>
        <v>0</v>
      </c>
      <c r="E18" s="4">
        <f>+IF(FORM!E18="AM Y PM",1,IF(FORM!E18="PM",1,0))</f>
        <v>0</v>
      </c>
      <c r="F18" s="4">
        <f>+IF(FORM!F18="AM Y PM",1,IF(FORM!F18="PM",1,0))</f>
        <v>0</v>
      </c>
      <c r="G18" s="4">
        <f>+IF(FORM!G18="AM Y PM",1,IF(FORM!G18="PM",1,0))</f>
        <v>1</v>
      </c>
      <c r="H18" s="4">
        <f>+IF(FORM!H18="AM Y PM",1,IF(FORM!H18="PM",1,0))</f>
        <v>0</v>
      </c>
      <c r="I18" s="4">
        <f>+IF(FORM!I18="AM Y PM",1,IF(FORM!I18="PM",1,0))</f>
        <v>1</v>
      </c>
      <c r="J18" s="4">
        <f>+IF(FORM!J18="AM Y PM",1,IF(FORM!J18="PM",1,0))</f>
        <v>0</v>
      </c>
      <c r="K18" s="4">
        <f>+IF(FORM!K18="AM Y PM",1,IF(FORM!K18="PM",1,0))</f>
        <v>0</v>
      </c>
      <c r="L18" s="4">
        <f>+IF(FORM!L18="AM Y PM",1,IF(FORM!L18="PM",1,0))</f>
        <v>0</v>
      </c>
      <c r="M18" s="4">
        <f>+IF(FORM!M18="AM Y PM",1,IF(FORM!M18="PM",1,0))</f>
        <v>0</v>
      </c>
      <c r="N18" s="4">
        <f>+IF(FORM!N18="AM Y PM",1,IF(FORM!N18="PM",1,0))</f>
        <v>0</v>
      </c>
      <c r="O18" s="4">
        <f>+IF(FORM!O18="AM Y PM",1,IF(FORM!O18="PM",1,0))</f>
        <v>0</v>
      </c>
      <c r="P18" s="4">
        <f>+IF(FORM!P18="AM Y PM",1,IF(FORM!P18="PM",1,0))</f>
        <v>1</v>
      </c>
      <c r="Q18" s="4">
        <f>+IF(FORM!Q18="AM Y PM",1,IF(FORM!Q18="PM",1,0))</f>
        <v>0</v>
      </c>
      <c r="R18" s="4">
        <f>+IF(FORM!R18="AM Y PM",1,IF(FORM!R18="PM",1,0))</f>
        <v>0</v>
      </c>
      <c r="S18" s="4">
        <f>+IF(FORM!S18="AM Y PM",1,IF(FORM!S18="PM",1,0))</f>
        <v>0</v>
      </c>
      <c r="T18" s="4">
        <f>+IF(FORM!T18="AM Y PM",1,IF(FORM!T18="PM",1,0))</f>
        <v>1</v>
      </c>
      <c r="U18" s="4">
        <f>+IF(FORM!U18="AM Y PM",1,IF(FORM!U18="PM",1,0))</f>
        <v>1</v>
      </c>
      <c r="V18" s="4">
        <f>+IF(FORM!V18="AM Y PM",1,IF(FORM!V18="PM",1,0))</f>
        <v>0</v>
      </c>
      <c r="W18" s="4">
        <f>+IF(FORM!W18="AM Y PM",1,IF(FORM!W18="PM",1,0))</f>
        <v>0</v>
      </c>
      <c r="X18" s="4">
        <f>+IF(FORM!X18="AM Y PM",1,IF(FORM!X18="PM",1,0))</f>
        <v>0</v>
      </c>
      <c r="Y18" s="4">
        <f>+IF(FORM!Y18="AM Y PM",1,IF(FORM!Y18="PM",1,0))</f>
        <v>0</v>
      </c>
      <c r="Z18" s="4">
        <f>+IF(FORM!Z18="AM Y PM",1,IF(FORM!Z18="PM",1,0))</f>
        <v>0</v>
      </c>
      <c r="AA18" s="4">
        <f>+IF(FORM!AA18="AM Y PM",1,IF(FORM!AA18="PM",1,0))</f>
        <v>0</v>
      </c>
      <c r="AB18" s="4">
        <f>+IF(FORM!AB18="AM Y PM",1,IF(FORM!AB18="PM",1,0))</f>
        <v>1</v>
      </c>
      <c r="AC18" s="4">
        <f>+IF(FORM!AC18="AM Y PM",1,IF(FORM!AC18="PM",1,0))</f>
        <v>0</v>
      </c>
      <c r="AD18" s="4">
        <f>+IF(FORM!AD18="AM Y PM",1,IF(FORM!AD18="PM",1,0))</f>
        <v>1</v>
      </c>
      <c r="AE18" s="4">
        <f>+IF(FORM!AE18="AM Y PM",1,IF(FORM!AE18="PM",1,0))</f>
        <v>0</v>
      </c>
      <c r="AF18" s="4">
        <f>+IF(FORM!AF18="AM Y PM",1,IF(FORM!AF18="PM",1,0))</f>
        <v>0</v>
      </c>
    </row>
    <row r="19" spans="1:32" ht="18.75" customHeight="1" x14ac:dyDescent="0.25">
      <c r="A19" s="5" t="s">
        <v>70</v>
      </c>
      <c r="B19" s="4">
        <f>+IF(FORM!B19="AM Y PM",1,IF(FORM!B19="PM",1,0))</f>
        <v>0</v>
      </c>
      <c r="C19" s="4">
        <f>+IF(FORM!C19="AM Y PM",1,IF(FORM!C19="PM",1,0))</f>
        <v>0</v>
      </c>
      <c r="D19" s="4">
        <f>+IF(FORM!D19="AM Y PM",1,IF(FORM!D19="PM",1,0))</f>
        <v>0</v>
      </c>
      <c r="E19" s="4">
        <f>+IF(FORM!E19="AM Y PM",1,IF(FORM!E19="PM",1,0))</f>
        <v>0</v>
      </c>
      <c r="F19" s="4">
        <f>+IF(FORM!F19="AM Y PM",1,IF(FORM!F19="PM",1,0))</f>
        <v>0</v>
      </c>
      <c r="G19" s="4">
        <f>+IF(FORM!G19="AM Y PM",1,IF(FORM!G19="PM",1,0))</f>
        <v>0</v>
      </c>
      <c r="H19" s="4">
        <f>+IF(FORM!H19="AM Y PM",1,IF(FORM!H19="PM",1,0))</f>
        <v>1</v>
      </c>
      <c r="I19" s="4">
        <f>+IF(FORM!I19="AM Y PM",1,IF(FORM!I19="PM",1,0))</f>
        <v>0</v>
      </c>
      <c r="J19" s="4">
        <f>+IF(FORM!J19="AM Y PM",1,IF(FORM!J19="PM",1,0))</f>
        <v>0</v>
      </c>
      <c r="K19" s="4">
        <f>+IF(FORM!K19="AM Y PM",1,IF(FORM!K19="PM",1,0))</f>
        <v>0</v>
      </c>
      <c r="L19" s="4">
        <f>+IF(FORM!L19="AM Y PM",1,IF(FORM!L19="PM",1,0))</f>
        <v>0</v>
      </c>
      <c r="M19" s="4">
        <f>+IF(FORM!M19="AM Y PM",1,IF(FORM!M19="PM",1,0))</f>
        <v>0</v>
      </c>
      <c r="N19" s="4">
        <f>+IF(FORM!N19="AM Y PM",1,IF(FORM!N19="PM",1,0))</f>
        <v>0</v>
      </c>
      <c r="O19" s="4">
        <f>+IF(FORM!O19="AM Y PM",1,IF(FORM!O19="PM",1,0))</f>
        <v>1</v>
      </c>
      <c r="P19" s="4">
        <f>+IF(FORM!P19="AM Y PM",1,IF(FORM!P19="PM",1,0))</f>
        <v>0</v>
      </c>
      <c r="Q19" s="4">
        <f>+IF(FORM!Q19="AM Y PM",1,IF(FORM!Q19="PM",1,0))</f>
        <v>0</v>
      </c>
      <c r="R19" s="4">
        <f>+IF(FORM!R19="AM Y PM",1,IF(FORM!R19="PM",1,0))</f>
        <v>0</v>
      </c>
      <c r="S19" s="4">
        <f>+IF(FORM!S19="AM Y PM",1,IF(FORM!S19="PM",1,0))</f>
        <v>0</v>
      </c>
      <c r="T19" s="4">
        <f>+IF(FORM!T19="AM Y PM",1,IF(FORM!T19="PM",1,0))</f>
        <v>0</v>
      </c>
      <c r="U19" s="4">
        <f>+IF(FORM!U19="AM Y PM",1,IF(FORM!U19="PM",1,0))</f>
        <v>0</v>
      </c>
      <c r="V19" s="4">
        <f>+IF(FORM!V19="AM Y PM",1,IF(FORM!V19="PM",1,0))</f>
        <v>1</v>
      </c>
      <c r="W19" s="4">
        <f>+IF(FORM!W19="AM Y PM",1,IF(FORM!W19="PM",1,0))</f>
        <v>0</v>
      </c>
      <c r="X19" s="4">
        <f>+IF(FORM!X19="AM Y PM",1,IF(FORM!X19="PM",1,0))</f>
        <v>0</v>
      </c>
      <c r="Y19" s="4">
        <f>+IF(FORM!Y19="AM Y PM",1,IF(FORM!Y19="PM",1,0))</f>
        <v>0</v>
      </c>
      <c r="Z19" s="4">
        <f>+IF(FORM!Z19="AM Y PM",1,IF(FORM!Z19="PM",1,0))</f>
        <v>0</v>
      </c>
      <c r="AA19" s="4">
        <f>+IF(FORM!AA19="AM Y PM",1,IF(FORM!AA19="PM",1,0))</f>
        <v>0</v>
      </c>
      <c r="AB19" s="4">
        <f>+IF(FORM!AB19="AM Y PM",1,IF(FORM!AB19="PM",1,0))</f>
        <v>0</v>
      </c>
      <c r="AC19" s="4">
        <f>+IF(FORM!AC19="AM Y PM",1,IF(FORM!AC19="PM",1,0))</f>
        <v>1</v>
      </c>
      <c r="AD19" s="4">
        <f>+IF(FORM!AD19="AM Y PM",1,IF(FORM!AD19="PM",1,0))</f>
        <v>0</v>
      </c>
      <c r="AE19" s="4">
        <f>+IF(FORM!AE19="AM Y PM",1,IF(FORM!AE19="PM",1,0))</f>
        <v>0</v>
      </c>
      <c r="AF19" s="4">
        <f>+IF(FORM!AF19="AM Y PM",1,IF(FORM!AF19="PM",1,0))</f>
        <v>0</v>
      </c>
    </row>
    <row r="20" spans="1:32" ht="18.75" customHeight="1" x14ac:dyDescent="0.25">
      <c r="A20" s="5" t="s">
        <v>71</v>
      </c>
      <c r="B20" s="4">
        <f>+IF(FORM!B20="AM Y PM",1,IF(FORM!B20="PM",1,0))</f>
        <v>0</v>
      </c>
      <c r="C20" s="4">
        <f>+IF(FORM!C20="AM Y PM",1,IF(FORM!C20="PM",1,0))</f>
        <v>0</v>
      </c>
      <c r="D20" s="4">
        <f>+IF(FORM!D20="AM Y PM",1,IF(FORM!D20="PM",1,0))</f>
        <v>0</v>
      </c>
      <c r="E20" s="4">
        <f>+IF(FORM!E20="AM Y PM",1,IF(FORM!E20="PM",1,0))</f>
        <v>0</v>
      </c>
      <c r="F20" s="4">
        <f>+IF(FORM!F20="AM Y PM",1,IF(FORM!F20="PM",1,0))</f>
        <v>0</v>
      </c>
      <c r="G20" s="4">
        <f>+IF(FORM!G20="AM Y PM",1,IF(FORM!G20="PM",1,0))</f>
        <v>0</v>
      </c>
      <c r="H20" s="4">
        <f>+IF(FORM!H20="AM Y PM",1,IF(FORM!H20="PM",1,0))</f>
        <v>0</v>
      </c>
      <c r="I20" s="4">
        <f>+IF(FORM!I20="AM Y PM",1,IF(FORM!I20="PM",1,0))</f>
        <v>0</v>
      </c>
      <c r="J20" s="4">
        <f>+IF(FORM!J20="AM Y PM",1,IF(FORM!J20="PM",1,0))</f>
        <v>1</v>
      </c>
      <c r="K20" s="4">
        <f>+IF(FORM!K20="AM Y PM",1,IF(FORM!K20="PM",1,0))</f>
        <v>0</v>
      </c>
      <c r="L20" s="4">
        <f>+IF(FORM!L20="AM Y PM",1,IF(FORM!L20="PM",1,0))</f>
        <v>0</v>
      </c>
      <c r="M20" s="4">
        <f>+IF(FORM!M20="AM Y PM",1,IF(FORM!M20="PM",1,0))</f>
        <v>0</v>
      </c>
      <c r="N20" s="4">
        <f>+IF(FORM!N20="AM Y PM",1,IF(FORM!N20="PM",1,0))</f>
        <v>1</v>
      </c>
      <c r="O20" s="4">
        <f>+IF(FORM!O20="AM Y PM",1,IF(FORM!O20="PM",1,0))</f>
        <v>0</v>
      </c>
      <c r="P20" s="4">
        <f>+IF(FORM!P20="AM Y PM",1,IF(FORM!P20="PM",1,0))</f>
        <v>0</v>
      </c>
      <c r="Q20" s="4">
        <f>+IF(FORM!Q20="AM Y PM",1,IF(FORM!Q20="PM",1,0))</f>
        <v>1</v>
      </c>
      <c r="R20" s="4">
        <f>+IF(FORM!R20="AM Y PM",1,IF(FORM!R20="PM",1,0))</f>
        <v>0</v>
      </c>
      <c r="S20" s="4">
        <f>+IF(FORM!S20="AM Y PM",1,IF(FORM!S20="PM",1,0))</f>
        <v>0</v>
      </c>
      <c r="T20" s="4">
        <f>+IF(FORM!T20="AM Y PM",1,IF(FORM!T20="PM",1,0))</f>
        <v>0</v>
      </c>
      <c r="U20" s="4">
        <f>+IF(FORM!U20="AM Y PM",1,IF(FORM!U20="PM",1,0))</f>
        <v>0</v>
      </c>
      <c r="V20" s="4">
        <f>+IF(FORM!V20="AM Y PM",1,IF(FORM!V20="PM",1,0))</f>
        <v>0</v>
      </c>
      <c r="W20" s="4">
        <f>+IF(FORM!W20="AM Y PM",1,IF(FORM!W20="PM",1,0))</f>
        <v>0</v>
      </c>
      <c r="X20" s="4">
        <f>+IF(FORM!X20="AM Y PM",1,IF(FORM!X20="PM",1,0))</f>
        <v>1</v>
      </c>
      <c r="Y20" s="4">
        <f>+IF(FORM!Y20="AM Y PM",1,IF(FORM!Y20="PM",1,0))</f>
        <v>0</v>
      </c>
      <c r="Z20" s="4">
        <f>+IF(FORM!Z20="AM Y PM",1,IF(FORM!Z20="PM",1,0))</f>
        <v>0</v>
      </c>
      <c r="AA20" s="4">
        <f>+IF(FORM!AA20="AM Y PM",1,IF(FORM!AA20="PM",1,0))</f>
        <v>0</v>
      </c>
      <c r="AB20" s="4">
        <f>+IF(FORM!AB20="AM Y PM",1,IF(FORM!AB20="PM",1,0))</f>
        <v>1</v>
      </c>
      <c r="AC20" s="4">
        <f>+IF(FORM!AC20="AM Y PM",1,IF(FORM!AC20="PM",1,0))</f>
        <v>0</v>
      </c>
      <c r="AD20" s="4">
        <f>+IF(FORM!AD20="AM Y PM",1,IF(FORM!AD20="PM",1,0))</f>
        <v>0</v>
      </c>
      <c r="AE20" s="4">
        <f>+IF(FORM!AE20="AM Y PM",1,IF(FORM!AE20="PM",1,0))</f>
        <v>1</v>
      </c>
      <c r="AF20" s="4">
        <f>+IF(FORM!AF20="AM Y PM",1,IF(FORM!AF20="PM",1,0))</f>
        <v>0</v>
      </c>
    </row>
    <row r="21" spans="1:32" ht="18.75" customHeight="1" x14ac:dyDescent="0.25">
      <c r="A21" s="5" t="s">
        <v>72</v>
      </c>
      <c r="B21" s="4">
        <f>+IF(FORM!B21="AM Y PM",1,IF(FORM!B21="PM",1,0))</f>
        <v>0</v>
      </c>
      <c r="C21" s="4">
        <f>+IF(FORM!C21="AM Y PM",1,IF(FORM!C21="PM",1,0))</f>
        <v>0</v>
      </c>
      <c r="D21" s="4">
        <f>+IF(FORM!D21="AM Y PM",1,IF(FORM!D21="PM",1,0))</f>
        <v>0</v>
      </c>
      <c r="E21" s="4">
        <f>+IF(FORM!E21="AM Y PM",1,IF(FORM!E21="PM",1,0))</f>
        <v>0</v>
      </c>
      <c r="F21" s="4">
        <f>+IF(FORM!F21="AM Y PM",1,IF(FORM!F21="PM",1,0))</f>
        <v>0</v>
      </c>
      <c r="G21" s="4">
        <f>+IF(FORM!G21="AM Y PM",1,IF(FORM!G21="PM",1,0))</f>
        <v>0</v>
      </c>
      <c r="H21" s="4">
        <f>+IF(FORM!H21="AM Y PM",1,IF(FORM!H21="PM",1,0))</f>
        <v>1</v>
      </c>
      <c r="I21" s="4">
        <f>+IF(FORM!I21="AM Y PM",1,IF(FORM!I21="PM",1,0))</f>
        <v>1</v>
      </c>
      <c r="J21" s="4">
        <f>+IF(FORM!J21="AM Y PM",1,IF(FORM!J21="PM",1,0))</f>
        <v>1</v>
      </c>
      <c r="K21" s="4">
        <f>+IF(FORM!K21="AM Y PM",1,IF(FORM!K21="PM",1,0))</f>
        <v>0</v>
      </c>
      <c r="L21" s="4">
        <f>+IF(FORM!L21="AM Y PM",1,IF(FORM!L21="PM",1,0))</f>
        <v>0</v>
      </c>
      <c r="M21" s="4">
        <f>+IF(FORM!M21="AM Y PM",1,IF(FORM!M21="PM",1,0))</f>
        <v>0</v>
      </c>
      <c r="N21" s="4">
        <f>+IF(FORM!N21="AM Y PM",1,IF(FORM!N21="PM",1,0))</f>
        <v>1</v>
      </c>
      <c r="O21" s="4">
        <f>+IF(FORM!O21="AM Y PM",1,IF(FORM!O21="PM",1,0))</f>
        <v>1</v>
      </c>
      <c r="P21" s="4">
        <f>+IF(FORM!P21="AM Y PM",1,IF(FORM!P21="PM",1,0))</f>
        <v>1</v>
      </c>
      <c r="Q21" s="4">
        <f>+IF(FORM!Q21="AM Y PM",1,IF(FORM!Q21="PM",1,0))</f>
        <v>1</v>
      </c>
      <c r="R21" s="4">
        <f>+IF(FORM!R21="AM Y PM",1,IF(FORM!R21="PM",1,0))</f>
        <v>0</v>
      </c>
      <c r="S21" s="4">
        <f>+IF(FORM!S21="AM Y PM",1,IF(FORM!S21="PM",1,0))</f>
        <v>0</v>
      </c>
      <c r="T21" s="4">
        <f>+IF(FORM!T21="AM Y PM",1,IF(FORM!T21="PM",1,0))</f>
        <v>1</v>
      </c>
      <c r="U21" s="4">
        <f>+IF(FORM!U21="AM Y PM",1,IF(FORM!U21="PM",1,0))</f>
        <v>1</v>
      </c>
      <c r="V21" s="4">
        <f>+IF(FORM!V21="AM Y PM",1,IF(FORM!V21="PM",1,0))</f>
        <v>1</v>
      </c>
      <c r="W21" s="4">
        <f>+IF(FORM!W21="AM Y PM",1,IF(FORM!W21="PM",1,0))</f>
        <v>1</v>
      </c>
      <c r="X21" s="4">
        <f>+IF(FORM!X21="AM Y PM",1,IF(FORM!X21="PM",1,0))</f>
        <v>1</v>
      </c>
      <c r="Y21" s="4">
        <f>+IF(FORM!Y21="AM Y PM",1,IF(FORM!Y21="PM",1,0))</f>
        <v>0</v>
      </c>
      <c r="Z21" s="4">
        <f>+IF(FORM!Z21="AM Y PM",1,IF(FORM!Z21="PM",1,0))</f>
        <v>0</v>
      </c>
      <c r="AA21" s="4">
        <f>+IF(FORM!AA21="AM Y PM",1,IF(FORM!AA21="PM",1,0))</f>
        <v>1</v>
      </c>
      <c r="AB21" s="4">
        <f>+IF(FORM!AB21="AM Y PM",1,IF(FORM!AB21="PM",1,0))</f>
        <v>1</v>
      </c>
      <c r="AC21" s="4">
        <f>+IF(FORM!AC21="AM Y PM",1,IF(FORM!AC21="PM",1,0))</f>
        <v>1</v>
      </c>
      <c r="AD21" s="4">
        <f>+IF(FORM!AD21="AM Y PM",1,IF(FORM!AD21="PM",1,0))</f>
        <v>1</v>
      </c>
      <c r="AE21" s="4">
        <f>+IF(FORM!AE21="AM Y PM",1,IF(FORM!AE21="PM",1,0))</f>
        <v>1</v>
      </c>
      <c r="AF21" s="4">
        <f>+IF(FORM!AF21="AM Y PM",1,IF(FORM!AF21="PM",1,0))</f>
        <v>0</v>
      </c>
    </row>
    <row r="22" spans="1:32" ht="18.75" customHeight="1" x14ac:dyDescent="0.25">
      <c r="A22" s="5" t="s">
        <v>73</v>
      </c>
      <c r="B22" s="4">
        <f>+IF(FORM!B22="AM Y PM",1,IF(FORM!B22="PM",1,0))</f>
        <v>0</v>
      </c>
      <c r="C22" s="4">
        <f>+IF(FORM!C22="AM Y PM",1,IF(FORM!C22="PM",1,0))</f>
        <v>0</v>
      </c>
      <c r="D22" s="4">
        <f>+IF(FORM!D22="AM Y PM",1,IF(FORM!D22="PM",1,0))</f>
        <v>0</v>
      </c>
      <c r="E22" s="4">
        <f>+IF(FORM!E22="AM Y PM",1,IF(FORM!E22="PM",1,0))</f>
        <v>0</v>
      </c>
      <c r="F22" s="4">
        <f>+IF(FORM!F22="AM Y PM",1,IF(FORM!F22="PM",1,0))</f>
        <v>0</v>
      </c>
      <c r="G22" s="4">
        <f>+IF(FORM!G22="AM Y PM",1,IF(FORM!G22="PM",1,0))</f>
        <v>0</v>
      </c>
      <c r="H22" s="4">
        <f>+IF(FORM!H22="AM Y PM",1,IF(FORM!H22="PM",1,0))</f>
        <v>0</v>
      </c>
      <c r="I22" s="4">
        <f>+IF(FORM!I22="AM Y PM",1,IF(FORM!I22="PM",1,0))</f>
        <v>0</v>
      </c>
      <c r="J22" s="4">
        <f>+IF(FORM!J22="AM Y PM",1,IF(FORM!J22="PM",1,0))</f>
        <v>0</v>
      </c>
      <c r="K22" s="4">
        <f>+IF(FORM!K22="AM Y PM",1,IF(FORM!K22="PM",1,0))</f>
        <v>0</v>
      </c>
      <c r="L22" s="4">
        <f>+IF(FORM!L22="AM Y PM",1,IF(FORM!L22="PM",1,0))</f>
        <v>0</v>
      </c>
      <c r="M22" s="4">
        <f>+IF(FORM!M22="AM Y PM",1,IF(FORM!M22="PM",1,0))</f>
        <v>0</v>
      </c>
      <c r="N22" s="4">
        <f>+IF(FORM!N22="AM Y PM",1,IF(FORM!N22="PM",1,0))</f>
        <v>0</v>
      </c>
      <c r="O22" s="4">
        <f>+IF(FORM!O22="AM Y PM",1,IF(FORM!O22="PM",1,0))</f>
        <v>0</v>
      </c>
      <c r="P22" s="4">
        <f>+IF(FORM!P22="AM Y PM",1,IF(FORM!P22="PM",1,0))</f>
        <v>1</v>
      </c>
      <c r="Q22" s="4">
        <f>+IF(FORM!Q22="AM Y PM",1,IF(FORM!Q22="PM",1,0))</f>
        <v>1</v>
      </c>
      <c r="R22" s="4">
        <f>+IF(FORM!R22="AM Y PM",1,IF(FORM!R22="PM",1,0))</f>
        <v>0</v>
      </c>
      <c r="S22" s="4">
        <f>+IF(FORM!S22="AM Y PM",1,IF(FORM!S22="PM",1,0))</f>
        <v>0</v>
      </c>
      <c r="T22" s="4">
        <f>+IF(FORM!T22="AM Y PM",1,IF(FORM!T22="PM",1,0))</f>
        <v>0</v>
      </c>
      <c r="U22" s="4">
        <f>+IF(FORM!U22="AM Y PM",1,IF(FORM!U22="PM",1,0))</f>
        <v>0</v>
      </c>
      <c r="V22" s="4">
        <f>+IF(FORM!V22="AM Y PM",1,IF(FORM!V22="PM",1,0))</f>
        <v>0</v>
      </c>
      <c r="W22" s="4">
        <f>+IF(FORM!W22="AM Y PM",1,IF(FORM!W22="PM",1,0))</f>
        <v>0</v>
      </c>
      <c r="X22" s="4">
        <f>+IF(FORM!X22="AM Y PM",1,IF(FORM!X22="PM",1,0))</f>
        <v>0</v>
      </c>
      <c r="Y22" s="4">
        <f>+IF(FORM!Y22="AM Y PM",1,IF(FORM!Y22="PM",1,0))</f>
        <v>0</v>
      </c>
      <c r="Z22" s="4">
        <f>+IF(FORM!Z22="AM Y PM",1,IF(FORM!Z22="PM",1,0))</f>
        <v>0</v>
      </c>
      <c r="AA22" s="4">
        <f>+IF(FORM!AA22="AM Y PM",1,IF(FORM!AA22="PM",1,0))</f>
        <v>0</v>
      </c>
      <c r="AB22" s="4">
        <f>+IF(FORM!AB22="AM Y PM",1,IF(FORM!AB22="PM",1,0))</f>
        <v>1</v>
      </c>
      <c r="AC22" s="4">
        <f>+IF(FORM!AC22="AM Y PM",1,IF(FORM!AC22="PM",1,0))</f>
        <v>0</v>
      </c>
      <c r="AD22" s="4">
        <f>+IF(FORM!AD22="AM Y PM",1,IF(FORM!AD22="PM",1,0))</f>
        <v>1</v>
      </c>
      <c r="AE22" s="4">
        <f>+IF(FORM!AE22="AM Y PM",1,IF(FORM!AE22="PM",1,0))</f>
        <v>0</v>
      </c>
      <c r="AF22" s="4">
        <f>+IF(FORM!AF22="AM Y PM",1,IF(FORM!AF22="PM",1,0))</f>
        <v>0</v>
      </c>
    </row>
    <row r="23" spans="1:32" ht="18.75" customHeight="1" x14ac:dyDescent="0.25">
      <c r="A23" s="5" t="s">
        <v>74</v>
      </c>
      <c r="B23" s="4">
        <f>+IF(FORM!B23="AM Y PM",1,IF(FORM!B23="PM",1,0))</f>
        <v>0</v>
      </c>
      <c r="C23" s="4">
        <f>+IF(FORM!C23="AM Y PM",1,IF(FORM!C23="PM",1,0))</f>
        <v>0</v>
      </c>
      <c r="D23" s="4">
        <f>+IF(FORM!D23="AM Y PM",1,IF(FORM!D23="PM",1,0))</f>
        <v>0</v>
      </c>
      <c r="E23" s="4">
        <f>+IF(FORM!E23="AM Y PM",1,IF(FORM!E23="PM",1,0))</f>
        <v>0</v>
      </c>
      <c r="F23" s="4">
        <f>+IF(FORM!F23="AM Y PM",1,IF(FORM!F23="PM",1,0))</f>
        <v>0</v>
      </c>
      <c r="G23" s="4">
        <f>+IF(FORM!G23="AM Y PM",1,IF(FORM!G23="PM",1,0))</f>
        <v>0</v>
      </c>
      <c r="H23" s="4">
        <f>+IF(FORM!H23="AM Y PM",1,IF(FORM!H23="PM",1,0))</f>
        <v>0</v>
      </c>
      <c r="I23" s="4">
        <f>+IF(FORM!I23="AM Y PM",1,IF(FORM!I23="PM",1,0))</f>
        <v>0</v>
      </c>
      <c r="J23" s="4">
        <f>+IF(FORM!J23="AM Y PM",1,IF(FORM!J23="PM",1,0))</f>
        <v>0</v>
      </c>
      <c r="K23" s="4">
        <f>+IF(FORM!K23="AM Y PM",1,IF(FORM!K23="PM",1,0))</f>
        <v>0</v>
      </c>
      <c r="L23" s="4">
        <f>+IF(FORM!L23="AM Y PM",1,IF(FORM!L23="PM",1,0))</f>
        <v>0</v>
      </c>
      <c r="M23" s="4">
        <f>+IF(FORM!M23="AM Y PM",1,IF(FORM!M23="PM",1,0))</f>
        <v>0</v>
      </c>
      <c r="N23" s="4">
        <f>+IF(FORM!N23="AM Y PM",1,IF(FORM!N23="PM",1,0))</f>
        <v>1</v>
      </c>
      <c r="O23" s="4">
        <f>+IF(FORM!O23="AM Y PM",1,IF(FORM!O23="PM",1,0))</f>
        <v>1</v>
      </c>
      <c r="P23" s="4">
        <f>+IF(FORM!P23="AM Y PM",1,IF(FORM!P23="PM",1,0))</f>
        <v>1</v>
      </c>
      <c r="Q23" s="4">
        <f>+IF(FORM!Q23="AM Y PM",1,IF(FORM!Q23="PM",1,0))</f>
        <v>1</v>
      </c>
      <c r="R23" s="4">
        <f>+IF(FORM!R23="AM Y PM",1,IF(FORM!R23="PM",1,0))</f>
        <v>0</v>
      </c>
      <c r="S23" s="4">
        <f>+IF(FORM!S23="AM Y PM",1,IF(FORM!S23="PM",1,0))</f>
        <v>0</v>
      </c>
      <c r="T23" s="4">
        <f>+IF(FORM!T23="AM Y PM",1,IF(FORM!T23="PM",1,0))</f>
        <v>1</v>
      </c>
      <c r="U23" s="4">
        <f>+IF(FORM!U23="AM Y PM",1,IF(FORM!U23="PM",1,0))</f>
        <v>1</v>
      </c>
      <c r="V23" s="4">
        <f>+IF(FORM!V23="AM Y PM",1,IF(FORM!V23="PM",1,0))</f>
        <v>1</v>
      </c>
      <c r="W23" s="4">
        <f>+IF(FORM!W23="AM Y PM",1,IF(FORM!W23="PM",1,0))</f>
        <v>1</v>
      </c>
      <c r="X23" s="4">
        <f>+IF(FORM!X23="AM Y PM",1,IF(FORM!X23="PM",1,0))</f>
        <v>1</v>
      </c>
      <c r="Y23" s="4">
        <f>+IF(FORM!Y23="AM Y PM",1,IF(FORM!Y23="PM",1,0))</f>
        <v>0</v>
      </c>
      <c r="Z23" s="4">
        <f>+IF(FORM!Z23="AM Y PM",1,IF(FORM!Z23="PM",1,0))</f>
        <v>0</v>
      </c>
      <c r="AA23" s="4">
        <f>+IF(FORM!AA23="AM Y PM",1,IF(FORM!AA23="PM",1,0))</f>
        <v>1</v>
      </c>
      <c r="AB23" s="4">
        <f>+IF(FORM!AB23="AM Y PM",1,IF(FORM!AB23="PM",1,0))</f>
        <v>1</v>
      </c>
      <c r="AC23" s="4">
        <f>+IF(FORM!AC23="AM Y PM",1,IF(FORM!AC23="PM",1,0))</f>
        <v>1</v>
      </c>
      <c r="AD23" s="4">
        <f>+IF(FORM!AD23="AM Y PM",1,IF(FORM!AD23="PM",1,0))</f>
        <v>1</v>
      </c>
      <c r="AE23" s="4">
        <f>+IF(FORM!AE23="AM Y PM",1,IF(FORM!AE23="PM",1,0))</f>
        <v>1</v>
      </c>
      <c r="AF23" s="4">
        <f>+IF(FORM!AF23="AM Y PM",1,IF(FORM!AF23="PM",1,0))</f>
        <v>0</v>
      </c>
    </row>
    <row r="24" spans="1:32" ht="18.75" customHeight="1" x14ac:dyDescent="0.25">
      <c r="A24" s="5" t="s">
        <v>75</v>
      </c>
      <c r="B24" s="4">
        <f>+IF(FORM!B24="AM Y PM",1,IF(FORM!B24="PM",1,0))</f>
        <v>0</v>
      </c>
      <c r="C24" s="4">
        <f>+IF(FORM!C24="AM Y PM",1,IF(FORM!C24="PM",1,0))</f>
        <v>0</v>
      </c>
      <c r="D24" s="4">
        <f>+IF(FORM!D24="AM Y PM",1,IF(FORM!D24="PM",1,0))</f>
        <v>0</v>
      </c>
      <c r="E24" s="4">
        <f>+IF(FORM!E24="AM Y PM",1,IF(FORM!E24="PM",1,0))</f>
        <v>0</v>
      </c>
      <c r="F24" s="4">
        <f>+IF(FORM!F24="AM Y PM",1,IF(FORM!F24="PM",1,0))</f>
        <v>1</v>
      </c>
      <c r="G24" s="4">
        <f>+IF(FORM!G24="AM Y PM",1,IF(FORM!G24="PM",1,0))</f>
        <v>1</v>
      </c>
      <c r="H24" s="4">
        <f>+IF(FORM!H24="AM Y PM",1,IF(FORM!H24="PM",1,0))</f>
        <v>1</v>
      </c>
      <c r="I24" s="4">
        <f>+IF(FORM!I24="AM Y PM",1,IF(FORM!I24="PM",1,0))</f>
        <v>1</v>
      </c>
      <c r="J24" s="4">
        <f>+IF(FORM!J24="AM Y PM",1,IF(FORM!J24="PM",1,0))</f>
        <v>0</v>
      </c>
      <c r="K24" s="4">
        <f>+IF(FORM!K24="AM Y PM",1,IF(FORM!K24="PM",1,0))</f>
        <v>0</v>
      </c>
      <c r="L24" s="4">
        <f>+IF(FORM!L24="AM Y PM",1,IF(FORM!L24="PM",1,0))</f>
        <v>0</v>
      </c>
      <c r="M24" s="4">
        <f>+IF(FORM!M24="AM Y PM",1,IF(FORM!M24="PM",1,0))</f>
        <v>0</v>
      </c>
      <c r="N24" s="4">
        <f>+IF(FORM!N24="AM Y PM",1,IF(FORM!N24="PM",1,0))</f>
        <v>1</v>
      </c>
      <c r="O24" s="4">
        <f>+IF(FORM!O24="AM Y PM",1,IF(FORM!O24="PM",1,0))</f>
        <v>1</v>
      </c>
      <c r="P24" s="4">
        <f>+IF(FORM!P24="AM Y PM",1,IF(FORM!P24="PM",1,0))</f>
        <v>1</v>
      </c>
      <c r="Q24" s="4">
        <f>+IF(FORM!Q24="AM Y PM",1,IF(FORM!Q24="PM",1,0))</f>
        <v>1</v>
      </c>
      <c r="R24" s="4">
        <f>+IF(FORM!R24="AM Y PM",1,IF(FORM!R24="PM",1,0))</f>
        <v>0</v>
      </c>
      <c r="S24" s="4">
        <f>+IF(FORM!S24="AM Y PM",1,IF(FORM!S24="PM",1,0))</f>
        <v>0</v>
      </c>
      <c r="T24" s="4">
        <f>+IF(FORM!T24="AM Y PM",1,IF(FORM!T24="PM",1,0))</f>
        <v>1</v>
      </c>
      <c r="U24" s="4">
        <f>+IF(FORM!U24="AM Y PM",1,IF(FORM!U24="PM",1,0))</f>
        <v>1</v>
      </c>
      <c r="V24" s="4">
        <f>+IF(FORM!V24="AM Y PM",1,IF(FORM!V24="PM",1,0))</f>
        <v>1</v>
      </c>
      <c r="W24" s="4">
        <f>+IF(FORM!W24="AM Y PM",1,IF(FORM!W24="PM",1,0))</f>
        <v>1</v>
      </c>
      <c r="X24" s="4">
        <f>+IF(FORM!X24="AM Y PM",1,IF(FORM!X24="PM",1,0))</f>
        <v>1</v>
      </c>
      <c r="Y24" s="4">
        <f>+IF(FORM!Y24="AM Y PM",1,IF(FORM!Y24="PM",1,0))</f>
        <v>0</v>
      </c>
      <c r="Z24" s="4">
        <f>+IF(FORM!Z24="AM Y PM",1,IF(FORM!Z24="PM",1,0))</f>
        <v>0</v>
      </c>
      <c r="AA24" s="4">
        <f>+IF(FORM!AA24="AM Y PM",1,IF(FORM!AA24="PM",1,0))</f>
        <v>1</v>
      </c>
      <c r="AB24" s="4">
        <f>+IF(FORM!AB24="AM Y PM",1,IF(FORM!AB24="PM",1,0))</f>
        <v>1</v>
      </c>
      <c r="AC24" s="4">
        <f>+IF(FORM!AC24="AM Y PM",1,IF(FORM!AC24="PM",1,0))</f>
        <v>1</v>
      </c>
      <c r="AD24" s="4">
        <f>+IF(FORM!AD24="AM Y PM",1,IF(FORM!AD24="PM",1,0))</f>
        <v>0</v>
      </c>
      <c r="AE24" s="4">
        <f>+IF(FORM!AE24="AM Y PM",1,IF(FORM!AE24="PM",1,0))</f>
        <v>0</v>
      </c>
      <c r="AF24" s="4">
        <f>+IF(FORM!AF24="AM Y PM",1,IF(FORM!AF24="PM",1,0))</f>
        <v>0</v>
      </c>
    </row>
    <row r="25" spans="1:32" ht="18.75" customHeight="1" x14ac:dyDescent="0.25">
      <c r="A25" s="5" t="s">
        <v>76</v>
      </c>
      <c r="B25" s="4">
        <f>+IF(FORM!B25="AM Y PM",1,IF(FORM!B25="PM",1,0))</f>
        <v>0</v>
      </c>
      <c r="C25" s="4">
        <f>+IF(FORM!C25="AM Y PM",1,IF(FORM!C25="PM",1,0))</f>
        <v>0</v>
      </c>
      <c r="D25" s="4">
        <f>+IF(FORM!D25="AM Y PM",1,IF(FORM!D25="PM",1,0))</f>
        <v>0</v>
      </c>
      <c r="E25" s="4">
        <f>+IF(FORM!E25="AM Y PM",1,IF(FORM!E25="PM",1,0))</f>
        <v>0</v>
      </c>
      <c r="F25" s="4">
        <f>+IF(FORM!F25="AM Y PM",1,IF(FORM!F25="PM",1,0))</f>
        <v>0</v>
      </c>
      <c r="G25" s="4">
        <f>+IF(FORM!G25="AM Y PM",1,IF(FORM!G25="PM",1,0))</f>
        <v>0</v>
      </c>
      <c r="H25" s="4">
        <f>+IF(FORM!H25="AM Y PM",1,IF(FORM!H25="PM",1,0))</f>
        <v>0</v>
      </c>
      <c r="I25" s="4">
        <f>+IF(FORM!I25="AM Y PM",1,IF(FORM!I25="PM",1,0))</f>
        <v>0</v>
      </c>
      <c r="J25" s="4">
        <f>+IF(FORM!J25="AM Y PM",1,IF(FORM!J25="PM",1,0))</f>
        <v>0</v>
      </c>
      <c r="K25" s="4">
        <f>+IF(FORM!K25="AM Y PM",1,IF(FORM!K25="PM",1,0))</f>
        <v>0</v>
      </c>
      <c r="L25" s="4">
        <f>+IF(FORM!L25="AM Y PM",1,IF(FORM!L25="PM",1,0))</f>
        <v>0</v>
      </c>
      <c r="M25" s="4">
        <f>+IF(FORM!M25="AM Y PM",1,IF(FORM!M25="PM",1,0))</f>
        <v>0</v>
      </c>
      <c r="N25" s="4">
        <f>+IF(FORM!N25="AM Y PM",1,IF(FORM!N25="PM",1,0))</f>
        <v>1</v>
      </c>
      <c r="O25" s="4">
        <f>+IF(FORM!O25="AM Y PM",1,IF(FORM!O25="PM",1,0))</f>
        <v>1</v>
      </c>
      <c r="P25" s="4">
        <f>+IF(FORM!P25="AM Y PM",1,IF(FORM!P25="PM",1,0))</f>
        <v>1</v>
      </c>
      <c r="Q25" s="4">
        <f>+IF(FORM!Q25="AM Y PM",1,IF(FORM!Q25="PM",1,0))</f>
        <v>1</v>
      </c>
      <c r="R25" s="4">
        <f>+IF(FORM!R25="AM Y PM",1,IF(FORM!R25="PM",1,0))</f>
        <v>0</v>
      </c>
      <c r="S25" s="4">
        <f>+IF(FORM!S25="AM Y PM",1,IF(FORM!S25="PM",1,0))</f>
        <v>0</v>
      </c>
      <c r="T25" s="4">
        <f>+IF(FORM!T25="AM Y PM",1,IF(FORM!T25="PM",1,0))</f>
        <v>1</v>
      </c>
      <c r="U25" s="4">
        <f>+IF(FORM!U25="AM Y PM",1,IF(FORM!U25="PM",1,0))</f>
        <v>1</v>
      </c>
      <c r="V25" s="4">
        <f>+IF(FORM!V25="AM Y PM",1,IF(FORM!V25="PM",1,0))</f>
        <v>1</v>
      </c>
      <c r="W25" s="4">
        <f>+IF(FORM!W25="AM Y PM",1,IF(FORM!W25="PM",1,0))</f>
        <v>1</v>
      </c>
      <c r="X25" s="4">
        <f>+IF(FORM!X25="AM Y PM",1,IF(FORM!X25="PM",1,0))</f>
        <v>1</v>
      </c>
      <c r="Y25" s="4">
        <f>+IF(FORM!Y25="AM Y PM",1,IF(FORM!Y25="PM",1,0))</f>
        <v>0</v>
      </c>
      <c r="Z25" s="4">
        <f>+IF(FORM!Z25="AM Y PM",1,IF(FORM!Z25="PM",1,0))</f>
        <v>0</v>
      </c>
      <c r="AA25" s="4">
        <f>+IF(FORM!AA25="AM Y PM",1,IF(FORM!AA25="PM",1,0))</f>
        <v>1</v>
      </c>
      <c r="AB25" s="4">
        <f>+IF(FORM!AB25="AM Y PM",1,IF(FORM!AB25="PM",1,0))</f>
        <v>1</v>
      </c>
      <c r="AC25" s="4">
        <f>+IF(FORM!AC25="AM Y PM",1,IF(FORM!AC25="PM",1,0))</f>
        <v>1</v>
      </c>
      <c r="AD25" s="4">
        <f>+IF(FORM!AD25="AM Y PM",1,IF(FORM!AD25="PM",1,0))</f>
        <v>1</v>
      </c>
      <c r="AE25" s="4">
        <f>+IF(FORM!AE25="AM Y PM",1,IF(FORM!AE25="PM",1,0))</f>
        <v>1</v>
      </c>
      <c r="AF25" s="4">
        <f>+IF(FORM!AF25="AM Y PM",1,IF(FORM!AF25="PM",1,0))</f>
        <v>0</v>
      </c>
    </row>
    <row r="26" spans="1:32" ht="18.75" customHeight="1" x14ac:dyDescent="0.25">
      <c r="A26" s="5" t="s">
        <v>77</v>
      </c>
      <c r="B26" s="4">
        <f>+IF(FORM!B26="AM Y PM",1,IF(FORM!B26="PM",1,0))</f>
        <v>0</v>
      </c>
      <c r="C26" s="4">
        <f>+IF(FORM!C26="AM Y PM",1,IF(FORM!C26="PM",1,0))</f>
        <v>0</v>
      </c>
      <c r="D26" s="4">
        <f>+IF(FORM!D26="AM Y PM",1,IF(FORM!D26="PM",1,0))</f>
        <v>0</v>
      </c>
      <c r="E26" s="4">
        <f>+IF(FORM!E26="AM Y PM",1,IF(FORM!E26="PM",1,0))</f>
        <v>0</v>
      </c>
      <c r="F26" s="4">
        <f>+IF(FORM!F26="AM Y PM",1,IF(FORM!F26="PM",1,0))</f>
        <v>0</v>
      </c>
      <c r="G26" s="4">
        <f>+IF(FORM!G26="AM Y PM",1,IF(FORM!G26="PM",1,0))</f>
        <v>0</v>
      </c>
      <c r="H26" s="4">
        <f>+IF(FORM!H26="AM Y PM",1,IF(FORM!H26="PM",1,0))</f>
        <v>0</v>
      </c>
      <c r="I26" s="4">
        <f>+IF(FORM!I26="AM Y PM",1,IF(FORM!I26="PM",1,0))</f>
        <v>0</v>
      </c>
      <c r="J26" s="4">
        <f>+IF(FORM!J26="AM Y PM",1,IF(FORM!J26="PM",1,0))</f>
        <v>0</v>
      </c>
      <c r="K26" s="4">
        <f>+IF(FORM!K26="AM Y PM",1,IF(FORM!K26="PM",1,0))</f>
        <v>0</v>
      </c>
      <c r="L26" s="4">
        <f>+IF(FORM!L26="AM Y PM",1,IF(FORM!L26="PM",1,0))</f>
        <v>0</v>
      </c>
      <c r="M26" s="4">
        <f>+IF(FORM!M26="AM Y PM",1,IF(FORM!M26="PM",1,0))</f>
        <v>0</v>
      </c>
      <c r="N26" s="4">
        <f>+IF(FORM!N26="AM Y PM",1,IF(FORM!N26="PM",1,0))</f>
        <v>0</v>
      </c>
      <c r="O26" s="4">
        <f>+IF(FORM!O26="AM Y PM",1,IF(FORM!O26="PM",1,0))</f>
        <v>0</v>
      </c>
      <c r="P26" s="4">
        <f>+IF(FORM!P26="AM Y PM",1,IF(FORM!P26="PM",1,0))</f>
        <v>0</v>
      </c>
      <c r="Q26" s="4">
        <f>+IF(FORM!Q26="AM Y PM",1,IF(FORM!Q26="PM",1,0))</f>
        <v>1</v>
      </c>
      <c r="R26" s="4">
        <f>+IF(FORM!R26="AM Y PM",1,IF(FORM!R26="PM",1,0))</f>
        <v>0</v>
      </c>
      <c r="S26" s="4">
        <f>+IF(FORM!S26="AM Y PM",1,IF(FORM!S26="PM",1,0))</f>
        <v>0</v>
      </c>
      <c r="T26" s="4">
        <f>+IF(FORM!T26="AM Y PM",1,IF(FORM!T26="PM",1,0))</f>
        <v>0</v>
      </c>
      <c r="U26" s="4">
        <f>+IF(FORM!U26="AM Y PM",1,IF(FORM!U26="PM",1,0))</f>
        <v>1</v>
      </c>
      <c r="V26" s="4">
        <f>+IF(FORM!V26="AM Y PM",1,IF(FORM!V26="PM",1,0))</f>
        <v>0</v>
      </c>
      <c r="W26" s="4">
        <f>+IF(FORM!W26="AM Y PM",1,IF(FORM!W26="PM",1,0))</f>
        <v>0</v>
      </c>
      <c r="X26" s="4">
        <f>+IF(FORM!X26="AM Y PM",1,IF(FORM!X26="PM",1,0))</f>
        <v>1</v>
      </c>
      <c r="Y26" s="4">
        <f>+IF(FORM!Y26="AM Y PM",1,IF(FORM!Y26="PM",1,0))</f>
        <v>0</v>
      </c>
      <c r="Z26" s="4">
        <f>+IF(FORM!Z26="AM Y PM",1,IF(FORM!Z26="PM",1,0))</f>
        <v>0</v>
      </c>
      <c r="AA26" s="4">
        <f>+IF(FORM!AA26="AM Y PM",1,IF(FORM!AA26="PM",1,0))</f>
        <v>0</v>
      </c>
      <c r="AB26" s="4">
        <f>+IF(FORM!AB26="AM Y PM",1,IF(FORM!AB26="PM",1,0))</f>
        <v>1</v>
      </c>
      <c r="AC26" s="4">
        <f>+IF(FORM!AC26="AM Y PM",1,IF(FORM!AC26="PM",1,0))</f>
        <v>0</v>
      </c>
      <c r="AD26" s="4">
        <f>+IF(FORM!AD26="AM Y PM",1,IF(FORM!AD26="PM",1,0))</f>
        <v>0</v>
      </c>
      <c r="AE26" s="4">
        <f>+IF(FORM!AE26="AM Y PM",1,IF(FORM!AE26="PM",1,0))</f>
        <v>1</v>
      </c>
      <c r="AF26" s="4">
        <f>+IF(FORM!AF26="AM Y PM",1,IF(FORM!AF26="PM",1,0))</f>
        <v>0</v>
      </c>
    </row>
    <row r="27" spans="1:32" ht="18.75" customHeight="1" x14ac:dyDescent="0.25">
      <c r="A27" s="5" t="s">
        <v>78</v>
      </c>
      <c r="B27" s="4">
        <f>+IF(FORM!B27="AM Y PM",1,IF(FORM!B27="PM",1,0))</f>
        <v>0</v>
      </c>
      <c r="C27" s="4">
        <f>+IF(FORM!C27="AM Y PM",1,IF(FORM!C27="PM",1,0))</f>
        <v>0</v>
      </c>
      <c r="D27" s="4">
        <f>+IF(FORM!D27="AM Y PM",1,IF(FORM!D27="PM",1,0))</f>
        <v>0</v>
      </c>
      <c r="E27" s="4">
        <f>+IF(FORM!E27="AM Y PM",1,IF(FORM!E27="PM",1,0))</f>
        <v>0</v>
      </c>
      <c r="F27" s="4">
        <f>+IF(FORM!F27="AM Y PM",1,IF(FORM!F27="PM",1,0))</f>
        <v>0</v>
      </c>
      <c r="G27" s="4">
        <f>+IF(FORM!G27="AM Y PM",1,IF(FORM!G27="PM",1,0))</f>
        <v>0</v>
      </c>
      <c r="H27" s="4">
        <f>+IF(FORM!H27="AM Y PM",1,IF(FORM!H27="PM",1,0))</f>
        <v>0</v>
      </c>
      <c r="I27" s="4">
        <f>+IF(FORM!I27="AM Y PM",1,IF(FORM!I27="PM",1,0))</f>
        <v>0</v>
      </c>
      <c r="J27" s="4">
        <f>+IF(FORM!J27="AM Y PM",1,IF(FORM!J27="PM",1,0))</f>
        <v>0</v>
      </c>
      <c r="K27" s="4">
        <f>+IF(FORM!K27="AM Y PM",1,IF(FORM!K27="PM",1,0))</f>
        <v>0</v>
      </c>
      <c r="L27" s="4">
        <f>+IF(FORM!L27="AM Y PM",1,IF(FORM!L27="PM",1,0))</f>
        <v>0</v>
      </c>
      <c r="M27" s="4">
        <f>+IF(FORM!M27="AM Y PM",1,IF(FORM!M27="PM",1,0))</f>
        <v>0</v>
      </c>
      <c r="N27" s="4">
        <f>+IF(FORM!N27="AM Y PM",1,IF(FORM!N27="PM",1,0))</f>
        <v>1</v>
      </c>
      <c r="O27" s="4">
        <f>+IF(FORM!O27="AM Y PM",1,IF(FORM!O27="PM",1,0))</f>
        <v>1</v>
      </c>
      <c r="P27" s="4">
        <f>+IF(FORM!P27="AM Y PM",1,IF(FORM!P27="PM",1,0))</f>
        <v>1</v>
      </c>
      <c r="Q27" s="4">
        <f>+IF(FORM!Q27="AM Y PM",1,IF(FORM!Q27="PM",1,0))</f>
        <v>1</v>
      </c>
      <c r="R27" s="4">
        <f>+IF(FORM!R27="AM Y PM",1,IF(FORM!R27="PM",1,0))</f>
        <v>0</v>
      </c>
      <c r="S27" s="4">
        <f>+IF(FORM!S27="AM Y PM",1,IF(FORM!S27="PM",1,0))</f>
        <v>0</v>
      </c>
      <c r="T27" s="4">
        <f>+IF(FORM!T27="AM Y PM",1,IF(FORM!T27="PM",1,0))</f>
        <v>1</v>
      </c>
      <c r="U27" s="4">
        <f>+IF(FORM!U27="AM Y PM",1,IF(FORM!U27="PM",1,0))</f>
        <v>1</v>
      </c>
      <c r="V27" s="4">
        <f>+IF(FORM!V27="AM Y PM",1,IF(FORM!V27="PM",1,0))</f>
        <v>1</v>
      </c>
      <c r="W27" s="4">
        <f>+IF(FORM!W27="AM Y PM",1,IF(FORM!W27="PM",1,0))</f>
        <v>1</v>
      </c>
      <c r="X27" s="4">
        <f>+IF(FORM!X27="AM Y PM",1,IF(FORM!X27="PM",1,0))</f>
        <v>1</v>
      </c>
      <c r="Y27" s="4">
        <f>+IF(FORM!Y27="AM Y PM",1,IF(FORM!Y27="PM",1,0))</f>
        <v>0</v>
      </c>
      <c r="Z27" s="4">
        <f>+IF(FORM!Z27="AM Y PM",1,IF(FORM!Z27="PM",1,0))</f>
        <v>0</v>
      </c>
      <c r="AA27" s="4">
        <f>+IF(FORM!AA27="AM Y PM",1,IF(FORM!AA27="PM",1,0))</f>
        <v>1</v>
      </c>
      <c r="AB27" s="4">
        <f>+IF(FORM!AB27="AM Y PM",1,IF(FORM!AB27="PM",1,0))</f>
        <v>1</v>
      </c>
      <c r="AC27" s="4">
        <f>+IF(FORM!AC27="AM Y PM",1,IF(FORM!AC27="PM",1,0))</f>
        <v>1</v>
      </c>
      <c r="AD27" s="4">
        <f>+IF(FORM!AD27="AM Y PM",1,IF(FORM!AD27="PM",1,0))</f>
        <v>1</v>
      </c>
      <c r="AE27" s="4">
        <f>+IF(FORM!AE27="AM Y PM",1,IF(FORM!AE27="PM",1,0))</f>
        <v>1</v>
      </c>
      <c r="AF27" s="4">
        <f>+IF(FORM!AF27="AM Y PM",1,IF(FORM!AF27="PM",1,0))</f>
        <v>0</v>
      </c>
    </row>
    <row r="28" spans="1:32" ht="18.75" customHeight="1" x14ac:dyDescent="0.25">
      <c r="A28" s="5" t="s">
        <v>79</v>
      </c>
      <c r="B28" s="4">
        <f>+IF(FORM!B28="AM Y PM",1,IF(FORM!B28="PM",1,0))</f>
        <v>0</v>
      </c>
      <c r="C28" s="4">
        <f>+IF(FORM!C28="AM Y PM",1,IF(FORM!C28="PM",1,0))</f>
        <v>0</v>
      </c>
      <c r="D28" s="4">
        <f>+IF(FORM!D28="AM Y PM",1,IF(FORM!D28="PM",1,0))</f>
        <v>0</v>
      </c>
      <c r="E28" s="4">
        <f>+IF(FORM!E28="AM Y PM",1,IF(FORM!E28="PM",1,0))</f>
        <v>0</v>
      </c>
      <c r="F28" s="4">
        <f>+IF(FORM!F28="AM Y PM",1,IF(FORM!F28="PM",1,0))</f>
        <v>0</v>
      </c>
      <c r="G28" s="4">
        <f>+IF(FORM!G28="AM Y PM",1,IF(FORM!G28="PM",1,0))</f>
        <v>0</v>
      </c>
      <c r="H28" s="4">
        <f>+IF(FORM!H28="AM Y PM",1,IF(FORM!H28="PM",1,0))</f>
        <v>1</v>
      </c>
      <c r="I28" s="4">
        <f>+IF(FORM!I28="AM Y PM",1,IF(FORM!I28="PM",1,0))</f>
        <v>1</v>
      </c>
      <c r="J28" s="4">
        <f>+IF(FORM!J28="AM Y PM",1,IF(FORM!J28="PM",1,0))</f>
        <v>1</v>
      </c>
      <c r="K28" s="4">
        <f>+IF(FORM!K28="AM Y PM",1,IF(FORM!K28="PM",1,0))</f>
        <v>0</v>
      </c>
      <c r="L28" s="4">
        <f>+IF(FORM!L28="AM Y PM",1,IF(FORM!L28="PM",1,0))</f>
        <v>0</v>
      </c>
      <c r="M28" s="4">
        <f>+IF(FORM!M28="AM Y PM",1,IF(FORM!M28="PM",1,0))</f>
        <v>0</v>
      </c>
      <c r="N28" s="4">
        <f>+IF(FORM!N28="AM Y PM",1,IF(FORM!N28="PM",1,0))</f>
        <v>1</v>
      </c>
      <c r="O28" s="4">
        <f>+IF(FORM!O28="AM Y PM",1,IF(FORM!O28="PM",1,0))</f>
        <v>1</v>
      </c>
      <c r="P28" s="4">
        <f>+IF(FORM!P28="AM Y PM",1,IF(FORM!P28="PM",1,0))</f>
        <v>1</v>
      </c>
      <c r="Q28" s="4">
        <f>+IF(FORM!Q28="AM Y PM",1,IF(FORM!Q28="PM",1,0))</f>
        <v>1</v>
      </c>
      <c r="R28" s="4">
        <f>+IF(FORM!R28="AM Y PM",1,IF(FORM!R28="PM",1,0))</f>
        <v>0</v>
      </c>
      <c r="S28" s="4">
        <f>+IF(FORM!S28="AM Y PM",1,IF(FORM!S28="PM",1,0))</f>
        <v>0</v>
      </c>
      <c r="T28" s="4">
        <f>+IF(FORM!T28="AM Y PM",1,IF(FORM!T28="PM",1,0))</f>
        <v>1</v>
      </c>
      <c r="U28" s="4">
        <f>+IF(FORM!U28="AM Y PM",1,IF(FORM!U28="PM",1,0))</f>
        <v>1</v>
      </c>
      <c r="V28" s="4">
        <f>+IF(FORM!V28="AM Y PM",1,IF(FORM!V28="PM",1,0))</f>
        <v>1</v>
      </c>
      <c r="W28" s="4">
        <f>+IF(FORM!W28="AM Y PM",1,IF(FORM!W28="PM",1,0))</f>
        <v>1</v>
      </c>
      <c r="X28" s="4">
        <f>+IF(FORM!X28="AM Y PM",1,IF(FORM!X28="PM",1,0))</f>
        <v>1</v>
      </c>
      <c r="Y28" s="4">
        <f>+IF(FORM!Y28="AM Y PM",1,IF(FORM!Y28="PM",1,0))</f>
        <v>0</v>
      </c>
      <c r="Z28" s="4">
        <f>+IF(FORM!Z28="AM Y PM",1,IF(FORM!Z28="PM",1,0))</f>
        <v>0</v>
      </c>
      <c r="AA28" s="4">
        <f>+IF(FORM!AA28="AM Y PM",1,IF(FORM!AA28="PM",1,0))</f>
        <v>1</v>
      </c>
      <c r="AB28" s="4">
        <f>+IF(FORM!AB28="AM Y PM",1,IF(FORM!AB28="PM",1,0))</f>
        <v>1</v>
      </c>
      <c r="AC28" s="4">
        <f>+IF(FORM!AC28="AM Y PM",1,IF(FORM!AC28="PM",1,0))</f>
        <v>1</v>
      </c>
      <c r="AD28" s="4">
        <f>+IF(FORM!AD28="AM Y PM",1,IF(FORM!AD28="PM",1,0))</f>
        <v>1</v>
      </c>
      <c r="AE28" s="4">
        <f>+IF(FORM!AE28="AM Y PM",1,IF(FORM!AE28="PM",1,0))</f>
        <v>1</v>
      </c>
      <c r="AF28" s="4">
        <f>+IF(FORM!AF28="AM Y PM",1,IF(FORM!AF28="PM",1,0))</f>
        <v>0</v>
      </c>
    </row>
    <row r="29" spans="1:32" ht="18.75" customHeight="1" x14ac:dyDescent="0.25">
      <c r="A29" s="5" t="s">
        <v>80</v>
      </c>
      <c r="B29" s="4">
        <f>+IF(FORM!B29="AM Y PM",1,IF(FORM!B29="PM",1,0))</f>
        <v>0</v>
      </c>
      <c r="C29" s="4">
        <f>+IF(FORM!C29="AM Y PM",1,IF(FORM!C29="PM",1,0))</f>
        <v>0</v>
      </c>
      <c r="D29" s="4">
        <f>+IF(FORM!D29="AM Y PM",1,IF(FORM!D29="PM",1,0))</f>
        <v>0</v>
      </c>
      <c r="E29" s="4">
        <f>+IF(FORM!E29="AM Y PM",1,IF(FORM!E29="PM",1,0))</f>
        <v>0</v>
      </c>
      <c r="F29" s="4">
        <f>+IF(FORM!F29="AM Y PM",1,IF(FORM!F29="PM",1,0))</f>
        <v>0</v>
      </c>
      <c r="G29" s="4">
        <f>+IF(FORM!G29="AM Y PM",1,IF(FORM!G29="PM",1,0))</f>
        <v>0</v>
      </c>
      <c r="H29" s="4">
        <f>+IF(FORM!H29="AM Y PM",1,IF(FORM!H29="PM",1,0))</f>
        <v>0</v>
      </c>
      <c r="I29" s="4">
        <f>+IF(FORM!I29="AM Y PM",1,IF(FORM!I29="PM",1,0))</f>
        <v>0</v>
      </c>
      <c r="J29" s="4">
        <f>+IF(FORM!J29="AM Y PM",1,IF(FORM!J29="PM",1,0))</f>
        <v>0</v>
      </c>
      <c r="K29" s="4">
        <f>+IF(FORM!K29="AM Y PM",1,IF(FORM!K29="PM",1,0))</f>
        <v>0</v>
      </c>
      <c r="L29" s="4">
        <f>+IF(FORM!L29="AM Y PM",1,IF(FORM!L29="PM",1,0))</f>
        <v>0</v>
      </c>
      <c r="M29" s="4">
        <f>+IF(FORM!M29="AM Y PM",1,IF(FORM!M29="PM",1,0))</f>
        <v>0</v>
      </c>
      <c r="N29" s="4">
        <f>+IF(FORM!N29="AM Y PM",1,IF(FORM!N29="PM",1,0))</f>
        <v>0</v>
      </c>
      <c r="O29" s="4">
        <f>+IF(FORM!O29="AM Y PM",1,IF(FORM!O29="PM",1,0))</f>
        <v>0</v>
      </c>
      <c r="P29" s="4">
        <f>+IF(FORM!P29="AM Y PM",1,IF(FORM!P29="PM",1,0))</f>
        <v>0</v>
      </c>
      <c r="Q29" s="4">
        <f>+IF(FORM!Q29="AM Y PM",1,IF(FORM!Q29="PM",1,0))</f>
        <v>0</v>
      </c>
      <c r="R29" s="4">
        <f>+IF(FORM!R29="AM Y PM",1,IF(FORM!R29="PM",1,0))</f>
        <v>0</v>
      </c>
      <c r="S29" s="4">
        <f>+IF(FORM!S29="AM Y PM",1,IF(FORM!S29="PM",1,0))</f>
        <v>0</v>
      </c>
      <c r="T29" s="4">
        <f>+IF(FORM!T29="AM Y PM",1,IF(FORM!T29="PM",1,0))</f>
        <v>0</v>
      </c>
      <c r="U29" s="4">
        <f>+IF(FORM!U29="AM Y PM",1,IF(FORM!U29="PM",1,0))</f>
        <v>0</v>
      </c>
      <c r="V29" s="4">
        <f>+IF(FORM!V29="AM Y PM",1,IF(FORM!V29="PM",1,0))</f>
        <v>0</v>
      </c>
      <c r="W29" s="4">
        <f>+IF(FORM!W29="AM Y PM",1,IF(FORM!W29="PM",1,0))</f>
        <v>0</v>
      </c>
      <c r="X29" s="4">
        <f>+IF(FORM!X29="AM Y PM",1,IF(FORM!X29="PM",1,0))</f>
        <v>0</v>
      </c>
      <c r="Y29" s="4">
        <f>+IF(FORM!Y29="AM Y PM",1,IF(FORM!Y29="PM",1,0))</f>
        <v>0</v>
      </c>
      <c r="Z29" s="4">
        <f>+IF(FORM!Z29="AM Y PM",1,IF(FORM!Z29="PM",1,0))</f>
        <v>0</v>
      </c>
      <c r="AA29" s="4">
        <f>+IF(FORM!AA29="AM Y PM",1,IF(FORM!AA29="PM",1,0))</f>
        <v>0</v>
      </c>
      <c r="AB29" s="4">
        <f>+IF(FORM!AB29="AM Y PM",1,IF(FORM!AB29="PM",1,0))</f>
        <v>0</v>
      </c>
      <c r="AC29" s="4">
        <f>+IF(FORM!AC29="AM Y PM",1,IF(FORM!AC29="PM",1,0))</f>
        <v>0</v>
      </c>
      <c r="AD29" s="4">
        <f>+IF(FORM!AD29="AM Y PM",1,IF(FORM!AD29="PM",1,0))</f>
        <v>0</v>
      </c>
      <c r="AE29" s="4">
        <f>+IF(FORM!AE29="AM Y PM",1,IF(FORM!AE29="PM",1,0))</f>
        <v>0</v>
      </c>
      <c r="AF29" s="4">
        <f>+IF(FORM!AF29="AM Y PM",1,IF(FORM!AF29="PM",1,0))</f>
        <v>0</v>
      </c>
    </row>
    <row r="30" spans="1:32" ht="18.75" customHeight="1" x14ac:dyDescent="0.25">
      <c r="A30" s="5" t="s">
        <v>81</v>
      </c>
      <c r="B30" s="4">
        <f>+IF(FORM!B30="AM Y PM",1,IF(FORM!B30="PM",1,0))</f>
        <v>0</v>
      </c>
      <c r="C30" s="4">
        <f>+IF(FORM!C30="AM Y PM",1,IF(FORM!C30="PM",1,0))</f>
        <v>0</v>
      </c>
      <c r="D30" s="4">
        <f>+IF(FORM!D30="AM Y PM",1,IF(FORM!D30="PM",1,0))</f>
        <v>0</v>
      </c>
      <c r="E30" s="4">
        <f>+IF(FORM!E30="AM Y PM",1,IF(FORM!E30="PM",1,0))</f>
        <v>0</v>
      </c>
      <c r="F30" s="4">
        <f>+IF(FORM!F30="AM Y PM",1,IF(FORM!F30="PM",1,0))</f>
        <v>0</v>
      </c>
      <c r="G30" s="4">
        <f>+IF(FORM!G30="AM Y PM",1,IF(FORM!G30="PM",1,0))</f>
        <v>0</v>
      </c>
      <c r="H30" s="4">
        <f>+IF(FORM!H30="AM Y PM",1,IF(FORM!H30="PM",1,0))</f>
        <v>0</v>
      </c>
      <c r="I30" s="4">
        <f>+IF(FORM!I30="AM Y PM",1,IF(FORM!I30="PM",1,0))</f>
        <v>0</v>
      </c>
      <c r="J30" s="4">
        <f>+IF(FORM!J30="AM Y PM",1,IF(FORM!J30="PM",1,0))</f>
        <v>0</v>
      </c>
      <c r="K30" s="4">
        <f>+IF(FORM!K30="AM Y PM",1,IF(FORM!K30="PM",1,0))</f>
        <v>0</v>
      </c>
      <c r="L30" s="4">
        <f>+IF(FORM!L30="AM Y PM",1,IF(FORM!L30="PM",1,0))</f>
        <v>0</v>
      </c>
      <c r="M30" s="4">
        <f>+IF(FORM!M30="AM Y PM",1,IF(FORM!M30="PM",1,0))</f>
        <v>0</v>
      </c>
      <c r="N30" s="4">
        <f>+IF(FORM!N30="AM Y PM",1,IF(FORM!N30="PM",1,0))</f>
        <v>0</v>
      </c>
      <c r="O30" s="4">
        <f>+IF(FORM!O30="AM Y PM",1,IF(FORM!O30="PM",1,0))</f>
        <v>0</v>
      </c>
      <c r="P30" s="4">
        <f>+IF(FORM!P30="AM Y PM",1,IF(FORM!P30="PM",1,0))</f>
        <v>0</v>
      </c>
      <c r="Q30" s="4">
        <f>+IF(FORM!Q30="AM Y PM",1,IF(FORM!Q30="PM",1,0))</f>
        <v>0</v>
      </c>
      <c r="R30" s="4">
        <f>+IF(FORM!R30="AM Y PM",1,IF(FORM!R30="PM",1,0))</f>
        <v>0</v>
      </c>
      <c r="S30" s="4">
        <f>+IF(FORM!S30="AM Y PM",1,IF(FORM!S30="PM",1,0))</f>
        <v>0</v>
      </c>
      <c r="T30" s="4">
        <f>+IF(FORM!T30="AM Y PM",1,IF(FORM!T30="PM",1,0))</f>
        <v>0</v>
      </c>
      <c r="U30" s="4">
        <f>+IF(FORM!U30="AM Y PM",1,IF(FORM!U30="PM",1,0))</f>
        <v>0</v>
      </c>
      <c r="V30" s="4">
        <f>+IF(FORM!V30="AM Y PM",1,IF(FORM!V30="PM",1,0))</f>
        <v>0</v>
      </c>
      <c r="W30" s="4">
        <f>+IF(FORM!W30="AM Y PM",1,IF(FORM!W30="PM",1,0))</f>
        <v>0</v>
      </c>
      <c r="X30" s="4">
        <f>+IF(FORM!X30="AM Y PM",1,IF(FORM!X30="PM",1,0))</f>
        <v>0</v>
      </c>
      <c r="Y30" s="4">
        <f>+IF(FORM!Y30="AM Y PM",1,IF(FORM!Y30="PM",1,0))</f>
        <v>0</v>
      </c>
      <c r="Z30" s="4">
        <f>+IF(FORM!Z30="AM Y PM",1,IF(FORM!Z30="PM",1,0))</f>
        <v>0</v>
      </c>
      <c r="AA30" s="4">
        <f>+IF(FORM!AA30="AM Y PM",1,IF(FORM!AA30="PM",1,0))</f>
        <v>0</v>
      </c>
      <c r="AB30" s="4">
        <f>+IF(FORM!AB30="AM Y PM",1,IF(FORM!AB30="PM",1,0))</f>
        <v>0</v>
      </c>
      <c r="AC30" s="4">
        <f>+IF(FORM!AC30="AM Y PM",1,IF(FORM!AC30="PM",1,0))</f>
        <v>0</v>
      </c>
      <c r="AD30" s="4">
        <f>+IF(FORM!AD30="AM Y PM",1,IF(FORM!AD30="PM",1,0))</f>
        <v>0</v>
      </c>
      <c r="AE30" s="4">
        <f>+IF(FORM!AE30="AM Y PM",1,IF(FORM!AE30="PM",1,0))</f>
        <v>0</v>
      </c>
      <c r="AF30" s="4">
        <f>+IF(FORM!AF30="AM Y PM",1,IF(FORM!AF30="PM",1,0))</f>
        <v>0</v>
      </c>
    </row>
    <row r="31" spans="1:32" ht="18.75" customHeight="1" x14ac:dyDescent="0.25">
      <c r="A31" s="5" t="s">
        <v>82</v>
      </c>
      <c r="B31" s="4">
        <f>+IF(FORM!B31="AM Y PM",1,IF(FORM!B31="PM",1,0))</f>
        <v>0</v>
      </c>
      <c r="C31" s="4">
        <f>+IF(FORM!C31="AM Y PM",1,IF(FORM!C31="PM",1,0))</f>
        <v>0</v>
      </c>
      <c r="D31" s="4">
        <f>+IF(FORM!D31="AM Y PM",1,IF(FORM!D31="PM",1,0))</f>
        <v>0</v>
      </c>
      <c r="E31" s="4">
        <f>+IF(FORM!E31="AM Y PM",1,IF(FORM!E31="PM",1,0))</f>
        <v>0</v>
      </c>
      <c r="F31" s="4">
        <f>+IF(FORM!F31="AM Y PM",1,IF(FORM!F31="PM",1,0))</f>
        <v>0</v>
      </c>
      <c r="G31" s="4">
        <f>+IF(FORM!G31="AM Y PM",1,IF(FORM!G31="PM",1,0))</f>
        <v>0</v>
      </c>
      <c r="H31" s="4">
        <f>+IF(FORM!H31="AM Y PM",1,IF(FORM!H31="PM",1,0))</f>
        <v>1</v>
      </c>
      <c r="I31" s="4">
        <f>+IF(FORM!I31="AM Y PM",1,IF(FORM!I31="PM",1,0))</f>
        <v>1</v>
      </c>
      <c r="J31" s="4">
        <f>+IF(FORM!J31="AM Y PM",1,IF(FORM!J31="PM",1,0))</f>
        <v>1</v>
      </c>
      <c r="K31" s="4">
        <f>+IF(FORM!K31="AM Y PM",1,IF(FORM!K31="PM",1,0))</f>
        <v>0</v>
      </c>
      <c r="L31" s="4">
        <f>+IF(FORM!L31="AM Y PM",1,IF(FORM!L31="PM",1,0))</f>
        <v>0</v>
      </c>
      <c r="M31" s="4">
        <f>+IF(FORM!M31="AM Y PM",1,IF(FORM!M31="PM",1,0))</f>
        <v>0</v>
      </c>
      <c r="N31" s="4">
        <f>+IF(FORM!N31="AM Y PM",1,IF(FORM!N31="PM",1,0))</f>
        <v>1</v>
      </c>
      <c r="O31" s="4">
        <f>+IF(FORM!O31="AM Y PM",1,IF(FORM!O31="PM",1,0))</f>
        <v>1</v>
      </c>
      <c r="P31" s="4">
        <f>+IF(FORM!P31="AM Y PM",1,IF(FORM!P31="PM",1,0))</f>
        <v>1</v>
      </c>
      <c r="Q31" s="4">
        <f>+IF(FORM!Q31="AM Y PM",1,IF(FORM!Q31="PM",1,0))</f>
        <v>1</v>
      </c>
      <c r="R31" s="4">
        <f>+IF(FORM!R31="AM Y PM",1,IF(FORM!R31="PM",1,0))</f>
        <v>0</v>
      </c>
      <c r="S31" s="4">
        <f>+IF(FORM!S31="AM Y PM",1,IF(FORM!S31="PM",1,0))</f>
        <v>0</v>
      </c>
      <c r="T31" s="4">
        <f>+IF(FORM!T31="AM Y PM",1,IF(FORM!T31="PM",1,0))</f>
        <v>1</v>
      </c>
      <c r="U31" s="4">
        <f>+IF(FORM!U31="AM Y PM",1,IF(FORM!U31="PM",1,0))</f>
        <v>1</v>
      </c>
      <c r="V31" s="4">
        <f>+IF(FORM!V31="AM Y PM",1,IF(FORM!V31="PM",1,0))</f>
        <v>1</v>
      </c>
      <c r="W31" s="4">
        <f>+IF(FORM!W31="AM Y PM",1,IF(FORM!W31="PM",1,0))</f>
        <v>1</v>
      </c>
      <c r="X31" s="4">
        <f>+IF(FORM!X31="AM Y PM",1,IF(FORM!X31="PM",1,0))</f>
        <v>1</v>
      </c>
      <c r="Y31" s="4">
        <f>+IF(FORM!Y31="AM Y PM",1,IF(FORM!Y31="PM",1,0))</f>
        <v>0</v>
      </c>
      <c r="Z31" s="4">
        <f>+IF(FORM!Z31="AM Y PM",1,IF(FORM!Z31="PM",1,0))</f>
        <v>0</v>
      </c>
      <c r="AA31" s="4">
        <f>+IF(FORM!AA31="AM Y PM",1,IF(FORM!AA31="PM",1,0))</f>
        <v>1</v>
      </c>
      <c r="AB31" s="4">
        <f>+IF(FORM!AB31="AM Y PM",1,IF(FORM!AB31="PM",1,0))</f>
        <v>1</v>
      </c>
      <c r="AC31" s="4">
        <f>+IF(FORM!AC31="AM Y PM",1,IF(FORM!AC31="PM",1,0))</f>
        <v>1</v>
      </c>
      <c r="AD31" s="4">
        <f>+IF(FORM!AD31="AM Y PM",1,IF(FORM!AD31="PM",1,0))</f>
        <v>1</v>
      </c>
      <c r="AE31" s="4">
        <f>+IF(FORM!AE31="AM Y PM",1,IF(FORM!AE31="PM",1,0))</f>
        <v>1</v>
      </c>
      <c r="AF31" s="4">
        <f>+IF(FORM!AF31="AM Y PM",1,IF(FORM!AF31="PM",1,0))</f>
        <v>0</v>
      </c>
    </row>
    <row r="32" spans="1:32" ht="18.75" customHeight="1" x14ac:dyDescent="0.25">
      <c r="A32" s="5" t="s">
        <v>83</v>
      </c>
      <c r="B32" s="4">
        <f>+IF(FORM!B32="AM Y PM",1,IF(FORM!B32="PM",1,0))</f>
        <v>0</v>
      </c>
      <c r="C32" s="4">
        <f>+IF(FORM!C32="AM Y PM",1,IF(FORM!C32="PM",1,0))</f>
        <v>0</v>
      </c>
      <c r="D32" s="4">
        <f>+IF(FORM!D32="AM Y PM",1,IF(FORM!D32="PM",1,0))</f>
        <v>0</v>
      </c>
      <c r="E32" s="4">
        <f>+IF(FORM!E32="AM Y PM",1,IF(FORM!E32="PM",1,0))</f>
        <v>0</v>
      </c>
      <c r="F32" s="4">
        <f>+IF(FORM!F32="AM Y PM",1,IF(FORM!F32="PM",1,0))</f>
        <v>0</v>
      </c>
      <c r="G32" s="4">
        <f>+IF(FORM!G32="AM Y PM",1,IF(FORM!G32="PM",1,0))</f>
        <v>0</v>
      </c>
      <c r="H32" s="4">
        <f>+IF(FORM!H32="AM Y PM",1,IF(FORM!H32="PM",1,0))</f>
        <v>1</v>
      </c>
      <c r="I32" s="4">
        <f>+IF(FORM!I32="AM Y PM",1,IF(FORM!I32="PM",1,0))</f>
        <v>1</v>
      </c>
      <c r="J32" s="4">
        <f>+IF(FORM!J32="AM Y PM",1,IF(FORM!J32="PM",1,0))</f>
        <v>1</v>
      </c>
      <c r="K32" s="4">
        <f>+IF(FORM!K32="AM Y PM",1,IF(FORM!K32="PM",1,0))</f>
        <v>0</v>
      </c>
      <c r="L32" s="4">
        <f>+IF(FORM!L32="AM Y PM",1,IF(FORM!L32="PM",1,0))</f>
        <v>0</v>
      </c>
      <c r="M32" s="4">
        <f>+IF(FORM!M32="AM Y PM",1,IF(FORM!M32="PM",1,0))</f>
        <v>0</v>
      </c>
      <c r="N32" s="4">
        <f>+IF(FORM!N32="AM Y PM",1,IF(FORM!N32="PM",1,0))</f>
        <v>1</v>
      </c>
      <c r="O32" s="4">
        <f>+IF(FORM!O32="AM Y PM",1,IF(FORM!O32="PM",1,0))</f>
        <v>1</v>
      </c>
      <c r="P32" s="4">
        <f>+IF(FORM!P32="AM Y PM",1,IF(FORM!P32="PM",1,0))</f>
        <v>1</v>
      </c>
      <c r="Q32" s="4">
        <f>+IF(FORM!Q32="AM Y PM",1,IF(FORM!Q32="PM",1,0))</f>
        <v>1</v>
      </c>
      <c r="R32" s="4">
        <f>+IF(FORM!R32="AM Y PM",1,IF(FORM!R32="PM",1,0))</f>
        <v>0</v>
      </c>
      <c r="S32" s="4">
        <f>+IF(FORM!S32="AM Y PM",1,IF(FORM!S32="PM",1,0))</f>
        <v>0</v>
      </c>
      <c r="T32" s="4">
        <f>+IF(FORM!T32="AM Y PM",1,IF(FORM!T32="PM",1,0))</f>
        <v>1</v>
      </c>
      <c r="U32" s="4">
        <f>+IF(FORM!U32="AM Y PM",1,IF(FORM!U32="PM",1,0))</f>
        <v>1</v>
      </c>
      <c r="V32" s="4">
        <f>+IF(FORM!V32="AM Y PM",1,IF(FORM!V32="PM",1,0))</f>
        <v>1</v>
      </c>
      <c r="W32" s="4">
        <f>+IF(FORM!W32="AM Y PM",1,IF(FORM!W32="PM",1,0))</f>
        <v>1</v>
      </c>
      <c r="X32" s="4">
        <f>+IF(FORM!X32="AM Y PM",1,IF(FORM!X32="PM",1,0))</f>
        <v>1</v>
      </c>
      <c r="Y32" s="4">
        <f>+IF(FORM!Y32="AM Y PM",1,IF(FORM!Y32="PM",1,0))</f>
        <v>0</v>
      </c>
      <c r="Z32" s="4">
        <f>+IF(FORM!Z32="AM Y PM",1,IF(FORM!Z32="PM",1,0))</f>
        <v>0</v>
      </c>
      <c r="AA32" s="4">
        <f>+IF(FORM!AA32="AM Y PM",1,IF(FORM!AA32="PM",1,0))</f>
        <v>1</v>
      </c>
      <c r="AB32" s="4">
        <f>+IF(FORM!AB32="AM Y PM",1,IF(FORM!AB32="PM",1,0))</f>
        <v>1</v>
      </c>
      <c r="AC32" s="4">
        <f>+IF(FORM!AC32="AM Y PM",1,IF(FORM!AC32="PM",1,0))</f>
        <v>1</v>
      </c>
      <c r="AD32" s="4">
        <f>+IF(FORM!AD32="AM Y PM",1,IF(FORM!AD32="PM",1,0))</f>
        <v>1</v>
      </c>
      <c r="AE32" s="4">
        <f>+IF(FORM!AE32="AM Y PM",1,IF(FORM!AE32="PM",1,0))</f>
        <v>1</v>
      </c>
      <c r="AF32" s="4">
        <f>+IF(FORM!AF32="AM Y PM",1,IF(FORM!AF32="PM",1,0))</f>
        <v>0</v>
      </c>
    </row>
    <row r="33" spans="1:32" ht="18.75" customHeight="1" x14ac:dyDescent="0.25">
      <c r="A33" s="5" t="s">
        <v>84</v>
      </c>
      <c r="B33" s="4">
        <f>+IF(FORM!B33="AM Y PM",1,IF(FORM!B33="PM",1,0))</f>
        <v>0</v>
      </c>
      <c r="C33" s="4">
        <f>+IF(FORM!C33="AM Y PM",1,IF(FORM!C33="PM",1,0))</f>
        <v>0</v>
      </c>
      <c r="D33" s="4">
        <f>+IF(FORM!D33="AM Y PM",1,IF(FORM!D33="PM",1,0))</f>
        <v>0</v>
      </c>
      <c r="E33" s="4">
        <f>+IF(FORM!E33="AM Y PM",1,IF(FORM!E33="PM",1,0))</f>
        <v>0</v>
      </c>
      <c r="F33" s="4">
        <f>+IF(FORM!F33="AM Y PM",1,IF(FORM!F33="PM",1,0))</f>
        <v>0</v>
      </c>
      <c r="G33" s="4">
        <f>+IF(FORM!G33="AM Y PM",1,IF(FORM!G33="PM",1,0))</f>
        <v>0</v>
      </c>
      <c r="H33" s="4">
        <f>+IF(FORM!H33="AM Y PM",1,IF(FORM!H33="PM",1,0))</f>
        <v>0</v>
      </c>
      <c r="I33" s="4">
        <f>+IF(FORM!I33="AM Y PM",1,IF(FORM!I33="PM",1,0))</f>
        <v>0</v>
      </c>
      <c r="J33" s="4">
        <f>+IF(FORM!J33="AM Y PM",1,IF(FORM!J33="PM",1,0))</f>
        <v>0</v>
      </c>
      <c r="K33" s="4">
        <f>+IF(FORM!K33="AM Y PM",1,IF(FORM!K33="PM",1,0))</f>
        <v>0</v>
      </c>
      <c r="L33" s="4">
        <f>+IF(FORM!L33="AM Y PM",1,IF(FORM!L33="PM",1,0))</f>
        <v>0</v>
      </c>
      <c r="M33" s="4">
        <f>+IF(FORM!M33="AM Y PM",1,IF(FORM!M33="PM",1,0))</f>
        <v>0</v>
      </c>
      <c r="N33" s="4">
        <f>+IF(FORM!N33="AM Y PM",1,IF(FORM!N33="PM",1,0))</f>
        <v>0</v>
      </c>
      <c r="O33" s="4">
        <f>+IF(FORM!O33="AM Y PM",1,IF(FORM!O33="PM",1,0))</f>
        <v>0</v>
      </c>
      <c r="P33" s="4">
        <f>+IF(FORM!P33="AM Y PM",1,IF(FORM!P33="PM",1,0))</f>
        <v>0</v>
      </c>
      <c r="Q33" s="4">
        <f>+IF(FORM!Q33="AM Y PM",1,IF(FORM!Q33="PM",1,0))</f>
        <v>0</v>
      </c>
      <c r="R33" s="4">
        <f>+IF(FORM!R33="AM Y PM",1,IF(FORM!R33="PM",1,0))</f>
        <v>0</v>
      </c>
      <c r="S33" s="4">
        <f>+IF(FORM!S33="AM Y PM",1,IF(FORM!S33="PM",1,0))</f>
        <v>0</v>
      </c>
      <c r="T33" s="4">
        <f>+IF(FORM!T33="AM Y PM",1,IF(FORM!T33="PM",1,0))</f>
        <v>0</v>
      </c>
      <c r="U33" s="4">
        <f>+IF(FORM!U33="AM Y PM",1,IF(FORM!U33="PM",1,0))</f>
        <v>0</v>
      </c>
      <c r="V33" s="4">
        <f>+IF(FORM!V33="AM Y PM",1,IF(FORM!V33="PM",1,0))</f>
        <v>0</v>
      </c>
      <c r="W33" s="4">
        <f>+IF(FORM!W33="AM Y PM",1,IF(FORM!W33="PM",1,0))</f>
        <v>0</v>
      </c>
      <c r="X33" s="4">
        <f>+IF(FORM!X33="AM Y PM",1,IF(FORM!X33="PM",1,0))</f>
        <v>0</v>
      </c>
      <c r="Y33" s="4">
        <f>+IF(FORM!Y33="AM Y PM",1,IF(FORM!Y33="PM",1,0))</f>
        <v>0</v>
      </c>
      <c r="Z33" s="4">
        <f>+IF(FORM!Z33="AM Y PM",1,IF(FORM!Z33="PM",1,0))</f>
        <v>0</v>
      </c>
      <c r="AA33" s="4">
        <f>+IF(FORM!AA33="AM Y PM",1,IF(FORM!AA33="PM",1,0))</f>
        <v>0</v>
      </c>
      <c r="AB33" s="4">
        <f>+IF(FORM!AB33="AM Y PM",1,IF(FORM!AB33="PM",1,0))</f>
        <v>0</v>
      </c>
      <c r="AC33" s="4">
        <f>+IF(FORM!AC33="AM Y PM",1,IF(FORM!AC33="PM",1,0))</f>
        <v>0</v>
      </c>
      <c r="AD33" s="4">
        <f>+IF(FORM!AD33="AM Y PM",1,IF(FORM!AD33="PM",1,0))</f>
        <v>0</v>
      </c>
      <c r="AE33" s="4">
        <f>+IF(FORM!AE33="AM Y PM",1,IF(FORM!AE33="PM",1,0))</f>
        <v>0</v>
      </c>
      <c r="AF33" s="4">
        <f>+IF(FORM!AF33="AM Y PM",1,IF(FORM!AF33="PM",1,0))</f>
        <v>0</v>
      </c>
    </row>
    <row r="34" spans="1:32" ht="18.75" customHeight="1" x14ac:dyDescent="0.25">
      <c r="A34" s="5" t="s">
        <v>85</v>
      </c>
      <c r="B34" s="4">
        <f>+IF(FORM!B34="AM Y PM",1,IF(FORM!B34="PM",1,0))</f>
        <v>0</v>
      </c>
      <c r="C34" s="4">
        <f>+IF(FORM!C34="AM Y PM",1,IF(FORM!C34="PM",1,0))</f>
        <v>0</v>
      </c>
      <c r="D34" s="4">
        <f>+IF(FORM!D34="AM Y PM",1,IF(FORM!D34="PM",1,0))</f>
        <v>0</v>
      </c>
      <c r="E34" s="4">
        <f>+IF(FORM!E34="AM Y PM",1,IF(FORM!E34="PM",1,0))</f>
        <v>0</v>
      </c>
      <c r="F34" s="4">
        <f>+IF(FORM!F34="AM Y PM",1,IF(FORM!F34="PM",1,0))</f>
        <v>0</v>
      </c>
      <c r="G34" s="4">
        <f>+IF(FORM!G34="AM Y PM",1,IF(FORM!G34="PM",1,0))</f>
        <v>0</v>
      </c>
      <c r="H34" s="4">
        <f>+IF(FORM!H34="AM Y PM",1,IF(FORM!H34="PM",1,0))</f>
        <v>0</v>
      </c>
      <c r="I34" s="4">
        <f>+IF(FORM!I34="AM Y PM",1,IF(FORM!I34="PM",1,0))</f>
        <v>0</v>
      </c>
      <c r="J34" s="4">
        <f>+IF(FORM!J34="AM Y PM",1,IF(FORM!J34="PM",1,0))</f>
        <v>0</v>
      </c>
      <c r="K34" s="4">
        <f>+IF(FORM!K34="AM Y PM",1,IF(FORM!K34="PM",1,0))</f>
        <v>0</v>
      </c>
      <c r="L34" s="4">
        <f>+IF(FORM!L34="AM Y PM",1,IF(FORM!L34="PM",1,0))</f>
        <v>0</v>
      </c>
      <c r="M34" s="4">
        <f>+IF(FORM!M34="AM Y PM",1,IF(FORM!M34="PM",1,0))</f>
        <v>0</v>
      </c>
      <c r="N34" s="4">
        <f>+IF(FORM!N34="AM Y PM",1,IF(FORM!N34="PM",1,0))</f>
        <v>0</v>
      </c>
      <c r="O34" s="4">
        <f>+IF(FORM!O34="AM Y PM",1,IF(FORM!O34="PM",1,0))</f>
        <v>0</v>
      </c>
      <c r="P34" s="4">
        <f>+IF(FORM!P34="AM Y PM",1,IF(FORM!P34="PM",1,0))</f>
        <v>0</v>
      </c>
      <c r="Q34" s="4">
        <f>+IF(FORM!Q34="AM Y PM",1,IF(FORM!Q34="PM",1,0))</f>
        <v>0</v>
      </c>
      <c r="R34" s="4">
        <f>+IF(FORM!R34="AM Y PM",1,IF(FORM!R34="PM",1,0))</f>
        <v>0</v>
      </c>
      <c r="S34" s="4">
        <f>+IF(FORM!S34="AM Y PM",1,IF(FORM!S34="PM",1,0))</f>
        <v>0</v>
      </c>
      <c r="T34" s="4">
        <f>+IF(FORM!T34="AM Y PM",1,IF(FORM!T34="PM",1,0))</f>
        <v>0</v>
      </c>
      <c r="U34" s="4">
        <f>+IF(FORM!U34="AM Y PM",1,IF(FORM!U34="PM",1,0))</f>
        <v>0</v>
      </c>
      <c r="V34" s="4">
        <f>+IF(FORM!V34="AM Y PM",1,IF(FORM!V34="PM",1,0))</f>
        <v>0</v>
      </c>
      <c r="W34" s="4">
        <f>+IF(FORM!W34="AM Y PM",1,IF(FORM!W34="PM",1,0))</f>
        <v>0</v>
      </c>
      <c r="X34" s="4">
        <f>+IF(FORM!X34="AM Y PM",1,IF(FORM!X34="PM",1,0))</f>
        <v>0</v>
      </c>
      <c r="Y34" s="4">
        <f>+IF(FORM!Y34="AM Y PM",1,IF(FORM!Y34="PM",1,0))</f>
        <v>0</v>
      </c>
      <c r="Z34" s="4">
        <f>+IF(FORM!Z34="AM Y PM",1,IF(FORM!Z34="PM",1,0))</f>
        <v>0</v>
      </c>
      <c r="AA34" s="4">
        <f>+IF(FORM!AA34="AM Y PM",1,IF(FORM!AA34="PM",1,0))</f>
        <v>0</v>
      </c>
      <c r="AB34" s="4">
        <f>+IF(FORM!AB34="AM Y PM",1,IF(FORM!AB34="PM",1,0))</f>
        <v>0</v>
      </c>
      <c r="AC34" s="4">
        <f>+IF(FORM!AC34="AM Y PM",1,IF(FORM!AC34="PM",1,0))</f>
        <v>0</v>
      </c>
      <c r="AD34" s="4">
        <f>+IF(FORM!AD34="AM Y PM",1,IF(FORM!AD34="PM",1,0))</f>
        <v>0</v>
      </c>
      <c r="AE34" s="4">
        <f>+IF(FORM!AE34="AM Y PM",1,IF(FORM!AE34="PM",1,0))</f>
        <v>0</v>
      </c>
      <c r="AF34" s="4">
        <f>+IF(FORM!AF34="AM Y PM",1,IF(FORM!AF34="PM",1,0))</f>
        <v>0</v>
      </c>
    </row>
    <row r="35" spans="1:32" ht="18.75" customHeight="1" x14ac:dyDescent="0.25">
      <c r="A35" s="5" t="s">
        <v>86</v>
      </c>
      <c r="B35" s="4">
        <f>+IF(FORM!B35="AM Y PM",1,IF(FORM!B35="PM",1,0))</f>
        <v>0</v>
      </c>
      <c r="C35" s="4">
        <f>+IF(FORM!C35="AM Y PM",1,IF(FORM!C35="PM",1,0))</f>
        <v>0</v>
      </c>
      <c r="D35" s="4">
        <f>+IF(FORM!D35="AM Y PM",1,IF(FORM!D35="PM",1,0))</f>
        <v>0</v>
      </c>
      <c r="E35" s="4">
        <f>+IF(FORM!E35="AM Y PM",1,IF(FORM!E35="PM",1,0))</f>
        <v>0</v>
      </c>
      <c r="F35" s="4">
        <f>+IF(FORM!F35="AM Y PM",1,IF(FORM!F35="PM",1,0))</f>
        <v>1</v>
      </c>
      <c r="G35" s="4">
        <f>+IF(FORM!G35="AM Y PM",1,IF(FORM!G35="PM",1,0))</f>
        <v>1</v>
      </c>
      <c r="H35" s="4">
        <f>+IF(FORM!H35="AM Y PM",1,IF(FORM!H35="PM",1,0))</f>
        <v>1</v>
      </c>
      <c r="I35" s="4">
        <f>+IF(FORM!I35="AM Y PM",1,IF(FORM!I35="PM",1,0))</f>
        <v>1</v>
      </c>
      <c r="J35" s="4">
        <f>+IF(FORM!J35="AM Y PM",1,IF(FORM!J35="PM",1,0))</f>
        <v>1</v>
      </c>
      <c r="K35" s="4">
        <f>+IF(FORM!K35="AM Y PM",1,IF(FORM!K35="PM",1,0))</f>
        <v>0</v>
      </c>
      <c r="L35" s="4">
        <f>+IF(FORM!L35="AM Y PM",1,IF(FORM!L35="PM",1,0))</f>
        <v>0</v>
      </c>
      <c r="M35" s="4">
        <f>+IF(FORM!M35="AM Y PM",1,IF(FORM!M35="PM",1,0))</f>
        <v>0</v>
      </c>
      <c r="N35" s="4">
        <f>+IF(FORM!N35="AM Y PM",1,IF(FORM!N35="PM",1,0))</f>
        <v>1</v>
      </c>
      <c r="O35" s="4">
        <f>+IF(FORM!O35="AM Y PM",1,IF(FORM!O35="PM",1,0))</f>
        <v>1</v>
      </c>
      <c r="P35" s="4">
        <f>+IF(FORM!P35="AM Y PM",1,IF(FORM!P35="PM",1,0))</f>
        <v>1</v>
      </c>
      <c r="Q35" s="4">
        <f>+IF(FORM!Q35="AM Y PM",1,IF(FORM!Q35="PM",1,0))</f>
        <v>1</v>
      </c>
      <c r="R35" s="4">
        <f>+IF(FORM!R35="AM Y PM",1,IF(FORM!R35="PM",1,0))</f>
        <v>0</v>
      </c>
      <c r="S35" s="4">
        <f>+IF(FORM!S35="AM Y PM",1,IF(FORM!S35="PM",1,0))</f>
        <v>0</v>
      </c>
      <c r="T35" s="4">
        <f>+IF(FORM!T35="AM Y PM",1,IF(FORM!T35="PM",1,0))</f>
        <v>1</v>
      </c>
      <c r="U35" s="4">
        <f>+IF(FORM!U35="AM Y PM",1,IF(FORM!U35="PM",1,0))</f>
        <v>1</v>
      </c>
      <c r="V35" s="4">
        <f>+IF(FORM!V35="AM Y PM",1,IF(FORM!V35="PM",1,0))</f>
        <v>1</v>
      </c>
      <c r="W35" s="4">
        <f>+IF(FORM!W35="AM Y PM",1,IF(FORM!W35="PM",1,0))</f>
        <v>1</v>
      </c>
      <c r="X35" s="4">
        <f>+IF(FORM!X35="AM Y PM",1,IF(FORM!X35="PM",1,0))</f>
        <v>1</v>
      </c>
      <c r="Y35" s="4">
        <f>+IF(FORM!Y35="AM Y PM",1,IF(FORM!Y35="PM",1,0))</f>
        <v>0</v>
      </c>
      <c r="Z35" s="4">
        <f>+IF(FORM!Z35="AM Y PM",1,IF(FORM!Z35="PM",1,0))</f>
        <v>0</v>
      </c>
      <c r="AA35" s="4">
        <f>+IF(FORM!AA35="AM Y PM",1,IF(FORM!AA35="PM",1,0))</f>
        <v>1</v>
      </c>
      <c r="AB35" s="4">
        <f>+IF(FORM!AB35="AM Y PM",1,IF(FORM!AB35="PM",1,0))</f>
        <v>1</v>
      </c>
      <c r="AC35" s="4">
        <f>+IF(FORM!AC35="AM Y PM",1,IF(FORM!AC35="PM",1,0))</f>
        <v>1</v>
      </c>
      <c r="AD35" s="4">
        <f>+IF(FORM!AD35="AM Y PM",1,IF(FORM!AD35="PM",1,0))</f>
        <v>1</v>
      </c>
      <c r="AE35" s="4">
        <f>+IF(FORM!AE35="AM Y PM",1,IF(FORM!AE35="PM",1,0))</f>
        <v>1</v>
      </c>
      <c r="AF35" s="4">
        <f>+IF(FORM!AF35="AM Y PM",1,IF(FORM!AF35="PM",1,0))</f>
        <v>0</v>
      </c>
    </row>
    <row r="36" spans="1:32" ht="18.75" customHeight="1" x14ac:dyDescent="0.25">
      <c r="A36" s="5" t="s">
        <v>87</v>
      </c>
      <c r="B36" s="4">
        <f>+IF(FORM!B36="AM Y PM",1,IF(FORM!B36="PM",1,0))</f>
        <v>0</v>
      </c>
      <c r="C36" s="4">
        <f>+IF(FORM!C36="AM Y PM",1,IF(FORM!C36="PM",1,0))</f>
        <v>0</v>
      </c>
      <c r="D36" s="4">
        <f>+IF(FORM!D36="AM Y PM",1,IF(FORM!D36="PM",1,0))</f>
        <v>0</v>
      </c>
      <c r="E36" s="4">
        <f>+IF(FORM!E36="AM Y PM",1,IF(FORM!E36="PM",1,0))</f>
        <v>0</v>
      </c>
      <c r="F36" s="4">
        <f>+IF(FORM!F36="AM Y PM",1,IF(FORM!F36="PM",1,0))</f>
        <v>0</v>
      </c>
      <c r="G36" s="4">
        <f>+IF(FORM!G36="AM Y PM",1,IF(FORM!G36="PM",1,0))</f>
        <v>0</v>
      </c>
      <c r="H36" s="4">
        <f>+IF(FORM!H36="AM Y PM",1,IF(FORM!H36="PM",1,0))</f>
        <v>0</v>
      </c>
      <c r="I36" s="4">
        <f>+IF(FORM!I36="AM Y PM",1,IF(FORM!I36="PM",1,0))</f>
        <v>0</v>
      </c>
      <c r="J36" s="4">
        <f>+IF(FORM!J36="AM Y PM",1,IF(FORM!J36="PM",1,0))</f>
        <v>0</v>
      </c>
      <c r="K36" s="4">
        <f>+IF(FORM!K36="AM Y PM",1,IF(FORM!K36="PM",1,0))</f>
        <v>0</v>
      </c>
      <c r="L36" s="4">
        <f>+IF(FORM!L36="AM Y PM",1,IF(FORM!L36="PM",1,0))</f>
        <v>0</v>
      </c>
      <c r="M36" s="4">
        <f>+IF(FORM!M36="AM Y PM",1,IF(FORM!M36="PM",1,0))</f>
        <v>0</v>
      </c>
      <c r="N36" s="4">
        <f>+IF(FORM!N36="AM Y PM",1,IF(FORM!N36="PM",1,0))</f>
        <v>0</v>
      </c>
      <c r="O36" s="4">
        <f>+IF(FORM!O36="AM Y PM",1,IF(FORM!O36="PM",1,0))</f>
        <v>0</v>
      </c>
      <c r="P36" s="4">
        <f>+IF(FORM!P36="AM Y PM",1,IF(FORM!P36="PM",1,0))</f>
        <v>0</v>
      </c>
      <c r="Q36" s="4">
        <f>+IF(FORM!Q36="AM Y PM",1,IF(FORM!Q36="PM",1,0))</f>
        <v>0</v>
      </c>
      <c r="R36" s="4">
        <f>+IF(FORM!R36="AM Y PM",1,IF(FORM!R36="PM",1,0))</f>
        <v>0</v>
      </c>
      <c r="S36" s="4">
        <f>+IF(FORM!S36="AM Y PM",1,IF(FORM!S36="PM",1,0))</f>
        <v>0</v>
      </c>
      <c r="T36" s="4">
        <f>+IF(FORM!T36="AM Y PM",1,IF(FORM!T36="PM",1,0))</f>
        <v>0</v>
      </c>
      <c r="U36" s="4">
        <f>+IF(FORM!U36="AM Y PM",1,IF(FORM!U36="PM",1,0))</f>
        <v>0</v>
      </c>
      <c r="V36" s="4">
        <f>+IF(FORM!V36="AM Y PM",1,IF(FORM!V36="PM",1,0))</f>
        <v>0</v>
      </c>
      <c r="W36" s="4">
        <f>+IF(FORM!W36="AM Y PM",1,IF(FORM!W36="PM",1,0))</f>
        <v>0</v>
      </c>
      <c r="X36" s="4">
        <f>+IF(FORM!X36="AM Y PM",1,IF(FORM!X36="PM",1,0))</f>
        <v>0</v>
      </c>
      <c r="Y36" s="4">
        <f>+IF(FORM!Y36="AM Y PM",1,IF(FORM!Y36="PM",1,0))</f>
        <v>0</v>
      </c>
      <c r="Z36" s="4">
        <f>+IF(FORM!Z36="AM Y PM",1,IF(FORM!Z36="PM",1,0))</f>
        <v>0</v>
      </c>
      <c r="AA36" s="4">
        <f>+IF(FORM!AA36="AM Y PM",1,IF(FORM!AA36="PM",1,0))</f>
        <v>0</v>
      </c>
      <c r="AB36" s="4">
        <f>+IF(FORM!AB36="AM Y PM",1,IF(FORM!AB36="PM",1,0))</f>
        <v>0</v>
      </c>
      <c r="AC36" s="4">
        <f>+IF(FORM!AC36="AM Y PM",1,IF(FORM!AC36="PM",1,0))</f>
        <v>0</v>
      </c>
      <c r="AD36" s="4">
        <f>+IF(FORM!AD36="AM Y PM",1,IF(FORM!AD36="PM",1,0))</f>
        <v>0</v>
      </c>
      <c r="AE36" s="4">
        <f>+IF(FORM!AE36="AM Y PM",1,IF(FORM!AE36="PM",1,0))</f>
        <v>0</v>
      </c>
      <c r="AF36" s="4">
        <f>+IF(FORM!AF36="AM Y PM",1,IF(FORM!AF36="PM",1,0))</f>
        <v>0</v>
      </c>
    </row>
    <row r="37" spans="1:32" ht="18.75" customHeight="1" x14ac:dyDescent="0.25">
      <c r="A37" s="5" t="s">
        <v>88</v>
      </c>
      <c r="B37" s="4">
        <f>+IF(FORM!B37="AM Y PM",1,IF(FORM!B37="PM",1,0))</f>
        <v>0</v>
      </c>
      <c r="C37" s="4">
        <f>+IF(FORM!C37="AM Y PM",1,IF(FORM!C37="PM",1,0))</f>
        <v>0</v>
      </c>
      <c r="D37" s="4">
        <f>+IF(FORM!D37="AM Y PM",1,IF(FORM!D37="PM",1,0))</f>
        <v>0</v>
      </c>
      <c r="E37" s="4">
        <f>+IF(FORM!E37="AM Y PM",1,IF(FORM!E37="PM",1,0))</f>
        <v>0</v>
      </c>
      <c r="F37" s="4">
        <f>+IF(FORM!F37="AM Y PM",1,IF(FORM!F37="PM",1,0))</f>
        <v>0</v>
      </c>
      <c r="G37" s="4">
        <f>+IF(FORM!G37="AM Y PM",1,IF(FORM!G37="PM",1,0))</f>
        <v>0</v>
      </c>
      <c r="H37" s="4">
        <f>+IF(FORM!H37="AM Y PM",1,IF(FORM!H37="PM",1,0))</f>
        <v>0</v>
      </c>
      <c r="I37" s="4">
        <f>+IF(FORM!I37="AM Y PM",1,IF(FORM!I37="PM",1,0))</f>
        <v>0</v>
      </c>
      <c r="J37" s="4">
        <f>+IF(FORM!J37="AM Y PM",1,IF(FORM!J37="PM",1,0))</f>
        <v>0</v>
      </c>
      <c r="K37" s="4">
        <f>+IF(FORM!K37="AM Y PM",1,IF(FORM!K37="PM",1,0))</f>
        <v>0</v>
      </c>
      <c r="L37" s="4">
        <f>+IF(FORM!L37="AM Y PM",1,IF(FORM!L37="PM",1,0))</f>
        <v>0</v>
      </c>
      <c r="M37" s="4">
        <f>+IF(FORM!M37="AM Y PM",1,IF(FORM!M37="PM",1,0))</f>
        <v>0</v>
      </c>
      <c r="N37" s="4">
        <f>+IF(FORM!N37="AM Y PM",1,IF(FORM!N37="PM",1,0))</f>
        <v>0</v>
      </c>
      <c r="O37" s="4">
        <f>+IF(FORM!O37="AM Y PM",1,IF(FORM!O37="PM",1,0))</f>
        <v>0</v>
      </c>
      <c r="P37" s="4">
        <f>+IF(FORM!P37="AM Y PM",1,IF(FORM!P37="PM",1,0))</f>
        <v>0</v>
      </c>
      <c r="Q37" s="4">
        <f>+IF(FORM!Q37="AM Y PM",1,IF(FORM!Q37="PM",1,0))</f>
        <v>0</v>
      </c>
      <c r="R37" s="4">
        <f>+IF(FORM!R37="AM Y PM",1,IF(FORM!R37="PM",1,0))</f>
        <v>0</v>
      </c>
      <c r="S37" s="4">
        <f>+IF(FORM!S37="AM Y PM",1,IF(FORM!S37="PM",1,0))</f>
        <v>0</v>
      </c>
      <c r="T37" s="4">
        <f>+IF(FORM!T37="AM Y PM",1,IF(FORM!T37="PM",1,0))</f>
        <v>0</v>
      </c>
      <c r="U37" s="4">
        <f>+IF(FORM!U37="AM Y PM",1,IF(FORM!U37="PM",1,0))</f>
        <v>0</v>
      </c>
      <c r="V37" s="4">
        <f>+IF(FORM!V37="AM Y PM",1,IF(FORM!V37="PM",1,0))</f>
        <v>0</v>
      </c>
      <c r="W37" s="4">
        <f>+IF(FORM!W37="AM Y PM",1,IF(FORM!W37="PM",1,0))</f>
        <v>0</v>
      </c>
      <c r="X37" s="4">
        <f>+IF(FORM!X37="AM Y PM",1,IF(FORM!X37="PM",1,0))</f>
        <v>0</v>
      </c>
      <c r="Y37" s="4">
        <f>+IF(FORM!Y37="AM Y PM",1,IF(FORM!Y37="PM",1,0))</f>
        <v>0</v>
      </c>
      <c r="Z37" s="4">
        <f>+IF(FORM!Z37="AM Y PM",1,IF(FORM!Z37="PM",1,0))</f>
        <v>0</v>
      </c>
      <c r="AA37" s="4">
        <f>+IF(FORM!AA37="AM Y PM",1,IF(FORM!AA37="PM",1,0))</f>
        <v>0</v>
      </c>
      <c r="AB37" s="4">
        <f>+IF(FORM!AB37="AM Y PM",1,IF(FORM!AB37="PM",1,0))</f>
        <v>0</v>
      </c>
      <c r="AC37" s="4">
        <f>+IF(FORM!AC37="AM Y PM",1,IF(FORM!AC37="PM",1,0))</f>
        <v>0</v>
      </c>
      <c r="AD37" s="4">
        <f>+IF(FORM!AD37="AM Y PM",1,IF(FORM!AD37="PM",1,0))</f>
        <v>0</v>
      </c>
      <c r="AE37" s="4">
        <f>+IF(FORM!AE37="AM Y PM",1,IF(FORM!AE37="PM",1,0))</f>
        <v>0</v>
      </c>
      <c r="AF37" s="4">
        <f>+IF(FORM!AF37="AM Y PM",1,IF(FORM!AF37="PM",1,0))</f>
        <v>0</v>
      </c>
    </row>
    <row r="38" spans="1:32" ht="18.75" customHeight="1" x14ac:dyDescent="0.25">
      <c r="A38" s="5" t="s">
        <v>89</v>
      </c>
      <c r="B38" s="4">
        <f>+IF(FORM!B38="AM Y PM",1,IF(FORM!B38="PM",1,0))</f>
        <v>0</v>
      </c>
      <c r="C38" s="4">
        <f>+IF(FORM!C38="AM Y PM",1,IF(FORM!C38="PM",1,0))</f>
        <v>0</v>
      </c>
      <c r="D38" s="4">
        <f>+IF(FORM!D38="AM Y PM",1,IF(FORM!D38="PM",1,0))</f>
        <v>0</v>
      </c>
      <c r="E38" s="4">
        <f>+IF(FORM!E38="AM Y PM",1,IF(FORM!E38="PM",1,0))</f>
        <v>0</v>
      </c>
      <c r="F38" s="4">
        <f>+IF(FORM!F38="AM Y PM",1,IF(FORM!F38="PM",1,0))</f>
        <v>1</v>
      </c>
      <c r="G38" s="4">
        <f>+IF(FORM!G38="AM Y PM",1,IF(FORM!G38="PM",1,0))</f>
        <v>1</v>
      </c>
      <c r="H38" s="4">
        <f>+IF(FORM!H38="AM Y PM",1,IF(FORM!H38="PM",1,0))</f>
        <v>1</v>
      </c>
      <c r="I38" s="4">
        <f>+IF(FORM!I38="AM Y PM",1,IF(FORM!I38="PM",1,0))</f>
        <v>1</v>
      </c>
      <c r="J38" s="4">
        <f>+IF(FORM!J38="AM Y PM",1,IF(FORM!J38="PM",1,0))</f>
        <v>1</v>
      </c>
      <c r="K38" s="4">
        <f>+IF(FORM!K38="AM Y PM",1,IF(FORM!K38="PM",1,0))</f>
        <v>0</v>
      </c>
      <c r="L38" s="4">
        <f>+IF(FORM!L38="AM Y PM",1,IF(FORM!L38="PM",1,0))</f>
        <v>0</v>
      </c>
      <c r="M38" s="4">
        <f>+IF(FORM!M38="AM Y PM",1,IF(FORM!M38="PM",1,0))</f>
        <v>0</v>
      </c>
      <c r="N38" s="4">
        <f>+IF(FORM!N38="AM Y PM",1,IF(FORM!N38="PM",1,0))</f>
        <v>1</v>
      </c>
      <c r="O38" s="4">
        <f>+IF(FORM!O38="AM Y PM",1,IF(FORM!O38="PM",1,0))</f>
        <v>1</v>
      </c>
      <c r="P38" s="4">
        <f>+IF(FORM!P38="AM Y PM",1,IF(FORM!P38="PM",1,0))</f>
        <v>1</v>
      </c>
      <c r="Q38" s="4">
        <f>+IF(FORM!Q38="AM Y PM",1,IF(FORM!Q38="PM",1,0))</f>
        <v>1</v>
      </c>
      <c r="R38" s="4">
        <f>+IF(FORM!R38="AM Y PM",1,IF(FORM!R38="PM",1,0))</f>
        <v>0</v>
      </c>
      <c r="S38" s="4">
        <f>+IF(FORM!S38="AM Y PM",1,IF(FORM!S38="PM",1,0))</f>
        <v>0</v>
      </c>
      <c r="T38" s="4">
        <f>+IF(FORM!T38="AM Y PM",1,IF(FORM!T38="PM",1,0))</f>
        <v>1</v>
      </c>
      <c r="U38" s="4">
        <f>+IF(FORM!U38="AM Y PM",1,IF(FORM!U38="PM",1,0))</f>
        <v>1</v>
      </c>
      <c r="V38" s="4">
        <f>+IF(FORM!V38="AM Y PM",1,IF(FORM!V38="PM",1,0))</f>
        <v>1</v>
      </c>
      <c r="W38" s="4">
        <f>+IF(FORM!W38="AM Y PM",1,IF(FORM!W38="PM",1,0))</f>
        <v>1</v>
      </c>
      <c r="X38" s="4">
        <f>+IF(FORM!X38="AM Y PM",1,IF(FORM!X38="PM",1,0))</f>
        <v>1</v>
      </c>
      <c r="Y38" s="4">
        <f>+IF(FORM!Y38="AM Y PM",1,IF(FORM!Y38="PM",1,0))</f>
        <v>0</v>
      </c>
      <c r="Z38" s="4">
        <f>+IF(FORM!Z38="AM Y PM",1,IF(FORM!Z38="PM",1,0))</f>
        <v>0</v>
      </c>
      <c r="AA38" s="4">
        <f>+IF(FORM!AA38="AM Y PM",1,IF(FORM!AA38="PM",1,0))</f>
        <v>1</v>
      </c>
      <c r="AB38" s="4">
        <f>+IF(FORM!AB38="AM Y PM",1,IF(FORM!AB38="PM",1,0))</f>
        <v>1</v>
      </c>
      <c r="AC38" s="4">
        <f>+IF(FORM!AC38="AM Y PM",1,IF(FORM!AC38="PM",1,0))</f>
        <v>1</v>
      </c>
      <c r="AD38" s="4">
        <f>+IF(FORM!AD38="AM Y PM",1,IF(FORM!AD38="PM",1,0))</f>
        <v>1</v>
      </c>
      <c r="AE38" s="4">
        <f>+IF(FORM!AE38="AM Y PM",1,IF(FORM!AE38="PM",1,0))</f>
        <v>1</v>
      </c>
      <c r="AF38" s="4">
        <f>+IF(FORM!AF38="AM Y PM",1,IF(FORM!AF38="PM",1,0))</f>
        <v>0</v>
      </c>
    </row>
    <row r="39" spans="1:32" ht="18.75" customHeight="1" x14ac:dyDescent="0.25">
      <c r="A39" s="5" t="s">
        <v>90</v>
      </c>
      <c r="B39" s="4">
        <f>+IF(FORM!B39="AM Y PM",1,IF(FORM!B39="PM",1,0))</f>
        <v>0</v>
      </c>
      <c r="C39" s="4">
        <f>+IF(FORM!C39="AM Y PM",1,IF(FORM!C39="PM",1,0))</f>
        <v>0</v>
      </c>
      <c r="D39" s="4">
        <f>+IF(FORM!D39="AM Y PM",1,IF(FORM!D39="PM",1,0))</f>
        <v>0</v>
      </c>
      <c r="E39" s="4">
        <f>+IF(FORM!E39="AM Y PM",1,IF(FORM!E39="PM",1,0))</f>
        <v>0</v>
      </c>
      <c r="F39" s="4">
        <f>+IF(FORM!F39="AM Y PM",1,IF(FORM!F39="PM",1,0))</f>
        <v>1</v>
      </c>
      <c r="G39" s="4">
        <f>+IF(FORM!G39="AM Y PM",1,IF(FORM!G39="PM",1,0))</f>
        <v>1</v>
      </c>
      <c r="H39" s="4">
        <f>+IF(FORM!H39="AM Y PM",1,IF(FORM!H39="PM",1,0))</f>
        <v>1</v>
      </c>
      <c r="I39" s="4">
        <f>+IF(FORM!I39="AM Y PM",1,IF(FORM!I39="PM",1,0))</f>
        <v>1</v>
      </c>
      <c r="J39" s="4">
        <f>+IF(FORM!J39="AM Y PM",1,IF(FORM!J39="PM",1,0))</f>
        <v>1</v>
      </c>
      <c r="K39" s="4">
        <f>+IF(FORM!K39="AM Y PM",1,IF(FORM!K39="PM",1,0))</f>
        <v>0</v>
      </c>
      <c r="L39" s="4">
        <f>+IF(FORM!L39="AM Y PM",1,IF(FORM!L39="PM",1,0))</f>
        <v>0</v>
      </c>
      <c r="M39" s="4">
        <f>+IF(FORM!M39="AM Y PM",1,IF(FORM!M39="PM",1,0))</f>
        <v>0</v>
      </c>
      <c r="N39" s="4">
        <f>+IF(FORM!N39="AM Y PM",1,IF(FORM!N39="PM",1,0))</f>
        <v>1</v>
      </c>
      <c r="O39" s="4">
        <f>+IF(FORM!O39="AM Y PM",1,IF(FORM!O39="PM",1,0))</f>
        <v>1</v>
      </c>
      <c r="P39" s="4">
        <f>+IF(FORM!P39="AM Y PM",1,IF(FORM!P39="PM",1,0))</f>
        <v>1</v>
      </c>
      <c r="Q39" s="4">
        <f>+IF(FORM!Q39="AM Y PM",1,IF(FORM!Q39="PM",1,0))</f>
        <v>1</v>
      </c>
      <c r="R39" s="4">
        <f>+IF(FORM!R39="AM Y PM",1,IF(FORM!R39="PM",1,0))</f>
        <v>0</v>
      </c>
      <c r="S39" s="4">
        <f>+IF(FORM!S39="AM Y PM",1,IF(FORM!S39="PM",1,0))</f>
        <v>0</v>
      </c>
      <c r="T39" s="4">
        <f>+IF(FORM!T39="AM Y PM",1,IF(FORM!T39="PM",1,0))</f>
        <v>1</v>
      </c>
      <c r="U39" s="4">
        <f>+IF(FORM!U39="AM Y PM",1,IF(FORM!U39="PM",1,0))</f>
        <v>1</v>
      </c>
      <c r="V39" s="4">
        <f>+IF(FORM!V39="AM Y PM",1,IF(FORM!V39="PM",1,0))</f>
        <v>1</v>
      </c>
      <c r="W39" s="4">
        <f>+IF(FORM!W39="AM Y PM",1,IF(FORM!W39="PM",1,0))</f>
        <v>1</v>
      </c>
      <c r="X39" s="4">
        <f>+IF(FORM!X39="AM Y PM",1,IF(FORM!X39="PM",1,0))</f>
        <v>1</v>
      </c>
      <c r="Y39" s="4">
        <f>+IF(FORM!Y39="AM Y PM",1,IF(FORM!Y39="PM",1,0))</f>
        <v>0</v>
      </c>
      <c r="Z39" s="4">
        <f>+IF(FORM!Z39="AM Y PM",1,IF(FORM!Z39="PM",1,0))</f>
        <v>0</v>
      </c>
      <c r="AA39" s="4">
        <f>+IF(FORM!AA39="AM Y PM",1,IF(FORM!AA39="PM",1,0))</f>
        <v>1</v>
      </c>
      <c r="AB39" s="4">
        <f>+IF(FORM!AB39="AM Y PM",1,IF(FORM!AB39="PM",1,0))</f>
        <v>1</v>
      </c>
      <c r="AC39" s="4">
        <f>+IF(FORM!AC39="AM Y PM",1,IF(FORM!AC39="PM",1,0))</f>
        <v>1</v>
      </c>
      <c r="AD39" s="4">
        <f>+IF(FORM!AD39="AM Y PM",1,IF(FORM!AD39="PM",1,0))</f>
        <v>1</v>
      </c>
      <c r="AE39" s="4">
        <f>+IF(FORM!AE39="AM Y PM",1,IF(FORM!AE39="PM",1,0))</f>
        <v>1</v>
      </c>
      <c r="AF39" s="4">
        <f>+IF(FORM!AF39="AM Y PM",1,IF(FORM!AF39="PM",1,0))</f>
        <v>0</v>
      </c>
    </row>
    <row r="40" spans="1:32" ht="18.75" customHeight="1" x14ac:dyDescent="0.25">
      <c r="A40" s="5" t="s">
        <v>91</v>
      </c>
      <c r="B40" s="4">
        <f>+IF(FORM!B40="AM Y PM",1,IF(FORM!B40="PM",1,0))</f>
        <v>0</v>
      </c>
      <c r="C40" s="4">
        <f>+IF(FORM!C40="AM Y PM",1,IF(FORM!C40="PM",1,0))</f>
        <v>0</v>
      </c>
      <c r="D40" s="4">
        <f>+IF(FORM!D40="AM Y PM",1,IF(FORM!D40="PM",1,0))</f>
        <v>0</v>
      </c>
      <c r="E40" s="4">
        <f>+IF(FORM!E40="AM Y PM",1,IF(FORM!E40="PM",1,0))</f>
        <v>0</v>
      </c>
      <c r="F40" s="4">
        <f>+IF(FORM!F40="AM Y PM",1,IF(FORM!F40="PM",1,0))</f>
        <v>0</v>
      </c>
      <c r="G40" s="4">
        <f>+IF(FORM!G40="AM Y PM",1,IF(FORM!G40="PM",1,0))</f>
        <v>0</v>
      </c>
      <c r="H40" s="4">
        <f>+IF(FORM!H40="AM Y PM",1,IF(FORM!H40="PM",1,0))</f>
        <v>0</v>
      </c>
      <c r="I40" s="4">
        <f>+IF(FORM!I40="AM Y PM",1,IF(FORM!I40="PM",1,0))</f>
        <v>0</v>
      </c>
      <c r="J40" s="4">
        <f>+IF(FORM!J40="AM Y PM",1,IF(FORM!J40="PM",1,0))</f>
        <v>0</v>
      </c>
      <c r="K40" s="4">
        <f>+IF(FORM!K40="AM Y PM",1,IF(FORM!K40="PM",1,0))</f>
        <v>0</v>
      </c>
      <c r="L40" s="4">
        <f>+IF(FORM!L40="AM Y PM",1,IF(FORM!L40="PM",1,0))</f>
        <v>0</v>
      </c>
      <c r="M40" s="4">
        <f>+IF(FORM!M40="AM Y PM",1,IF(FORM!M40="PM",1,0))</f>
        <v>0</v>
      </c>
      <c r="N40" s="4">
        <f>+IF(FORM!N40="AM Y PM",1,IF(FORM!N40="PM",1,0))</f>
        <v>0</v>
      </c>
      <c r="O40" s="4">
        <f>+IF(FORM!O40="AM Y PM",1,IF(FORM!O40="PM",1,0))</f>
        <v>0</v>
      </c>
      <c r="P40" s="4">
        <f>+IF(FORM!P40="AM Y PM",1,IF(FORM!P40="PM",1,0))</f>
        <v>0</v>
      </c>
      <c r="Q40" s="4">
        <f>+IF(FORM!Q40="AM Y PM",1,IF(FORM!Q40="PM",1,0))</f>
        <v>0</v>
      </c>
      <c r="R40" s="4">
        <f>+IF(FORM!R40="AM Y PM",1,IF(FORM!R40="PM",1,0))</f>
        <v>0</v>
      </c>
      <c r="S40" s="4">
        <f>+IF(FORM!S40="AM Y PM",1,IF(FORM!S40="PM",1,0))</f>
        <v>0</v>
      </c>
      <c r="T40" s="4">
        <f>+IF(FORM!T40="AM Y PM",1,IF(FORM!T40="PM",1,0))</f>
        <v>0</v>
      </c>
      <c r="U40" s="4">
        <f>+IF(FORM!U40="AM Y PM",1,IF(FORM!U40="PM",1,0))</f>
        <v>0</v>
      </c>
      <c r="V40" s="4">
        <f>+IF(FORM!V40="AM Y PM",1,IF(FORM!V40="PM",1,0))</f>
        <v>0</v>
      </c>
      <c r="W40" s="4">
        <f>+IF(FORM!W40="AM Y PM",1,IF(FORM!W40="PM",1,0))</f>
        <v>0</v>
      </c>
      <c r="X40" s="4">
        <f>+IF(FORM!X40="AM Y PM",1,IF(FORM!X40="PM",1,0))</f>
        <v>0</v>
      </c>
      <c r="Y40" s="4">
        <f>+IF(FORM!Y40="AM Y PM",1,IF(FORM!Y40="PM",1,0))</f>
        <v>0</v>
      </c>
      <c r="Z40" s="4">
        <f>+IF(FORM!Z40="AM Y PM",1,IF(FORM!Z40="PM",1,0))</f>
        <v>0</v>
      </c>
      <c r="AA40" s="4">
        <f>+IF(FORM!AA40="AM Y PM",1,IF(FORM!AA40="PM",1,0))</f>
        <v>1</v>
      </c>
      <c r="AB40" s="4">
        <f>+IF(FORM!AB40="AM Y PM",1,IF(FORM!AB40="PM",1,0))</f>
        <v>1</v>
      </c>
      <c r="AC40" s="4">
        <f>+IF(FORM!AC40="AM Y PM",1,IF(FORM!AC40="PM",1,0))</f>
        <v>1</v>
      </c>
      <c r="AD40" s="4">
        <f>+IF(FORM!AD40="AM Y PM",1,IF(FORM!AD40="PM",1,0))</f>
        <v>1</v>
      </c>
      <c r="AE40" s="4">
        <f>+IF(FORM!AE40="AM Y PM",1,IF(FORM!AE40="PM",1,0))</f>
        <v>1</v>
      </c>
      <c r="AF40" s="4">
        <f>+IF(FORM!AF40="AM Y PM",1,IF(FORM!AF40="PM",1,0))</f>
        <v>0</v>
      </c>
    </row>
    <row r="41" spans="1:32" ht="18.75" customHeight="1" x14ac:dyDescent="0.25">
      <c r="A41" s="5" t="s">
        <v>92</v>
      </c>
      <c r="B41" s="4">
        <f>+IF(FORM!B41="AM Y PM",1,IF(FORM!B41="PM",1,0))</f>
        <v>0</v>
      </c>
      <c r="C41" s="4">
        <f>+IF(FORM!C41="AM Y PM",1,IF(FORM!C41="PM",1,0))</f>
        <v>0</v>
      </c>
      <c r="D41" s="4">
        <f>+IF(FORM!D41="AM Y PM",1,IF(FORM!D41="PM",1,0))</f>
        <v>0</v>
      </c>
      <c r="E41" s="4">
        <f>+IF(FORM!E41="AM Y PM",1,IF(FORM!E41="PM",1,0))</f>
        <v>0</v>
      </c>
      <c r="F41" s="4">
        <f>+IF(FORM!F41="AM Y PM",1,IF(FORM!F41="PM",1,0))</f>
        <v>0</v>
      </c>
      <c r="G41" s="4">
        <f>+IF(FORM!G41="AM Y PM",1,IF(FORM!G41="PM",1,0))</f>
        <v>0</v>
      </c>
      <c r="H41" s="4">
        <f>+IF(FORM!H41="AM Y PM",1,IF(FORM!H41="PM",1,0))</f>
        <v>0</v>
      </c>
      <c r="I41" s="4">
        <f>+IF(FORM!I41="AM Y PM",1,IF(FORM!I41="PM",1,0))</f>
        <v>0</v>
      </c>
      <c r="J41" s="4">
        <f>+IF(FORM!J41="AM Y PM",1,IF(FORM!J41="PM",1,0))</f>
        <v>0</v>
      </c>
      <c r="K41" s="4">
        <f>+IF(FORM!K41="AM Y PM",1,IF(FORM!K41="PM",1,0))</f>
        <v>0</v>
      </c>
      <c r="L41" s="4">
        <f>+IF(FORM!L41="AM Y PM",1,IF(FORM!L41="PM",1,0))</f>
        <v>0</v>
      </c>
      <c r="M41" s="4">
        <f>+IF(FORM!M41="AM Y PM",1,IF(FORM!M41="PM",1,0))</f>
        <v>0</v>
      </c>
      <c r="N41" s="4">
        <f>+IF(FORM!N41="AM Y PM",1,IF(FORM!N41="PM",1,0))</f>
        <v>0</v>
      </c>
      <c r="O41" s="4">
        <f>+IF(FORM!O41="AM Y PM",1,IF(FORM!O41="PM",1,0))</f>
        <v>0</v>
      </c>
      <c r="P41" s="4">
        <f>+IF(FORM!P41="AM Y PM",1,IF(FORM!P41="PM",1,0))</f>
        <v>0</v>
      </c>
      <c r="Q41" s="4">
        <f>+IF(FORM!Q41="AM Y PM",1,IF(FORM!Q41="PM",1,0))</f>
        <v>0</v>
      </c>
      <c r="R41" s="4">
        <f>+IF(FORM!R41="AM Y PM",1,IF(FORM!R41="PM",1,0))</f>
        <v>0</v>
      </c>
      <c r="S41" s="4">
        <f>+IF(FORM!S41="AM Y PM",1,IF(FORM!S41="PM",1,0))</f>
        <v>0</v>
      </c>
      <c r="T41" s="4">
        <f>+IF(FORM!T41="AM Y PM",1,IF(FORM!T41="PM",1,0))</f>
        <v>0</v>
      </c>
      <c r="U41" s="4">
        <f>+IF(FORM!U41="AM Y PM",1,IF(FORM!U41="PM",1,0))</f>
        <v>0</v>
      </c>
      <c r="V41" s="4">
        <f>+IF(FORM!V41="AM Y PM",1,IF(FORM!V41="PM",1,0))</f>
        <v>0</v>
      </c>
      <c r="W41" s="4">
        <f>+IF(FORM!W41="AM Y PM",1,IF(FORM!W41="PM",1,0))</f>
        <v>0</v>
      </c>
      <c r="X41" s="4">
        <f>+IF(FORM!X41="AM Y PM",1,IF(FORM!X41="PM",1,0))</f>
        <v>0</v>
      </c>
      <c r="Y41" s="4">
        <f>+IF(FORM!Y41="AM Y PM",1,IF(FORM!Y41="PM",1,0))</f>
        <v>0</v>
      </c>
      <c r="Z41" s="4">
        <f>+IF(FORM!Z41="AM Y PM",1,IF(FORM!Z41="PM",1,0))</f>
        <v>0</v>
      </c>
      <c r="AA41" s="4">
        <f>+IF(FORM!AA41="AM Y PM",1,IF(FORM!AA41="PM",1,0))</f>
        <v>0</v>
      </c>
      <c r="AB41" s="4">
        <f>+IF(FORM!AB41="AM Y PM",1,IF(FORM!AB41="PM",1,0))</f>
        <v>0</v>
      </c>
      <c r="AC41" s="4">
        <f>+IF(FORM!AC41="AM Y PM",1,IF(FORM!AC41="PM",1,0))</f>
        <v>0</v>
      </c>
      <c r="AD41" s="4">
        <f>+IF(FORM!AD41="AM Y PM",1,IF(FORM!AD41="PM",1,0))</f>
        <v>0</v>
      </c>
      <c r="AE41" s="4">
        <f>+IF(FORM!AE41="AM Y PM",1,IF(FORM!AE41="PM",1,0))</f>
        <v>0</v>
      </c>
      <c r="AF41" s="4">
        <f>+IF(FORM!AF41="AM Y PM",1,IF(FORM!AF41="PM",1,0))</f>
        <v>0</v>
      </c>
    </row>
    <row r="42" spans="1:32" ht="18.75" customHeight="1" x14ac:dyDescent="0.25">
      <c r="A42" s="5" t="s">
        <v>93</v>
      </c>
      <c r="B42" s="4">
        <f>+IF(FORM!B42="AM Y PM",1,IF(FORM!B42="PM",1,0))</f>
        <v>0</v>
      </c>
      <c r="C42" s="4">
        <f>+IF(FORM!C42="AM Y PM",1,IF(FORM!C42="PM",1,0))</f>
        <v>0</v>
      </c>
      <c r="D42" s="4">
        <f>+IF(FORM!D42="AM Y PM",1,IF(FORM!D42="PM",1,0))</f>
        <v>0</v>
      </c>
      <c r="E42" s="4">
        <f>+IF(FORM!E42="AM Y PM",1,IF(FORM!E42="PM",1,0))</f>
        <v>0</v>
      </c>
      <c r="F42" s="4">
        <f>+IF(FORM!F42="AM Y PM",1,IF(FORM!F42="PM",1,0))</f>
        <v>0</v>
      </c>
      <c r="G42" s="4">
        <f>+IF(FORM!G42="AM Y PM",1,IF(FORM!G42="PM",1,0))</f>
        <v>0</v>
      </c>
      <c r="H42" s="4">
        <f>+IF(FORM!H42="AM Y PM",1,IF(FORM!H42="PM",1,0))</f>
        <v>0</v>
      </c>
      <c r="I42" s="4">
        <f>+IF(FORM!I42="AM Y PM",1,IF(FORM!I42="PM",1,0))</f>
        <v>0</v>
      </c>
      <c r="J42" s="4">
        <f>+IF(FORM!J42="AM Y PM",1,IF(FORM!J42="PM",1,0))</f>
        <v>0</v>
      </c>
      <c r="K42" s="4">
        <f>+IF(FORM!K42="AM Y PM",1,IF(FORM!K42="PM",1,0))</f>
        <v>0</v>
      </c>
      <c r="L42" s="4">
        <f>+IF(FORM!L42="AM Y PM",1,IF(FORM!L42="PM",1,0))</f>
        <v>0</v>
      </c>
      <c r="M42" s="4">
        <f>+IF(FORM!M42="AM Y PM",1,IF(FORM!M42="PM",1,0))</f>
        <v>0</v>
      </c>
      <c r="N42" s="4">
        <f>+IF(FORM!N42="AM Y PM",1,IF(FORM!N42="PM",1,0))</f>
        <v>0</v>
      </c>
      <c r="O42" s="4">
        <f>+IF(FORM!O42="AM Y PM",1,IF(FORM!O42="PM",1,0))</f>
        <v>0</v>
      </c>
      <c r="P42" s="4">
        <f>+IF(FORM!P42="AM Y PM",1,IF(FORM!P42="PM",1,0))</f>
        <v>0</v>
      </c>
      <c r="Q42" s="4">
        <f>+IF(FORM!Q42="AM Y PM",1,IF(FORM!Q42="PM",1,0))</f>
        <v>0</v>
      </c>
      <c r="R42" s="4">
        <f>+IF(FORM!R42="AM Y PM",1,IF(FORM!R42="PM",1,0))</f>
        <v>0</v>
      </c>
      <c r="S42" s="4">
        <f>+IF(FORM!S42="AM Y PM",1,IF(FORM!S42="PM",1,0))</f>
        <v>0</v>
      </c>
      <c r="T42" s="4">
        <f>+IF(FORM!T42="AM Y PM",1,IF(FORM!T42="PM",1,0))</f>
        <v>1</v>
      </c>
      <c r="U42" s="4">
        <f>+IF(FORM!U42="AM Y PM",1,IF(FORM!U42="PM",1,0))</f>
        <v>0</v>
      </c>
      <c r="V42" s="4">
        <f>+IF(FORM!V42="AM Y PM",1,IF(FORM!V42="PM",1,0))</f>
        <v>0</v>
      </c>
      <c r="W42" s="4">
        <f>+IF(FORM!W42="AM Y PM",1,IF(FORM!W42="PM",1,0))</f>
        <v>0</v>
      </c>
      <c r="X42" s="4">
        <f>+IF(FORM!X42="AM Y PM",1,IF(FORM!X42="PM",1,0))</f>
        <v>0</v>
      </c>
      <c r="Y42" s="4">
        <f>+IF(FORM!Y42="AM Y PM",1,IF(FORM!Y42="PM",1,0))</f>
        <v>0</v>
      </c>
      <c r="Z42" s="4">
        <f>+IF(FORM!Z42="AM Y PM",1,IF(FORM!Z42="PM",1,0))</f>
        <v>0</v>
      </c>
      <c r="AA42" s="4">
        <f>+IF(FORM!AA42="AM Y PM",1,IF(FORM!AA42="PM",1,0))</f>
        <v>1</v>
      </c>
      <c r="AB42" s="4">
        <f>+IF(FORM!AB42="AM Y PM",1,IF(FORM!AB42="PM",1,0))</f>
        <v>0</v>
      </c>
      <c r="AC42" s="4">
        <f>+IF(FORM!AC42="AM Y PM",1,IF(FORM!AC42="PM",1,0))</f>
        <v>0</v>
      </c>
      <c r="AD42" s="4">
        <f>+IF(FORM!AD42="AM Y PM",1,IF(FORM!AD42="PM",1,0))</f>
        <v>0</v>
      </c>
      <c r="AE42" s="4">
        <f>+IF(FORM!AE42="AM Y PM",1,IF(FORM!AE42="PM",1,0))</f>
        <v>0</v>
      </c>
      <c r="AF42" s="4">
        <f>+IF(FORM!AF42="AM Y PM",1,IF(FORM!AF42="PM",1,0))</f>
        <v>0</v>
      </c>
    </row>
    <row r="43" spans="1:32" ht="18.75" customHeight="1" x14ac:dyDescent="0.25">
      <c r="A43" s="5" t="s">
        <v>94</v>
      </c>
      <c r="B43" s="4">
        <f>+IF(FORM!B43="AM Y PM",1,IF(FORM!B43="PM",1,0))</f>
        <v>0</v>
      </c>
      <c r="C43" s="4">
        <f>+IF(FORM!C43="AM Y PM",1,IF(FORM!C43="PM",1,0))</f>
        <v>0</v>
      </c>
      <c r="D43" s="4">
        <f>+IF(FORM!D43="AM Y PM",1,IF(FORM!D43="PM",1,0))</f>
        <v>0</v>
      </c>
      <c r="E43" s="4">
        <f>+IF(FORM!E43="AM Y PM",1,IF(FORM!E43="PM",1,0))</f>
        <v>0</v>
      </c>
      <c r="F43" s="4">
        <f>+IF(FORM!F43="AM Y PM",1,IF(FORM!F43="PM",1,0))</f>
        <v>1</v>
      </c>
      <c r="G43" s="4">
        <f>+IF(FORM!G43="AM Y PM",1,IF(FORM!G43="PM",1,0))</f>
        <v>1</v>
      </c>
      <c r="H43" s="4">
        <f>+IF(FORM!H43="AM Y PM",1,IF(FORM!H43="PM",1,0))</f>
        <v>1</v>
      </c>
      <c r="I43" s="4">
        <f>+IF(FORM!I43="AM Y PM",1,IF(FORM!I43="PM",1,0))</f>
        <v>1</v>
      </c>
      <c r="J43" s="4">
        <f>+IF(FORM!J43="AM Y PM",1,IF(FORM!J43="PM",1,0))</f>
        <v>1</v>
      </c>
      <c r="K43" s="4">
        <f>+IF(FORM!K43="AM Y PM",1,IF(FORM!K43="PM",1,0))</f>
        <v>0</v>
      </c>
      <c r="L43" s="4">
        <f>+IF(FORM!L43="AM Y PM",1,IF(FORM!L43="PM",1,0))</f>
        <v>0</v>
      </c>
      <c r="M43" s="4">
        <f>+IF(FORM!M43="AM Y PM",1,IF(FORM!M43="PM",1,0))</f>
        <v>0</v>
      </c>
      <c r="N43" s="4">
        <f>+IF(FORM!N43="AM Y PM",1,IF(FORM!N43="PM",1,0))</f>
        <v>1</v>
      </c>
      <c r="O43" s="4">
        <f>+IF(FORM!O43="AM Y PM",1,IF(FORM!O43="PM",1,0))</f>
        <v>1</v>
      </c>
      <c r="P43" s="4">
        <f>+IF(FORM!P43="AM Y PM",1,IF(FORM!P43="PM",1,0))</f>
        <v>1</v>
      </c>
      <c r="Q43" s="4">
        <f>+IF(FORM!Q43="AM Y PM",1,IF(FORM!Q43="PM",1,0))</f>
        <v>1</v>
      </c>
      <c r="R43" s="4">
        <f>+IF(FORM!R43="AM Y PM",1,IF(FORM!R43="PM",1,0))</f>
        <v>0</v>
      </c>
      <c r="S43" s="4">
        <f>+IF(FORM!S43="AM Y PM",1,IF(FORM!S43="PM",1,0))</f>
        <v>0</v>
      </c>
      <c r="T43" s="4">
        <f>+IF(FORM!T43="AM Y PM",1,IF(FORM!T43="PM",1,0))</f>
        <v>1</v>
      </c>
      <c r="U43" s="4">
        <f>+IF(FORM!U43="AM Y PM",1,IF(FORM!U43="PM",1,0))</f>
        <v>1</v>
      </c>
      <c r="V43" s="4">
        <f>+IF(FORM!V43="AM Y PM",1,IF(FORM!V43="PM",1,0))</f>
        <v>1</v>
      </c>
      <c r="W43" s="4">
        <f>+IF(FORM!W43="AM Y PM",1,IF(FORM!W43="PM",1,0))</f>
        <v>1</v>
      </c>
      <c r="X43" s="4">
        <f>+IF(FORM!X43="AM Y PM",1,IF(FORM!X43="PM",1,0))</f>
        <v>1</v>
      </c>
      <c r="Y43" s="4">
        <f>+IF(FORM!Y43="AM Y PM",1,IF(FORM!Y43="PM",1,0))</f>
        <v>0</v>
      </c>
      <c r="Z43" s="4">
        <f>+IF(FORM!Z43="AM Y PM",1,IF(FORM!Z43="PM",1,0))</f>
        <v>0</v>
      </c>
      <c r="AA43" s="4">
        <f>+IF(FORM!AA43="AM Y PM",1,IF(FORM!AA43="PM",1,0))</f>
        <v>1</v>
      </c>
      <c r="AB43" s="4">
        <f>+IF(FORM!AB43="AM Y PM",1,IF(FORM!AB43="PM",1,0))</f>
        <v>1</v>
      </c>
      <c r="AC43" s="4">
        <f>+IF(FORM!AC43="AM Y PM",1,IF(FORM!AC43="PM",1,0))</f>
        <v>1</v>
      </c>
      <c r="AD43" s="4">
        <f>+IF(FORM!AD43="AM Y PM",1,IF(FORM!AD43="PM",1,0))</f>
        <v>1</v>
      </c>
      <c r="AE43" s="4">
        <f>+IF(FORM!AE43="AM Y PM",1,IF(FORM!AE43="PM",1,0))</f>
        <v>1</v>
      </c>
      <c r="AF43" s="4">
        <f>+IF(FORM!AF43="AM Y PM",1,IF(FORM!AF43="PM",1,0))</f>
        <v>0</v>
      </c>
    </row>
    <row r="44" spans="1:32" ht="18.75" customHeight="1" x14ac:dyDescent="0.25">
      <c r="A44" s="5" t="s">
        <v>95</v>
      </c>
      <c r="B44" s="4">
        <f>+IF(FORM!B44="AM Y PM",1,IF(FORM!B44="PM",1,0))</f>
        <v>0</v>
      </c>
      <c r="C44" s="4">
        <f>+IF(FORM!C44="AM Y PM",1,IF(FORM!C44="PM",1,0))</f>
        <v>0</v>
      </c>
      <c r="D44" s="4">
        <f>+IF(FORM!D44="AM Y PM",1,IF(FORM!D44="PM",1,0))</f>
        <v>0</v>
      </c>
      <c r="E44" s="4">
        <f>+IF(FORM!E44="AM Y PM",1,IF(FORM!E44="PM",1,0))</f>
        <v>0</v>
      </c>
      <c r="F44" s="4">
        <f>+IF(FORM!F44="AM Y PM",1,IF(FORM!F44="PM",1,0))</f>
        <v>1</v>
      </c>
      <c r="G44" s="4">
        <f>+IF(FORM!G44="AM Y PM",1,IF(FORM!G44="PM",1,0))</f>
        <v>1</v>
      </c>
      <c r="H44" s="4">
        <f>+IF(FORM!H44="AM Y PM",1,IF(FORM!H44="PM",1,0))</f>
        <v>1</v>
      </c>
      <c r="I44" s="4">
        <f>+IF(FORM!I44="AM Y PM",1,IF(FORM!I44="PM",1,0))</f>
        <v>1</v>
      </c>
      <c r="J44" s="4">
        <f>+IF(FORM!J44="AM Y PM",1,IF(FORM!J44="PM",1,0))</f>
        <v>1</v>
      </c>
      <c r="K44" s="4">
        <f>+IF(FORM!K44="AM Y PM",1,IF(FORM!K44="PM",1,0))</f>
        <v>0</v>
      </c>
      <c r="L44" s="4">
        <f>+IF(FORM!L44="AM Y PM",1,IF(FORM!L44="PM",1,0))</f>
        <v>0</v>
      </c>
      <c r="M44" s="4">
        <f>+IF(FORM!M44="AM Y PM",1,IF(FORM!M44="PM",1,0))</f>
        <v>0</v>
      </c>
      <c r="N44" s="4">
        <f>+IF(FORM!N44="AM Y PM",1,IF(FORM!N44="PM",1,0))</f>
        <v>1</v>
      </c>
      <c r="O44" s="4">
        <f>+IF(FORM!O44="AM Y PM",1,IF(FORM!O44="PM",1,0))</f>
        <v>1</v>
      </c>
      <c r="P44" s="4">
        <f>+IF(FORM!P44="AM Y PM",1,IF(FORM!P44="PM",1,0))</f>
        <v>1</v>
      </c>
      <c r="Q44" s="4">
        <f>+IF(FORM!Q44="AM Y PM",1,IF(FORM!Q44="PM",1,0))</f>
        <v>1</v>
      </c>
      <c r="R44" s="4">
        <f>+IF(FORM!R44="AM Y PM",1,IF(FORM!R44="PM",1,0))</f>
        <v>0</v>
      </c>
      <c r="S44" s="4">
        <f>+IF(FORM!S44="AM Y PM",1,IF(FORM!S44="PM",1,0))</f>
        <v>0</v>
      </c>
      <c r="T44" s="4">
        <f>+IF(FORM!T44="AM Y PM",1,IF(FORM!T44="PM",1,0))</f>
        <v>1</v>
      </c>
      <c r="U44" s="4">
        <f>+IF(FORM!U44="AM Y PM",1,IF(FORM!U44="PM",1,0))</f>
        <v>1</v>
      </c>
      <c r="V44" s="4">
        <f>+IF(FORM!V44="AM Y PM",1,IF(FORM!V44="PM",1,0))</f>
        <v>1</v>
      </c>
      <c r="W44" s="4">
        <f>+IF(FORM!W44="AM Y PM",1,IF(FORM!W44="PM",1,0))</f>
        <v>1</v>
      </c>
      <c r="X44" s="4">
        <f>+IF(FORM!X44="AM Y PM",1,IF(FORM!X44="PM",1,0))</f>
        <v>1</v>
      </c>
      <c r="Y44" s="4">
        <f>+IF(FORM!Y44="AM Y PM",1,IF(FORM!Y44="PM",1,0))</f>
        <v>0</v>
      </c>
      <c r="Z44" s="4">
        <f>+IF(FORM!Z44="AM Y PM",1,IF(FORM!Z44="PM",1,0))</f>
        <v>0</v>
      </c>
      <c r="AA44" s="4">
        <f>+IF(FORM!AA44="AM Y PM",1,IF(FORM!AA44="PM",1,0))</f>
        <v>1</v>
      </c>
      <c r="AB44" s="4">
        <f>+IF(FORM!AB44="AM Y PM",1,IF(FORM!AB44="PM",1,0))</f>
        <v>1</v>
      </c>
      <c r="AC44" s="4">
        <f>+IF(FORM!AC44="AM Y PM",1,IF(FORM!AC44="PM",1,0))</f>
        <v>1</v>
      </c>
      <c r="AD44" s="4">
        <f>+IF(FORM!AD44="AM Y PM",1,IF(FORM!AD44="PM",1,0))</f>
        <v>1</v>
      </c>
      <c r="AE44" s="4">
        <f>+IF(FORM!AE44="AM Y PM",1,IF(FORM!AE44="PM",1,0))</f>
        <v>1</v>
      </c>
      <c r="AF44" s="4">
        <f>+IF(FORM!AF44="AM Y PM",1,IF(FORM!AF44="PM",1,0))</f>
        <v>0</v>
      </c>
    </row>
    <row r="45" spans="1:32" ht="18.75" customHeight="1" x14ac:dyDescent="0.25">
      <c r="A45" s="5" t="s">
        <v>96</v>
      </c>
      <c r="B45" s="4">
        <f>+IF(FORM!B45="AM Y PM",1,IF(FORM!B45="PM",1,0))</f>
        <v>0</v>
      </c>
      <c r="C45" s="4">
        <f>+IF(FORM!C45="AM Y PM",1,IF(FORM!C45="PM",1,0))</f>
        <v>0</v>
      </c>
      <c r="D45" s="4">
        <f>+IF(FORM!D45="AM Y PM",1,IF(FORM!D45="PM",1,0))</f>
        <v>0</v>
      </c>
      <c r="E45" s="4">
        <f>+IF(FORM!E45="AM Y PM",1,IF(FORM!E45="PM",1,0))</f>
        <v>0</v>
      </c>
      <c r="F45" s="4">
        <f>+IF(FORM!F45="AM Y PM",1,IF(FORM!F45="PM",1,0))</f>
        <v>1</v>
      </c>
      <c r="G45" s="4">
        <f>+IF(FORM!G45="AM Y PM",1,IF(FORM!G45="PM",1,0))</f>
        <v>0</v>
      </c>
      <c r="H45" s="4">
        <f>+IF(FORM!H45="AM Y PM",1,IF(FORM!H45="PM",1,0))</f>
        <v>1</v>
      </c>
      <c r="I45" s="4">
        <f>+IF(FORM!I45="AM Y PM",1,IF(FORM!I45="PM",1,0))</f>
        <v>1</v>
      </c>
      <c r="J45" s="4">
        <f>+IF(FORM!J45="AM Y PM",1,IF(FORM!J45="PM",1,0))</f>
        <v>0</v>
      </c>
      <c r="K45" s="4">
        <f>+IF(FORM!K45="AM Y PM",1,IF(FORM!K45="PM",1,0))</f>
        <v>0</v>
      </c>
      <c r="L45" s="4">
        <f>+IF(FORM!L45="AM Y PM",1,IF(FORM!L45="PM",1,0))</f>
        <v>0</v>
      </c>
      <c r="M45" s="4">
        <f>+IF(FORM!M45="AM Y PM",1,IF(FORM!M45="PM",1,0))</f>
        <v>0</v>
      </c>
      <c r="N45" s="4">
        <f>+IF(FORM!N45="AM Y PM",1,IF(FORM!N45="PM",1,0))</f>
        <v>1</v>
      </c>
      <c r="O45" s="4">
        <f>+IF(FORM!O45="AM Y PM",1,IF(FORM!O45="PM",1,0))</f>
        <v>1</v>
      </c>
      <c r="P45" s="4">
        <f>+IF(FORM!P45="AM Y PM",1,IF(FORM!P45="PM",1,0))</f>
        <v>1</v>
      </c>
      <c r="Q45" s="4">
        <f>+IF(FORM!Q45="AM Y PM",1,IF(FORM!Q45="PM",1,0))</f>
        <v>0</v>
      </c>
      <c r="R45" s="4">
        <f>+IF(FORM!R45="AM Y PM",1,IF(FORM!R45="PM",1,0))</f>
        <v>0</v>
      </c>
      <c r="S45" s="4">
        <f>+IF(FORM!S45="AM Y PM",1,IF(FORM!S45="PM",1,0))</f>
        <v>0</v>
      </c>
      <c r="T45" s="4">
        <f>+IF(FORM!T45="AM Y PM",1,IF(FORM!T45="PM",1,0))</f>
        <v>1</v>
      </c>
      <c r="U45" s="4">
        <f>+IF(FORM!U45="AM Y PM",1,IF(FORM!U45="PM",1,0))</f>
        <v>0</v>
      </c>
      <c r="V45" s="4">
        <f>+IF(FORM!V45="AM Y PM",1,IF(FORM!V45="PM",1,0))</f>
        <v>0</v>
      </c>
      <c r="W45" s="4">
        <f>+IF(FORM!W45="AM Y PM",1,IF(FORM!W45="PM",1,0))</f>
        <v>1</v>
      </c>
      <c r="X45" s="4">
        <f>+IF(FORM!X45="AM Y PM",1,IF(FORM!X45="PM",1,0))</f>
        <v>1</v>
      </c>
      <c r="Y45" s="4">
        <f>+IF(FORM!Y45="AM Y PM",1,IF(FORM!Y45="PM",1,0))</f>
        <v>0</v>
      </c>
      <c r="Z45" s="4">
        <f>+IF(FORM!Z45="AM Y PM",1,IF(FORM!Z45="PM",1,0))</f>
        <v>0</v>
      </c>
      <c r="AA45" s="4">
        <f>+IF(FORM!AA45="AM Y PM",1,IF(FORM!AA45="PM",1,0))</f>
        <v>1</v>
      </c>
      <c r="AB45" s="4">
        <f>+IF(FORM!AB45="AM Y PM",1,IF(FORM!AB45="PM",1,0))</f>
        <v>0</v>
      </c>
      <c r="AC45" s="4">
        <f>+IF(FORM!AC45="AM Y PM",1,IF(FORM!AC45="PM",1,0))</f>
        <v>1</v>
      </c>
      <c r="AD45" s="4">
        <f>+IF(FORM!AD45="AM Y PM",1,IF(FORM!AD45="PM",1,0))</f>
        <v>1</v>
      </c>
      <c r="AE45" s="4">
        <f>+IF(FORM!AE45="AM Y PM",1,IF(FORM!AE45="PM",1,0))</f>
        <v>0</v>
      </c>
      <c r="AF45" s="4">
        <f>+IF(FORM!AF45="AM Y PM",1,IF(FORM!AF45="PM",1,0))</f>
        <v>0</v>
      </c>
    </row>
    <row r="46" spans="1:32" ht="18.75" customHeight="1" x14ac:dyDescent="0.25">
      <c r="A46" s="6" t="s">
        <v>97</v>
      </c>
      <c r="B46" s="4">
        <f>+IF(FORM!B46="AM Y PM",1,IF(FORM!B46="PM",1,0))</f>
        <v>0</v>
      </c>
      <c r="C46" s="4">
        <f>+IF(FORM!C46="AM Y PM",1,IF(FORM!C46="PM",1,0))</f>
        <v>0</v>
      </c>
      <c r="D46" s="4">
        <f>+IF(FORM!D46="AM Y PM",1,IF(FORM!D46="PM",1,0))</f>
        <v>0</v>
      </c>
      <c r="E46" s="4">
        <f>+IF(FORM!E46="AM Y PM",1,IF(FORM!E46="PM",1,0))</f>
        <v>0</v>
      </c>
      <c r="F46" s="4">
        <f>+IF(FORM!F46="AM Y PM",1,IF(FORM!F46="PM",1,0))</f>
        <v>0</v>
      </c>
      <c r="G46" s="4">
        <f>+IF(FORM!G46="AM Y PM",1,IF(FORM!G46="PM",1,0))</f>
        <v>0</v>
      </c>
      <c r="H46" s="4">
        <f>+IF(FORM!H46="AM Y PM",1,IF(FORM!H46="PM",1,0))</f>
        <v>1</v>
      </c>
      <c r="I46" s="4">
        <f>+IF(FORM!I46="AM Y PM",1,IF(FORM!I46="PM",1,0))</f>
        <v>1</v>
      </c>
      <c r="J46" s="4">
        <f>+IF(FORM!J46="AM Y PM",1,IF(FORM!J46="PM",1,0))</f>
        <v>1</v>
      </c>
      <c r="K46" s="4">
        <f>+IF(FORM!K46="AM Y PM",1,IF(FORM!K46="PM",1,0))</f>
        <v>0</v>
      </c>
      <c r="L46" s="4">
        <f>+IF(FORM!L46="AM Y PM",1,IF(FORM!L46="PM",1,0))</f>
        <v>0</v>
      </c>
      <c r="M46" s="4">
        <f>+IF(FORM!M46="AM Y PM",1,IF(FORM!M46="PM",1,0))</f>
        <v>0</v>
      </c>
      <c r="N46" s="4">
        <f>+IF(FORM!N46="AM Y PM",1,IF(FORM!N46="PM",1,0))</f>
        <v>1</v>
      </c>
      <c r="O46" s="4">
        <f>+IF(FORM!O46="AM Y PM",1,IF(FORM!O46="PM",1,0))</f>
        <v>1</v>
      </c>
      <c r="P46" s="4">
        <f>+IF(FORM!P46="AM Y PM",1,IF(FORM!P46="PM",1,0))</f>
        <v>1</v>
      </c>
      <c r="Q46" s="4">
        <f>+IF(FORM!Q46="AM Y PM",1,IF(FORM!Q46="PM",1,0))</f>
        <v>1</v>
      </c>
      <c r="R46" s="4">
        <f>+IF(FORM!R46="AM Y PM",1,IF(FORM!R46="PM",1,0))</f>
        <v>0</v>
      </c>
      <c r="S46" s="4">
        <f>+IF(FORM!S46="AM Y PM",1,IF(FORM!S46="PM",1,0))</f>
        <v>0</v>
      </c>
      <c r="T46" s="4">
        <f>+IF(FORM!T46="AM Y PM",1,IF(FORM!T46="PM",1,0))</f>
        <v>1</v>
      </c>
      <c r="U46" s="4">
        <f>+IF(FORM!U46="AM Y PM",1,IF(FORM!U46="PM",1,0))</f>
        <v>1</v>
      </c>
      <c r="V46" s="4">
        <f>+IF(FORM!V46="AM Y PM",1,IF(FORM!V46="PM",1,0))</f>
        <v>1</v>
      </c>
      <c r="W46" s="4">
        <f>+IF(FORM!W46="AM Y PM",1,IF(FORM!W46="PM",1,0))</f>
        <v>1</v>
      </c>
      <c r="X46" s="4">
        <f>+IF(FORM!X46="AM Y PM",1,IF(FORM!X46="PM",1,0))</f>
        <v>1</v>
      </c>
      <c r="Y46" s="4">
        <f>+IF(FORM!Y46="AM Y PM",1,IF(FORM!Y46="PM",1,0))</f>
        <v>0</v>
      </c>
      <c r="Z46" s="4">
        <f>+IF(FORM!Z46="AM Y PM",1,IF(FORM!Z46="PM",1,0))</f>
        <v>0</v>
      </c>
      <c r="AA46" s="4">
        <f>+IF(FORM!AA46="AM Y PM",1,IF(FORM!AA46="PM",1,0))</f>
        <v>1</v>
      </c>
      <c r="AB46" s="4">
        <f>+IF(FORM!AB46="AM Y PM",1,IF(FORM!AB46="PM",1,0))</f>
        <v>1</v>
      </c>
      <c r="AC46" s="4">
        <f>+IF(FORM!AC46="AM Y PM",1,IF(FORM!AC46="PM",1,0))</f>
        <v>1</v>
      </c>
      <c r="AD46" s="4">
        <f>+IF(FORM!AD46="AM Y PM",1,IF(FORM!AD46="PM",1,0))</f>
        <v>1</v>
      </c>
      <c r="AE46" s="4">
        <f>+IF(FORM!AE46="AM Y PM",1,IF(FORM!AE46="PM",1,0))</f>
        <v>1</v>
      </c>
      <c r="AF46" s="4">
        <f>+IF(FORM!AF46="AM Y PM",1,IF(FORM!AF46="PM",1,0))</f>
        <v>0</v>
      </c>
    </row>
  </sheetData>
  <conditionalFormatting sqref="B2:AF46">
    <cfRule type="cellIs" dxfId="17" priority="1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F46"/>
  <sheetViews>
    <sheetView workbookViewId="0">
      <selection activeCell="B3" sqref="B3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32" width="6.7109375" style="7" bestFit="1" customWidth="1"/>
  </cols>
  <sheetData>
    <row r="1" spans="1:32" ht="18.75" customHeight="1" x14ac:dyDescent="0.25">
      <c r="B1" s="19">
        <v>1</v>
      </c>
      <c r="C1" s="19">
        <v>2</v>
      </c>
      <c r="D1" s="19">
        <v>3</v>
      </c>
      <c r="E1" s="19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19">
        <v>12</v>
      </c>
      <c r="N1" s="19">
        <v>13</v>
      </c>
      <c r="O1" s="19">
        <v>14</v>
      </c>
      <c r="P1" s="19">
        <v>15</v>
      </c>
      <c r="Q1" s="19">
        <v>16</v>
      </c>
      <c r="R1" s="19">
        <v>17</v>
      </c>
      <c r="S1" s="19">
        <v>18</v>
      </c>
      <c r="T1" s="19">
        <v>19</v>
      </c>
      <c r="U1" s="19">
        <v>20</v>
      </c>
      <c r="V1" s="19">
        <v>21</v>
      </c>
      <c r="W1" s="19">
        <v>22</v>
      </c>
      <c r="X1" s="19">
        <v>23</v>
      </c>
      <c r="Y1" s="19">
        <v>24</v>
      </c>
      <c r="Z1" s="19">
        <v>25</v>
      </c>
      <c r="AA1" s="19">
        <v>26</v>
      </c>
      <c r="AB1" s="19">
        <v>27</v>
      </c>
      <c r="AC1" s="19">
        <v>28</v>
      </c>
      <c r="AD1" s="19">
        <v>29</v>
      </c>
      <c r="AE1" s="19">
        <v>30</v>
      </c>
      <c r="AF1" s="19">
        <v>31</v>
      </c>
    </row>
    <row r="2" spans="1:32" ht="18.75" customHeight="1" x14ac:dyDescent="0.25">
      <c r="A2" s="3" t="s">
        <v>111</v>
      </c>
      <c r="B2" s="4">
        <f>+TD_tdj1!B2*300</f>
        <v>0</v>
      </c>
      <c r="C2" s="4">
        <f>+TD_tdj1!C2*300</f>
        <v>0</v>
      </c>
      <c r="D2" s="4">
        <f>+TD_tdj1!D2*300</f>
        <v>0</v>
      </c>
      <c r="E2" s="4">
        <f>+TD_tdj1!E2*300</f>
        <v>0</v>
      </c>
      <c r="F2" s="4">
        <f>+TD_tdj1!F2*300</f>
        <v>300</v>
      </c>
      <c r="G2" s="4">
        <f>+TD_tdj1!G2*300</f>
        <v>300</v>
      </c>
      <c r="H2" s="4">
        <f>+TD_tdj1!H2*300</f>
        <v>300</v>
      </c>
      <c r="I2" s="4">
        <f>+TD_tdj1!I2*300</f>
        <v>300</v>
      </c>
      <c r="J2" s="4">
        <f>+TD_tdj1!J2*300</f>
        <v>300</v>
      </c>
      <c r="K2" s="4">
        <f>+TD_tdj1!K2*300</f>
        <v>0</v>
      </c>
      <c r="L2" s="4">
        <f>+TD_tdj1!L2*300</f>
        <v>0</v>
      </c>
      <c r="M2" s="4">
        <f>+TD_tdj1!M2*300</f>
        <v>0</v>
      </c>
      <c r="N2" s="4">
        <f>+TD_tdj1!N2*300</f>
        <v>300</v>
      </c>
      <c r="O2" s="4">
        <f>+TD_tdj1!O2*300</f>
        <v>300</v>
      </c>
      <c r="P2" s="4">
        <f>+TD_tdj1!P2*300</f>
        <v>300</v>
      </c>
      <c r="Q2" s="4">
        <f>+TD_tdj1!Q2*300</f>
        <v>300</v>
      </c>
      <c r="R2" s="4">
        <f>+TD_tdj1!R2*300</f>
        <v>0</v>
      </c>
      <c r="S2" s="4">
        <f>+TD_tdj1!S2*300</f>
        <v>0</v>
      </c>
      <c r="T2" s="4">
        <f>+TD_tdj1!T2*300</f>
        <v>300</v>
      </c>
      <c r="U2" s="4">
        <f>+TD_tdj1!U2*300</f>
        <v>300</v>
      </c>
      <c r="V2" s="4">
        <f>+TD_tdj1!V2*300</f>
        <v>300</v>
      </c>
      <c r="W2" s="4">
        <f>+TD_tdj1!W2*300</f>
        <v>300</v>
      </c>
      <c r="X2" s="4">
        <f>+TD_tdj1!X2*300</f>
        <v>300</v>
      </c>
      <c r="Y2" s="4">
        <f>+TD_tdj1!Y2*300</f>
        <v>0</v>
      </c>
      <c r="Z2" s="4">
        <f>+TD_tdj1!Z2*300</f>
        <v>0</v>
      </c>
      <c r="AA2" s="4">
        <f>+TD_tdj1!AA2*300</f>
        <v>0</v>
      </c>
      <c r="AB2" s="4">
        <f>+TD_tdj1!AB2*300</f>
        <v>300</v>
      </c>
      <c r="AC2" s="4">
        <f>+TD_tdj1!AC2*300</f>
        <v>300</v>
      </c>
      <c r="AD2" s="4">
        <f>+TD_tdj1!AD2*300</f>
        <v>300</v>
      </c>
      <c r="AE2" s="4">
        <f>+TD_tdj1!AE2*300</f>
        <v>300</v>
      </c>
      <c r="AF2" s="4">
        <f>+TD_tdj1!AF2*300</f>
        <v>0</v>
      </c>
    </row>
    <row r="3" spans="1:32" ht="18.75" customHeight="1" x14ac:dyDescent="0.25">
      <c r="A3" s="5" t="s">
        <v>54</v>
      </c>
      <c r="B3" s="4">
        <f>+TD_tdj1!B3*300</f>
        <v>0</v>
      </c>
      <c r="C3" s="4">
        <f>+TD_tdj1!C3*300</f>
        <v>0</v>
      </c>
      <c r="D3" s="4">
        <f>+TD_tdj1!D3*300</f>
        <v>0</v>
      </c>
      <c r="E3" s="4">
        <f>+TD_tdj1!E3*300</f>
        <v>0</v>
      </c>
      <c r="F3" s="4">
        <f>+TD_tdj1!F3*300</f>
        <v>300</v>
      </c>
      <c r="G3" s="4">
        <f>+TD_tdj1!G3*300</f>
        <v>300</v>
      </c>
      <c r="H3" s="4">
        <f>+TD_tdj1!H3*300</f>
        <v>300</v>
      </c>
      <c r="I3" s="4">
        <f>+TD_tdj1!I3*300</f>
        <v>300</v>
      </c>
      <c r="J3" s="4">
        <f>+TD_tdj1!J3*300</f>
        <v>300</v>
      </c>
      <c r="K3" s="4">
        <f>+TD_tdj1!K3*300</f>
        <v>0</v>
      </c>
      <c r="L3" s="4">
        <f>+TD_tdj1!L3*300</f>
        <v>0</v>
      </c>
      <c r="M3" s="4">
        <f>+TD_tdj1!M3*300</f>
        <v>0</v>
      </c>
      <c r="N3" s="4">
        <f>+TD_tdj1!N3*300</f>
        <v>300</v>
      </c>
      <c r="O3" s="4">
        <f>+TD_tdj1!O3*300</f>
        <v>300</v>
      </c>
      <c r="P3" s="4">
        <f>+TD_tdj1!P3*300</f>
        <v>300</v>
      </c>
      <c r="Q3" s="4">
        <f>+TD_tdj1!Q3*300</f>
        <v>300</v>
      </c>
      <c r="R3" s="4">
        <f>+TD_tdj1!R3*300</f>
        <v>300</v>
      </c>
      <c r="S3" s="4">
        <f>+TD_tdj1!S3*300</f>
        <v>0</v>
      </c>
      <c r="T3" s="4">
        <f>+TD_tdj1!T3*300</f>
        <v>300</v>
      </c>
      <c r="U3" s="4">
        <f>+TD_tdj1!U3*300</f>
        <v>300</v>
      </c>
      <c r="V3" s="4">
        <f>+TD_tdj1!V3*300</f>
        <v>300</v>
      </c>
      <c r="W3" s="4">
        <f>+TD_tdj1!W3*300</f>
        <v>300</v>
      </c>
      <c r="X3" s="4">
        <f>+TD_tdj1!X3*300</f>
        <v>300</v>
      </c>
      <c r="Y3" s="4">
        <f>+TD_tdj1!Y3*300</f>
        <v>300</v>
      </c>
      <c r="Z3" s="4">
        <f>+TD_tdj1!Z3*300</f>
        <v>0</v>
      </c>
      <c r="AA3" s="4">
        <f>+TD_tdj1!AA3*300</f>
        <v>300</v>
      </c>
      <c r="AB3" s="4">
        <f>+TD_tdj1!AB3*300</f>
        <v>300</v>
      </c>
      <c r="AC3" s="4">
        <f>+TD_tdj1!AC3*300</f>
        <v>300</v>
      </c>
      <c r="AD3" s="4">
        <f>+TD_tdj1!AD3*300</f>
        <v>300</v>
      </c>
      <c r="AE3" s="4">
        <f>+TD_tdj1!AE3*300</f>
        <v>300</v>
      </c>
      <c r="AF3" s="4">
        <f>+TD_tdj1!AF3*300</f>
        <v>0</v>
      </c>
    </row>
    <row r="4" spans="1:32" ht="18.75" customHeight="1" x14ac:dyDescent="0.25">
      <c r="A4" s="5" t="s">
        <v>55</v>
      </c>
      <c r="B4" s="4">
        <f>+TD_tdj1!B4*300</f>
        <v>0</v>
      </c>
      <c r="C4" s="4">
        <f>+TD_tdj1!C4*300</f>
        <v>0</v>
      </c>
      <c r="D4" s="4">
        <f>+TD_tdj1!D4*300</f>
        <v>0</v>
      </c>
      <c r="E4" s="4">
        <f>+TD_tdj1!E4*300</f>
        <v>0</v>
      </c>
      <c r="F4" s="4">
        <f>+TD_tdj1!F4*300</f>
        <v>300</v>
      </c>
      <c r="G4" s="4">
        <f>+TD_tdj1!G4*300</f>
        <v>300</v>
      </c>
      <c r="H4" s="4">
        <f>+TD_tdj1!H4*300</f>
        <v>300</v>
      </c>
      <c r="I4" s="4">
        <f>+TD_tdj1!I4*300</f>
        <v>300</v>
      </c>
      <c r="J4" s="4">
        <f>+TD_tdj1!J4*300</f>
        <v>300</v>
      </c>
      <c r="K4" s="4">
        <f>+TD_tdj1!K4*300</f>
        <v>0</v>
      </c>
      <c r="L4" s="4">
        <f>+TD_tdj1!L4*300</f>
        <v>0</v>
      </c>
      <c r="M4" s="4">
        <f>+TD_tdj1!M4*300</f>
        <v>0</v>
      </c>
      <c r="N4" s="4">
        <f>+TD_tdj1!N4*300</f>
        <v>300</v>
      </c>
      <c r="O4" s="4">
        <f>+TD_tdj1!O4*300</f>
        <v>300</v>
      </c>
      <c r="P4" s="4">
        <f>+TD_tdj1!P4*300</f>
        <v>300</v>
      </c>
      <c r="Q4" s="4">
        <f>+TD_tdj1!Q4*300</f>
        <v>300</v>
      </c>
      <c r="R4" s="4">
        <f>+TD_tdj1!R4*300</f>
        <v>0</v>
      </c>
      <c r="S4" s="4">
        <f>+TD_tdj1!S4*300</f>
        <v>0</v>
      </c>
      <c r="T4" s="4">
        <f>+TD_tdj1!T4*300</f>
        <v>300</v>
      </c>
      <c r="U4" s="4">
        <f>+TD_tdj1!U4*300</f>
        <v>300</v>
      </c>
      <c r="V4" s="4">
        <f>+TD_tdj1!V4*300</f>
        <v>300</v>
      </c>
      <c r="W4" s="4">
        <f>+TD_tdj1!W4*300</f>
        <v>300</v>
      </c>
      <c r="X4" s="4">
        <f>+TD_tdj1!X4*300</f>
        <v>300</v>
      </c>
      <c r="Y4" s="4">
        <f>+TD_tdj1!Y4*300</f>
        <v>0</v>
      </c>
      <c r="Z4" s="4">
        <f>+TD_tdj1!Z4*300</f>
        <v>0</v>
      </c>
      <c r="AA4" s="4">
        <f>+TD_tdj1!AA4*300</f>
        <v>300</v>
      </c>
      <c r="AB4" s="4">
        <f>+TD_tdj1!AB4*300</f>
        <v>300</v>
      </c>
      <c r="AC4" s="4">
        <f>+TD_tdj1!AC4*300</f>
        <v>300</v>
      </c>
      <c r="AD4" s="4">
        <f>+TD_tdj1!AD4*300</f>
        <v>300</v>
      </c>
      <c r="AE4" s="4">
        <f>+TD_tdj1!AE4*300</f>
        <v>300</v>
      </c>
      <c r="AF4" s="4">
        <f>+TD_tdj1!AF4*300</f>
        <v>0</v>
      </c>
    </row>
    <row r="5" spans="1:32" ht="18.75" customHeight="1" x14ac:dyDescent="0.25">
      <c r="A5" s="5" t="s">
        <v>56</v>
      </c>
      <c r="B5" s="4">
        <f>+TD_tdj1!B5*300</f>
        <v>0</v>
      </c>
      <c r="C5" s="4">
        <f>+TD_tdj1!C5*300</f>
        <v>0</v>
      </c>
      <c r="D5" s="4">
        <f>+TD_tdj1!D5*300</f>
        <v>0</v>
      </c>
      <c r="E5" s="4">
        <f>+TD_tdj1!E5*300</f>
        <v>0</v>
      </c>
      <c r="F5" s="4">
        <f>+TD_tdj1!F5*300</f>
        <v>0</v>
      </c>
      <c r="G5" s="4">
        <f>+TD_tdj1!G5*300</f>
        <v>300</v>
      </c>
      <c r="H5" s="4">
        <f>+TD_tdj1!H5*300</f>
        <v>300</v>
      </c>
      <c r="I5" s="4">
        <f>+TD_tdj1!I5*300</f>
        <v>300</v>
      </c>
      <c r="J5" s="4">
        <f>+TD_tdj1!J5*300</f>
        <v>300</v>
      </c>
      <c r="K5" s="4">
        <f>+TD_tdj1!K5*300</f>
        <v>0</v>
      </c>
      <c r="L5" s="4">
        <f>+TD_tdj1!L5*300</f>
        <v>0</v>
      </c>
      <c r="M5" s="4">
        <f>+TD_tdj1!M5*300</f>
        <v>0</v>
      </c>
      <c r="N5" s="4">
        <f>+TD_tdj1!N5*300</f>
        <v>300</v>
      </c>
      <c r="O5" s="4">
        <f>+TD_tdj1!O5*300</f>
        <v>300</v>
      </c>
      <c r="P5" s="4">
        <f>+TD_tdj1!P5*300</f>
        <v>300</v>
      </c>
      <c r="Q5" s="4">
        <f>+TD_tdj1!Q5*300</f>
        <v>300</v>
      </c>
      <c r="R5" s="4">
        <f>+TD_tdj1!R5*300</f>
        <v>0</v>
      </c>
      <c r="S5" s="4">
        <f>+TD_tdj1!S5*300</f>
        <v>0</v>
      </c>
      <c r="T5" s="4">
        <f>+TD_tdj1!T5*300</f>
        <v>300</v>
      </c>
      <c r="U5" s="4">
        <f>+TD_tdj1!U5*300</f>
        <v>300</v>
      </c>
      <c r="V5" s="4">
        <f>+TD_tdj1!V5*300</f>
        <v>300</v>
      </c>
      <c r="W5" s="4">
        <f>+TD_tdj1!W5*300</f>
        <v>300</v>
      </c>
      <c r="X5" s="4">
        <f>+TD_tdj1!X5*300</f>
        <v>300</v>
      </c>
      <c r="Y5" s="4">
        <f>+TD_tdj1!Y5*300</f>
        <v>0</v>
      </c>
      <c r="Z5" s="4">
        <f>+TD_tdj1!Z5*300</f>
        <v>0</v>
      </c>
      <c r="AA5" s="4">
        <f>+TD_tdj1!AA5*300</f>
        <v>300</v>
      </c>
      <c r="AB5" s="4">
        <f>+TD_tdj1!AB5*300</f>
        <v>300</v>
      </c>
      <c r="AC5" s="4">
        <f>+TD_tdj1!AC5*300</f>
        <v>300</v>
      </c>
      <c r="AD5" s="4">
        <f>+TD_tdj1!AD5*300</f>
        <v>300</v>
      </c>
      <c r="AE5" s="4">
        <f>+TD_tdj1!AE5*300</f>
        <v>300</v>
      </c>
      <c r="AF5" s="4">
        <f>+TD_tdj1!AF5*300</f>
        <v>0</v>
      </c>
    </row>
    <row r="6" spans="1:32" ht="18.75" customHeight="1" x14ac:dyDescent="0.25">
      <c r="A6" s="5" t="s">
        <v>57</v>
      </c>
      <c r="B6" s="4">
        <f>+TD_tdj1!B6*300</f>
        <v>0</v>
      </c>
      <c r="C6" s="4">
        <f>+TD_tdj1!C6*300</f>
        <v>0</v>
      </c>
      <c r="D6" s="4">
        <f>+TD_tdj1!D6*300</f>
        <v>0</v>
      </c>
      <c r="E6" s="4">
        <f>+TD_tdj1!E6*300</f>
        <v>0</v>
      </c>
      <c r="F6" s="4">
        <f>+TD_tdj1!F6*300</f>
        <v>0</v>
      </c>
      <c r="G6" s="4">
        <f>+TD_tdj1!G6*300</f>
        <v>0</v>
      </c>
      <c r="H6" s="4">
        <f>+TD_tdj1!H6*300</f>
        <v>0</v>
      </c>
      <c r="I6" s="4">
        <f>+TD_tdj1!I6*300</f>
        <v>0</v>
      </c>
      <c r="J6" s="4">
        <f>+TD_tdj1!J6*300</f>
        <v>0</v>
      </c>
      <c r="K6" s="4">
        <f>+TD_tdj1!K6*300</f>
        <v>0</v>
      </c>
      <c r="L6" s="4">
        <f>+TD_tdj1!L6*300</f>
        <v>0</v>
      </c>
      <c r="M6" s="4">
        <f>+TD_tdj1!M6*300</f>
        <v>0</v>
      </c>
      <c r="N6" s="4">
        <f>+TD_tdj1!N6*300</f>
        <v>0</v>
      </c>
      <c r="O6" s="4">
        <f>+TD_tdj1!O6*300</f>
        <v>0</v>
      </c>
      <c r="P6" s="4">
        <f>+TD_tdj1!P6*300</f>
        <v>0</v>
      </c>
      <c r="Q6" s="4">
        <f>+TD_tdj1!Q6*300</f>
        <v>0</v>
      </c>
      <c r="R6" s="4">
        <f>+TD_tdj1!R6*300</f>
        <v>0</v>
      </c>
      <c r="S6" s="4">
        <f>+TD_tdj1!S6*300</f>
        <v>0</v>
      </c>
      <c r="T6" s="4">
        <f>+TD_tdj1!T6*300</f>
        <v>0</v>
      </c>
      <c r="U6" s="4">
        <f>+TD_tdj1!U6*300</f>
        <v>0</v>
      </c>
      <c r="V6" s="4">
        <f>+TD_tdj1!V6*300</f>
        <v>0</v>
      </c>
      <c r="W6" s="4">
        <f>+TD_tdj1!W6*300</f>
        <v>0</v>
      </c>
      <c r="X6" s="4">
        <f>+TD_tdj1!X6*300</f>
        <v>0</v>
      </c>
      <c r="Y6" s="4">
        <f>+TD_tdj1!Y6*300</f>
        <v>0</v>
      </c>
      <c r="Z6" s="4">
        <f>+TD_tdj1!Z6*300</f>
        <v>0</v>
      </c>
      <c r="AA6" s="4">
        <f>+TD_tdj1!AA6*300</f>
        <v>0</v>
      </c>
      <c r="AB6" s="4">
        <f>+TD_tdj1!AB6*300</f>
        <v>0</v>
      </c>
      <c r="AC6" s="4">
        <f>+TD_tdj1!AC6*300</f>
        <v>0</v>
      </c>
      <c r="AD6" s="4">
        <f>+TD_tdj1!AD6*300</f>
        <v>0</v>
      </c>
      <c r="AE6" s="4">
        <f>+TD_tdj1!AE6*300</f>
        <v>0</v>
      </c>
      <c r="AF6" s="4">
        <f>+TD_tdj1!AF6*300</f>
        <v>0</v>
      </c>
    </row>
    <row r="7" spans="1:32" ht="18.75" customHeight="1" x14ac:dyDescent="0.25">
      <c r="A7" s="5" t="s">
        <v>58</v>
      </c>
      <c r="B7" s="4">
        <f>+TD_tdj1!B7*300</f>
        <v>0</v>
      </c>
      <c r="C7" s="4">
        <f>+TD_tdj1!C7*300</f>
        <v>0</v>
      </c>
      <c r="D7" s="4">
        <f>+TD_tdj1!D7*300</f>
        <v>0</v>
      </c>
      <c r="E7" s="4">
        <f>+TD_tdj1!E7*300</f>
        <v>0</v>
      </c>
      <c r="F7" s="4">
        <f>+TD_tdj1!F7*300</f>
        <v>0</v>
      </c>
      <c r="G7" s="4">
        <f>+TD_tdj1!G7*300</f>
        <v>300</v>
      </c>
      <c r="H7" s="4">
        <f>+TD_tdj1!H7*300</f>
        <v>300</v>
      </c>
      <c r="I7" s="4">
        <f>+TD_tdj1!I7*300</f>
        <v>300</v>
      </c>
      <c r="J7" s="4">
        <f>+TD_tdj1!J7*300</f>
        <v>300</v>
      </c>
      <c r="K7" s="4">
        <f>+TD_tdj1!K7*300</f>
        <v>300</v>
      </c>
      <c r="L7" s="4">
        <f>+TD_tdj1!L7*300</f>
        <v>0</v>
      </c>
      <c r="M7" s="4">
        <f>+TD_tdj1!M7*300</f>
        <v>0</v>
      </c>
      <c r="N7" s="4">
        <f>+TD_tdj1!N7*300</f>
        <v>300</v>
      </c>
      <c r="O7" s="4">
        <f>+TD_tdj1!O7*300</f>
        <v>300</v>
      </c>
      <c r="P7" s="4">
        <f>+TD_tdj1!P7*300</f>
        <v>300</v>
      </c>
      <c r="Q7" s="4">
        <f>+TD_tdj1!Q7*300</f>
        <v>0</v>
      </c>
      <c r="R7" s="4">
        <f>+TD_tdj1!R7*300</f>
        <v>300</v>
      </c>
      <c r="S7" s="4">
        <f>+TD_tdj1!S7*300</f>
        <v>0</v>
      </c>
      <c r="T7" s="4">
        <f>+TD_tdj1!T7*300</f>
        <v>300</v>
      </c>
      <c r="U7" s="4">
        <f>+TD_tdj1!U7*300</f>
        <v>300</v>
      </c>
      <c r="V7" s="4">
        <f>+TD_tdj1!V7*300</f>
        <v>300</v>
      </c>
      <c r="W7" s="4">
        <f>+TD_tdj1!W7*300</f>
        <v>300</v>
      </c>
      <c r="X7" s="4">
        <f>+TD_tdj1!X7*300</f>
        <v>300</v>
      </c>
      <c r="Y7" s="4">
        <f>+TD_tdj1!Y7*300</f>
        <v>0</v>
      </c>
      <c r="Z7" s="4">
        <f>+TD_tdj1!Z7*300</f>
        <v>0</v>
      </c>
      <c r="AA7" s="4">
        <f>+TD_tdj1!AA7*300</f>
        <v>300</v>
      </c>
      <c r="AB7" s="4">
        <f>+TD_tdj1!AB7*300</f>
        <v>300</v>
      </c>
      <c r="AC7" s="4">
        <f>+TD_tdj1!AC7*300</f>
        <v>300</v>
      </c>
      <c r="AD7" s="4">
        <f>+TD_tdj1!AD7*300</f>
        <v>300</v>
      </c>
      <c r="AE7" s="4">
        <f>+TD_tdj1!AE7*300</f>
        <v>300</v>
      </c>
      <c r="AF7" s="4">
        <f>+TD_tdj1!AF7*300</f>
        <v>300</v>
      </c>
    </row>
    <row r="8" spans="1:32" ht="18.75" customHeight="1" x14ac:dyDescent="0.25">
      <c r="A8" s="5" t="s">
        <v>59</v>
      </c>
      <c r="B8" s="4">
        <f>+TD_tdj1!B8*300</f>
        <v>0</v>
      </c>
      <c r="C8" s="4">
        <f>+TD_tdj1!C8*300</f>
        <v>0</v>
      </c>
      <c r="D8" s="4">
        <f>+TD_tdj1!D8*300</f>
        <v>0</v>
      </c>
      <c r="E8" s="4">
        <f>+TD_tdj1!E8*300</f>
        <v>0</v>
      </c>
      <c r="F8" s="4">
        <f>+TD_tdj1!F8*300</f>
        <v>300</v>
      </c>
      <c r="G8" s="4">
        <f>+TD_tdj1!G8*300</f>
        <v>300</v>
      </c>
      <c r="H8" s="4">
        <f>+TD_tdj1!H8*300</f>
        <v>300</v>
      </c>
      <c r="I8" s="4">
        <f>+TD_tdj1!I8*300</f>
        <v>300</v>
      </c>
      <c r="J8" s="4">
        <f>+TD_tdj1!J8*300</f>
        <v>300</v>
      </c>
      <c r="K8" s="4">
        <f>+TD_tdj1!K8*300</f>
        <v>300</v>
      </c>
      <c r="L8" s="4">
        <f>+TD_tdj1!L8*300</f>
        <v>0</v>
      </c>
      <c r="M8" s="4">
        <f>+TD_tdj1!M8*300</f>
        <v>0</v>
      </c>
      <c r="N8" s="4">
        <f>+TD_tdj1!N8*300</f>
        <v>300</v>
      </c>
      <c r="O8" s="4">
        <f>+TD_tdj1!O8*300</f>
        <v>300</v>
      </c>
      <c r="P8" s="4">
        <f>+TD_tdj1!P8*300</f>
        <v>300</v>
      </c>
      <c r="Q8" s="4">
        <f>+TD_tdj1!Q8*300</f>
        <v>300</v>
      </c>
      <c r="R8" s="4">
        <f>+TD_tdj1!R8*300</f>
        <v>300</v>
      </c>
      <c r="S8" s="4">
        <f>+TD_tdj1!S8*300</f>
        <v>0</v>
      </c>
      <c r="T8" s="4">
        <f>+TD_tdj1!T8*300</f>
        <v>300</v>
      </c>
      <c r="U8" s="4">
        <f>+TD_tdj1!U8*300</f>
        <v>300</v>
      </c>
      <c r="V8" s="4">
        <f>+TD_tdj1!V8*300</f>
        <v>300</v>
      </c>
      <c r="W8" s="4">
        <f>+TD_tdj1!W8*300</f>
        <v>300</v>
      </c>
      <c r="X8" s="4">
        <f>+TD_tdj1!X8*300</f>
        <v>300</v>
      </c>
      <c r="Y8" s="4">
        <f>+TD_tdj1!Y8*300</f>
        <v>0</v>
      </c>
      <c r="Z8" s="4">
        <f>+TD_tdj1!Z8*300</f>
        <v>0</v>
      </c>
      <c r="AA8" s="4">
        <f>+TD_tdj1!AA8*300</f>
        <v>0</v>
      </c>
      <c r="AB8" s="4">
        <f>+TD_tdj1!AB8*300</f>
        <v>0</v>
      </c>
      <c r="AC8" s="4">
        <f>+TD_tdj1!AC8*300</f>
        <v>0</v>
      </c>
      <c r="AD8" s="4">
        <f>+TD_tdj1!AD8*300</f>
        <v>0</v>
      </c>
      <c r="AE8" s="4">
        <f>+TD_tdj1!AE8*300</f>
        <v>0</v>
      </c>
      <c r="AF8" s="4">
        <f>+TD_tdj1!AF8*300</f>
        <v>0</v>
      </c>
    </row>
    <row r="9" spans="1:32" ht="18.75" customHeight="1" x14ac:dyDescent="0.25">
      <c r="A9" s="5" t="s">
        <v>60</v>
      </c>
      <c r="B9" s="4">
        <f>+TD_tdj1!B9*300</f>
        <v>0</v>
      </c>
      <c r="C9" s="4">
        <f>+TD_tdj1!C9*300</f>
        <v>0</v>
      </c>
      <c r="D9" s="4">
        <f>+TD_tdj1!D9*300</f>
        <v>0</v>
      </c>
      <c r="E9" s="4">
        <f>+TD_tdj1!E9*300</f>
        <v>0</v>
      </c>
      <c r="F9" s="4">
        <f>+TD_tdj1!F9*300</f>
        <v>0</v>
      </c>
      <c r="G9" s="4">
        <f>+TD_tdj1!G9*300</f>
        <v>300</v>
      </c>
      <c r="H9" s="4">
        <f>+TD_tdj1!H9*300</f>
        <v>300</v>
      </c>
      <c r="I9" s="4">
        <f>+TD_tdj1!I9*300</f>
        <v>300</v>
      </c>
      <c r="J9" s="4">
        <f>+TD_tdj1!J9*300</f>
        <v>300</v>
      </c>
      <c r="K9" s="4">
        <f>+TD_tdj1!K9*300</f>
        <v>300</v>
      </c>
      <c r="L9" s="4">
        <f>+TD_tdj1!L9*300</f>
        <v>0</v>
      </c>
      <c r="M9" s="4">
        <f>+TD_tdj1!M9*300</f>
        <v>0</v>
      </c>
      <c r="N9" s="4">
        <f>+TD_tdj1!N9*300</f>
        <v>300</v>
      </c>
      <c r="O9" s="4">
        <f>+TD_tdj1!O9*300</f>
        <v>300</v>
      </c>
      <c r="P9" s="4">
        <f>+TD_tdj1!P9*300</f>
        <v>300</v>
      </c>
      <c r="Q9" s="4">
        <f>+TD_tdj1!Q9*300</f>
        <v>300</v>
      </c>
      <c r="R9" s="4">
        <f>+TD_tdj1!R9*300</f>
        <v>300</v>
      </c>
      <c r="S9" s="4">
        <f>+TD_tdj1!S9*300</f>
        <v>0</v>
      </c>
      <c r="T9" s="4">
        <f>+TD_tdj1!T9*300</f>
        <v>300</v>
      </c>
      <c r="U9" s="4">
        <f>+TD_tdj1!U9*300</f>
        <v>300</v>
      </c>
      <c r="V9" s="4">
        <f>+TD_tdj1!V9*300</f>
        <v>300</v>
      </c>
      <c r="W9" s="4">
        <f>+TD_tdj1!W9*300</f>
        <v>300</v>
      </c>
      <c r="X9" s="4">
        <f>+TD_tdj1!X9*300</f>
        <v>300</v>
      </c>
      <c r="Y9" s="4">
        <f>+TD_tdj1!Y9*300</f>
        <v>300</v>
      </c>
      <c r="Z9" s="4">
        <f>+TD_tdj1!Z9*300</f>
        <v>0</v>
      </c>
      <c r="AA9" s="4">
        <f>+TD_tdj1!AA9*300</f>
        <v>300</v>
      </c>
      <c r="AB9" s="4">
        <f>+TD_tdj1!AB9*300</f>
        <v>300</v>
      </c>
      <c r="AC9" s="4">
        <f>+TD_tdj1!AC9*300</f>
        <v>300</v>
      </c>
      <c r="AD9" s="4">
        <f>+TD_tdj1!AD9*300</f>
        <v>300</v>
      </c>
      <c r="AE9" s="4">
        <f>+TD_tdj1!AE9*300</f>
        <v>300</v>
      </c>
      <c r="AF9" s="4">
        <f>+TD_tdj1!AF9*300</f>
        <v>300</v>
      </c>
    </row>
    <row r="10" spans="1:32" ht="18.75" customHeight="1" x14ac:dyDescent="0.25">
      <c r="A10" s="5" t="s">
        <v>61</v>
      </c>
      <c r="B10" s="4">
        <f>+TD_tdj1!B10*300</f>
        <v>0</v>
      </c>
      <c r="C10" s="4">
        <f>+TD_tdj1!C10*300</f>
        <v>0</v>
      </c>
      <c r="D10" s="4">
        <f>+TD_tdj1!D10*300</f>
        <v>0</v>
      </c>
      <c r="E10" s="4">
        <f>+TD_tdj1!E10*300</f>
        <v>0</v>
      </c>
      <c r="F10" s="4">
        <f>+TD_tdj1!F10*300</f>
        <v>0</v>
      </c>
      <c r="G10" s="4">
        <f>+TD_tdj1!G10*300</f>
        <v>300</v>
      </c>
      <c r="H10" s="4">
        <f>+TD_tdj1!H10*300</f>
        <v>300</v>
      </c>
      <c r="I10" s="4">
        <f>+TD_tdj1!I10*300</f>
        <v>300</v>
      </c>
      <c r="J10" s="4">
        <f>+TD_tdj1!J10*300</f>
        <v>0</v>
      </c>
      <c r="K10" s="4">
        <f>+TD_tdj1!K10*300</f>
        <v>0</v>
      </c>
      <c r="L10" s="4">
        <f>+TD_tdj1!L10*300</f>
        <v>0</v>
      </c>
      <c r="M10" s="4">
        <f>+TD_tdj1!M10*300</f>
        <v>0</v>
      </c>
      <c r="N10" s="4">
        <f>+TD_tdj1!N10*300</f>
        <v>300</v>
      </c>
      <c r="O10" s="4">
        <f>+TD_tdj1!O10*300</f>
        <v>300</v>
      </c>
      <c r="P10" s="4">
        <f>+TD_tdj1!P10*300</f>
        <v>300</v>
      </c>
      <c r="Q10" s="4">
        <f>+TD_tdj1!Q10*300</f>
        <v>300</v>
      </c>
      <c r="R10" s="4">
        <f>+TD_tdj1!R10*300</f>
        <v>300</v>
      </c>
      <c r="S10" s="4">
        <f>+TD_tdj1!S10*300</f>
        <v>0</v>
      </c>
      <c r="T10" s="4">
        <f>+TD_tdj1!T10*300</f>
        <v>300</v>
      </c>
      <c r="U10" s="4">
        <f>+TD_tdj1!U10*300</f>
        <v>300</v>
      </c>
      <c r="V10" s="4">
        <f>+TD_tdj1!V10*300</f>
        <v>0</v>
      </c>
      <c r="W10" s="4">
        <f>+TD_tdj1!W10*300</f>
        <v>0</v>
      </c>
      <c r="X10" s="4">
        <f>+TD_tdj1!X10*300</f>
        <v>0</v>
      </c>
      <c r="Y10" s="4">
        <f>+TD_tdj1!Y10*300</f>
        <v>0</v>
      </c>
      <c r="Z10" s="4">
        <f>+TD_tdj1!Z10*300</f>
        <v>0</v>
      </c>
      <c r="AA10" s="4">
        <f>+TD_tdj1!AA10*300</f>
        <v>300</v>
      </c>
      <c r="AB10" s="4">
        <f>+TD_tdj1!AB10*300</f>
        <v>300</v>
      </c>
      <c r="AC10" s="4">
        <f>+TD_tdj1!AC10*300</f>
        <v>300</v>
      </c>
      <c r="AD10" s="4">
        <f>+TD_tdj1!AD10*300</f>
        <v>300</v>
      </c>
      <c r="AE10" s="4">
        <f>+TD_tdj1!AE10*300</f>
        <v>300</v>
      </c>
      <c r="AF10" s="4">
        <f>+TD_tdj1!AF10*300</f>
        <v>0</v>
      </c>
    </row>
    <row r="11" spans="1:32" ht="18.75" customHeight="1" x14ac:dyDescent="0.25">
      <c r="A11" s="5" t="s">
        <v>62</v>
      </c>
      <c r="B11" s="4">
        <f>+TD_tdj1!B11*300</f>
        <v>0</v>
      </c>
      <c r="C11" s="4">
        <f>+TD_tdj1!C11*300</f>
        <v>0</v>
      </c>
      <c r="D11" s="4">
        <f>+TD_tdj1!D11*300</f>
        <v>0</v>
      </c>
      <c r="E11" s="4">
        <f>+TD_tdj1!E11*300</f>
        <v>0</v>
      </c>
      <c r="F11" s="4">
        <f>+TD_tdj1!F11*300</f>
        <v>0</v>
      </c>
      <c r="G11" s="4">
        <f>+TD_tdj1!G11*300</f>
        <v>0</v>
      </c>
      <c r="H11" s="4">
        <f>+TD_tdj1!H11*300</f>
        <v>0</v>
      </c>
      <c r="I11" s="4">
        <f>+TD_tdj1!I11*300</f>
        <v>300</v>
      </c>
      <c r="J11" s="4">
        <f>+TD_tdj1!J11*300</f>
        <v>300</v>
      </c>
      <c r="K11" s="4">
        <f>+TD_tdj1!K11*300</f>
        <v>0</v>
      </c>
      <c r="L11" s="4">
        <f>+TD_tdj1!L11*300</f>
        <v>0</v>
      </c>
      <c r="M11" s="4">
        <f>+TD_tdj1!M11*300</f>
        <v>0</v>
      </c>
      <c r="N11" s="4">
        <f>+TD_tdj1!N11*300</f>
        <v>0</v>
      </c>
      <c r="O11" s="4">
        <f>+TD_tdj1!O11*300</f>
        <v>300</v>
      </c>
      <c r="P11" s="4">
        <f>+TD_tdj1!P11*300</f>
        <v>300</v>
      </c>
      <c r="Q11" s="4">
        <f>+TD_tdj1!Q11*300</f>
        <v>300</v>
      </c>
      <c r="R11" s="4">
        <f>+TD_tdj1!R11*300</f>
        <v>300</v>
      </c>
      <c r="S11" s="4">
        <f>+TD_tdj1!S11*300</f>
        <v>0</v>
      </c>
      <c r="T11" s="4">
        <f>+TD_tdj1!T11*300</f>
        <v>0</v>
      </c>
      <c r="U11" s="4">
        <f>+TD_tdj1!U11*300</f>
        <v>0</v>
      </c>
      <c r="V11" s="4">
        <f>+TD_tdj1!V11*300</f>
        <v>0</v>
      </c>
      <c r="W11" s="4">
        <f>+TD_tdj1!W11*300</f>
        <v>0</v>
      </c>
      <c r="X11" s="4">
        <f>+TD_tdj1!X11*300</f>
        <v>0</v>
      </c>
      <c r="Y11" s="4">
        <f>+TD_tdj1!Y11*300</f>
        <v>0</v>
      </c>
      <c r="Z11" s="4">
        <f>+TD_tdj1!Z11*300</f>
        <v>0</v>
      </c>
      <c r="AA11" s="4">
        <f>+TD_tdj1!AA11*300</f>
        <v>0</v>
      </c>
      <c r="AB11" s="4">
        <f>+TD_tdj1!AB11*300</f>
        <v>0</v>
      </c>
      <c r="AC11" s="4">
        <f>+TD_tdj1!AC11*300</f>
        <v>0</v>
      </c>
      <c r="AD11" s="4">
        <f>+TD_tdj1!AD11*300</f>
        <v>0</v>
      </c>
      <c r="AE11" s="4">
        <f>+TD_tdj1!AE11*300</f>
        <v>0</v>
      </c>
      <c r="AF11" s="4">
        <f>+TD_tdj1!AF11*300</f>
        <v>0</v>
      </c>
    </row>
    <row r="12" spans="1:32" ht="18.75" customHeight="1" x14ac:dyDescent="0.25">
      <c r="A12" s="5" t="s">
        <v>63</v>
      </c>
      <c r="B12" s="4">
        <f>+TD_tdj1!B12*300</f>
        <v>0</v>
      </c>
      <c r="C12" s="4">
        <f>+TD_tdj1!C12*300</f>
        <v>0</v>
      </c>
      <c r="D12" s="4">
        <f>+TD_tdj1!D12*300</f>
        <v>0</v>
      </c>
      <c r="E12" s="4">
        <f>+TD_tdj1!E12*300</f>
        <v>0</v>
      </c>
      <c r="F12" s="4">
        <f>+TD_tdj1!F12*300</f>
        <v>0</v>
      </c>
      <c r="G12" s="4">
        <f>+TD_tdj1!G12*300</f>
        <v>0</v>
      </c>
      <c r="H12" s="4">
        <f>+TD_tdj1!H12*300</f>
        <v>0</v>
      </c>
      <c r="I12" s="4">
        <f>+TD_tdj1!I12*300</f>
        <v>300</v>
      </c>
      <c r="J12" s="4">
        <f>+TD_tdj1!J12*300</f>
        <v>300</v>
      </c>
      <c r="K12" s="4">
        <f>+TD_tdj1!K12*300</f>
        <v>0</v>
      </c>
      <c r="L12" s="4">
        <f>+TD_tdj1!L12*300</f>
        <v>0</v>
      </c>
      <c r="M12" s="4">
        <f>+TD_tdj1!M12*300</f>
        <v>0</v>
      </c>
      <c r="N12" s="4">
        <f>+TD_tdj1!N12*300</f>
        <v>300</v>
      </c>
      <c r="O12" s="4">
        <f>+TD_tdj1!O12*300</f>
        <v>300</v>
      </c>
      <c r="P12" s="4">
        <f>+TD_tdj1!P12*300</f>
        <v>300</v>
      </c>
      <c r="Q12" s="4">
        <f>+TD_tdj1!Q12*300</f>
        <v>300</v>
      </c>
      <c r="R12" s="4">
        <f>+TD_tdj1!R12*300</f>
        <v>0</v>
      </c>
      <c r="S12" s="4">
        <f>+TD_tdj1!S12*300</f>
        <v>0</v>
      </c>
      <c r="T12" s="4">
        <f>+TD_tdj1!T12*300</f>
        <v>300</v>
      </c>
      <c r="U12" s="4">
        <f>+TD_tdj1!U12*300</f>
        <v>300</v>
      </c>
      <c r="V12" s="4">
        <f>+TD_tdj1!V12*300</f>
        <v>300</v>
      </c>
      <c r="W12" s="4">
        <f>+TD_tdj1!W12*300</f>
        <v>300</v>
      </c>
      <c r="X12" s="4">
        <f>+TD_tdj1!X12*300</f>
        <v>300</v>
      </c>
      <c r="Y12" s="4">
        <f>+TD_tdj1!Y12*300</f>
        <v>0</v>
      </c>
      <c r="Z12" s="4">
        <f>+TD_tdj1!Z12*300</f>
        <v>0</v>
      </c>
      <c r="AA12" s="4">
        <f>+TD_tdj1!AA12*300</f>
        <v>300</v>
      </c>
      <c r="AB12" s="4">
        <f>+TD_tdj1!AB12*300</f>
        <v>300</v>
      </c>
      <c r="AC12" s="4">
        <f>+TD_tdj1!AC12*300</f>
        <v>300</v>
      </c>
      <c r="AD12" s="4">
        <f>+TD_tdj1!AD12*300</f>
        <v>300</v>
      </c>
      <c r="AE12" s="4">
        <f>+TD_tdj1!AE12*300</f>
        <v>300</v>
      </c>
      <c r="AF12" s="4">
        <f>+TD_tdj1!AF12*300</f>
        <v>0</v>
      </c>
    </row>
    <row r="13" spans="1:32" ht="18.75" customHeight="1" x14ac:dyDescent="0.25">
      <c r="A13" s="5" t="s">
        <v>64</v>
      </c>
      <c r="B13" s="4">
        <f>+TD_tdj1!B13*300</f>
        <v>0</v>
      </c>
      <c r="C13" s="4">
        <f>+TD_tdj1!C13*300</f>
        <v>0</v>
      </c>
      <c r="D13" s="4">
        <f>+TD_tdj1!D13*300</f>
        <v>0</v>
      </c>
      <c r="E13" s="4">
        <f>+TD_tdj1!E13*300</f>
        <v>0</v>
      </c>
      <c r="F13" s="4">
        <f>+TD_tdj1!F13*300</f>
        <v>300</v>
      </c>
      <c r="G13" s="4">
        <f>+TD_tdj1!G13*300</f>
        <v>300</v>
      </c>
      <c r="H13" s="4">
        <f>+TD_tdj1!H13*300</f>
        <v>300</v>
      </c>
      <c r="I13" s="4">
        <f>+TD_tdj1!I13*300</f>
        <v>0</v>
      </c>
      <c r="J13" s="4">
        <f>+TD_tdj1!J13*300</f>
        <v>0</v>
      </c>
      <c r="K13" s="4">
        <f>+TD_tdj1!K13*300</f>
        <v>0</v>
      </c>
      <c r="L13" s="4">
        <f>+TD_tdj1!L13*300</f>
        <v>0</v>
      </c>
      <c r="M13" s="4">
        <f>+TD_tdj1!M13*300</f>
        <v>0</v>
      </c>
      <c r="N13" s="4">
        <f>+TD_tdj1!N13*300</f>
        <v>300</v>
      </c>
      <c r="O13" s="4">
        <f>+TD_tdj1!O13*300</f>
        <v>300</v>
      </c>
      <c r="P13" s="4">
        <f>+TD_tdj1!P13*300</f>
        <v>0</v>
      </c>
      <c r="Q13" s="4">
        <f>+TD_tdj1!Q13*300</f>
        <v>300</v>
      </c>
      <c r="R13" s="4">
        <f>+TD_tdj1!R13*300</f>
        <v>0</v>
      </c>
      <c r="S13" s="4">
        <f>+TD_tdj1!S13*300</f>
        <v>0</v>
      </c>
      <c r="T13" s="4">
        <f>+TD_tdj1!T13*300</f>
        <v>300</v>
      </c>
      <c r="U13" s="4">
        <f>+TD_tdj1!U13*300</f>
        <v>300</v>
      </c>
      <c r="V13" s="4">
        <f>+TD_tdj1!V13*300</f>
        <v>300</v>
      </c>
      <c r="W13" s="4">
        <f>+TD_tdj1!W13*300</f>
        <v>0</v>
      </c>
      <c r="X13" s="4">
        <f>+TD_tdj1!X13*300</f>
        <v>300</v>
      </c>
      <c r="Y13" s="4">
        <f>+TD_tdj1!Y13*300</f>
        <v>0</v>
      </c>
      <c r="Z13" s="4">
        <f>+TD_tdj1!Z13*300</f>
        <v>0</v>
      </c>
      <c r="AA13" s="4">
        <f>+TD_tdj1!AA13*300</f>
        <v>300</v>
      </c>
      <c r="AB13" s="4">
        <f>+TD_tdj1!AB13*300</f>
        <v>300</v>
      </c>
      <c r="AC13" s="4">
        <f>+TD_tdj1!AC13*300</f>
        <v>300</v>
      </c>
      <c r="AD13" s="4">
        <f>+TD_tdj1!AD13*300</f>
        <v>0</v>
      </c>
      <c r="AE13" s="4">
        <f>+TD_tdj1!AE13*300</f>
        <v>300</v>
      </c>
      <c r="AF13" s="4">
        <f>+TD_tdj1!AF13*300</f>
        <v>300</v>
      </c>
    </row>
    <row r="14" spans="1:32" ht="18.75" customHeight="1" x14ac:dyDescent="0.25">
      <c r="A14" s="5" t="s">
        <v>65</v>
      </c>
      <c r="B14" s="4">
        <f>+TD_tdj1!B14*300</f>
        <v>0</v>
      </c>
      <c r="C14" s="4">
        <f>+TD_tdj1!C14*300</f>
        <v>0</v>
      </c>
      <c r="D14" s="4">
        <f>+TD_tdj1!D14*300</f>
        <v>0</v>
      </c>
      <c r="E14" s="4">
        <f>+TD_tdj1!E14*300</f>
        <v>0</v>
      </c>
      <c r="F14" s="4">
        <f>+TD_tdj1!F14*300</f>
        <v>0</v>
      </c>
      <c r="G14" s="4">
        <f>+TD_tdj1!G14*300</f>
        <v>0</v>
      </c>
      <c r="H14" s="4">
        <f>+TD_tdj1!H14*300</f>
        <v>300</v>
      </c>
      <c r="I14" s="4">
        <f>+TD_tdj1!I14*300</f>
        <v>300</v>
      </c>
      <c r="J14" s="4">
        <f>+TD_tdj1!J14*300</f>
        <v>300</v>
      </c>
      <c r="K14" s="4">
        <f>+TD_tdj1!K14*300</f>
        <v>0</v>
      </c>
      <c r="L14" s="4">
        <f>+TD_tdj1!L14*300</f>
        <v>0</v>
      </c>
      <c r="M14" s="4">
        <f>+TD_tdj1!M14*300</f>
        <v>0</v>
      </c>
      <c r="N14" s="4">
        <f>+TD_tdj1!N14*300</f>
        <v>0</v>
      </c>
      <c r="O14" s="4">
        <f>+TD_tdj1!O14*300</f>
        <v>300</v>
      </c>
      <c r="P14" s="4">
        <f>+TD_tdj1!P14*300</f>
        <v>0</v>
      </c>
      <c r="Q14" s="4">
        <f>+TD_tdj1!Q14*300</f>
        <v>300</v>
      </c>
      <c r="R14" s="4">
        <f>+TD_tdj1!R14*300</f>
        <v>0</v>
      </c>
      <c r="S14" s="4">
        <f>+TD_tdj1!S14*300</f>
        <v>0</v>
      </c>
      <c r="T14" s="4">
        <f>+TD_tdj1!T14*300</f>
        <v>0</v>
      </c>
      <c r="U14" s="4">
        <f>+TD_tdj1!U14*300</f>
        <v>300</v>
      </c>
      <c r="V14" s="4">
        <f>+TD_tdj1!V14*300</f>
        <v>300</v>
      </c>
      <c r="W14" s="4">
        <f>+TD_tdj1!W14*300</f>
        <v>0</v>
      </c>
      <c r="X14" s="4">
        <f>+TD_tdj1!X14*300</f>
        <v>300</v>
      </c>
      <c r="Y14" s="4">
        <f>+TD_tdj1!Y14*300</f>
        <v>0</v>
      </c>
      <c r="Z14" s="4">
        <f>+TD_tdj1!Z14*300</f>
        <v>0</v>
      </c>
      <c r="AA14" s="4">
        <f>+TD_tdj1!AA14*300</f>
        <v>0</v>
      </c>
      <c r="AB14" s="4">
        <f>+TD_tdj1!AB14*300</f>
        <v>0</v>
      </c>
      <c r="AC14" s="4">
        <f>+TD_tdj1!AC14*300</f>
        <v>300</v>
      </c>
      <c r="AD14" s="4">
        <f>+TD_tdj1!AD14*300</f>
        <v>0</v>
      </c>
      <c r="AE14" s="4">
        <f>+TD_tdj1!AE14*300</f>
        <v>300</v>
      </c>
      <c r="AF14" s="4">
        <f>+TD_tdj1!AF14*300</f>
        <v>0</v>
      </c>
    </row>
    <row r="15" spans="1:32" ht="18.75" customHeight="1" x14ac:dyDescent="0.25">
      <c r="A15" s="5" t="s">
        <v>66</v>
      </c>
      <c r="B15" s="4">
        <f>+TD_tdj1!B15*300</f>
        <v>0</v>
      </c>
      <c r="C15" s="4">
        <f>+TD_tdj1!C15*300</f>
        <v>0</v>
      </c>
      <c r="D15" s="4">
        <f>+TD_tdj1!D15*300</f>
        <v>0</v>
      </c>
      <c r="E15" s="4">
        <f>+TD_tdj1!E15*300</f>
        <v>0</v>
      </c>
      <c r="F15" s="4">
        <f>+TD_tdj1!F15*300</f>
        <v>0</v>
      </c>
      <c r="G15" s="4">
        <f>+TD_tdj1!G15*300</f>
        <v>0</v>
      </c>
      <c r="H15" s="4">
        <f>+TD_tdj1!H15*300</f>
        <v>0</v>
      </c>
      <c r="I15" s="4">
        <f>+TD_tdj1!I15*300</f>
        <v>0</v>
      </c>
      <c r="J15" s="4">
        <f>+TD_tdj1!J15*300</f>
        <v>0</v>
      </c>
      <c r="K15" s="4">
        <f>+TD_tdj1!K15*300</f>
        <v>0</v>
      </c>
      <c r="L15" s="4">
        <f>+TD_tdj1!L15*300</f>
        <v>0</v>
      </c>
      <c r="M15" s="4">
        <f>+TD_tdj1!M15*300</f>
        <v>0</v>
      </c>
      <c r="N15" s="4">
        <f>+TD_tdj1!N15*300</f>
        <v>0</v>
      </c>
      <c r="O15" s="4">
        <f>+TD_tdj1!O15*300</f>
        <v>0</v>
      </c>
      <c r="P15" s="4">
        <f>+TD_tdj1!P15*300</f>
        <v>0</v>
      </c>
      <c r="Q15" s="4">
        <f>+TD_tdj1!Q15*300</f>
        <v>0</v>
      </c>
      <c r="R15" s="4">
        <f>+TD_tdj1!R15*300</f>
        <v>0</v>
      </c>
      <c r="S15" s="4">
        <f>+TD_tdj1!S15*300</f>
        <v>0</v>
      </c>
      <c r="T15" s="4">
        <f>+TD_tdj1!T15*300</f>
        <v>0</v>
      </c>
      <c r="U15" s="4">
        <f>+TD_tdj1!U15*300</f>
        <v>0</v>
      </c>
      <c r="V15" s="4">
        <f>+TD_tdj1!V15*300</f>
        <v>0</v>
      </c>
      <c r="W15" s="4">
        <f>+TD_tdj1!W15*300</f>
        <v>300</v>
      </c>
      <c r="X15" s="4">
        <f>+TD_tdj1!X15*300</f>
        <v>300</v>
      </c>
      <c r="Y15" s="4">
        <f>+TD_tdj1!Y15*300</f>
        <v>300</v>
      </c>
      <c r="Z15" s="4">
        <f>+TD_tdj1!Z15*300</f>
        <v>0</v>
      </c>
      <c r="AA15" s="4">
        <f>+TD_tdj1!AA15*300</f>
        <v>0</v>
      </c>
      <c r="AB15" s="4">
        <f>+TD_tdj1!AB15*300</f>
        <v>0</v>
      </c>
      <c r="AC15" s="4">
        <f>+TD_tdj1!AC15*300</f>
        <v>0</v>
      </c>
      <c r="AD15" s="4">
        <f>+TD_tdj1!AD15*300</f>
        <v>300</v>
      </c>
      <c r="AE15" s="4">
        <f>+TD_tdj1!AE15*300</f>
        <v>300</v>
      </c>
      <c r="AF15" s="4">
        <f>+TD_tdj1!AF15*300</f>
        <v>300</v>
      </c>
    </row>
    <row r="16" spans="1:32" ht="18.75" customHeight="1" x14ac:dyDescent="0.25">
      <c r="A16" s="5" t="s">
        <v>67</v>
      </c>
      <c r="B16" s="4">
        <f>+TD_tdj1!B16*300</f>
        <v>0</v>
      </c>
      <c r="C16" s="4">
        <f>+TD_tdj1!C16*300</f>
        <v>0</v>
      </c>
      <c r="D16" s="4">
        <f>+TD_tdj1!D16*300</f>
        <v>0</v>
      </c>
      <c r="E16" s="4">
        <f>+TD_tdj1!E16*300</f>
        <v>0</v>
      </c>
      <c r="F16" s="4">
        <f>+TD_tdj1!F16*300</f>
        <v>0</v>
      </c>
      <c r="G16" s="4">
        <f>+TD_tdj1!G16*300</f>
        <v>300</v>
      </c>
      <c r="H16" s="4">
        <f>+TD_tdj1!H16*300</f>
        <v>300</v>
      </c>
      <c r="I16" s="4">
        <f>+TD_tdj1!I16*300</f>
        <v>300</v>
      </c>
      <c r="J16" s="4">
        <f>+TD_tdj1!J16*300</f>
        <v>300</v>
      </c>
      <c r="K16" s="4">
        <f>+TD_tdj1!K16*300</f>
        <v>300</v>
      </c>
      <c r="L16" s="4">
        <f>+TD_tdj1!L16*300</f>
        <v>0</v>
      </c>
      <c r="M16" s="4">
        <f>+TD_tdj1!M16*300</f>
        <v>0</v>
      </c>
      <c r="N16" s="4">
        <f>+TD_tdj1!N16*300</f>
        <v>300</v>
      </c>
      <c r="O16" s="4">
        <f>+TD_tdj1!O16*300</f>
        <v>300</v>
      </c>
      <c r="P16" s="4">
        <f>+TD_tdj1!P16*300</f>
        <v>300</v>
      </c>
      <c r="Q16" s="4">
        <f>+TD_tdj1!Q16*300</f>
        <v>0</v>
      </c>
      <c r="R16" s="4">
        <f>+TD_tdj1!R16*300</f>
        <v>0</v>
      </c>
      <c r="S16" s="4">
        <f>+TD_tdj1!S16*300</f>
        <v>0</v>
      </c>
      <c r="T16" s="4">
        <f>+TD_tdj1!T16*300</f>
        <v>0</v>
      </c>
      <c r="U16" s="4">
        <f>+TD_tdj1!U16*300</f>
        <v>300</v>
      </c>
      <c r="V16" s="4">
        <f>+TD_tdj1!V16*300</f>
        <v>300</v>
      </c>
      <c r="W16" s="4">
        <f>+TD_tdj1!W16*300</f>
        <v>300</v>
      </c>
      <c r="X16" s="4">
        <f>+TD_tdj1!X16*300</f>
        <v>300</v>
      </c>
      <c r="Y16" s="4">
        <f>+TD_tdj1!Y16*300</f>
        <v>300</v>
      </c>
      <c r="Z16" s="4">
        <f>+TD_tdj1!Z16*300</f>
        <v>0</v>
      </c>
      <c r="AA16" s="4">
        <f>+TD_tdj1!AA16*300</f>
        <v>300</v>
      </c>
      <c r="AB16" s="4">
        <f>+TD_tdj1!AB16*300</f>
        <v>300</v>
      </c>
      <c r="AC16" s="4">
        <f>+TD_tdj1!AC16*300</f>
        <v>300</v>
      </c>
      <c r="AD16" s="4">
        <f>+TD_tdj1!AD16*300</f>
        <v>300</v>
      </c>
      <c r="AE16" s="4">
        <f>+TD_tdj1!AE16*300</f>
        <v>0</v>
      </c>
      <c r="AF16" s="4">
        <f>+TD_tdj1!AF16*300</f>
        <v>0</v>
      </c>
    </row>
    <row r="17" spans="1:32" ht="18.75" customHeight="1" x14ac:dyDescent="0.25">
      <c r="A17" s="5" t="s">
        <v>68</v>
      </c>
      <c r="B17" s="4">
        <f>+TD_tdj1!B17*300</f>
        <v>0</v>
      </c>
      <c r="C17" s="4">
        <f>+TD_tdj1!C17*300</f>
        <v>0</v>
      </c>
      <c r="D17" s="4">
        <f>+TD_tdj1!D17*300</f>
        <v>0</v>
      </c>
      <c r="E17" s="4">
        <f>+TD_tdj1!E17*300</f>
        <v>0</v>
      </c>
      <c r="F17" s="4">
        <f>+TD_tdj1!F17*300</f>
        <v>0</v>
      </c>
      <c r="G17" s="4">
        <f>+TD_tdj1!G17*300</f>
        <v>0</v>
      </c>
      <c r="H17" s="4">
        <f>+TD_tdj1!H17*300</f>
        <v>0</v>
      </c>
      <c r="I17" s="4">
        <f>+TD_tdj1!I17*300</f>
        <v>0</v>
      </c>
      <c r="J17" s="4">
        <f>+TD_tdj1!J17*300</f>
        <v>0</v>
      </c>
      <c r="K17" s="4">
        <f>+TD_tdj1!K17*300</f>
        <v>0</v>
      </c>
      <c r="L17" s="4">
        <f>+TD_tdj1!L17*300</f>
        <v>0</v>
      </c>
      <c r="M17" s="4">
        <f>+TD_tdj1!M17*300</f>
        <v>0</v>
      </c>
      <c r="N17" s="4">
        <f>+TD_tdj1!N17*300</f>
        <v>0</v>
      </c>
      <c r="O17" s="4">
        <f>+TD_tdj1!O17*300</f>
        <v>0</v>
      </c>
      <c r="P17" s="4">
        <f>+TD_tdj1!P17*300</f>
        <v>0</v>
      </c>
      <c r="Q17" s="4">
        <f>+TD_tdj1!Q17*300</f>
        <v>0</v>
      </c>
      <c r="R17" s="4">
        <f>+TD_tdj1!R17*300</f>
        <v>0</v>
      </c>
      <c r="S17" s="4">
        <f>+TD_tdj1!S17*300</f>
        <v>0</v>
      </c>
      <c r="T17" s="4">
        <f>+TD_tdj1!T17*300</f>
        <v>0</v>
      </c>
      <c r="U17" s="4">
        <f>+TD_tdj1!U17*300</f>
        <v>0</v>
      </c>
      <c r="V17" s="4">
        <f>+TD_tdj1!V17*300</f>
        <v>0</v>
      </c>
      <c r="W17" s="4">
        <f>+TD_tdj1!W17*300</f>
        <v>0</v>
      </c>
      <c r="X17" s="4">
        <f>+TD_tdj1!X17*300</f>
        <v>0</v>
      </c>
      <c r="Y17" s="4">
        <f>+TD_tdj1!Y17*300</f>
        <v>0</v>
      </c>
      <c r="Z17" s="4">
        <f>+TD_tdj1!Z17*300</f>
        <v>0</v>
      </c>
      <c r="AA17" s="4">
        <f>+TD_tdj1!AA17*300</f>
        <v>0</v>
      </c>
      <c r="AB17" s="4">
        <f>+TD_tdj1!AB17*300</f>
        <v>0</v>
      </c>
      <c r="AC17" s="4">
        <f>+TD_tdj1!AC17*300</f>
        <v>0</v>
      </c>
      <c r="AD17" s="4">
        <f>+TD_tdj1!AD17*300</f>
        <v>0</v>
      </c>
      <c r="AE17" s="4">
        <f>+TD_tdj1!AE17*300</f>
        <v>0</v>
      </c>
      <c r="AF17" s="4">
        <f>+TD_tdj1!AF17*300</f>
        <v>0</v>
      </c>
    </row>
    <row r="18" spans="1:32" ht="18.75" customHeight="1" x14ac:dyDescent="0.25">
      <c r="A18" s="5" t="s">
        <v>69</v>
      </c>
      <c r="B18" s="4">
        <f>+TD_tdj1!B18*300</f>
        <v>0</v>
      </c>
      <c r="C18" s="4">
        <f>+TD_tdj1!C18*300</f>
        <v>0</v>
      </c>
      <c r="D18" s="4">
        <f>+TD_tdj1!D18*300</f>
        <v>0</v>
      </c>
      <c r="E18" s="4">
        <f>+TD_tdj1!E18*300</f>
        <v>0</v>
      </c>
      <c r="F18" s="4">
        <f>+TD_tdj1!F18*300</f>
        <v>0</v>
      </c>
      <c r="G18" s="4">
        <f>+TD_tdj1!G18*300</f>
        <v>300</v>
      </c>
      <c r="H18" s="4">
        <f>+TD_tdj1!H18*300</f>
        <v>0</v>
      </c>
      <c r="I18" s="4">
        <f>+TD_tdj1!I18*300</f>
        <v>300</v>
      </c>
      <c r="J18" s="4">
        <f>+TD_tdj1!J18*300</f>
        <v>0</v>
      </c>
      <c r="K18" s="4">
        <f>+TD_tdj1!K18*300</f>
        <v>0</v>
      </c>
      <c r="L18" s="4">
        <f>+TD_tdj1!L18*300</f>
        <v>0</v>
      </c>
      <c r="M18" s="4">
        <f>+TD_tdj1!M18*300</f>
        <v>0</v>
      </c>
      <c r="N18" s="4">
        <f>+TD_tdj1!N18*300</f>
        <v>0</v>
      </c>
      <c r="O18" s="4">
        <f>+TD_tdj1!O18*300</f>
        <v>0</v>
      </c>
      <c r="P18" s="4">
        <f>+TD_tdj1!P18*300</f>
        <v>300</v>
      </c>
      <c r="Q18" s="4">
        <f>+TD_tdj1!Q18*300</f>
        <v>0</v>
      </c>
      <c r="R18" s="4">
        <f>+TD_tdj1!R18*300</f>
        <v>0</v>
      </c>
      <c r="S18" s="4">
        <f>+TD_tdj1!S18*300</f>
        <v>0</v>
      </c>
      <c r="T18" s="4">
        <f>+TD_tdj1!T18*300</f>
        <v>300</v>
      </c>
      <c r="U18" s="4">
        <f>+TD_tdj1!U18*300</f>
        <v>300</v>
      </c>
      <c r="V18" s="4">
        <f>+TD_tdj1!V18*300</f>
        <v>0</v>
      </c>
      <c r="W18" s="4">
        <f>+TD_tdj1!W18*300</f>
        <v>0</v>
      </c>
      <c r="X18" s="4">
        <f>+TD_tdj1!X18*300</f>
        <v>0</v>
      </c>
      <c r="Y18" s="4">
        <f>+TD_tdj1!Y18*300</f>
        <v>0</v>
      </c>
      <c r="Z18" s="4">
        <f>+TD_tdj1!Z18*300</f>
        <v>0</v>
      </c>
      <c r="AA18" s="4">
        <f>+TD_tdj1!AA18*300</f>
        <v>0</v>
      </c>
      <c r="AB18" s="4">
        <f>+TD_tdj1!AB18*300</f>
        <v>300</v>
      </c>
      <c r="AC18" s="4">
        <f>+TD_tdj1!AC18*300</f>
        <v>0</v>
      </c>
      <c r="AD18" s="4">
        <f>+TD_tdj1!AD18*300</f>
        <v>300</v>
      </c>
      <c r="AE18" s="4">
        <f>+TD_tdj1!AE18*300</f>
        <v>0</v>
      </c>
      <c r="AF18" s="4">
        <f>+TD_tdj1!AF18*300</f>
        <v>0</v>
      </c>
    </row>
    <row r="19" spans="1:32" ht="18.75" customHeight="1" x14ac:dyDescent="0.25">
      <c r="A19" s="5" t="s">
        <v>70</v>
      </c>
      <c r="B19" s="4">
        <f>+TD_tdj1!B19*300</f>
        <v>0</v>
      </c>
      <c r="C19" s="4">
        <f>+TD_tdj1!C19*300</f>
        <v>0</v>
      </c>
      <c r="D19" s="4">
        <f>+TD_tdj1!D19*300</f>
        <v>0</v>
      </c>
      <c r="E19" s="4">
        <f>+TD_tdj1!E19*300</f>
        <v>0</v>
      </c>
      <c r="F19" s="4">
        <f>+TD_tdj1!F19*300</f>
        <v>0</v>
      </c>
      <c r="G19" s="4">
        <f>+TD_tdj1!G19*300</f>
        <v>0</v>
      </c>
      <c r="H19" s="4">
        <f>+TD_tdj1!H19*300</f>
        <v>300</v>
      </c>
      <c r="I19" s="4">
        <f>+TD_tdj1!I19*300</f>
        <v>0</v>
      </c>
      <c r="J19" s="4">
        <f>+TD_tdj1!J19*300</f>
        <v>0</v>
      </c>
      <c r="K19" s="4">
        <f>+TD_tdj1!K19*300</f>
        <v>0</v>
      </c>
      <c r="L19" s="4">
        <f>+TD_tdj1!L19*300</f>
        <v>0</v>
      </c>
      <c r="M19" s="4">
        <f>+TD_tdj1!M19*300</f>
        <v>0</v>
      </c>
      <c r="N19" s="4">
        <f>+TD_tdj1!N19*300</f>
        <v>0</v>
      </c>
      <c r="O19" s="4">
        <f>+TD_tdj1!O19*300</f>
        <v>300</v>
      </c>
      <c r="P19" s="4">
        <f>+TD_tdj1!P19*300</f>
        <v>0</v>
      </c>
      <c r="Q19" s="4">
        <f>+TD_tdj1!Q19*300</f>
        <v>0</v>
      </c>
      <c r="R19" s="4">
        <f>+TD_tdj1!R19*300</f>
        <v>0</v>
      </c>
      <c r="S19" s="4">
        <f>+TD_tdj1!S19*300</f>
        <v>0</v>
      </c>
      <c r="T19" s="4">
        <f>+TD_tdj1!T19*300</f>
        <v>0</v>
      </c>
      <c r="U19" s="4">
        <f>+TD_tdj1!U19*300</f>
        <v>0</v>
      </c>
      <c r="V19" s="4">
        <f>+TD_tdj1!V19*300</f>
        <v>300</v>
      </c>
      <c r="W19" s="4">
        <f>+TD_tdj1!W19*300</f>
        <v>0</v>
      </c>
      <c r="X19" s="4">
        <f>+TD_tdj1!X19*300</f>
        <v>0</v>
      </c>
      <c r="Y19" s="4">
        <f>+TD_tdj1!Y19*300</f>
        <v>0</v>
      </c>
      <c r="Z19" s="4">
        <f>+TD_tdj1!Z19*300</f>
        <v>0</v>
      </c>
      <c r="AA19" s="4">
        <f>+TD_tdj1!AA19*300</f>
        <v>0</v>
      </c>
      <c r="AB19" s="4">
        <f>+TD_tdj1!AB19*300</f>
        <v>0</v>
      </c>
      <c r="AC19" s="4">
        <f>+TD_tdj1!AC19*300</f>
        <v>300</v>
      </c>
      <c r="AD19" s="4">
        <f>+TD_tdj1!AD19*300</f>
        <v>0</v>
      </c>
      <c r="AE19" s="4">
        <f>+TD_tdj1!AE19*300</f>
        <v>0</v>
      </c>
      <c r="AF19" s="4">
        <f>+TD_tdj1!AF19*300</f>
        <v>0</v>
      </c>
    </row>
    <row r="20" spans="1:32" ht="18.75" customHeight="1" x14ac:dyDescent="0.25">
      <c r="A20" s="5" t="s">
        <v>71</v>
      </c>
      <c r="B20" s="4">
        <f>+TD_tdj1!B20*300</f>
        <v>0</v>
      </c>
      <c r="C20" s="4">
        <f>+TD_tdj1!C20*300</f>
        <v>0</v>
      </c>
      <c r="D20" s="4">
        <f>+TD_tdj1!D20*300</f>
        <v>0</v>
      </c>
      <c r="E20" s="4">
        <f>+TD_tdj1!E20*300</f>
        <v>0</v>
      </c>
      <c r="F20" s="4">
        <f>+TD_tdj1!F20*300</f>
        <v>0</v>
      </c>
      <c r="G20" s="4">
        <f>+TD_tdj1!G20*300</f>
        <v>0</v>
      </c>
      <c r="H20" s="4">
        <f>+TD_tdj1!H20*300</f>
        <v>0</v>
      </c>
      <c r="I20" s="4">
        <f>+TD_tdj1!I20*300</f>
        <v>0</v>
      </c>
      <c r="J20" s="4">
        <f>+TD_tdj1!J20*300</f>
        <v>300</v>
      </c>
      <c r="K20" s="4">
        <f>+TD_tdj1!K20*300</f>
        <v>0</v>
      </c>
      <c r="L20" s="4">
        <f>+TD_tdj1!L20*300</f>
        <v>0</v>
      </c>
      <c r="M20" s="4">
        <f>+TD_tdj1!M20*300</f>
        <v>0</v>
      </c>
      <c r="N20" s="4">
        <f>+TD_tdj1!N20*300</f>
        <v>300</v>
      </c>
      <c r="O20" s="4">
        <f>+TD_tdj1!O20*300</f>
        <v>0</v>
      </c>
      <c r="P20" s="4">
        <f>+TD_tdj1!P20*300</f>
        <v>0</v>
      </c>
      <c r="Q20" s="4">
        <f>+TD_tdj1!Q20*300</f>
        <v>300</v>
      </c>
      <c r="R20" s="4">
        <f>+TD_tdj1!R20*300</f>
        <v>0</v>
      </c>
      <c r="S20" s="4">
        <f>+TD_tdj1!S20*300</f>
        <v>0</v>
      </c>
      <c r="T20" s="4">
        <f>+TD_tdj1!T20*300</f>
        <v>0</v>
      </c>
      <c r="U20" s="4">
        <f>+TD_tdj1!U20*300</f>
        <v>0</v>
      </c>
      <c r="V20" s="4">
        <f>+TD_tdj1!V20*300</f>
        <v>0</v>
      </c>
      <c r="W20" s="4">
        <f>+TD_tdj1!W20*300</f>
        <v>0</v>
      </c>
      <c r="X20" s="4">
        <f>+TD_tdj1!X20*300</f>
        <v>300</v>
      </c>
      <c r="Y20" s="4">
        <f>+TD_tdj1!Y20*300</f>
        <v>0</v>
      </c>
      <c r="Z20" s="4">
        <f>+TD_tdj1!Z20*300</f>
        <v>0</v>
      </c>
      <c r="AA20" s="4">
        <f>+TD_tdj1!AA20*300</f>
        <v>0</v>
      </c>
      <c r="AB20" s="4">
        <f>+TD_tdj1!AB20*300</f>
        <v>300</v>
      </c>
      <c r="AC20" s="4">
        <f>+TD_tdj1!AC20*300</f>
        <v>0</v>
      </c>
      <c r="AD20" s="4">
        <f>+TD_tdj1!AD20*300</f>
        <v>0</v>
      </c>
      <c r="AE20" s="4">
        <f>+TD_tdj1!AE20*300</f>
        <v>300</v>
      </c>
      <c r="AF20" s="4">
        <f>+TD_tdj1!AF20*300</f>
        <v>0</v>
      </c>
    </row>
    <row r="21" spans="1:32" ht="18.75" customHeight="1" x14ac:dyDescent="0.25">
      <c r="A21" s="5" t="s">
        <v>72</v>
      </c>
      <c r="B21" s="4">
        <f>+TD_tdj1!B21*300</f>
        <v>0</v>
      </c>
      <c r="C21" s="4">
        <f>+TD_tdj1!C21*300</f>
        <v>0</v>
      </c>
      <c r="D21" s="4">
        <f>+TD_tdj1!D21*300</f>
        <v>0</v>
      </c>
      <c r="E21" s="4">
        <f>+TD_tdj1!E21*300</f>
        <v>0</v>
      </c>
      <c r="F21" s="4">
        <f>+TD_tdj1!F21*300</f>
        <v>0</v>
      </c>
      <c r="G21" s="4">
        <f>+TD_tdj1!G21*300</f>
        <v>0</v>
      </c>
      <c r="H21" s="4">
        <f>+TD_tdj1!H21*300</f>
        <v>300</v>
      </c>
      <c r="I21" s="4">
        <f>+TD_tdj1!I21*300</f>
        <v>300</v>
      </c>
      <c r="J21" s="4">
        <f>+TD_tdj1!J21*300</f>
        <v>300</v>
      </c>
      <c r="K21" s="4">
        <f>+TD_tdj1!K21*300</f>
        <v>300</v>
      </c>
      <c r="L21" s="4">
        <f>+TD_tdj1!L21*300</f>
        <v>0</v>
      </c>
      <c r="M21" s="4">
        <f>+TD_tdj1!M21*300</f>
        <v>0</v>
      </c>
      <c r="N21" s="4">
        <f>+TD_tdj1!N21*300</f>
        <v>300</v>
      </c>
      <c r="O21" s="4">
        <f>+TD_tdj1!O21*300</f>
        <v>300</v>
      </c>
      <c r="P21" s="4">
        <f>+TD_tdj1!P21*300</f>
        <v>300</v>
      </c>
      <c r="Q21" s="4">
        <f>+TD_tdj1!Q21*300</f>
        <v>300</v>
      </c>
      <c r="R21" s="4">
        <f>+TD_tdj1!R21*300</f>
        <v>300</v>
      </c>
      <c r="S21" s="4">
        <f>+TD_tdj1!S21*300</f>
        <v>0</v>
      </c>
      <c r="T21" s="4">
        <f>+TD_tdj1!T21*300</f>
        <v>300</v>
      </c>
      <c r="U21" s="4">
        <f>+TD_tdj1!U21*300</f>
        <v>300</v>
      </c>
      <c r="V21" s="4">
        <f>+TD_tdj1!V21*300</f>
        <v>300</v>
      </c>
      <c r="W21" s="4">
        <f>+TD_tdj1!W21*300</f>
        <v>300</v>
      </c>
      <c r="X21" s="4">
        <f>+TD_tdj1!X21*300</f>
        <v>300</v>
      </c>
      <c r="Y21" s="4">
        <f>+TD_tdj1!Y21*300</f>
        <v>300</v>
      </c>
      <c r="Z21" s="4">
        <f>+TD_tdj1!Z21*300</f>
        <v>0</v>
      </c>
      <c r="AA21" s="4">
        <f>+TD_tdj1!AA21*300</f>
        <v>300</v>
      </c>
      <c r="AB21" s="4">
        <f>+TD_tdj1!AB21*300</f>
        <v>300</v>
      </c>
      <c r="AC21" s="4">
        <f>+TD_tdj1!AC21*300</f>
        <v>300</v>
      </c>
      <c r="AD21" s="4">
        <f>+TD_tdj1!AD21*300</f>
        <v>300</v>
      </c>
      <c r="AE21" s="4">
        <f>+TD_tdj1!AE21*300</f>
        <v>300</v>
      </c>
      <c r="AF21" s="4">
        <f>+TD_tdj1!AF21*300</f>
        <v>300</v>
      </c>
    </row>
    <row r="22" spans="1:32" ht="18.75" customHeight="1" x14ac:dyDescent="0.25">
      <c r="A22" s="5" t="s">
        <v>73</v>
      </c>
      <c r="B22" s="4">
        <f>+TD_tdj1!B22*300</f>
        <v>0</v>
      </c>
      <c r="C22" s="4">
        <f>+TD_tdj1!C22*300</f>
        <v>0</v>
      </c>
      <c r="D22" s="4">
        <f>+TD_tdj1!D22*300</f>
        <v>0</v>
      </c>
      <c r="E22" s="4">
        <f>+TD_tdj1!E22*300</f>
        <v>0</v>
      </c>
      <c r="F22" s="4">
        <f>+TD_tdj1!F22*300</f>
        <v>0</v>
      </c>
      <c r="G22" s="4">
        <f>+TD_tdj1!G22*300</f>
        <v>0</v>
      </c>
      <c r="H22" s="4">
        <f>+TD_tdj1!H22*300</f>
        <v>0</v>
      </c>
      <c r="I22" s="4">
        <f>+TD_tdj1!I22*300</f>
        <v>0</v>
      </c>
      <c r="J22" s="4">
        <f>+TD_tdj1!J22*300</f>
        <v>0</v>
      </c>
      <c r="K22" s="4">
        <f>+TD_tdj1!K22*300</f>
        <v>0</v>
      </c>
      <c r="L22" s="4">
        <f>+TD_tdj1!L22*300</f>
        <v>0</v>
      </c>
      <c r="M22" s="4">
        <f>+TD_tdj1!M22*300</f>
        <v>0</v>
      </c>
      <c r="N22" s="4">
        <f>+TD_tdj1!N22*300</f>
        <v>300</v>
      </c>
      <c r="O22" s="4">
        <f>+TD_tdj1!O22*300</f>
        <v>300</v>
      </c>
      <c r="P22" s="4">
        <f>+TD_tdj1!P22*300</f>
        <v>300</v>
      </c>
      <c r="Q22" s="4">
        <f>+TD_tdj1!Q22*300</f>
        <v>300</v>
      </c>
      <c r="R22" s="4">
        <f>+TD_tdj1!R22*300</f>
        <v>300</v>
      </c>
      <c r="S22" s="4">
        <f>+TD_tdj1!S22*300</f>
        <v>0</v>
      </c>
      <c r="T22" s="4">
        <f>+TD_tdj1!T22*300</f>
        <v>300</v>
      </c>
      <c r="U22" s="4">
        <f>+TD_tdj1!U22*300</f>
        <v>300</v>
      </c>
      <c r="V22" s="4">
        <f>+TD_tdj1!V22*300</f>
        <v>300</v>
      </c>
      <c r="W22" s="4">
        <f>+TD_tdj1!W22*300</f>
        <v>0</v>
      </c>
      <c r="X22" s="4">
        <f>+TD_tdj1!X22*300</f>
        <v>0</v>
      </c>
      <c r="Y22" s="4">
        <f>+TD_tdj1!Y22*300</f>
        <v>300</v>
      </c>
      <c r="Z22" s="4">
        <f>+TD_tdj1!Z22*300</f>
        <v>0</v>
      </c>
      <c r="AA22" s="4">
        <f>+TD_tdj1!AA22*300</f>
        <v>300</v>
      </c>
      <c r="AB22" s="4">
        <f>+TD_tdj1!AB22*300</f>
        <v>300</v>
      </c>
      <c r="AC22" s="4">
        <f>+TD_tdj1!AC22*300</f>
        <v>300</v>
      </c>
      <c r="AD22" s="4">
        <f>+TD_tdj1!AD22*300</f>
        <v>300</v>
      </c>
      <c r="AE22" s="4">
        <f>+TD_tdj1!AE22*300</f>
        <v>300</v>
      </c>
      <c r="AF22" s="4">
        <f>+TD_tdj1!AF22*300</f>
        <v>300</v>
      </c>
    </row>
    <row r="23" spans="1:32" ht="18.75" customHeight="1" x14ac:dyDescent="0.25">
      <c r="A23" s="5" t="s">
        <v>74</v>
      </c>
      <c r="B23" s="4">
        <f>+TD_tdj1!B23*300</f>
        <v>0</v>
      </c>
      <c r="C23" s="4">
        <f>+TD_tdj1!C23*300</f>
        <v>0</v>
      </c>
      <c r="D23" s="4">
        <f>+TD_tdj1!D23*300</f>
        <v>0</v>
      </c>
      <c r="E23" s="4">
        <f>+TD_tdj1!E23*300</f>
        <v>0</v>
      </c>
      <c r="F23" s="4">
        <f>+TD_tdj1!F23*300</f>
        <v>0</v>
      </c>
      <c r="G23" s="4">
        <f>+TD_tdj1!G23*300</f>
        <v>0</v>
      </c>
      <c r="H23" s="4">
        <f>+TD_tdj1!H23*300</f>
        <v>0</v>
      </c>
      <c r="I23" s="4">
        <f>+TD_tdj1!I23*300</f>
        <v>0</v>
      </c>
      <c r="J23" s="4">
        <f>+TD_tdj1!J23*300</f>
        <v>0</v>
      </c>
      <c r="K23" s="4">
        <f>+TD_tdj1!K23*300</f>
        <v>0</v>
      </c>
      <c r="L23" s="4">
        <f>+TD_tdj1!L23*300</f>
        <v>0</v>
      </c>
      <c r="M23" s="4">
        <f>+TD_tdj1!M23*300</f>
        <v>0</v>
      </c>
      <c r="N23" s="4">
        <f>+TD_tdj1!N23*300</f>
        <v>0</v>
      </c>
      <c r="O23" s="4">
        <f>+TD_tdj1!O23*300</f>
        <v>300</v>
      </c>
      <c r="P23" s="4">
        <f>+TD_tdj1!P23*300</f>
        <v>300</v>
      </c>
      <c r="Q23" s="4">
        <f>+TD_tdj1!Q23*300</f>
        <v>300</v>
      </c>
      <c r="R23" s="4">
        <f>+TD_tdj1!R23*300</f>
        <v>300</v>
      </c>
      <c r="S23" s="4">
        <f>+TD_tdj1!S23*300</f>
        <v>0</v>
      </c>
      <c r="T23" s="4">
        <f>+TD_tdj1!T23*300</f>
        <v>300</v>
      </c>
      <c r="U23" s="4">
        <f>+TD_tdj1!U23*300</f>
        <v>300</v>
      </c>
      <c r="V23" s="4">
        <f>+TD_tdj1!V23*300</f>
        <v>300</v>
      </c>
      <c r="W23" s="4">
        <f>+TD_tdj1!W23*300</f>
        <v>300</v>
      </c>
      <c r="X23" s="4">
        <f>+TD_tdj1!X23*300</f>
        <v>300</v>
      </c>
      <c r="Y23" s="4">
        <f>+TD_tdj1!Y23*300</f>
        <v>0</v>
      </c>
      <c r="Z23" s="4">
        <f>+TD_tdj1!Z23*300</f>
        <v>0</v>
      </c>
      <c r="AA23" s="4">
        <f>+TD_tdj1!AA23*300</f>
        <v>300</v>
      </c>
      <c r="AB23" s="4">
        <f>+TD_tdj1!AB23*300</f>
        <v>300</v>
      </c>
      <c r="AC23" s="4">
        <f>+TD_tdj1!AC23*300</f>
        <v>300</v>
      </c>
      <c r="AD23" s="4">
        <f>+TD_tdj1!AD23*300</f>
        <v>300</v>
      </c>
      <c r="AE23" s="4">
        <f>+TD_tdj1!AE23*300</f>
        <v>300</v>
      </c>
      <c r="AF23" s="4">
        <f>+TD_tdj1!AF23*300</f>
        <v>300</v>
      </c>
    </row>
    <row r="24" spans="1:32" ht="18.75" customHeight="1" x14ac:dyDescent="0.25">
      <c r="A24" s="5" t="s">
        <v>75</v>
      </c>
      <c r="B24" s="4">
        <f>+TD_tdj1!B24*300</f>
        <v>0</v>
      </c>
      <c r="C24" s="4">
        <f>+TD_tdj1!C24*300</f>
        <v>0</v>
      </c>
      <c r="D24" s="4">
        <f>+TD_tdj1!D24*300</f>
        <v>0</v>
      </c>
      <c r="E24" s="4">
        <f>+TD_tdj1!E24*300</f>
        <v>0</v>
      </c>
      <c r="F24" s="4">
        <f>+TD_tdj1!F24*300</f>
        <v>300</v>
      </c>
      <c r="G24" s="4">
        <f>+TD_tdj1!G24*300</f>
        <v>300</v>
      </c>
      <c r="H24" s="4">
        <f>+TD_tdj1!H24*300</f>
        <v>300</v>
      </c>
      <c r="I24" s="4">
        <f>+TD_tdj1!I24*300</f>
        <v>300</v>
      </c>
      <c r="J24" s="4">
        <f>+TD_tdj1!J24*300</f>
        <v>0</v>
      </c>
      <c r="K24" s="4">
        <f>+TD_tdj1!K24*300</f>
        <v>0</v>
      </c>
      <c r="L24" s="4">
        <f>+TD_tdj1!L24*300</f>
        <v>0</v>
      </c>
      <c r="M24" s="4">
        <f>+TD_tdj1!M24*300</f>
        <v>0</v>
      </c>
      <c r="N24" s="4">
        <f>+TD_tdj1!N24*300</f>
        <v>300</v>
      </c>
      <c r="O24" s="4">
        <f>+TD_tdj1!O24*300</f>
        <v>300</v>
      </c>
      <c r="P24" s="4">
        <f>+TD_tdj1!P24*300</f>
        <v>300</v>
      </c>
      <c r="Q24" s="4">
        <f>+TD_tdj1!Q24*300</f>
        <v>300</v>
      </c>
      <c r="R24" s="4">
        <f>+TD_tdj1!R24*300</f>
        <v>0</v>
      </c>
      <c r="S24" s="4">
        <f>+TD_tdj1!S24*300</f>
        <v>0</v>
      </c>
      <c r="T24" s="4">
        <f>+TD_tdj1!T24*300</f>
        <v>300</v>
      </c>
      <c r="U24" s="4">
        <f>+TD_tdj1!U24*300</f>
        <v>300</v>
      </c>
      <c r="V24" s="4">
        <f>+TD_tdj1!V24*300</f>
        <v>300</v>
      </c>
      <c r="W24" s="4">
        <f>+TD_tdj1!W24*300</f>
        <v>300</v>
      </c>
      <c r="X24" s="4">
        <f>+TD_tdj1!X24*300</f>
        <v>300</v>
      </c>
      <c r="Y24" s="4">
        <f>+TD_tdj1!Y24*300</f>
        <v>0</v>
      </c>
      <c r="Z24" s="4">
        <f>+TD_tdj1!Z24*300</f>
        <v>0</v>
      </c>
      <c r="AA24" s="4">
        <f>+TD_tdj1!AA24*300</f>
        <v>300</v>
      </c>
      <c r="AB24" s="4">
        <f>+TD_tdj1!AB24*300</f>
        <v>300</v>
      </c>
      <c r="AC24" s="4">
        <f>+TD_tdj1!AC24*300</f>
        <v>300</v>
      </c>
      <c r="AD24" s="4">
        <f>+TD_tdj1!AD24*300</f>
        <v>0</v>
      </c>
      <c r="AE24" s="4">
        <f>+TD_tdj1!AE24*300</f>
        <v>0</v>
      </c>
      <c r="AF24" s="4">
        <f>+TD_tdj1!AF24*300</f>
        <v>0</v>
      </c>
    </row>
    <row r="25" spans="1:32" ht="18.75" customHeight="1" x14ac:dyDescent="0.25">
      <c r="A25" s="5" t="s">
        <v>76</v>
      </c>
      <c r="B25" s="4">
        <f>+TD_tdj1!B25*300</f>
        <v>0</v>
      </c>
      <c r="C25" s="4">
        <f>+TD_tdj1!C25*300</f>
        <v>0</v>
      </c>
      <c r="D25" s="4">
        <f>+TD_tdj1!D25*300</f>
        <v>0</v>
      </c>
      <c r="E25" s="4">
        <f>+TD_tdj1!E25*300</f>
        <v>0</v>
      </c>
      <c r="F25" s="4">
        <f>+TD_tdj1!F25*300</f>
        <v>0</v>
      </c>
      <c r="G25" s="4">
        <f>+TD_tdj1!G25*300</f>
        <v>0</v>
      </c>
      <c r="H25" s="4">
        <f>+TD_tdj1!H25*300</f>
        <v>0</v>
      </c>
      <c r="I25" s="4">
        <f>+TD_tdj1!I25*300</f>
        <v>0</v>
      </c>
      <c r="J25" s="4">
        <f>+TD_tdj1!J25*300</f>
        <v>0</v>
      </c>
      <c r="K25" s="4">
        <f>+TD_tdj1!K25*300</f>
        <v>0</v>
      </c>
      <c r="L25" s="4">
        <f>+TD_tdj1!L25*300</f>
        <v>0</v>
      </c>
      <c r="M25" s="4">
        <f>+TD_tdj1!M25*300</f>
        <v>0</v>
      </c>
      <c r="N25" s="4">
        <f>+TD_tdj1!N25*300</f>
        <v>300</v>
      </c>
      <c r="O25" s="4">
        <f>+TD_tdj1!O25*300</f>
        <v>300</v>
      </c>
      <c r="P25" s="4">
        <f>+TD_tdj1!P25*300</f>
        <v>300</v>
      </c>
      <c r="Q25" s="4">
        <f>+TD_tdj1!Q25*300</f>
        <v>300</v>
      </c>
      <c r="R25" s="4">
        <f>+TD_tdj1!R25*300</f>
        <v>300</v>
      </c>
      <c r="S25" s="4">
        <f>+TD_tdj1!S25*300</f>
        <v>0</v>
      </c>
      <c r="T25" s="4">
        <f>+TD_tdj1!T25*300</f>
        <v>300</v>
      </c>
      <c r="U25" s="4">
        <f>+TD_tdj1!U25*300</f>
        <v>300</v>
      </c>
      <c r="V25" s="4">
        <f>+TD_tdj1!V25*300</f>
        <v>300</v>
      </c>
      <c r="W25" s="4">
        <f>+TD_tdj1!W25*300</f>
        <v>300</v>
      </c>
      <c r="X25" s="4">
        <f>+TD_tdj1!X25*300</f>
        <v>300</v>
      </c>
      <c r="Y25" s="4">
        <f>+TD_tdj1!Y25*300</f>
        <v>300</v>
      </c>
      <c r="Z25" s="4">
        <f>+TD_tdj1!Z25*300</f>
        <v>0</v>
      </c>
      <c r="AA25" s="4">
        <f>+TD_tdj1!AA25*300</f>
        <v>300</v>
      </c>
      <c r="AB25" s="4">
        <f>+TD_tdj1!AB25*300</f>
        <v>300</v>
      </c>
      <c r="AC25" s="4">
        <f>+TD_tdj1!AC25*300</f>
        <v>300</v>
      </c>
      <c r="AD25" s="4">
        <f>+TD_tdj1!AD25*300</f>
        <v>300</v>
      </c>
      <c r="AE25" s="4">
        <f>+TD_tdj1!AE25*300</f>
        <v>300</v>
      </c>
      <c r="AF25" s="4">
        <f>+TD_tdj1!AF25*300</f>
        <v>300</v>
      </c>
    </row>
    <row r="26" spans="1:32" ht="18.75" customHeight="1" x14ac:dyDescent="0.25">
      <c r="A26" s="5" t="s">
        <v>77</v>
      </c>
      <c r="B26" s="4">
        <f>+TD_tdj1!B26*300</f>
        <v>0</v>
      </c>
      <c r="C26" s="4">
        <f>+TD_tdj1!C26*300</f>
        <v>0</v>
      </c>
      <c r="D26" s="4">
        <f>+TD_tdj1!D26*300</f>
        <v>0</v>
      </c>
      <c r="E26" s="4">
        <f>+TD_tdj1!E26*300</f>
        <v>0</v>
      </c>
      <c r="F26" s="4">
        <f>+TD_tdj1!F26*300</f>
        <v>0</v>
      </c>
      <c r="G26" s="4">
        <f>+TD_tdj1!G26*300</f>
        <v>0</v>
      </c>
      <c r="H26" s="4">
        <f>+TD_tdj1!H26*300</f>
        <v>0</v>
      </c>
      <c r="I26" s="4">
        <f>+TD_tdj1!I26*300</f>
        <v>0</v>
      </c>
      <c r="J26" s="4">
        <f>+TD_tdj1!J26*300</f>
        <v>0</v>
      </c>
      <c r="K26" s="4">
        <f>+TD_tdj1!K26*300</f>
        <v>0</v>
      </c>
      <c r="L26" s="4">
        <f>+TD_tdj1!L26*300</f>
        <v>0</v>
      </c>
      <c r="M26" s="4">
        <f>+TD_tdj1!M26*300</f>
        <v>0</v>
      </c>
      <c r="N26" s="4">
        <f>+TD_tdj1!N26*300</f>
        <v>0</v>
      </c>
      <c r="O26" s="4">
        <f>+TD_tdj1!O26*300</f>
        <v>0</v>
      </c>
      <c r="P26" s="4">
        <f>+TD_tdj1!P26*300</f>
        <v>0</v>
      </c>
      <c r="Q26" s="4">
        <f>+TD_tdj1!Q26*300</f>
        <v>0</v>
      </c>
      <c r="R26" s="4">
        <f>+TD_tdj1!R26*300</f>
        <v>300</v>
      </c>
      <c r="S26" s="4">
        <f>+TD_tdj1!S26*300</f>
        <v>0</v>
      </c>
      <c r="T26" s="4">
        <f>+TD_tdj1!T26*300</f>
        <v>0</v>
      </c>
      <c r="U26" s="4">
        <f>+TD_tdj1!U26*300</f>
        <v>0</v>
      </c>
      <c r="V26" s="4">
        <f>+TD_tdj1!V26*300</f>
        <v>0</v>
      </c>
      <c r="W26" s="4">
        <f>+TD_tdj1!W26*300</f>
        <v>0</v>
      </c>
      <c r="X26" s="4">
        <f>+TD_tdj1!X26*300</f>
        <v>0</v>
      </c>
      <c r="Y26" s="4">
        <f>+TD_tdj1!Y26*300</f>
        <v>300</v>
      </c>
      <c r="Z26" s="4">
        <f>+TD_tdj1!Z26*300</f>
        <v>0</v>
      </c>
      <c r="AA26" s="4">
        <f>+TD_tdj1!AA26*300</f>
        <v>0</v>
      </c>
      <c r="AB26" s="4">
        <f>+TD_tdj1!AB26*300</f>
        <v>0</v>
      </c>
      <c r="AC26" s="4">
        <f>+TD_tdj1!AC26*300</f>
        <v>0</v>
      </c>
      <c r="AD26" s="4">
        <f>+TD_tdj1!AD26*300</f>
        <v>0</v>
      </c>
      <c r="AE26" s="4">
        <f>+TD_tdj1!AE26*300</f>
        <v>0</v>
      </c>
      <c r="AF26" s="4">
        <f>+TD_tdj1!AF26*300</f>
        <v>300</v>
      </c>
    </row>
    <row r="27" spans="1:32" ht="18.75" customHeight="1" x14ac:dyDescent="0.25">
      <c r="A27" s="5" t="s">
        <v>78</v>
      </c>
      <c r="B27" s="4">
        <f>+TD_tdj1!B27*300</f>
        <v>0</v>
      </c>
      <c r="C27" s="4">
        <f>+TD_tdj1!C27*300</f>
        <v>0</v>
      </c>
      <c r="D27" s="4">
        <f>+TD_tdj1!D27*300</f>
        <v>0</v>
      </c>
      <c r="E27" s="4">
        <f>+TD_tdj1!E27*300</f>
        <v>0</v>
      </c>
      <c r="F27" s="4">
        <f>+TD_tdj1!F27*300</f>
        <v>0</v>
      </c>
      <c r="G27" s="4">
        <f>+TD_tdj1!G27*300</f>
        <v>0</v>
      </c>
      <c r="H27" s="4">
        <f>+TD_tdj1!H27*300</f>
        <v>0</v>
      </c>
      <c r="I27" s="4">
        <f>+TD_tdj1!I27*300</f>
        <v>0</v>
      </c>
      <c r="J27" s="4">
        <f>+TD_tdj1!J27*300</f>
        <v>0</v>
      </c>
      <c r="K27" s="4">
        <f>+TD_tdj1!K27*300</f>
        <v>0</v>
      </c>
      <c r="L27" s="4">
        <f>+TD_tdj1!L27*300</f>
        <v>0</v>
      </c>
      <c r="M27" s="4">
        <f>+TD_tdj1!M27*300</f>
        <v>0</v>
      </c>
      <c r="N27" s="4">
        <f>+TD_tdj1!N27*300</f>
        <v>300</v>
      </c>
      <c r="O27" s="4">
        <f>+TD_tdj1!O27*300</f>
        <v>300</v>
      </c>
      <c r="P27" s="4">
        <f>+TD_tdj1!P27*300</f>
        <v>300</v>
      </c>
      <c r="Q27" s="4">
        <f>+TD_tdj1!Q27*300</f>
        <v>300</v>
      </c>
      <c r="R27" s="4">
        <f>+TD_tdj1!R27*300</f>
        <v>300</v>
      </c>
      <c r="S27" s="4">
        <f>+TD_tdj1!S27*300</f>
        <v>0</v>
      </c>
      <c r="T27" s="4">
        <f>+TD_tdj1!T27*300</f>
        <v>300</v>
      </c>
      <c r="U27" s="4">
        <f>+TD_tdj1!U27*300</f>
        <v>300</v>
      </c>
      <c r="V27" s="4">
        <f>+TD_tdj1!V27*300</f>
        <v>300</v>
      </c>
      <c r="W27" s="4">
        <f>+TD_tdj1!W27*300</f>
        <v>300</v>
      </c>
      <c r="X27" s="4">
        <f>+TD_tdj1!X27*300</f>
        <v>300</v>
      </c>
      <c r="Y27" s="4">
        <f>+TD_tdj1!Y27*300</f>
        <v>300</v>
      </c>
      <c r="Z27" s="4">
        <f>+TD_tdj1!Z27*300</f>
        <v>0</v>
      </c>
      <c r="AA27" s="4">
        <f>+TD_tdj1!AA27*300</f>
        <v>300</v>
      </c>
      <c r="AB27" s="4">
        <f>+TD_tdj1!AB27*300</f>
        <v>300</v>
      </c>
      <c r="AC27" s="4">
        <f>+TD_tdj1!AC27*300</f>
        <v>300</v>
      </c>
      <c r="AD27" s="4">
        <f>+TD_tdj1!AD27*300</f>
        <v>300</v>
      </c>
      <c r="AE27" s="4">
        <f>+TD_tdj1!AE27*300</f>
        <v>300</v>
      </c>
      <c r="AF27" s="4">
        <f>+TD_tdj1!AF27*300</f>
        <v>300</v>
      </c>
    </row>
    <row r="28" spans="1:32" ht="18.75" customHeight="1" x14ac:dyDescent="0.25">
      <c r="A28" s="5" t="s">
        <v>79</v>
      </c>
      <c r="B28" s="4">
        <f>+TD_tdj1!B28*300</f>
        <v>0</v>
      </c>
      <c r="C28" s="4">
        <f>+TD_tdj1!C28*300</f>
        <v>0</v>
      </c>
      <c r="D28" s="4">
        <f>+TD_tdj1!D28*300</f>
        <v>0</v>
      </c>
      <c r="E28" s="4">
        <f>+TD_tdj1!E28*300</f>
        <v>0</v>
      </c>
      <c r="F28" s="4">
        <f>+TD_tdj1!F28*300</f>
        <v>0</v>
      </c>
      <c r="G28" s="4">
        <f>+TD_tdj1!G28*300</f>
        <v>0</v>
      </c>
      <c r="H28" s="4">
        <f>+TD_tdj1!H28*300</f>
        <v>300</v>
      </c>
      <c r="I28" s="4">
        <f>+TD_tdj1!I28*300</f>
        <v>300</v>
      </c>
      <c r="J28" s="4">
        <f>+TD_tdj1!J28*300</f>
        <v>300</v>
      </c>
      <c r="K28" s="4">
        <f>+TD_tdj1!K28*300</f>
        <v>300</v>
      </c>
      <c r="L28" s="4">
        <f>+TD_tdj1!L28*300</f>
        <v>0</v>
      </c>
      <c r="M28" s="4">
        <f>+TD_tdj1!M28*300</f>
        <v>0</v>
      </c>
      <c r="N28" s="4">
        <f>+TD_tdj1!N28*300</f>
        <v>300</v>
      </c>
      <c r="O28" s="4">
        <f>+TD_tdj1!O28*300</f>
        <v>300</v>
      </c>
      <c r="P28" s="4">
        <f>+TD_tdj1!P28*300</f>
        <v>300</v>
      </c>
      <c r="Q28" s="4">
        <f>+TD_tdj1!Q28*300</f>
        <v>300</v>
      </c>
      <c r="R28" s="4">
        <f>+TD_tdj1!R28*300</f>
        <v>300</v>
      </c>
      <c r="S28" s="4">
        <f>+TD_tdj1!S28*300</f>
        <v>0</v>
      </c>
      <c r="T28" s="4">
        <f>+TD_tdj1!T28*300</f>
        <v>300</v>
      </c>
      <c r="U28" s="4">
        <f>+TD_tdj1!U28*300</f>
        <v>300</v>
      </c>
      <c r="V28" s="4">
        <f>+TD_tdj1!V28*300</f>
        <v>300</v>
      </c>
      <c r="W28" s="4">
        <f>+TD_tdj1!W28*300</f>
        <v>300</v>
      </c>
      <c r="X28" s="4">
        <f>+TD_tdj1!X28*300</f>
        <v>300</v>
      </c>
      <c r="Y28" s="4">
        <f>+TD_tdj1!Y28*300</f>
        <v>300</v>
      </c>
      <c r="Z28" s="4">
        <f>+TD_tdj1!Z28*300</f>
        <v>0</v>
      </c>
      <c r="AA28" s="4">
        <f>+TD_tdj1!AA28*300</f>
        <v>300</v>
      </c>
      <c r="AB28" s="4">
        <f>+TD_tdj1!AB28*300</f>
        <v>300</v>
      </c>
      <c r="AC28" s="4">
        <f>+TD_tdj1!AC28*300</f>
        <v>300</v>
      </c>
      <c r="AD28" s="4">
        <f>+TD_tdj1!AD28*300</f>
        <v>300</v>
      </c>
      <c r="AE28" s="4">
        <f>+TD_tdj1!AE28*300</f>
        <v>300</v>
      </c>
      <c r="AF28" s="4">
        <f>+TD_tdj1!AF28*300</f>
        <v>300</v>
      </c>
    </row>
    <row r="29" spans="1:32" ht="18.75" customHeight="1" x14ac:dyDescent="0.25">
      <c r="A29" s="5" t="s">
        <v>80</v>
      </c>
      <c r="B29" s="4">
        <f>+TD_tdj1!B29*300</f>
        <v>0</v>
      </c>
      <c r="C29" s="4">
        <f>+TD_tdj1!C29*300</f>
        <v>0</v>
      </c>
      <c r="D29" s="4">
        <f>+TD_tdj1!D29*300</f>
        <v>0</v>
      </c>
      <c r="E29" s="4">
        <f>+TD_tdj1!E29*300</f>
        <v>0</v>
      </c>
      <c r="F29" s="4">
        <f>+TD_tdj1!F29*300</f>
        <v>0</v>
      </c>
      <c r="G29" s="4">
        <f>+TD_tdj1!G29*300</f>
        <v>0</v>
      </c>
      <c r="H29" s="4">
        <f>+TD_tdj1!H29*300</f>
        <v>0</v>
      </c>
      <c r="I29" s="4">
        <f>+TD_tdj1!I29*300</f>
        <v>0</v>
      </c>
      <c r="J29" s="4">
        <f>+TD_tdj1!J29*300</f>
        <v>0</v>
      </c>
      <c r="K29" s="4">
        <f>+TD_tdj1!K29*300</f>
        <v>0</v>
      </c>
      <c r="L29" s="4">
        <f>+TD_tdj1!L29*300</f>
        <v>0</v>
      </c>
      <c r="M29" s="4">
        <f>+TD_tdj1!M29*300</f>
        <v>0</v>
      </c>
      <c r="N29" s="4">
        <f>+TD_tdj1!N29*300</f>
        <v>0</v>
      </c>
      <c r="O29" s="4">
        <f>+TD_tdj1!O29*300</f>
        <v>0</v>
      </c>
      <c r="P29" s="4">
        <f>+TD_tdj1!P29*300</f>
        <v>0</v>
      </c>
      <c r="Q29" s="4">
        <f>+TD_tdj1!Q29*300</f>
        <v>0</v>
      </c>
      <c r="R29" s="4">
        <f>+TD_tdj1!R29*300</f>
        <v>0</v>
      </c>
      <c r="S29" s="4">
        <f>+TD_tdj1!S29*300</f>
        <v>0</v>
      </c>
      <c r="T29" s="4">
        <f>+TD_tdj1!T29*300</f>
        <v>0</v>
      </c>
      <c r="U29" s="4">
        <f>+TD_tdj1!U29*300</f>
        <v>0</v>
      </c>
      <c r="V29" s="4">
        <f>+TD_tdj1!V29*300</f>
        <v>0</v>
      </c>
      <c r="W29" s="4">
        <f>+TD_tdj1!W29*300</f>
        <v>0</v>
      </c>
      <c r="X29" s="4">
        <f>+TD_tdj1!X29*300</f>
        <v>0</v>
      </c>
      <c r="Y29" s="4">
        <f>+TD_tdj1!Y29*300</f>
        <v>0</v>
      </c>
      <c r="Z29" s="4">
        <f>+TD_tdj1!Z29*300</f>
        <v>0</v>
      </c>
      <c r="AA29" s="4">
        <f>+TD_tdj1!AA29*300</f>
        <v>0</v>
      </c>
      <c r="AB29" s="4">
        <f>+TD_tdj1!AB29*300</f>
        <v>0</v>
      </c>
      <c r="AC29" s="4">
        <f>+TD_tdj1!AC29*300</f>
        <v>0</v>
      </c>
      <c r="AD29" s="4">
        <f>+TD_tdj1!AD29*300</f>
        <v>0</v>
      </c>
      <c r="AE29" s="4">
        <f>+TD_tdj1!AE29*300</f>
        <v>0</v>
      </c>
      <c r="AF29" s="4">
        <f>+TD_tdj1!AF29*300</f>
        <v>0</v>
      </c>
    </row>
    <row r="30" spans="1:32" ht="18.75" customHeight="1" x14ac:dyDescent="0.25">
      <c r="A30" s="5" t="s">
        <v>81</v>
      </c>
      <c r="B30" s="4">
        <f>+TD_tdj1!B30*300</f>
        <v>0</v>
      </c>
      <c r="C30" s="4">
        <f>+TD_tdj1!C30*300</f>
        <v>0</v>
      </c>
      <c r="D30" s="4">
        <f>+TD_tdj1!D30*300</f>
        <v>0</v>
      </c>
      <c r="E30" s="4">
        <f>+TD_tdj1!E30*300</f>
        <v>0</v>
      </c>
      <c r="F30" s="4">
        <f>+TD_tdj1!F30*300</f>
        <v>0</v>
      </c>
      <c r="G30" s="4">
        <f>+TD_tdj1!G30*300</f>
        <v>0</v>
      </c>
      <c r="H30" s="4">
        <f>+TD_tdj1!H30*300</f>
        <v>0</v>
      </c>
      <c r="I30" s="4">
        <f>+TD_tdj1!I30*300</f>
        <v>0</v>
      </c>
      <c r="J30" s="4">
        <f>+TD_tdj1!J30*300</f>
        <v>0</v>
      </c>
      <c r="K30" s="4">
        <f>+TD_tdj1!K30*300</f>
        <v>0</v>
      </c>
      <c r="L30" s="4">
        <f>+TD_tdj1!L30*300</f>
        <v>0</v>
      </c>
      <c r="M30" s="4">
        <f>+TD_tdj1!M30*300</f>
        <v>0</v>
      </c>
      <c r="N30" s="4">
        <f>+TD_tdj1!N30*300</f>
        <v>0</v>
      </c>
      <c r="O30" s="4">
        <f>+TD_tdj1!O30*300</f>
        <v>0</v>
      </c>
      <c r="P30" s="4">
        <f>+TD_tdj1!P30*300</f>
        <v>0</v>
      </c>
      <c r="Q30" s="4">
        <f>+TD_tdj1!Q30*300</f>
        <v>0</v>
      </c>
      <c r="R30" s="4">
        <f>+TD_tdj1!R30*300</f>
        <v>0</v>
      </c>
      <c r="S30" s="4">
        <f>+TD_tdj1!S30*300</f>
        <v>0</v>
      </c>
      <c r="T30" s="4">
        <f>+TD_tdj1!T30*300</f>
        <v>0</v>
      </c>
      <c r="U30" s="4">
        <f>+TD_tdj1!U30*300</f>
        <v>300</v>
      </c>
      <c r="V30" s="4">
        <f>+TD_tdj1!V30*300</f>
        <v>0</v>
      </c>
      <c r="W30" s="4">
        <f>+TD_tdj1!W30*300</f>
        <v>0</v>
      </c>
      <c r="X30" s="4">
        <f>+TD_tdj1!X30*300</f>
        <v>0</v>
      </c>
      <c r="Y30" s="4">
        <f>+TD_tdj1!Y30*300</f>
        <v>0</v>
      </c>
      <c r="Z30" s="4">
        <f>+TD_tdj1!Z30*300</f>
        <v>0</v>
      </c>
      <c r="AA30" s="4">
        <f>+TD_tdj1!AA30*300</f>
        <v>0</v>
      </c>
      <c r="AB30" s="4">
        <f>+TD_tdj1!AB30*300</f>
        <v>300</v>
      </c>
      <c r="AC30" s="4">
        <f>+TD_tdj1!AC30*300</f>
        <v>0</v>
      </c>
      <c r="AD30" s="4">
        <f>+TD_tdj1!AD30*300</f>
        <v>0</v>
      </c>
      <c r="AE30" s="4">
        <f>+TD_tdj1!AE30*300</f>
        <v>0</v>
      </c>
      <c r="AF30" s="4">
        <f>+TD_tdj1!AF30*300</f>
        <v>0</v>
      </c>
    </row>
    <row r="31" spans="1:32" ht="18.75" customHeight="1" x14ac:dyDescent="0.25">
      <c r="A31" s="5" t="s">
        <v>82</v>
      </c>
      <c r="B31" s="4">
        <f>+TD_tdj1!B31*300</f>
        <v>0</v>
      </c>
      <c r="C31" s="4">
        <f>+TD_tdj1!C31*300</f>
        <v>0</v>
      </c>
      <c r="D31" s="4">
        <f>+TD_tdj1!D31*300</f>
        <v>0</v>
      </c>
      <c r="E31" s="4">
        <f>+TD_tdj1!E31*300</f>
        <v>0</v>
      </c>
      <c r="F31" s="4">
        <f>+TD_tdj1!F31*300</f>
        <v>0</v>
      </c>
      <c r="G31" s="4">
        <f>+TD_tdj1!G31*300</f>
        <v>0</v>
      </c>
      <c r="H31" s="4">
        <f>+TD_tdj1!H31*300</f>
        <v>300</v>
      </c>
      <c r="I31" s="4">
        <f>+TD_tdj1!I31*300</f>
        <v>300</v>
      </c>
      <c r="J31" s="4">
        <f>+TD_tdj1!J31*300</f>
        <v>300</v>
      </c>
      <c r="K31" s="4">
        <f>+TD_tdj1!K31*300</f>
        <v>300</v>
      </c>
      <c r="L31" s="4">
        <f>+TD_tdj1!L31*300</f>
        <v>0</v>
      </c>
      <c r="M31" s="4">
        <f>+TD_tdj1!M31*300</f>
        <v>0</v>
      </c>
      <c r="N31" s="4">
        <f>+TD_tdj1!N31*300</f>
        <v>300</v>
      </c>
      <c r="O31" s="4">
        <f>+TD_tdj1!O31*300</f>
        <v>300</v>
      </c>
      <c r="P31" s="4">
        <f>+TD_tdj1!P31*300</f>
        <v>300</v>
      </c>
      <c r="Q31" s="4">
        <f>+TD_tdj1!Q31*300</f>
        <v>300</v>
      </c>
      <c r="R31" s="4">
        <f>+TD_tdj1!R31*300</f>
        <v>300</v>
      </c>
      <c r="S31" s="4">
        <f>+TD_tdj1!S31*300</f>
        <v>0</v>
      </c>
      <c r="T31" s="4">
        <f>+TD_tdj1!T31*300</f>
        <v>300</v>
      </c>
      <c r="U31" s="4">
        <f>+TD_tdj1!U31*300</f>
        <v>300</v>
      </c>
      <c r="V31" s="4">
        <f>+TD_tdj1!V31*300</f>
        <v>300</v>
      </c>
      <c r="W31" s="4">
        <f>+TD_tdj1!W31*300</f>
        <v>300</v>
      </c>
      <c r="X31" s="4">
        <f>+TD_tdj1!X31*300</f>
        <v>300</v>
      </c>
      <c r="Y31" s="4">
        <f>+TD_tdj1!Y31*300</f>
        <v>300</v>
      </c>
      <c r="Z31" s="4">
        <f>+TD_tdj1!Z31*300</f>
        <v>0</v>
      </c>
      <c r="AA31" s="4">
        <f>+TD_tdj1!AA31*300</f>
        <v>300</v>
      </c>
      <c r="AB31" s="4">
        <f>+TD_tdj1!AB31*300</f>
        <v>300</v>
      </c>
      <c r="AC31" s="4">
        <f>+TD_tdj1!AC31*300</f>
        <v>300</v>
      </c>
      <c r="AD31" s="4">
        <f>+TD_tdj1!AD31*300</f>
        <v>300</v>
      </c>
      <c r="AE31" s="4">
        <f>+TD_tdj1!AE31*300</f>
        <v>300</v>
      </c>
      <c r="AF31" s="4">
        <f>+TD_tdj1!AF31*300</f>
        <v>300</v>
      </c>
    </row>
    <row r="32" spans="1:32" ht="18.75" customHeight="1" x14ac:dyDescent="0.25">
      <c r="A32" s="5" t="s">
        <v>83</v>
      </c>
      <c r="B32" s="4">
        <f>+TD_tdj1!B32*300</f>
        <v>0</v>
      </c>
      <c r="C32" s="4">
        <f>+TD_tdj1!C32*300</f>
        <v>0</v>
      </c>
      <c r="D32" s="4">
        <f>+TD_tdj1!D32*300</f>
        <v>0</v>
      </c>
      <c r="E32" s="4">
        <f>+TD_tdj1!E32*300</f>
        <v>0</v>
      </c>
      <c r="F32" s="4">
        <f>+TD_tdj1!F32*300</f>
        <v>0</v>
      </c>
      <c r="G32" s="4">
        <f>+TD_tdj1!G32*300</f>
        <v>0</v>
      </c>
      <c r="H32" s="4">
        <f>+TD_tdj1!H32*300</f>
        <v>300</v>
      </c>
      <c r="I32" s="4">
        <f>+TD_tdj1!I32*300</f>
        <v>300</v>
      </c>
      <c r="J32" s="4">
        <f>+TD_tdj1!J32*300</f>
        <v>300</v>
      </c>
      <c r="K32" s="4">
        <f>+TD_tdj1!K32*300</f>
        <v>300</v>
      </c>
      <c r="L32" s="4">
        <f>+TD_tdj1!L32*300</f>
        <v>0</v>
      </c>
      <c r="M32" s="4">
        <f>+TD_tdj1!M32*300</f>
        <v>0</v>
      </c>
      <c r="N32" s="4">
        <f>+TD_tdj1!N32*300</f>
        <v>300</v>
      </c>
      <c r="O32" s="4">
        <f>+TD_tdj1!O32*300</f>
        <v>300</v>
      </c>
      <c r="P32" s="4">
        <f>+TD_tdj1!P32*300</f>
        <v>300</v>
      </c>
      <c r="Q32" s="4">
        <f>+TD_tdj1!Q32*300</f>
        <v>300</v>
      </c>
      <c r="R32" s="4">
        <f>+TD_tdj1!R32*300</f>
        <v>300</v>
      </c>
      <c r="S32" s="4">
        <f>+TD_tdj1!S32*300</f>
        <v>0</v>
      </c>
      <c r="T32" s="4">
        <f>+TD_tdj1!T32*300</f>
        <v>300</v>
      </c>
      <c r="U32" s="4">
        <f>+TD_tdj1!U32*300</f>
        <v>300</v>
      </c>
      <c r="V32" s="4">
        <f>+TD_tdj1!V32*300</f>
        <v>300</v>
      </c>
      <c r="W32" s="4">
        <f>+TD_tdj1!W32*300</f>
        <v>300</v>
      </c>
      <c r="X32" s="4">
        <f>+TD_tdj1!X32*300</f>
        <v>300</v>
      </c>
      <c r="Y32" s="4">
        <f>+TD_tdj1!Y32*300</f>
        <v>300</v>
      </c>
      <c r="Z32" s="4">
        <f>+TD_tdj1!Z32*300</f>
        <v>0</v>
      </c>
      <c r="AA32" s="4">
        <f>+TD_tdj1!AA32*300</f>
        <v>300</v>
      </c>
      <c r="AB32" s="4">
        <f>+TD_tdj1!AB32*300</f>
        <v>300</v>
      </c>
      <c r="AC32" s="4">
        <f>+TD_tdj1!AC32*300</f>
        <v>300</v>
      </c>
      <c r="AD32" s="4">
        <f>+TD_tdj1!AD32*300</f>
        <v>300</v>
      </c>
      <c r="AE32" s="4">
        <f>+TD_tdj1!AE32*300</f>
        <v>300</v>
      </c>
      <c r="AF32" s="4">
        <f>+TD_tdj1!AF32*300</f>
        <v>300</v>
      </c>
    </row>
    <row r="33" spans="1:32" ht="18.75" customHeight="1" x14ac:dyDescent="0.25">
      <c r="A33" s="5" t="s">
        <v>84</v>
      </c>
      <c r="B33" s="4">
        <f>+TD_tdj1!B33*300</f>
        <v>0</v>
      </c>
      <c r="C33" s="4">
        <f>+TD_tdj1!C33*300</f>
        <v>0</v>
      </c>
      <c r="D33" s="4">
        <f>+TD_tdj1!D33*300</f>
        <v>0</v>
      </c>
      <c r="E33" s="4">
        <f>+TD_tdj1!E33*300</f>
        <v>0</v>
      </c>
      <c r="F33" s="4">
        <f>+TD_tdj1!F33*300</f>
        <v>0</v>
      </c>
      <c r="G33" s="4">
        <f>+TD_tdj1!G33*300</f>
        <v>0</v>
      </c>
      <c r="H33" s="4">
        <f>+TD_tdj1!H33*300</f>
        <v>0</v>
      </c>
      <c r="I33" s="4">
        <f>+TD_tdj1!I33*300</f>
        <v>0</v>
      </c>
      <c r="J33" s="4">
        <f>+TD_tdj1!J33*300</f>
        <v>0</v>
      </c>
      <c r="K33" s="4">
        <f>+TD_tdj1!K33*300</f>
        <v>0</v>
      </c>
      <c r="L33" s="4">
        <f>+TD_tdj1!L33*300</f>
        <v>0</v>
      </c>
      <c r="M33" s="4">
        <f>+TD_tdj1!M33*300</f>
        <v>0</v>
      </c>
      <c r="N33" s="4">
        <f>+TD_tdj1!N33*300</f>
        <v>0</v>
      </c>
      <c r="O33" s="4">
        <f>+TD_tdj1!O33*300</f>
        <v>0</v>
      </c>
      <c r="P33" s="4">
        <f>+TD_tdj1!P33*300</f>
        <v>0</v>
      </c>
      <c r="Q33" s="4">
        <f>+TD_tdj1!Q33*300</f>
        <v>0</v>
      </c>
      <c r="R33" s="4">
        <f>+TD_tdj1!R33*300</f>
        <v>0</v>
      </c>
      <c r="S33" s="4">
        <f>+TD_tdj1!S33*300</f>
        <v>0</v>
      </c>
      <c r="T33" s="4">
        <f>+TD_tdj1!T33*300</f>
        <v>0</v>
      </c>
      <c r="U33" s="4">
        <f>+TD_tdj1!U33*300</f>
        <v>0</v>
      </c>
      <c r="V33" s="4">
        <f>+TD_tdj1!V33*300</f>
        <v>0</v>
      </c>
      <c r="W33" s="4">
        <f>+TD_tdj1!W33*300</f>
        <v>0</v>
      </c>
      <c r="X33" s="4">
        <f>+TD_tdj1!X33*300</f>
        <v>0</v>
      </c>
      <c r="Y33" s="4">
        <f>+TD_tdj1!Y33*300</f>
        <v>0</v>
      </c>
      <c r="Z33" s="4">
        <f>+TD_tdj1!Z33*300</f>
        <v>0</v>
      </c>
      <c r="AA33" s="4">
        <f>+TD_tdj1!AA33*300</f>
        <v>0</v>
      </c>
      <c r="AB33" s="4">
        <f>+TD_tdj1!AB33*300</f>
        <v>0</v>
      </c>
      <c r="AC33" s="4">
        <f>+TD_tdj1!AC33*300</f>
        <v>0</v>
      </c>
      <c r="AD33" s="4">
        <f>+TD_tdj1!AD33*300</f>
        <v>0</v>
      </c>
      <c r="AE33" s="4">
        <f>+TD_tdj1!AE33*300</f>
        <v>0</v>
      </c>
      <c r="AF33" s="4">
        <f>+TD_tdj1!AF33*300</f>
        <v>0</v>
      </c>
    </row>
    <row r="34" spans="1:32" ht="18.75" customHeight="1" x14ac:dyDescent="0.25">
      <c r="A34" s="5" t="s">
        <v>85</v>
      </c>
      <c r="B34" s="4">
        <f>+TD_tdj1!B34*300</f>
        <v>0</v>
      </c>
      <c r="C34" s="4">
        <f>+TD_tdj1!C34*300</f>
        <v>0</v>
      </c>
      <c r="D34" s="4">
        <f>+TD_tdj1!D34*300</f>
        <v>0</v>
      </c>
      <c r="E34" s="4">
        <f>+TD_tdj1!E34*300</f>
        <v>0</v>
      </c>
      <c r="F34" s="4">
        <f>+TD_tdj1!F34*300</f>
        <v>0</v>
      </c>
      <c r="G34" s="4">
        <f>+TD_tdj1!G34*300</f>
        <v>0</v>
      </c>
      <c r="H34" s="4">
        <f>+TD_tdj1!H34*300</f>
        <v>0</v>
      </c>
      <c r="I34" s="4">
        <f>+TD_tdj1!I34*300</f>
        <v>0</v>
      </c>
      <c r="J34" s="4">
        <f>+TD_tdj1!J34*300</f>
        <v>0</v>
      </c>
      <c r="K34" s="4">
        <f>+TD_tdj1!K34*300</f>
        <v>0</v>
      </c>
      <c r="L34" s="4">
        <f>+TD_tdj1!L34*300</f>
        <v>0</v>
      </c>
      <c r="M34" s="4">
        <f>+TD_tdj1!M34*300</f>
        <v>0</v>
      </c>
      <c r="N34" s="4">
        <f>+TD_tdj1!N34*300</f>
        <v>0</v>
      </c>
      <c r="O34" s="4">
        <f>+TD_tdj1!O34*300</f>
        <v>0</v>
      </c>
      <c r="P34" s="4">
        <f>+TD_tdj1!P34*300</f>
        <v>0</v>
      </c>
      <c r="Q34" s="4">
        <f>+TD_tdj1!Q34*300</f>
        <v>0</v>
      </c>
      <c r="R34" s="4">
        <f>+TD_tdj1!R34*300</f>
        <v>0</v>
      </c>
      <c r="S34" s="4">
        <f>+TD_tdj1!S34*300</f>
        <v>0</v>
      </c>
      <c r="T34" s="4">
        <f>+TD_tdj1!T34*300</f>
        <v>0</v>
      </c>
      <c r="U34" s="4">
        <f>+TD_tdj1!U34*300</f>
        <v>0</v>
      </c>
      <c r="V34" s="4">
        <f>+TD_tdj1!V34*300</f>
        <v>0</v>
      </c>
      <c r="W34" s="4">
        <f>+TD_tdj1!W34*300</f>
        <v>0</v>
      </c>
      <c r="X34" s="4">
        <f>+TD_tdj1!X34*300</f>
        <v>0</v>
      </c>
      <c r="Y34" s="4">
        <f>+TD_tdj1!Y34*300</f>
        <v>0</v>
      </c>
      <c r="Z34" s="4">
        <f>+TD_tdj1!Z34*300</f>
        <v>0</v>
      </c>
      <c r="AA34" s="4">
        <f>+TD_tdj1!AA34*300</f>
        <v>0</v>
      </c>
      <c r="AB34" s="4">
        <f>+TD_tdj1!AB34*300</f>
        <v>0</v>
      </c>
      <c r="AC34" s="4">
        <f>+TD_tdj1!AC34*300</f>
        <v>0</v>
      </c>
      <c r="AD34" s="4">
        <f>+TD_tdj1!AD34*300</f>
        <v>0</v>
      </c>
      <c r="AE34" s="4">
        <f>+TD_tdj1!AE34*300</f>
        <v>0</v>
      </c>
      <c r="AF34" s="4">
        <f>+TD_tdj1!AF34*300</f>
        <v>0</v>
      </c>
    </row>
    <row r="35" spans="1:32" ht="18.75" customHeight="1" x14ac:dyDescent="0.25">
      <c r="A35" s="5" t="s">
        <v>86</v>
      </c>
      <c r="B35" s="4">
        <f>+TD_tdj1!B35*300</f>
        <v>0</v>
      </c>
      <c r="C35" s="4">
        <f>+TD_tdj1!C35*300</f>
        <v>0</v>
      </c>
      <c r="D35" s="4">
        <f>+TD_tdj1!D35*300</f>
        <v>0</v>
      </c>
      <c r="E35" s="4">
        <f>+TD_tdj1!E35*300</f>
        <v>0</v>
      </c>
      <c r="F35" s="4">
        <f>+TD_tdj1!F35*300</f>
        <v>300</v>
      </c>
      <c r="G35" s="4">
        <f>+TD_tdj1!G35*300</f>
        <v>300</v>
      </c>
      <c r="H35" s="4">
        <f>+TD_tdj1!H35*300</f>
        <v>300</v>
      </c>
      <c r="I35" s="4">
        <f>+TD_tdj1!I35*300</f>
        <v>300</v>
      </c>
      <c r="J35" s="4">
        <f>+TD_tdj1!J35*300</f>
        <v>300</v>
      </c>
      <c r="K35" s="4">
        <f>+TD_tdj1!K35*300</f>
        <v>300</v>
      </c>
      <c r="L35" s="4">
        <f>+TD_tdj1!L35*300</f>
        <v>0</v>
      </c>
      <c r="M35" s="4">
        <f>+TD_tdj1!M35*300</f>
        <v>0</v>
      </c>
      <c r="N35" s="4">
        <f>+TD_tdj1!N35*300</f>
        <v>300</v>
      </c>
      <c r="O35" s="4">
        <f>+TD_tdj1!O35*300</f>
        <v>300</v>
      </c>
      <c r="P35" s="4">
        <f>+TD_tdj1!P35*300</f>
        <v>300</v>
      </c>
      <c r="Q35" s="4">
        <f>+TD_tdj1!Q35*300</f>
        <v>300</v>
      </c>
      <c r="R35" s="4">
        <f>+TD_tdj1!R35*300</f>
        <v>300</v>
      </c>
      <c r="S35" s="4">
        <f>+TD_tdj1!S35*300</f>
        <v>0</v>
      </c>
      <c r="T35" s="4">
        <f>+TD_tdj1!T35*300</f>
        <v>300</v>
      </c>
      <c r="U35" s="4">
        <f>+TD_tdj1!U35*300</f>
        <v>300</v>
      </c>
      <c r="V35" s="4">
        <f>+TD_tdj1!V35*300</f>
        <v>300</v>
      </c>
      <c r="W35" s="4">
        <f>+TD_tdj1!W35*300</f>
        <v>300</v>
      </c>
      <c r="X35" s="4">
        <f>+TD_tdj1!X35*300</f>
        <v>300</v>
      </c>
      <c r="Y35" s="4">
        <f>+TD_tdj1!Y35*300</f>
        <v>300</v>
      </c>
      <c r="Z35" s="4">
        <f>+TD_tdj1!Z35*300</f>
        <v>0</v>
      </c>
      <c r="AA35" s="4">
        <f>+TD_tdj1!AA35*300</f>
        <v>300</v>
      </c>
      <c r="AB35" s="4">
        <f>+TD_tdj1!AB35*300</f>
        <v>300</v>
      </c>
      <c r="AC35" s="4">
        <f>+TD_tdj1!AC35*300</f>
        <v>300</v>
      </c>
      <c r="AD35" s="4">
        <f>+TD_tdj1!AD35*300</f>
        <v>300</v>
      </c>
      <c r="AE35" s="4">
        <f>+TD_tdj1!AE35*300</f>
        <v>300</v>
      </c>
      <c r="AF35" s="4">
        <f>+TD_tdj1!AF35*300</f>
        <v>300</v>
      </c>
    </row>
    <row r="36" spans="1:32" ht="18.75" customHeight="1" x14ac:dyDescent="0.25">
      <c r="A36" s="5" t="s">
        <v>87</v>
      </c>
      <c r="B36" s="4">
        <f>+TD_tdj1!B36*300</f>
        <v>0</v>
      </c>
      <c r="C36" s="4">
        <f>+TD_tdj1!C36*300</f>
        <v>0</v>
      </c>
      <c r="D36" s="4">
        <f>+TD_tdj1!D36*300</f>
        <v>0</v>
      </c>
      <c r="E36" s="4">
        <f>+TD_tdj1!E36*300</f>
        <v>0</v>
      </c>
      <c r="F36" s="4">
        <f>+TD_tdj1!F36*300</f>
        <v>0</v>
      </c>
      <c r="G36" s="4">
        <f>+TD_tdj1!G36*300</f>
        <v>0</v>
      </c>
      <c r="H36" s="4">
        <f>+TD_tdj1!H36*300</f>
        <v>0</v>
      </c>
      <c r="I36" s="4">
        <f>+TD_tdj1!I36*300</f>
        <v>0</v>
      </c>
      <c r="J36" s="4">
        <f>+TD_tdj1!J36*300</f>
        <v>0</v>
      </c>
      <c r="K36" s="4">
        <f>+TD_tdj1!K36*300</f>
        <v>0</v>
      </c>
      <c r="L36" s="4">
        <f>+TD_tdj1!L36*300</f>
        <v>0</v>
      </c>
      <c r="M36" s="4">
        <f>+TD_tdj1!M36*300</f>
        <v>0</v>
      </c>
      <c r="N36" s="4">
        <f>+TD_tdj1!N36*300</f>
        <v>0</v>
      </c>
      <c r="O36" s="4">
        <f>+TD_tdj1!O36*300</f>
        <v>0</v>
      </c>
      <c r="P36" s="4">
        <f>+TD_tdj1!P36*300</f>
        <v>0</v>
      </c>
      <c r="Q36" s="4">
        <f>+TD_tdj1!Q36*300</f>
        <v>0</v>
      </c>
      <c r="R36" s="4">
        <f>+TD_tdj1!R36*300</f>
        <v>0</v>
      </c>
      <c r="S36" s="4">
        <f>+TD_tdj1!S36*300</f>
        <v>0</v>
      </c>
      <c r="T36" s="4">
        <f>+TD_tdj1!T36*300</f>
        <v>0</v>
      </c>
      <c r="U36" s="4">
        <f>+TD_tdj1!U36*300</f>
        <v>0</v>
      </c>
      <c r="V36" s="4">
        <f>+TD_tdj1!V36*300</f>
        <v>0</v>
      </c>
      <c r="W36" s="4">
        <f>+TD_tdj1!W36*300</f>
        <v>0</v>
      </c>
      <c r="X36" s="4">
        <f>+TD_tdj1!X36*300</f>
        <v>0</v>
      </c>
      <c r="Y36" s="4">
        <f>+TD_tdj1!Y36*300</f>
        <v>0</v>
      </c>
      <c r="Z36" s="4">
        <f>+TD_tdj1!Z36*300</f>
        <v>0</v>
      </c>
      <c r="AA36" s="4">
        <f>+TD_tdj1!AA36*300</f>
        <v>0</v>
      </c>
      <c r="AB36" s="4">
        <f>+TD_tdj1!AB36*300</f>
        <v>0</v>
      </c>
      <c r="AC36" s="4">
        <f>+TD_tdj1!AC36*300</f>
        <v>0</v>
      </c>
      <c r="AD36" s="4">
        <f>+TD_tdj1!AD36*300</f>
        <v>0</v>
      </c>
      <c r="AE36" s="4">
        <f>+TD_tdj1!AE36*300</f>
        <v>0</v>
      </c>
      <c r="AF36" s="4">
        <f>+TD_tdj1!AF36*300</f>
        <v>0</v>
      </c>
    </row>
    <row r="37" spans="1:32" ht="18.75" customHeight="1" x14ac:dyDescent="0.25">
      <c r="A37" s="5" t="s">
        <v>88</v>
      </c>
      <c r="B37" s="4">
        <f>+TD_tdj1!B37*300</f>
        <v>0</v>
      </c>
      <c r="C37" s="4">
        <f>+TD_tdj1!C37*300</f>
        <v>0</v>
      </c>
      <c r="D37" s="4">
        <f>+TD_tdj1!D37*300</f>
        <v>0</v>
      </c>
      <c r="E37" s="4">
        <f>+TD_tdj1!E37*300</f>
        <v>0</v>
      </c>
      <c r="F37" s="4">
        <f>+TD_tdj1!F37*300</f>
        <v>0</v>
      </c>
      <c r="G37" s="4">
        <f>+TD_tdj1!G37*300</f>
        <v>0</v>
      </c>
      <c r="H37" s="4">
        <f>+TD_tdj1!H37*300</f>
        <v>0</v>
      </c>
      <c r="I37" s="4">
        <f>+TD_tdj1!I37*300</f>
        <v>0</v>
      </c>
      <c r="J37" s="4">
        <f>+TD_tdj1!J37*300</f>
        <v>0</v>
      </c>
      <c r="K37" s="4">
        <f>+TD_tdj1!K37*300</f>
        <v>0</v>
      </c>
      <c r="L37" s="4">
        <f>+TD_tdj1!L37*300</f>
        <v>0</v>
      </c>
      <c r="M37" s="4">
        <f>+TD_tdj1!M37*300</f>
        <v>0</v>
      </c>
      <c r="N37" s="4">
        <f>+TD_tdj1!N37*300</f>
        <v>0</v>
      </c>
      <c r="O37" s="4">
        <f>+TD_tdj1!O37*300</f>
        <v>0</v>
      </c>
      <c r="P37" s="4">
        <f>+TD_tdj1!P37*300</f>
        <v>0</v>
      </c>
      <c r="Q37" s="4">
        <f>+TD_tdj1!Q37*300</f>
        <v>0</v>
      </c>
      <c r="R37" s="4">
        <f>+TD_tdj1!R37*300</f>
        <v>0</v>
      </c>
      <c r="S37" s="4">
        <f>+TD_tdj1!S37*300</f>
        <v>0</v>
      </c>
      <c r="T37" s="4">
        <f>+TD_tdj1!T37*300</f>
        <v>0</v>
      </c>
      <c r="U37" s="4">
        <f>+TD_tdj1!U37*300</f>
        <v>0</v>
      </c>
      <c r="V37" s="4">
        <f>+TD_tdj1!V37*300</f>
        <v>0</v>
      </c>
      <c r="W37" s="4">
        <f>+TD_tdj1!W37*300</f>
        <v>0</v>
      </c>
      <c r="X37" s="4">
        <f>+TD_tdj1!X37*300</f>
        <v>0</v>
      </c>
      <c r="Y37" s="4">
        <f>+TD_tdj1!Y37*300</f>
        <v>0</v>
      </c>
      <c r="Z37" s="4">
        <f>+TD_tdj1!Z37*300</f>
        <v>0</v>
      </c>
      <c r="AA37" s="4">
        <f>+TD_tdj1!AA37*300</f>
        <v>0</v>
      </c>
      <c r="AB37" s="4">
        <f>+TD_tdj1!AB37*300</f>
        <v>0</v>
      </c>
      <c r="AC37" s="4">
        <f>+TD_tdj1!AC37*300</f>
        <v>0</v>
      </c>
      <c r="AD37" s="4">
        <f>+TD_tdj1!AD37*300</f>
        <v>0</v>
      </c>
      <c r="AE37" s="4">
        <f>+TD_tdj1!AE37*300</f>
        <v>0</v>
      </c>
      <c r="AF37" s="4">
        <f>+TD_tdj1!AF37*300</f>
        <v>0</v>
      </c>
    </row>
    <row r="38" spans="1:32" ht="18.75" customHeight="1" x14ac:dyDescent="0.25">
      <c r="A38" s="5" t="s">
        <v>89</v>
      </c>
      <c r="B38" s="4">
        <f>+TD_tdj1!B38*300</f>
        <v>0</v>
      </c>
      <c r="C38" s="4">
        <f>+TD_tdj1!C38*300</f>
        <v>0</v>
      </c>
      <c r="D38" s="4">
        <f>+TD_tdj1!D38*300</f>
        <v>0</v>
      </c>
      <c r="E38" s="4">
        <f>+TD_tdj1!E38*300</f>
        <v>0</v>
      </c>
      <c r="F38" s="4">
        <f>+TD_tdj1!F38*300</f>
        <v>300</v>
      </c>
      <c r="G38" s="4">
        <f>+TD_tdj1!G38*300</f>
        <v>300</v>
      </c>
      <c r="H38" s="4">
        <f>+TD_tdj1!H38*300</f>
        <v>300</v>
      </c>
      <c r="I38" s="4">
        <f>+TD_tdj1!I38*300</f>
        <v>300</v>
      </c>
      <c r="J38" s="4">
        <f>+TD_tdj1!J38*300</f>
        <v>300</v>
      </c>
      <c r="K38" s="4">
        <f>+TD_tdj1!K38*300</f>
        <v>0</v>
      </c>
      <c r="L38" s="4">
        <f>+TD_tdj1!L38*300</f>
        <v>0</v>
      </c>
      <c r="M38" s="4">
        <f>+TD_tdj1!M38*300</f>
        <v>0</v>
      </c>
      <c r="N38" s="4">
        <f>+TD_tdj1!N38*300</f>
        <v>300</v>
      </c>
      <c r="O38" s="4">
        <f>+TD_tdj1!O38*300</f>
        <v>300</v>
      </c>
      <c r="P38" s="4">
        <f>+TD_tdj1!P38*300</f>
        <v>300</v>
      </c>
      <c r="Q38" s="4">
        <f>+TD_tdj1!Q38*300</f>
        <v>300</v>
      </c>
      <c r="R38" s="4">
        <f>+TD_tdj1!R38*300</f>
        <v>0</v>
      </c>
      <c r="S38" s="4">
        <f>+TD_tdj1!S38*300</f>
        <v>0</v>
      </c>
      <c r="T38" s="4">
        <f>+TD_tdj1!T38*300</f>
        <v>300</v>
      </c>
      <c r="U38" s="4">
        <f>+TD_tdj1!U38*300</f>
        <v>300</v>
      </c>
      <c r="V38" s="4">
        <f>+TD_tdj1!V38*300</f>
        <v>300</v>
      </c>
      <c r="W38" s="4">
        <f>+TD_tdj1!W38*300</f>
        <v>300</v>
      </c>
      <c r="X38" s="4">
        <f>+TD_tdj1!X38*300</f>
        <v>300</v>
      </c>
      <c r="Y38" s="4">
        <f>+TD_tdj1!Y38*300</f>
        <v>0</v>
      </c>
      <c r="Z38" s="4">
        <f>+TD_tdj1!Z38*300</f>
        <v>0</v>
      </c>
      <c r="AA38" s="4">
        <f>+TD_tdj1!AA38*300</f>
        <v>300</v>
      </c>
      <c r="AB38" s="4">
        <f>+TD_tdj1!AB38*300</f>
        <v>300</v>
      </c>
      <c r="AC38" s="4">
        <f>+TD_tdj1!AC38*300</f>
        <v>300</v>
      </c>
      <c r="AD38" s="4">
        <f>+TD_tdj1!AD38*300</f>
        <v>300</v>
      </c>
      <c r="AE38" s="4">
        <f>+TD_tdj1!AE38*300</f>
        <v>300</v>
      </c>
      <c r="AF38" s="4">
        <f>+TD_tdj1!AF38*300</f>
        <v>0</v>
      </c>
    </row>
    <row r="39" spans="1:32" ht="18.75" customHeight="1" x14ac:dyDescent="0.25">
      <c r="A39" s="5" t="s">
        <v>90</v>
      </c>
      <c r="B39" s="4">
        <f>+TD_tdj1!B39*300</f>
        <v>0</v>
      </c>
      <c r="C39" s="4">
        <f>+TD_tdj1!C39*300</f>
        <v>0</v>
      </c>
      <c r="D39" s="4">
        <f>+TD_tdj1!D39*300</f>
        <v>0</v>
      </c>
      <c r="E39" s="4">
        <f>+TD_tdj1!E39*300</f>
        <v>0</v>
      </c>
      <c r="F39" s="4">
        <f>+TD_tdj1!F39*300</f>
        <v>300</v>
      </c>
      <c r="G39" s="4">
        <f>+TD_tdj1!G39*300</f>
        <v>300</v>
      </c>
      <c r="H39" s="4">
        <f>+TD_tdj1!H39*300</f>
        <v>300</v>
      </c>
      <c r="I39" s="4">
        <f>+TD_tdj1!I39*300</f>
        <v>300</v>
      </c>
      <c r="J39" s="4">
        <f>+TD_tdj1!J39*300</f>
        <v>300</v>
      </c>
      <c r="K39" s="4">
        <f>+TD_tdj1!K39*300</f>
        <v>0</v>
      </c>
      <c r="L39" s="4">
        <f>+TD_tdj1!L39*300</f>
        <v>0</v>
      </c>
      <c r="M39" s="4">
        <f>+TD_tdj1!M39*300</f>
        <v>0</v>
      </c>
      <c r="N39" s="4">
        <f>+TD_tdj1!N39*300</f>
        <v>300</v>
      </c>
      <c r="O39" s="4">
        <f>+TD_tdj1!O39*300</f>
        <v>300</v>
      </c>
      <c r="P39" s="4">
        <f>+TD_tdj1!P39*300</f>
        <v>300</v>
      </c>
      <c r="Q39" s="4">
        <f>+TD_tdj1!Q39*300</f>
        <v>300</v>
      </c>
      <c r="R39" s="4">
        <f>+TD_tdj1!R39*300</f>
        <v>0</v>
      </c>
      <c r="S39" s="4">
        <f>+TD_tdj1!S39*300</f>
        <v>0</v>
      </c>
      <c r="T39" s="4">
        <f>+TD_tdj1!T39*300</f>
        <v>300</v>
      </c>
      <c r="U39" s="4">
        <f>+TD_tdj1!U39*300</f>
        <v>300</v>
      </c>
      <c r="V39" s="4">
        <f>+TD_tdj1!V39*300</f>
        <v>300</v>
      </c>
      <c r="W39" s="4">
        <f>+TD_tdj1!W39*300</f>
        <v>300</v>
      </c>
      <c r="X39" s="4">
        <f>+TD_tdj1!X39*300</f>
        <v>300</v>
      </c>
      <c r="Y39" s="4">
        <f>+TD_tdj1!Y39*300</f>
        <v>0</v>
      </c>
      <c r="Z39" s="4">
        <f>+TD_tdj1!Z39*300</f>
        <v>0</v>
      </c>
      <c r="AA39" s="4">
        <f>+TD_tdj1!AA39*300</f>
        <v>300</v>
      </c>
      <c r="AB39" s="4">
        <f>+TD_tdj1!AB39*300</f>
        <v>300</v>
      </c>
      <c r="AC39" s="4">
        <f>+TD_tdj1!AC39*300</f>
        <v>300</v>
      </c>
      <c r="AD39" s="4">
        <f>+TD_tdj1!AD39*300</f>
        <v>300</v>
      </c>
      <c r="AE39" s="4">
        <f>+TD_tdj1!AE39*300</f>
        <v>300</v>
      </c>
      <c r="AF39" s="4">
        <f>+TD_tdj1!AF39*300</f>
        <v>0</v>
      </c>
    </row>
    <row r="40" spans="1:32" ht="18.75" customHeight="1" x14ac:dyDescent="0.25">
      <c r="A40" s="5" t="s">
        <v>91</v>
      </c>
      <c r="B40" s="4">
        <f>+TD_tdj1!B40*300</f>
        <v>0</v>
      </c>
      <c r="C40" s="4">
        <f>+TD_tdj1!C40*300</f>
        <v>0</v>
      </c>
      <c r="D40" s="4">
        <f>+TD_tdj1!D40*300</f>
        <v>0</v>
      </c>
      <c r="E40" s="4">
        <f>+TD_tdj1!E40*300</f>
        <v>0</v>
      </c>
      <c r="F40" s="4">
        <f>+TD_tdj1!F40*300</f>
        <v>0</v>
      </c>
      <c r="G40" s="4">
        <f>+TD_tdj1!G40*300</f>
        <v>0</v>
      </c>
      <c r="H40" s="4">
        <f>+TD_tdj1!H40*300</f>
        <v>0</v>
      </c>
      <c r="I40" s="4">
        <f>+TD_tdj1!I40*300</f>
        <v>0</v>
      </c>
      <c r="J40" s="4">
        <f>+TD_tdj1!J40*300</f>
        <v>0</v>
      </c>
      <c r="K40" s="4">
        <f>+TD_tdj1!K40*300</f>
        <v>0</v>
      </c>
      <c r="L40" s="4">
        <f>+TD_tdj1!L40*300</f>
        <v>0</v>
      </c>
      <c r="M40" s="4">
        <f>+TD_tdj1!M40*300</f>
        <v>0</v>
      </c>
      <c r="N40" s="4">
        <f>+TD_tdj1!N40*300</f>
        <v>0</v>
      </c>
      <c r="O40" s="4">
        <f>+TD_tdj1!O40*300</f>
        <v>0</v>
      </c>
      <c r="P40" s="4">
        <f>+TD_tdj1!P40*300</f>
        <v>0</v>
      </c>
      <c r="Q40" s="4">
        <f>+TD_tdj1!Q40*300</f>
        <v>0</v>
      </c>
      <c r="R40" s="4">
        <f>+TD_tdj1!R40*300</f>
        <v>0</v>
      </c>
      <c r="S40" s="4">
        <f>+TD_tdj1!S40*300</f>
        <v>0</v>
      </c>
      <c r="T40" s="4">
        <f>+TD_tdj1!T40*300</f>
        <v>0</v>
      </c>
      <c r="U40" s="4">
        <f>+TD_tdj1!U40*300</f>
        <v>0</v>
      </c>
      <c r="V40" s="4">
        <f>+TD_tdj1!V40*300</f>
        <v>0</v>
      </c>
      <c r="W40" s="4">
        <f>+TD_tdj1!W40*300</f>
        <v>0</v>
      </c>
      <c r="X40" s="4">
        <f>+TD_tdj1!X40*300</f>
        <v>0</v>
      </c>
      <c r="Y40" s="4">
        <f>+TD_tdj1!Y40*300</f>
        <v>0</v>
      </c>
      <c r="Z40" s="4">
        <f>+TD_tdj1!Z40*300</f>
        <v>0</v>
      </c>
      <c r="AA40" s="4">
        <f>+TD_tdj1!AA40*300</f>
        <v>300</v>
      </c>
      <c r="AB40" s="4">
        <f>+TD_tdj1!AB40*300</f>
        <v>300</v>
      </c>
      <c r="AC40" s="4">
        <f>+TD_tdj1!AC40*300</f>
        <v>300</v>
      </c>
      <c r="AD40" s="4">
        <f>+TD_tdj1!AD40*300</f>
        <v>300</v>
      </c>
      <c r="AE40" s="4">
        <f>+TD_tdj1!AE40*300</f>
        <v>300</v>
      </c>
      <c r="AF40" s="4">
        <f>+TD_tdj1!AF40*300</f>
        <v>0</v>
      </c>
    </row>
    <row r="41" spans="1:32" ht="18.75" customHeight="1" x14ac:dyDescent="0.25">
      <c r="A41" s="5" t="s">
        <v>92</v>
      </c>
      <c r="B41" s="4">
        <f>+TD_tdj1!B41*300</f>
        <v>0</v>
      </c>
      <c r="C41" s="4">
        <f>+TD_tdj1!C41*300</f>
        <v>0</v>
      </c>
      <c r="D41" s="4">
        <f>+TD_tdj1!D41*300</f>
        <v>0</v>
      </c>
      <c r="E41" s="4">
        <f>+TD_tdj1!E41*300</f>
        <v>0</v>
      </c>
      <c r="F41" s="4">
        <f>+TD_tdj1!F41*300</f>
        <v>0</v>
      </c>
      <c r="G41" s="4">
        <f>+TD_tdj1!G41*300</f>
        <v>0</v>
      </c>
      <c r="H41" s="4">
        <f>+TD_tdj1!H41*300</f>
        <v>0</v>
      </c>
      <c r="I41" s="4">
        <f>+TD_tdj1!I41*300</f>
        <v>0</v>
      </c>
      <c r="J41" s="4">
        <f>+TD_tdj1!J41*300</f>
        <v>0</v>
      </c>
      <c r="K41" s="4">
        <f>+TD_tdj1!K41*300</f>
        <v>0</v>
      </c>
      <c r="L41" s="4">
        <f>+TD_tdj1!L41*300</f>
        <v>0</v>
      </c>
      <c r="M41" s="4">
        <f>+TD_tdj1!M41*300</f>
        <v>0</v>
      </c>
      <c r="N41" s="4">
        <f>+TD_tdj1!N41*300</f>
        <v>0</v>
      </c>
      <c r="O41" s="4">
        <f>+TD_tdj1!O41*300</f>
        <v>0</v>
      </c>
      <c r="P41" s="4">
        <f>+TD_tdj1!P41*300</f>
        <v>0</v>
      </c>
      <c r="Q41" s="4">
        <f>+TD_tdj1!Q41*300</f>
        <v>0</v>
      </c>
      <c r="R41" s="4">
        <f>+TD_tdj1!R41*300</f>
        <v>0</v>
      </c>
      <c r="S41" s="4">
        <f>+TD_tdj1!S41*300</f>
        <v>0</v>
      </c>
      <c r="T41" s="4">
        <f>+TD_tdj1!T41*300</f>
        <v>0</v>
      </c>
      <c r="U41" s="4">
        <f>+TD_tdj1!U41*300</f>
        <v>0</v>
      </c>
      <c r="V41" s="4">
        <f>+TD_tdj1!V41*300</f>
        <v>0</v>
      </c>
      <c r="W41" s="4">
        <f>+TD_tdj1!W41*300</f>
        <v>0</v>
      </c>
      <c r="X41" s="4">
        <f>+TD_tdj1!X41*300</f>
        <v>0</v>
      </c>
      <c r="Y41" s="4">
        <f>+TD_tdj1!Y41*300</f>
        <v>0</v>
      </c>
      <c r="Z41" s="4">
        <f>+TD_tdj1!Z41*300</f>
        <v>0</v>
      </c>
      <c r="AA41" s="4">
        <f>+TD_tdj1!AA41*300</f>
        <v>0</v>
      </c>
      <c r="AB41" s="4">
        <f>+TD_tdj1!AB41*300</f>
        <v>0</v>
      </c>
      <c r="AC41" s="4">
        <f>+TD_tdj1!AC41*300</f>
        <v>0</v>
      </c>
      <c r="AD41" s="4">
        <f>+TD_tdj1!AD41*300</f>
        <v>0</v>
      </c>
      <c r="AE41" s="4">
        <f>+TD_tdj1!AE41*300</f>
        <v>0</v>
      </c>
      <c r="AF41" s="4">
        <f>+TD_tdj1!AF41*300</f>
        <v>0</v>
      </c>
    </row>
    <row r="42" spans="1:32" ht="18.75" customHeight="1" x14ac:dyDescent="0.25">
      <c r="A42" s="5" t="s">
        <v>93</v>
      </c>
      <c r="B42" s="4">
        <f>+TD_tdj1!B42*300</f>
        <v>0</v>
      </c>
      <c r="C42" s="4">
        <f>+TD_tdj1!C42*300</f>
        <v>0</v>
      </c>
      <c r="D42" s="4">
        <f>+TD_tdj1!D42*300</f>
        <v>0</v>
      </c>
      <c r="E42" s="4">
        <f>+TD_tdj1!E42*300</f>
        <v>0</v>
      </c>
      <c r="F42" s="4">
        <f>+TD_tdj1!F42*300</f>
        <v>0</v>
      </c>
      <c r="G42" s="4">
        <f>+TD_tdj1!G42*300</f>
        <v>0</v>
      </c>
      <c r="H42" s="4">
        <f>+TD_tdj1!H42*300</f>
        <v>0</v>
      </c>
      <c r="I42" s="4">
        <f>+TD_tdj1!I42*300</f>
        <v>0</v>
      </c>
      <c r="J42" s="4">
        <f>+TD_tdj1!J42*300</f>
        <v>0</v>
      </c>
      <c r="K42" s="4">
        <f>+TD_tdj1!K42*300</f>
        <v>0</v>
      </c>
      <c r="L42" s="4">
        <f>+TD_tdj1!L42*300</f>
        <v>0</v>
      </c>
      <c r="M42" s="4">
        <f>+TD_tdj1!M42*300</f>
        <v>0</v>
      </c>
      <c r="N42" s="4">
        <f>+TD_tdj1!N42*300</f>
        <v>0</v>
      </c>
      <c r="O42" s="4">
        <f>+TD_tdj1!O42*300</f>
        <v>0</v>
      </c>
      <c r="P42" s="4">
        <f>+TD_tdj1!P42*300</f>
        <v>0</v>
      </c>
      <c r="Q42" s="4">
        <f>+TD_tdj1!Q42*300</f>
        <v>0</v>
      </c>
      <c r="R42" s="4">
        <f>+TD_tdj1!R42*300</f>
        <v>0</v>
      </c>
      <c r="S42" s="4">
        <f>+TD_tdj1!S42*300</f>
        <v>0</v>
      </c>
      <c r="T42" s="4">
        <f>+TD_tdj1!T42*300</f>
        <v>0</v>
      </c>
      <c r="U42" s="4">
        <f>+TD_tdj1!U42*300</f>
        <v>0</v>
      </c>
      <c r="V42" s="4">
        <f>+TD_tdj1!V42*300</f>
        <v>0</v>
      </c>
      <c r="W42" s="4">
        <f>+TD_tdj1!W42*300</f>
        <v>0</v>
      </c>
      <c r="X42" s="4">
        <f>+TD_tdj1!X42*300</f>
        <v>0</v>
      </c>
      <c r="Y42" s="4">
        <f>+TD_tdj1!Y42*300</f>
        <v>0</v>
      </c>
      <c r="Z42" s="4">
        <f>+TD_tdj1!Z42*300</f>
        <v>0</v>
      </c>
      <c r="AA42" s="4">
        <f>+TD_tdj1!AA42*300</f>
        <v>0</v>
      </c>
      <c r="AB42" s="4">
        <f>+TD_tdj1!AB42*300</f>
        <v>0</v>
      </c>
      <c r="AC42" s="4">
        <f>+TD_tdj1!AC42*300</f>
        <v>0</v>
      </c>
      <c r="AD42" s="4">
        <f>+TD_tdj1!AD42*300</f>
        <v>0</v>
      </c>
      <c r="AE42" s="4">
        <f>+TD_tdj1!AE42*300</f>
        <v>0</v>
      </c>
      <c r="AF42" s="4">
        <f>+TD_tdj1!AF42*300</f>
        <v>0</v>
      </c>
    </row>
    <row r="43" spans="1:32" ht="18.75" customHeight="1" x14ac:dyDescent="0.25">
      <c r="A43" s="5" t="s">
        <v>94</v>
      </c>
      <c r="B43" s="4">
        <f>+TD_tdj1!B43*300</f>
        <v>0</v>
      </c>
      <c r="C43" s="4">
        <f>+TD_tdj1!C43*300</f>
        <v>0</v>
      </c>
      <c r="D43" s="4">
        <f>+TD_tdj1!D43*300</f>
        <v>0</v>
      </c>
      <c r="E43" s="4">
        <f>+TD_tdj1!E43*300</f>
        <v>0</v>
      </c>
      <c r="F43" s="4">
        <f>+TD_tdj1!F43*300</f>
        <v>300</v>
      </c>
      <c r="G43" s="4">
        <f>+TD_tdj1!G43*300</f>
        <v>300</v>
      </c>
      <c r="H43" s="4">
        <f>+TD_tdj1!H43*300</f>
        <v>300</v>
      </c>
      <c r="I43" s="4">
        <f>+TD_tdj1!I43*300</f>
        <v>300</v>
      </c>
      <c r="J43" s="4">
        <f>+TD_tdj1!J43*300</f>
        <v>300</v>
      </c>
      <c r="K43" s="4">
        <f>+TD_tdj1!K43*300</f>
        <v>300</v>
      </c>
      <c r="L43" s="4">
        <f>+TD_tdj1!L43*300</f>
        <v>0</v>
      </c>
      <c r="M43" s="4">
        <f>+TD_tdj1!M43*300</f>
        <v>0</v>
      </c>
      <c r="N43" s="4">
        <f>+TD_tdj1!N43*300</f>
        <v>300</v>
      </c>
      <c r="O43" s="4">
        <f>+TD_tdj1!O43*300</f>
        <v>300</v>
      </c>
      <c r="P43" s="4">
        <f>+TD_tdj1!P43*300</f>
        <v>300</v>
      </c>
      <c r="Q43" s="4">
        <f>+TD_tdj1!Q43*300</f>
        <v>300</v>
      </c>
      <c r="R43" s="4">
        <f>+TD_tdj1!R43*300</f>
        <v>300</v>
      </c>
      <c r="S43" s="4">
        <f>+TD_tdj1!S43*300</f>
        <v>0</v>
      </c>
      <c r="T43" s="4">
        <f>+TD_tdj1!T43*300</f>
        <v>300</v>
      </c>
      <c r="U43" s="4">
        <f>+TD_tdj1!U43*300</f>
        <v>300</v>
      </c>
      <c r="V43" s="4">
        <f>+TD_tdj1!V43*300</f>
        <v>300</v>
      </c>
      <c r="W43" s="4">
        <f>+TD_tdj1!W43*300</f>
        <v>300</v>
      </c>
      <c r="X43" s="4">
        <f>+TD_tdj1!X43*300</f>
        <v>300</v>
      </c>
      <c r="Y43" s="4">
        <f>+TD_tdj1!Y43*300</f>
        <v>300</v>
      </c>
      <c r="Z43" s="4">
        <f>+TD_tdj1!Z43*300</f>
        <v>0</v>
      </c>
      <c r="AA43" s="4">
        <f>+TD_tdj1!AA43*300</f>
        <v>300</v>
      </c>
      <c r="AB43" s="4">
        <f>+TD_tdj1!AB43*300</f>
        <v>300</v>
      </c>
      <c r="AC43" s="4">
        <f>+TD_tdj1!AC43*300</f>
        <v>300</v>
      </c>
      <c r="AD43" s="4">
        <f>+TD_tdj1!AD43*300</f>
        <v>300</v>
      </c>
      <c r="AE43" s="4">
        <f>+TD_tdj1!AE43*300</f>
        <v>300</v>
      </c>
      <c r="AF43" s="4">
        <f>+TD_tdj1!AF43*300</f>
        <v>300</v>
      </c>
    </row>
    <row r="44" spans="1:32" ht="18.75" customHeight="1" x14ac:dyDescent="0.25">
      <c r="A44" s="5" t="s">
        <v>95</v>
      </c>
      <c r="B44" s="4">
        <f>+TD_tdj1!B44*300</f>
        <v>0</v>
      </c>
      <c r="C44" s="4">
        <f>+TD_tdj1!C44*300</f>
        <v>0</v>
      </c>
      <c r="D44" s="4">
        <f>+TD_tdj1!D44*300</f>
        <v>0</v>
      </c>
      <c r="E44" s="4">
        <f>+TD_tdj1!E44*300</f>
        <v>0</v>
      </c>
      <c r="F44" s="4">
        <f>+TD_tdj1!F44*300</f>
        <v>300</v>
      </c>
      <c r="G44" s="4">
        <f>+TD_tdj1!G44*300</f>
        <v>300</v>
      </c>
      <c r="H44" s="4">
        <f>+TD_tdj1!H44*300</f>
        <v>300</v>
      </c>
      <c r="I44" s="4">
        <f>+TD_tdj1!I44*300</f>
        <v>300</v>
      </c>
      <c r="J44" s="4">
        <f>+TD_tdj1!J44*300</f>
        <v>300</v>
      </c>
      <c r="K44" s="4">
        <f>+TD_tdj1!K44*300</f>
        <v>300</v>
      </c>
      <c r="L44" s="4">
        <f>+TD_tdj1!L44*300</f>
        <v>0</v>
      </c>
      <c r="M44" s="4">
        <f>+TD_tdj1!M44*300</f>
        <v>0</v>
      </c>
      <c r="N44" s="4">
        <f>+TD_tdj1!N44*300</f>
        <v>300</v>
      </c>
      <c r="O44" s="4">
        <f>+TD_tdj1!O44*300</f>
        <v>300</v>
      </c>
      <c r="P44" s="4">
        <f>+TD_tdj1!P44*300</f>
        <v>300</v>
      </c>
      <c r="Q44" s="4">
        <f>+TD_tdj1!Q44*300</f>
        <v>300</v>
      </c>
      <c r="R44" s="4">
        <f>+TD_tdj1!R44*300</f>
        <v>300</v>
      </c>
      <c r="S44" s="4">
        <f>+TD_tdj1!S44*300</f>
        <v>0</v>
      </c>
      <c r="T44" s="4">
        <f>+TD_tdj1!T44*300</f>
        <v>300</v>
      </c>
      <c r="U44" s="4">
        <f>+TD_tdj1!U44*300</f>
        <v>300</v>
      </c>
      <c r="V44" s="4">
        <f>+TD_tdj1!V44*300</f>
        <v>300</v>
      </c>
      <c r="W44" s="4">
        <f>+TD_tdj1!W44*300</f>
        <v>300</v>
      </c>
      <c r="X44" s="4">
        <f>+TD_tdj1!X44*300</f>
        <v>300</v>
      </c>
      <c r="Y44" s="4">
        <f>+TD_tdj1!Y44*300</f>
        <v>300</v>
      </c>
      <c r="Z44" s="4">
        <f>+TD_tdj1!Z44*300</f>
        <v>0</v>
      </c>
      <c r="AA44" s="4">
        <f>+TD_tdj1!AA44*300</f>
        <v>300</v>
      </c>
      <c r="AB44" s="4">
        <f>+TD_tdj1!AB44*300</f>
        <v>300</v>
      </c>
      <c r="AC44" s="4">
        <f>+TD_tdj1!AC44*300</f>
        <v>300</v>
      </c>
      <c r="AD44" s="4">
        <f>+TD_tdj1!AD44*300</f>
        <v>300</v>
      </c>
      <c r="AE44" s="4">
        <f>+TD_tdj1!AE44*300</f>
        <v>300</v>
      </c>
      <c r="AF44" s="4">
        <f>+TD_tdj1!AF44*300</f>
        <v>300</v>
      </c>
    </row>
    <row r="45" spans="1:32" ht="18.75" customHeight="1" x14ac:dyDescent="0.25">
      <c r="A45" s="5" t="s">
        <v>96</v>
      </c>
      <c r="B45" s="4">
        <f>+TD_tdj1!B45*300</f>
        <v>0</v>
      </c>
      <c r="C45" s="4">
        <f>+TD_tdj1!C45*300</f>
        <v>0</v>
      </c>
      <c r="D45" s="4">
        <f>+TD_tdj1!D45*300</f>
        <v>0</v>
      </c>
      <c r="E45" s="4">
        <f>+TD_tdj1!E45*300</f>
        <v>0</v>
      </c>
      <c r="F45" s="4">
        <f>+TD_tdj1!F45*300</f>
        <v>300</v>
      </c>
      <c r="G45" s="4">
        <f>+TD_tdj1!G45*300</f>
        <v>300</v>
      </c>
      <c r="H45" s="4">
        <f>+TD_tdj1!H45*300</f>
        <v>300</v>
      </c>
      <c r="I45" s="4">
        <f>+TD_tdj1!I45*300</f>
        <v>300</v>
      </c>
      <c r="J45" s="4">
        <f>+TD_tdj1!J45*300</f>
        <v>300</v>
      </c>
      <c r="K45" s="4">
        <f>+TD_tdj1!K45*300</f>
        <v>0</v>
      </c>
      <c r="L45" s="4">
        <f>+TD_tdj1!L45*300</f>
        <v>0</v>
      </c>
      <c r="M45" s="4">
        <f>+TD_tdj1!M45*300</f>
        <v>0</v>
      </c>
      <c r="N45" s="4">
        <f>+TD_tdj1!N45*300</f>
        <v>300</v>
      </c>
      <c r="O45" s="4">
        <f>+TD_tdj1!O45*300</f>
        <v>300</v>
      </c>
      <c r="P45" s="4">
        <f>+TD_tdj1!P45*300</f>
        <v>300</v>
      </c>
      <c r="Q45" s="4">
        <f>+TD_tdj1!Q45*300</f>
        <v>300</v>
      </c>
      <c r="R45" s="4">
        <f>+TD_tdj1!R45*300</f>
        <v>0</v>
      </c>
      <c r="S45" s="4">
        <f>+TD_tdj1!S45*300</f>
        <v>0</v>
      </c>
      <c r="T45" s="4">
        <f>+TD_tdj1!T45*300</f>
        <v>300</v>
      </c>
      <c r="U45" s="4">
        <f>+TD_tdj1!U45*300</f>
        <v>0</v>
      </c>
      <c r="V45" s="4">
        <f>+TD_tdj1!V45*300</f>
        <v>300</v>
      </c>
      <c r="W45" s="4">
        <f>+TD_tdj1!W45*300</f>
        <v>300</v>
      </c>
      <c r="X45" s="4">
        <f>+TD_tdj1!X45*300</f>
        <v>300</v>
      </c>
      <c r="Y45" s="4">
        <f>+TD_tdj1!Y45*300</f>
        <v>0</v>
      </c>
      <c r="Z45" s="4">
        <f>+TD_tdj1!Z45*300</f>
        <v>0</v>
      </c>
      <c r="AA45" s="4">
        <f>+TD_tdj1!AA45*300</f>
        <v>300</v>
      </c>
      <c r="AB45" s="4">
        <f>+TD_tdj1!AB45*300</f>
        <v>300</v>
      </c>
      <c r="AC45" s="4">
        <f>+TD_tdj1!AC45*300</f>
        <v>300</v>
      </c>
      <c r="AD45" s="4">
        <f>+TD_tdj1!AD45*300</f>
        <v>300</v>
      </c>
      <c r="AE45" s="4">
        <f>+TD_tdj1!AE45*300</f>
        <v>0</v>
      </c>
      <c r="AF45" s="4">
        <f>+TD_tdj1!AF45*300</f>
        <v>0</v>
      </c>
    </row>
    <row r="46" spans="1:32" ht="18.75" customHeight="1" x14ac:dyDescent="0.25">
      <c r="A46" s="6" t="s">
        <v>97</v>
      </c>
      <c r="B46" s="4">
        <f>+TD_tdj1!B46*300</f>
        <v>0</v>
      </c>
      <c r="C46" s="4">
        <f>+TD_tdj1!C46*300</f>
        <v>0</v>
      </c>
      <c r="D46" s="4">
        <f>+TD_tdj1!D46*300</f>
        <v>0</v>
      </c>
      <c r="E46" s="4">
        <f>+TD_tdj1!E46*300</f>
        <v>0</v>
      </c>
      <c r="F46" s="4">
        <f>+TD_tdj1!F46*300</f>
        <v>0</v>
      </c>
      <c r="G46" s="4">
        <f>+TD_tdj1!G46*300</f>
        <v>0</v>
      </c>
      <c r="H46" s="4">
        <f>+TD_tdj1!H46*300</f>
        <v>300</v>
      </c>
      <c r="I46" s="4">
        <f>+TD_tdj1!I46*300</f>
        <v>300</v>
      </c>
      <c r="J46" s="4">
        <f>+TD_tdj1!J46*300</f>
        <v>300</v>
      </c>
      <c r="K46" s="4">
        <f>+TD_tdj1!K46*300</f>
        <v>300</v>
      </c>
      <c r="L46" s="4">
        <f>+TD_tdj1!L46*300</f>
        <v>0</v>
      </c>
      <c r="M46" s="4">
        <f>+TD_tdj1!M46*300</f>
        <v>0</v>
      </c>
      <c r="N46" s="4">
        <f>+TD_tdj1!N46*300</f>
        <v>300</v>
      </c>
      <c r="O46" s="4">
        <f>+TD_tdj1!O46*300</f>
        <v>300</v>
      </c>
      <c r="P46" s="4">
        <f>+TD_tdj1!P46*300</f>
        <v>300</v>
      </c>
      <c r="Q46" s="4">
        <f>+TD_tdj1!Q46*300</f>
        <v>300</v>
      </c>
      <c r="R46" s="4">
        <f>+TD_tdj1!R46*300</f>
        <v>300</v>
      </c>
      <c r="S46" s="4">
        <f>+TD_tdj1!S46*300</f>
        <v>0</v>
      </c>
      <c r="T46" s="4">
        <f>+TD_tdj1!T46*300</f>
        <v>300</v>
      </c>
      <c r="U46" s="4">
        <f>+TD_tdj1!U46*300</f>
        <v>300</v>
      </c>
      <c r="V46" s="4">
        <f>+TD_tdj1!V46*300</f>
        <v>300</v>
      </c>
      <c r="W46" s="4">
        <f>+TD_tdj1!W46*300</f>
        <v>300</v>
      </c>
      <c r="X46" s="4">
        <f>+TD_tdj1!X46*300</f>
        <v>300</v>
      </c>
      <c r="Y46" s="4">
        <f>+TD_tdj1!Y46*300</f>
        <v>300</v>
      </c>
      <c r="Z46" s="4">
        <f>+TD_tdj1!Z46*300</f>
        <v>0</v>
      </c>
      <c r="AA46" s="4">
        <f>+TD_tdj1!AA46*300</f>
        <v>300</v>
      </c>
      <c r="AB46" s="4">
        <f>+TD_tdj1!AB46*300</f>
        <v>300</v>
      </c>
      <c r="AC46" s="4">
        <f>+TD_tdj1!AC46*300</f>
        <v>300</v>
      </c>
      <c r="AD46" s="4">
        <f>+TD_tdj1!AD46*300</f>
        <v>300</v>
      </c>
      <c r="AE46" s="4">
        <f>+TD_tdj1!AE46*300</f>
        <v>300</v>
      </c>
      <c r="AF46" s="4">
        <f>+TD_tdj1!AF46*300</f>
        <v>300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AF46"/>
  <sheetViews>
    <sheetView workbookViewId="0">
      <selection activeCell="H1" sqref="H1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32" width="6.7109375" style="7" bestFit="1" customWidth="1"/>
  </cols>
  <sheetData>
    <row r="1" spans="1:32" ht="18.75" customHeight="1" x14ac:dyDescent="0.25">
      <c r="B1" s="19">
        <v>1</v>
      </c>
      <c r="C1" s="19">
        <v>2</v>
      </c>
      <c r="D1" s="19">
        <v>3</v>
      </c>
      <c r="E1" s="19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19">
        <v>12</v>
      </c>
      <c r="N1" s="19">
        <v>13</v>
      </c>
      <c r="O1" s="19">
        <v>14</v>
      </c>
      <c r="P1" s="19">
        <v>15</v>
      </c>
      <c r="Q1" s="19">
        <v>16</v>
      </c>
      <c r="R1" s="19">
        <v>17</v>
      </c>
      <c r="S1" s="19">
        <v>18</v>
      </c>
      <c r="T1" s="19">
        <v>19</v>
      </c>
      <c r="U1" s="19">
        <v>20</v>
      </c>
      <c r="V1" s="19">
        <v>21</v>
      </c>
      <c r="W1" s="19">
        <v>22</v>
      </c>
      <c r="X1" s="19">
        <v>23</v>
      </c>
      <c r="Y1" s="19">
        <v>24</v>
      </c>
      <c r="Z1" s="19">
        <v>25</v>
      </c>
      <c r="AA1" s="19">
        <v>26</v>
      </c>
      <c r="AB1" s="19">
        <v>27</v>
      </c>
      <c r="AC1" s="19">
        <v>28</v>
      </c>
      <c r="AD1" s="19">
        <v>29</v>
      </c>
      <c r="AE1" s="19">
        <v>30</v>
      </c>
      <c r="AF1" s="19">
        <v>31</v>
      </c>
    </row>
    <row r="2" spans="1:32" ht="18.75" customHeight="1" x14ac:dyDescent="0.25">
      <c r="A2" s="3" t="s">
        <v>111</v>
      </c>
      <c r="B2" s="4">
        <f>+TD_tdj2!B2*240</f>
        <v>0</v>
      </c>
      <c r="C2" s="4">
        <f>+TD_tdj2!C2*240</f>
        <v>0</v>
      </c>
      <c r="D2" s="4">
        <f>+TD_tdj2!D2*240</f>
        <v>0</v>
      </c>
      <c r="E2" s="4">
        <f>+TD_tdj2!E2*240</f>
        <v>0</v>
      </c>
      <c r="F2" s="4">
        <f>+TD_tdj2!F2*240</f>
        <v>240</v>
      </c>
      <c r="G2" s="4">
        <f>+TD_tdj2!G2*240</f>
        <v>240</v>
      </c>
      <c r="H2" s="4">
        <f>+TD_tdj2!H2*240</f>
        <v>240</v>
      </c>
      <c r="I2" s="4">
        <f>+TD_tdj2!I2*240</f>
        <v>240</v>
      </c>
      <c r="J2" s="4">
        <f>+TD_tdj2!J2*240</f>
        <v>240</v>
      </c>
      <c r="K2" s="4">
        <f>+TD_tdj2!K2*240</f>
        <v>0</v>
      </c>
      <c r="L2" s="4">
        <f>+TD_tdj2!L2*240</f>
        <v>0</v>
      </c>
      <c r="M2" s="4">
        <f>+TD_tdj2!M2*240</f>
        <v>0</v>
      </c>
      <c r="N2" s="4">
        <f>+TD_tdj2!N2*240</f>
        <v>240</v>
      </c>
      <c r="O2" s="4">
        <f>+TD_tdj2!O2*240</f>
        <v>240</v>
      </c>
      <c r="P2" s="4">
        <f>+TD_tdj2!P2*240</f>
        <v>240</v>
      </c>
      <c r="Q2" s="4">
        <f>+TD_tdj2!Q2*240</f>
        <v>240</v>
      </c>
      <c r="R2" s="4">
        <f>+TD_tdj2!R2*240</f>
        <v>0</v>
      </c>
      <c r="S2" s="4">
        <f>+TD_tdj2!S2*240</f>
        <v>0</v>
      </c>
      <c r="T2" s="4">
        <f>+TD_tdj2!T2*240</f>
        <v>240</v>
      </c>
      <c r="U2" s="4">
        <f>+TD_tdj2!U2*240</f>
        <v>240</v>
      </c>
      <c r="V2" s="4">
        <f>+TD_tdj2!V2*240</f>
        <v>240</v>
      </c>
      <c r="W2" s="4">
        <f>+TD_tdj2!W2*240</f>
        <v>240</v>
      </c>
      <c r="X2" s="4">
        <f>+TD_tdj2!X2*240</f>
        <v>0</v>
      </c>
      <c r="Y2" s="4">
        <f>+TD_tdj2!Y2*240</f>
        <v>0</v>
      </c>
      <c r="Z2" s="4">
        <f>+TD_tdj2!Z2*240</f>
        <v>0</v>
      </c>
      <c r="AA2" s="4">
        <f>+TD_tdj2!AA2*240</f>
        <v>0</v>
      </c>
      <c r="AB2" s="4">
        <f>+TD_tdj2!AB2*240</f>
        <v>240</v>
      </c>
      <c r="AC2" s="4">
        <f>+TD_tdj2!AC2*240</f>
        <v>240</v>
      </c>
      <c r="AD2" s="4">
        <f>+TD_tdj2!AD2*240</f>
        <v>240</v>
      </c>
      <c r="AE2" s="4">
        <f>+TD_tdj2!AE2*240</f>
        <v>240</v>
      </c>
      <c r="AF2" s="4">
        <f>+TD_tdj2!AF2*240</f>
        <v>0</v>
      </c>
    </row>
    <row r="3" spans="1:32" ht="18.75" customHeight="1" x14ac:dyDescent="0.25">
      <c r="A3" s="5" t="s">
        <v>54</v>
      </c>
      <c r="B3" s="4">
        <f>+TD_tdj2!B3*240</f>
        <v>0</v>
      </c>
      <c r="C3" s="4">
        <f>+TD_tdj2!C3*240</f>
        <v>0</v>
      </c>
      <c r="D3" s="4">
        <f>+TD_tdj2!D3*240</f>
        <v>0</v>
      </c>
      <c r="E3" s="4">
        <f>+TD_tdj2!E3*240</f>
        <v>0</v>
      </c>
      <c r="F3" s="4">
        <f>+TD_tdj2!F3*240</f>
        <v>240</v>
      </c>
      <c r="G3" s="4">
        <f>+TD_tdj2!G3*240</f>
        <v>240</v>
      </c>
      <c r="H3" s="4">
        <f>+TD_tdj2!H3*240</f>
        <v>240</v>
      </c>
      <c r="I3" s="4">
        <f>+TD_tdj2!I3*240</f>
        <v>240</v>
      </c>
      <c r="J3" s="4">
        <f>+TD_tdj2!J3*240</f>
        <v>240</v>
      </c>
      <c r="K3" s="4">
        <f>+TD_tdj2!K3*240</f>
        <v>0</v>
      </c>
      <c r="L3" s="4">
        <f>+TD_tdj2!L3*240</f>
        <v>0</v>
      </c>
      <c r="M3" s="4">
        <f>+TD_tdj2!M3*240</f>
        <v>0</v>
      </c>
      <c r="N3" s="4">
        <f>+TD_tdj2!N3*240</f>
        <v>240</v>
      </c>
      <c r="O3" s="4">
        <f>+TD_tdj2!O3*240</f>
        <v>240</v>
      </c>
      <c r="P3" s="4">
        <f>+TD_tdj2!P3*240</f>
        <v>240</v>
      </c>
      <c r="Q3" s="4">
        <f>+TD_tdj2!Q3*240</f>
        <v>240</v>
      </c>
      <c r="R3" s="4">
        <f>+TD_tdj2!R3*240</f>
        <v>0</v>
      </c>
      <c r="S3" s="4">
        <f>+TD_tdj2!S3*240</f>
        <v>0</v>
      </c>
      <c r="T3" s="4">
        <f>+TD_tdj2!T3*240</f>
        <v>240</v>
      </c>
      <c r="U3" s="4">
        <f>+TD_tdj2!U3*240</f>
        <v>240</v>
      </c>
      <c r="V3" s="4">
        <f>+TD_tdj2!V3*240</f>
        <v>240</v>
      </c>
      <c r="W3" s="4">
        <f>+TD_tdj2!W3*240</f>
        <v>240</v>
      </c>
      <c r="X3" s="4">
        <f>+TD_tdj2!X3*240</f>
        <v>240</v>
      </c>
      <c r="Y3" s="4">
        <f>+TD_tdj2!Y3*240</f>
        <v>0</v>
      </c>
      <c r="Z3" s="4">
        <f>+TD_tdj2!Z3*240</f>
        <v>0</v>
      </c>
      <c r="AA3" s="4">
        <f>+TD_tdj2!AA3*240</f>
        <v>240</v>
      </c>
      <c r="AB3" s="4">
        <f>+TD_tdj2!AB3*240</f>
        <v>240</v>
      </c>
      <c r="AC3" s="4">
        <f>+TD_tdj2!AC3*240</f>
        <v>240</v>
      </c>
      <c r="AD3" s="4">
        <f>+TD_tdj2!AD3*240</f>
        <v>240</v>
      </c>
      <c r="AE3" s="4">
        <f>+TD_tdj2!AE3*240</f>
        <v>240</v>
      </c>
      <c r="AF3" s="4">
        <f>+TD_tdj2!AF3*240</f>
        <v>0</v>
      </c>
    </row>
    <row r="4" spans="1:32" ht="18.75" customHeight="1" x14ac:dyDescent="0.25">
      <c r="A4" s="5" t="s">
        <v>55</v>
      </c>
      <c r="B4" s="4">
        <f>+TD_tdj2!B4*240</f>
        <v>0</v>
      </c>
      <c r="C4" s="4">
        <f>+TD_tdj2!C4*240</f>
        <v>0</v>
      </c>
      <c r="D4" s="4">
        <f>+TD_tdj2!D4*240</f>
        <v>0</v>
      </c>
      <c r="E4" s="4">
        <f>+TD_tdj2!E4*240</f>
        <v>0</v>
      </c>
      <c r="F4" s="4">
        <f>+TD_tdj2!F4*240</f>
        <v>240</v>
      </c>
      <c r="G4" s="4">
        <f>+TD_tdj2!G4*240</f>
        <v>240</v>
      </c>
      <c r="H4" s="4">
        <f>+TD_tdj2!H4*240</f>
        <v>240</v>
      </c>
      <c r="I4" s="4">
        <f>+TD_tdj2!I4*240</f>
        <v>240</v>
      </c>
      <c r="J4" s="4">
        <f>+TD_tdj2!J4*240</f>
        <v>240</v>
      </c>
      <c r="K4" s="4">
        <f>+TD_tdj2!K4*240</f>
        <v>0</v>
      </c>
      <c r="L4" s="4">
        <f>+TD_tdj2!L4*240</f>
        <v>0</v>
      </c>
      <c r="M4" s="4">
        <f>+TD_tdj2!M4*240</f>
        <v>0</v>
      </c>
      <c r="N4" s="4">
        <f>+TD_tdj2!N4*240</f>
        <v>240</v>
      </c>
      <c r="O4" s="4">
        <f>+TD_tdj2!O4*240</f>
        <v>240</v>
      </c>
      <c r="P4" s="4">
        <f>+TD_tdj2!P4*240</f>
        <v>240</v>
      </c>
      <c r="Q4" s="4">
        <f>+TD_tdj2!Q4*240</f>
        <v>240</v>
      </c>
      <c r="R4" s="4">
        <f>+TD_tdj2!R4*240</f>
        <v>0</v>
      </c>
      <c r="S4" s="4">
        <f>+TD_tdj2!S4*240</f>
        <v>0</v>
      </c>
      <c r="T4" s="4">
        <f>+TD_tdj2!T4*240</f>
        <v>240</v>
      </c>
      <c r="U4" s="4">
        <f>+TD_tdj2!U4*240</f>
        <v>240</v>
      </c>
      <c r="V4" s="4">
        <f>+TD_tdj2!V4*240</f>
        <v>240</v>
      </c>
      <c r="W4" s="4">
        <f>+TD_tdj2!W4*240</f>
        <v>240</v>
      </c>
      <c r="X4" s="4">
        <f>+TD_tdj2!X4*240</f>
        <v>240</v>
      </c>
      <c r="Y4" s="4">
        <f>+TD_tdj2!Y4*240</f>
        <v>0</v>
      </c>
      <c r="Z4" s="4">
        <f>+TD_tdj2!Z4*240</f>
        <v>0</v>
      </c>
      <c r="AA4" s="4">
        <f>+TD_tdj2!AA4*240</f>
        <v>240</v>
      </c>
      <c r="AB4" s="4">
        <f>+TD_tdj2!AB4*240</f>
        <v>240</v>
      </c>
      <c r="AC4" s="4">
        <f>+TD_tdj2!AC4*240</f>
        <v>240</v>
      </c>
      <c r="AD4" s="4">
        <f>+TD_tdj2!AD4*240</f>
        <v>240</v>
      </c>
      <c r="AE4" s="4">
        <f>+TD_tdj2!AE4*240</f>
        <v>240</v>
      </c>
      <c r="AF4" s="4">
        <f>+TD_tdj2!AF4*240</f>
        <v>0</v>
      </c>
    </row>
    <row r="5" spans="1:32" ht="18.75" customHeight="1" x14ac:dyDescent="0.25">
      <c r="A5" s="5" t="s">
        <v>56</v>
      </c>
      <c r="B5" s="4">
        <f>+TD_tdj2!B5*240</f>
        <v>0</v>
      </c>
      <c r="C5" s="4">
        <f>+TD_tdj2!C5*240</f>
        <v>0</v>
      </c>
      <c r="D5" s="4">
        <f>+TD_tdj2!D5*240</f>
        <v>0</v>
      </c>
      <c r="E5" s="4">
        <f>+TD_tdj2!E5*240</f>
        <v>0</v>
      </c>
      <c r="F5" s="4">
        <f>+TD_tdj2!F5*240</f>
        <v>0</v>
      </c>
      <c r="G5" s="4">
        <f>+TD_tdj2!G5*240</f>
        <v>240</v>
      </c>
      <c r="H5" s="4">
        <f>+TD_tdj2!H5*240</f>
        <v>240</v>
      </c>
      <c r="I5" s="4">
        <f>+TD_tdj2!I5*240</f>
        <v>240</v>
      </c>
      <c r="J5" s="4">
        <f>+TD_tdj2!J5*240</f>
        <v>240</v>
      </c>
      <c r="K5" s="4">
        <f>+TD_tdj2!K5*240</f>
        <v>0</v>
      </c>
      <c r="L5" s="4">
        <f>+TD_tdj2!L5*240</f>
        <v>0</v>
      </c>
      <c r="M5" s="4">
        <f>+TD_tdj2!M5*240</f>
        <v>0</v>
      </c>
      <c r="N5" s="4">
        <f>+TD_tdj2!N5*240</f>
        <v>240</v>
      </c>
      <c r="O5" s="4">
        <f>+TD_tdj2!O5*240</f>
        <v>240</v>
      </c>
      <c r="P5" s="4">
        <f>+TD_tdj2!P5*240</f>
        <v>240</v>
      </c>
      <c r="Q5" s="4">
        <f>+TD_tdj2!Q5*240</f>
        <v>240</v>
      </c>
      <c r="R5" s="4">
        <f>+TD_tdj2!R5*240</f>
        <v>0</v>
      </c>
      <c r="S5" s="4">
        <f>+TD_tdj2!S5*240</f>
        <v>0</v>
      </c>
      <c r="T5" s="4">
        <f>+TD_tdj2!T5*240</f>
        <v>240</v>
      </c>
      <c r="U5" s="4">
        <f>+TD_tdj2!U5*240</f>
        <v>240</v>
      </c>
      <c r="V5" s="4">
        <f>+TD_tdj2!V5*240</f>
        <v>240</v>
      </c>
      <c r="W5" s="4">
        <f>+TD_tdj2!W5*240</f>
        <v>240</v>
      </c>
      <c r="X5" s="4">
        <f>+TD_tdj2!X5*240</f>
        <v>0</v>
      </c>
      <c r="Y5" s="4">
        <f>+TD_tdj2!Y5*240</f>
        <v>0</v>
      </c>
      <c r="Z5" s="4">
        <f>+TD_tdj2!Z5*240</f>
        <v>0</v>
      </c>
      <c r="AA5" s="4">
        <f>+TD_tdj2!AA5*240</f>
        <v>240</v>
      </c>
      <c r="AB5" s="4">
        <f>+TD_tdj2!AB5*240</f>
        <v>240</v>
      </c>
      <c r="AC5" s="4">
        <f>+TD_tdj2!AC5*240</f>
        <v>240</v>
      </c>
      <c r="AD5" s="4">
        <f>+TD_tdj2!AD5*240</f>
        <v>240</v>
      </c>
      <c r="AE5" s="4">
        <f>+TD_tdj2!AE5*240</f>
        <v>0</v>
      </c>
      <c r="AF5" s="4">
        <f>+TD_tdj2!AF5*240</f>
        <v>0</v>
      </c>
    </row>
    <row r="6" spans="1:32" ht="18.75" customHeight="1" x14ac:dyDescent="0.25">
      <c r="A6" s="5" t="s">
        <v>57</v>
      </c>
      <c r="B6" s="4">
        <f>+TD_tdj2!B6*240</f>
        <v>0</v>
      </c>
      <c r="C6" s="4">
        <f>+TD_tdj2!C6*240</f>
        <v>0</v>
      </c>
      <c r="D6" s="4">
        <f>+TD_tdj2!D6*240</f>
        <v>0</v>
      </c>
      <c r="E6" s="4">
        <f>+TD_tdj2!E6*240</f>
        <v>0</v>
      </c>
      <c r="F6" s="4">
        <f>+TD_tdj2!F6*240</f>
        <v>0</v>
      </c>
      <c r="G6" s="4">
        <f>+TD_tdj2!G6*240</f>
        <v>0</v>
      </c>
      <c r="H6" s="4">
        <f>+TD_tdj2!H6*240</f>
        <v>0</v>
      </c>
      <c r="I6" s="4">
        <f>+TD_tdj2!I6*240</f>
        <v>0</v>
      </c>
      <c r="J6" s="4">
        <f>+TD_tdj2!J6*240</f>
        <v>0</v>
      </c>
      <c r="K6" s="4">
        <f>+TD_tdj2!K6*240</f>
        <v>0</v>
      </c>
      <c r="L6" s="4">
        <f>+TD_tdj2!L6*240</f>
        <v>0</v>
      </c>
      <c r="M6" s="4">
        <f>+TD_tdj2!M6*240</f>
        <v>0</v>
      </c>
      <c r="N6" s="4">
        <f>+TD_tdj2!N6*240</f>
        <v>0</v>
      </c>
      <c r="O6" s="4">
        <f>+TD_tdj2!O6*240</f>
        <v>0</v>
      </c>
      <c r="P6" s="4">
        <f>+TD_tdj2!P6*240</f>
        <v>0</v>
      </c>
      <c r="Q6" s="4">
        <f>+TD_tdj2!Q6*240</f>
        <v>0</v>
      </c>
      <c r="R6" s="4">
        <f>+TD_tdj2!R6*240</f>
        <v>0</v>
      </c>
      <c r="S6" s="4">
        <f>+TD_tdj2!S6*240</f>
        <v>0</v>
      </c>
      <c r="T6" s="4">
        <f>+TD_tdj2!T6*240</f>
        <v>0</v>
      </c>
      <c r="U6" s="4">
        <f>+TD_tdj2!U6*240</f>
        <v>0</v>
      </c>
      <c r="V6" s="4">
        <f>+TD_tdj2!V6*240</f>
        <v>0</v>
      </c>
      <c r="W6" s="4">
        <f>+TD_tdj2!W6*240</f>
        <v>0</v>
      </c>
      <c r="X6" s="4">
        <f>+TD_tdj2!X6*240</f>
        <v>0</v>
      </c>
      <c r="Y6" s="4">
        <f>+TD_tdj2!Y6*240</f>
        <v>0</v>
      </c>
      <c r="Z6" s="4">
        <f>+TD_tdj2!Z6*240</f>
        <v>0</v>
      </c>
      <c r="AA6" s="4">
        <f>+TD_tdj2!AA6*240</f>
        <v>0</v>
      </c>
      <c r="AB6" s="4">
        <f>+TD_tdj2!AB6*240</f>
        <v>0</v>
      </c>
      <c r="AC6" s="4">
        <f>+TD_tdj2!AC6*240</f>
        <v>0</v>
      </c>
      <c r="AD6" s="4">
        <f>+TD_tdj2!AD6*240</f>
        <v>0</v>
      </c>
      <c r="AE6" s="4">
        <f>+TD_tdj2!AE6*240</f>
        <v>0</v>
      </c>
      <c r="AF6" s="4">
        <f>+TD_tdj2!AF6*240</f>
        <v>0</v>
      </c>
    </row>
    <row r="7" spans="1:32" ht="18.75" customHeight="1" x14ac:dyDescent="0.25">
      <c r="A7" s="5" t="s">
        <v>58</v>
      </c>
      <c r="B7" s="4">
        <f>+TD_tdj2!B7*240</f>
        <v>0</v>
      </c>
      <c r="C7" s="4">
        <f>+TD_tdj2!C7*240</f>
        <v>0</v>
      </c>
      <c r="D7" s="4">
        <f>+TD_tdj2!D7*240</f>
        <v>0</v>
      </c>
      <c r="E7" s="4">
        <f>+TD_tdj2!E7*240</f>
        <v>0</v>
      </c>
      <c r="F7" s="4">
        <f>+TD_tdj2!F7*240</f>
        <v>0</v>
      </c>
      <c r="G7" s="4">
        <f>+TD_tdj2!G7*240</f>
        <v>240</v>
      </c>
      <c r="H7" s="4">
        <f>+TD_tdj2!H7*240</f>
        <v>240</v>
      </c>
      <c r="I7" s="4">
        <f>+TD_tdj2!I7*240</f>
        <v>240</v>
      </c>
      <c r="J7" s="4">
        <f>+TD_tdj2!J7*240</f>
        <v>240</v>
      </c>
      <c r="K7" s="4">
        <f>+TD_tdj2!K7*240</f>
        <v>0</v>
      </c>
      <c r="L7" s="4">
        <f>+TD_tdj2!L7*240</f>
        <v>0</v>
      </c>
      <c r="M7" s="4">
        <f>+TD_tdj2!M7*240</f>
        <v>0</v>
      </c>
      <c r="N7" s="4">
        <f>+TD_tdj2!N7*240</f>
        <v>240</v>
      </c>
      <c r="O7" s="4">
        <f>+TD_tdj2!O7*240</f>
        <v>240</v>
      </c>
      <c r="P7" s="4">
        <f>+TD_tdj2!P7*240</f>
        <v>240</v>
      </c>
      <c r="Q7" s="4">
        <f>+TD_tdj2!Q7*240</f>
        <v>240</v>
      </c>
      <c r="R7" s="4">
        <f>+TD_tdj2!R7*240</f>
        <v>0</v>
      </c>
      <c r="S7" s="4">
        <f>+TD_tdj2!S7*240</f>
        <v>0</v>
      </c>
      <c r="T7" s="4">
        <f>+TD_tdj2!T7*240</f>
        <v>240</v>
      </c>
      <c r="U7" s="4">
        <f>+TD_tdj2!U7*240</f>
        <v>240</v>
      </c>
      <c r="V7" s="4">
        <f>+TD_tdj2!V7*240</f>
        <v>240</v>
      </c>
      <c r="W7" s="4">
        <f>+TD_tdj2!W7*240</f>
        <v>240</v>
      </c>
      <c r="X7" s="4">
        <f>+TD_tdj2!X7*240</f>
        <v>240</v>
      </c>
      <c r="Y7" s="4">
        <f>+TD_tdj2!Y7*240</f>
        <v>0</v>
      </c>
      <c r="Z7" s="4">
        <f>+TD_tdj2!Z7*240</f>
        <v>0</v>
      </c>
      <c r="AA7" s="4">
        <f>+TD_tdj2!AA7*240</f>
        <v>240</v>
      </c>
      <c r="AB7" s="4">
        <f>+TD_tdj2!AB7*240</f>
        <v>240</v>
      </c>
      <c r="AC7" s="4">
        <f>+TD_tdj2!AC7*240</f>
        <v>240</v>
      </c>
      <c r="AD7" s="4">
        <f>+TD_tdj2!AD7*240</f>
        <v>240</v>
      </c>
      <c r="AE7" s="4">
        <f>+TD_tdj2!AE7*240</f>
        <v>240</v>
      </c>
      <c r="AF7" s="4">
        <f>+TD_tdj2!AF7*240</f>
        <v>0</v>
      </c>
    </row>
    <row r="8" spans="1:32" ht="18.75" customHeight="1" x14ac:dyDescent="0.25">
      <c r="A8" s="5" t="s">
        <v>59</v>
      </c>
      <c r="B8" s="4">
        <f>+TD_tdj2!B8*240</f>
        <v>0</v>
      </c>
      <c r="C8" s="4">
        <f>+TD_tdj2!C8*240</f>
        <v>0</v>
      </c>
      <c r="D8" s="4">
        <f>+TD_tdj2!D8*240</f>
        <v>0</v>
      </c>
      <c r="E8" s="4">
        <f>+TD_tdj2!E8*240</f>
        <v>0</v>
      </c>
      <c r="F8" s="4">
        <f>+TD_tdj2!F8*240</f>
        <v>240</v>
      </c>
      <c r="G8" s="4">
        <f>+TD_tdj2!G8*240</f>
        <v>240</v>
      </c>
      <c r="H8" s="4">
        <f>+TD_tdj2!H8*240</f>
        <v>240</v>
      </c>
      <c r="I8" s="4">
        <f>+TD_tdj2!I8*240</f>
        <v>240</v>
      </c>
      <c r="J8" s="4">
        <f>+TD_tdj2!J8*240</f>
        <v>240</v>
      </c>
      <c r="K8" s="4">
        <f>+TD_tdj2!K8*240</f>
        <v>0</v>
      </c>
      <c r="L8" s="4">
        <f>+TD_tdj2!L8*240</f>
        <v>0</v>
      </c>
      <c r="M8" s="4">
        <f>+TD_tdj2!M8*240</f>
        <v>0</v>
      </c>
      <c r="N8" s="4">
        <f>+TD_tdj2!N8*240</f>
        <v>240</v>
      </c>
      <c r="O8" s="4">
        <f>+TD_tdj2!O8*240</f>
        <v>240</v>
      </c>
      <c r="P8" s="4">
        <f>+TD_tdj2!P8*240</f>
        <v>240</v>
      </c>
      <c r="Q8" s="4">
        <f>+TD_tdj2!Q8*240</f>
        <v>240</v>
      </c>
      <c r="R8" s="4">
        <f>+TD_tdj2!R8*240</f>
        <v>0</v>
      </c>
      <c r="S8" s="4">
        <f>+TD_tdj2!S8*240</f>
        <v>0</v>
      </c>
      <c r="T8" s="4">
        <f>+TD_tdj2!T8*240</f>
        <v>240</v>
      </c>
      <c r="U8" s="4">
        <f>+TD_tdj2!U8*240</f>
        <v>240</v>
      </c>
      <c r="V8" s="4">
        <f>+TD_tdj2!V8*240</f>
        <v>240</v>
      </c>
      <c r="W8" s="4">
        <f>+TD_tdj2!W8*240</f>
        <v>240</v>
      </c>
      <c r="X8" s="4">
        <f>+TD_tdj2!X8*240</f>
        <v>240</v>
      </c>
      <c r="Y8" s="4">
        <f>+TD_tdj2!Y8*240</f>
        <v>0</v>
      </c>
      <c r="Z8" s="4">
        <f>+TD_tdj2!Z8*240</f>
        <v>0</v>
      </c>
      <c r="AA8" s="4">
        <f>+TD_tdj2!AA8*240</f>
        <v>0</v>
      </c>
      <c r="AB8" s="4">
        <f>+TD_tdj2!AB8*240</f>
        <v>0</v>
      </c>
      <c r="AC8" s="4">
        <f>+TD_tdj2!AC8*240</f>
        <v>0</v>
      </c>
      <c r="AD8" s="4">
        <f>+TD_tdj2!AD8*240</f>
        <v>0</v>
      </c>
      <c r="AE8" s="4">
        <f>+TD_tdj2!AE8*240</f>
        <v>0</v>
      </c>
      <c r="AF8" s="4">
        <f>+TD_tdj2!AF8*240</f>
        <v>0</v>
      </c>
    </row>
    <row r="9" spans="1:32" ht="18.75" customHeight="1" x14ac:dyDescent="0.25">
      <c r="A9" s="5" t="s">
        <v>60</v>
      </c>
      <c r="B9" s="4">
        <f>+TD_tdj2!B9*240</f>
        <v>0</v>
      </c>
      <c r="C9" s="4">
        <f>+TD_tdj2!C9*240</f>
        <v>0</v>
      </c>
      <c r="D9" s="4">
        <f>+TD_tdj2!D9*240</f>
        <v>0</v>
      </c>
      <c r="E9" s="4">
        <f>+TD_tdj2!E9*240</f>
        <v>0</v>
      </c>
      <c r="F9" s="4">
        <f>+TD_tdj2!F9*240</f>
        <v>0</v>
      </c>
      <c r="G9" s="4">
        <f>+TD_tdj2!G9*240</f>
        <v>240</v>
      </c>
      <c r="H9" s="4">
        <f>+TD_tdj2!H9*240</f>
        <v>240</v>
      </c>
      <c r="I9" s="4">
        <f>+TD_tdj2!I9*240</f>
        <v>240</v>
      </c>
      <c r="J9" s="4">
        <f>+TD_tdj2!J9*240</f>
        <v>240</v>
      </c>
      <c r="K9" s="4">
        <f>+TD_tdj2!K9*240</f>
        <v>0</v>
      </c>
      <c r="L9" s="4">
        <f>+TD_tdj2!L9*240</f>
        <v>0</v>
      </c>
      <c r="M9" s="4">
        <f>+TD_tdj2!M9*240</f>
        <v>0</v>
      </c>
      <c r="N9" s="4">
        <f>+TD_tdj2!N9*240</f>
        <v>240</v>
      </c>
      <c r="O9" s="4">
        <f>+TD_tdj2!O9*240</f>
        <v>240</v>
      </c>
      <c r="P9" s="4">
        <f>+TD_tdj2!P9*240</f>
        <v>240</v>
      </c>
      <c r="Q9" s="4">
        <f>+TD_tdj2!Q9*240</f>
        <v>240</v>
      </c>
      <c r="R9" s="4">
        <f>+TD_tdj2!R9*240</f>
        <v>0</v>
      </c>
      <c r="S9" s="4">
        <f>+TD_tdj2!S9*240</f>
        <v>0</v>
      </c>
      <c r="T9" s="4">
        <f>+TD_tdj2!T9*240</f>
        <v>240</v>
      </c>
      <c r="U9" s="4">
        <f>+TD_tdj2!U9*240</f>
        <v>240</v>
      </c>
      <c r="V9" s="4">
        <f>+TD_tdj2!V9*240</f>
        <v>240</v>
      </c>
      <c r="W9" s="4">
        <f>+TD_tdj2!W9*240</f>
        <v>240</v>
      </c>
      <c r="X9" s="4">
        <f>+TD_tdj2!X9*240</f>
        <v>240</v>
      </c>
      <c r="Y9" s="4">
        <f>+TD_tdj2!Y9*240</f>
        <v>0</v>
      </c>
      <c r="Z9" s="4">
        <f>+TD_tdj2!Z9*240</f>
        <v>0</v>
      </c>
      <c r="AA9" s="4">
        <f>+TD_tdj2!AA9*240</f>
        <v>240</v>
      </c>
      <c r="AB9" s="4">
        <f>+TD_tdj2!AB9*240</f>
        <v>240</v>
      </c>
      <c r="AC9" s="4">
        <f>+TD_tdj2!AC9*240</f>
        <v>240</v>
      </c>
      <c r="AD9" s="4">
        <f>+TD_tdj2!AD9*240</f>
        <v>240</v>
      </c>
      <c r="AE9" s="4">
        <f>+TD_tdj2!AE9*240</f>
        <v>240</v>
      </c>
      <c r="AF9" s="4">
        <f>+TD_tdj2!AF9*240</f>
        <v>0</v>
      </c>
    </row>
    <row r="10" spans="1:32" ht="18.75" customHeight="1" x14ac:dyDescent="0.25">
      <c r="A10" s="5" t="s">
        <v>61</v>
      </c>
      <c r="B10" s="4">
        <f>+TD_tdj2!B10*240</f>
        <v>0</v>
      </c>
      <c r="C10" s="4">
        <f>+TD_tdj2!C10*240</f>
        <v>0</v>
      </c>
      <c r="D10" s="4">
        <f>+TD_tdj2!D10*240</f>
        <v>0</v>
      </c>
      <c r="E10" s="4">
        <f>+TD_tdj2!E10*240</f>
        <v>0</v>
      </c>
      <c r="F10" s="4">
        <f>+TD_tdj2!F10*240</f>
        <v>0</v>
      </c>
      <c r="G10" s="4">
        <f>+TD_tdj2!G10*240</f>
        <v>0</v>
      </c>
      <c r="H10" s="4">
        <f>+TD_tdj2!H10*240</f>
        <v>0</v>
      </c>
      <c r="I10" s="4">
        <f>+TD_tdj2!I10*240</f>
        <v>0</v>
      </c>
      <c r="J10" s="4">
        <f>+TD_tdj2!J10*240</f>
        <v>0</v>
      </c>
      <c r="K10" s="4">
        <f>+TD_tdj2!K10*240</f>
        <v>0</v>
      </c>
      <c r="L10" s="4">
        <f>+TD_tdj2!L10*240</f>
        <v>0</v>
      </c>
      <c r="M10" s="4">
        <f>+TD_tdj2!M10*240</f>
        <v>0</v>
      </c>
      <c r="N10" s="4">
        <f>+TD_tdj2!N10*240</f>
        <v>240</v>
      </c>
      <c r="O10" s="4">
        <f>+TD_tdj2!O10*240</f>
        <v>240</v>
      </c>
      <c r="P10" s="4">
        <f>+TD_tdj2!P10*240</f>
        <v>240</v>
      </c>
      <c r="Q10" s="4">
        <f>+TD_tdj2!Q10*240</f>
        <v>0</v>
      </c>
      <c r="R10" s="4">
        <f>+TD_tdj2!R10*240</f>
        <v>0</v>
      </c>
      <c r="S10" s="4">
        <f>+TD_tdj2!S10*240</f>
        <v>0</v>
      </c>
      <c r="T10" s="4">
        <f>+TD_tdj2!T10*240</f>
        <v>0</v>
      </c>
      <c r="U10" s="4">
        <f>+TD_tdj2!U10*240</f>
        <v>0</v>
      </c>
      <c r="V10" s="4">
        <f>+TD_tdj2!V10*240</f>
        <v>0</v>
      </c>
      <c r="W10" s="4">
        <f>+TD_tdj2!W10*240</f>
        <v>0</v>
      </c>
      <c r="X10" s="4">
        <f>+TD_tdj2!X10*240</f>
        <v>0</v>
      </c>
      <c r="Y10" s="4">
        <f>+TD_tdj2!Y10*240</f>
        <v>0</v>
      </c>
      <c r="Z10" s="4">
        <f>+TD_tdj2!Z10*240</f>
        <v>0</v>
      </c>
      <c r="AA10" s="4">
        <f>+TD_tdj2!AA10*240</f>
        <v>240</v>
      </c>
      <c r="AB10" s="4">
        <f>+TD_tdj2!AB10*240</f>
        <v>240</v>
      </c>
      <c r="AC10" s="4">
        <f>+TD_tdj2!AC10*240</f>
        <v>240</v>
      </c>
      <c r="AD10" s="4">
        <f>+TD_tdj2!AD10*240</f>
        <v>240</v>
      </c>
      <c r="AE10" s="4">
        <f>+TD_tdj2!AE10*240</f>
        <v>0</v>
      </c>
      <c r="AF10" s="4">
        <f>+TD_tdj2!AF10*240</f>
        <v>0</v>
      </c>
    </row>
    <row r="11" spans="1:32" ht="18.75" customHeight="1" x14ac:dyDescent="0.25">
      <c r="A11" s="5" t="s">
        <v>62</v>
      </c>
      <c r="B11" s="4">
        <f>+TD_tdj2!B11*240</f>
        <v>0</v>
      </c>
      <c r="C11" s="4">
        <f>+TD_tdj2!C11*240</f>
        <v>0</v>
      </c>
      <c r="D11" s="4">
        <f>+TD_tdj2!D11*240</f>
        <v>0</v>
      </c>
      <c r="E11" s="4">
        <f>+TD_tdj2!E11*240</f>
        <v>0</v>
      </c>
      <c r="F11" s="4">
        <f>+TD_tdj2!F11*240</f>
        <v>0</v>
      </c>
      <c r="G11" s="4">
        <f>+TD_tdj2!G11*240</f>
        <v>0</v>
      </c>
      <c r="H11" s="4">
        <f>+TD_tdj2!H11*240</f>
        <v>0</v>
      </c>
      <c r="I11" s="4">
        <f>+TD_tdj2!I11*240</f>
        <v>0</v>
      </c>
      <c r="J11" s="4">
        <f>+TD_tdj2!J11*240</f>
        <v>0</v>
      </c>
      <c r="K11" s="4">
        <f>+TD_tdj2!K11*240</f>
        <v>0</v>
      </c>
      <c r="L11" s="4">
        <f>+TD_tdj2!L11*240</f>
        <v>0</v>
      </c>
      <c r="M11" s="4">
        <f>+TD_tdj2!M11*240</f>
        <v>0</v>
      </c>
      <c r="N11" s="4">
        <f>+TD_tdj2!N11*240</f>
        <v>240</v>
      </c>
      <c r="O11" s="4">
        <f>+TD_tdj2!O11*240</f>
        <v>240</v>
      </c>
      <c r="P11" s="4">
        <f>+TD_tdj2!P11*240</f>
        <v>0</v>
      </c>
      <c r="Q11" s="4">
        <f>+TD_tdj2!Q11*240</f>
        <v>240</v>
      </c>
      <c r="R11" s="4">
        <f>+TD_tdj2!R11*240</f>
        <v>0</v>
      </c>
      <c r="S11" s="4">
        <f>+TD_tdj2!S11*240</f>
        <v>0</v>
      </c>
      <c r="T11" s="4">
        <f>+TD_tdj2!T11*240</f>
        <v>240</v>
      </c>
      <c r="U11" s="4">
        <f>+TD_tdj2!U11*240</f>
        <v>0</v>
      </c>
      <c r="V11" s="4">
        <f>+TD_tdj2!V11*240</f>
        <v>240</v>
      </c>
      <c r="W11" s="4">
        <f>+TD_tdj2!W11*240</f>
        <v>0</v>
      </c>
      <c r="X11" s="4">
        <f>+TD_tdj2!X11*240</f>
        <v>0</v>
      </c>
      <c r="Y11" s="4">
        <f>+TD_tdj2!Y11*240</f>
        <v>0</v>
      </c>
      <c r="Z11" s="4">
        <f>+TD_tdj2!Z11*240</f>
        <v>0</v>
      </c>
      <c r="AA11" s="4">
        <f>+TD_tdj2!AA11*240</f>
        <v>240</v>
      </c>
      <c r="AB11" s="4">
        <f>+TD_tdj2!AB11*240</f>
        <v>0</v>
      </c>
      <c r="AC11" s="4">
        <f>+TD_tdj2!AC11*240</f>
        <v>0</v>
      </c>
      <c r="AD11" s="4">
        <f>+TD_tdj2!AD11*240</f>
        <v>0</v>
      </c>
      <c r="AE11" s="4">
        <f>+TD_tdj2!AE11*240</f>
        <v>0</v>
      </c>
      <c r="AF11" s="4">
        <f>+TD_tdj2!AF11*240</f>
        <v>0</v>
      </c>
    </row>
    <row r="12" spans="1:32" ht="18.75" customHeight="1" x14ac:dyDescent="0.25">
      <c r="A12" s="5" t="s">
        <v>63</v>
      </c>
      <c r="B12" s="4">
        <f>+TD_tdj2!B12*240</f>
        <v>0</v>
      </c>
      <c r="C12" s="4">
        <f>+TD_tdj2!C12*240</f>
        <v>0</v>
      </c>
      <c r="D12" s="4">
        <f>+TD_tdj2!D12*240</f>
        <v>0</v>
      </c>
      <c r="E12" s="4">
        <f>+TD_tdj2!E12*240</f>
        <v>0</v>
      </c>
      <c r="F12" s="4">
        <f>+TD_tdj2!F12*240</f>
        <v>0</v>
      </c>
      <c r="G12" s="4">
        <f>+TD_tdj2!G12*240</f>
        <v>0</v>
      </c>
      <c r="H12" s="4">
        <f>+TD_tdj2!H12*240</f>
        <v>0</v>
      </c>
      <c r="I12" s="4">
        <f>+TD_tdj2!I12*240</f>
        <v>240</v>
      </c>
      <c r="J12" s="4">
        <f>+TD_tdj2!J12*240</f>
        <v>240</v>
      </c>
      <c r="K12" s="4">
        <f>+TD_tdj2!K12*240</f>
        <v>0</v>
      </c>
      <c r="L12" s="4">
        <f>+TD_tdj2!L12*240</f>
        <v>0</v>
      </c>
      <c r="M12" s="4">
        <f>+TD_tdj2!M12*240</f>
        <v>0</v>
      </c>
      <c r="N12" s="4">
        <f>+TD_tdj2!N12*240</f>
        <v>0</v>
      </c>
      <c r="O12" s="4">
        <f>+TD_tdj2!O12*240</f>
        <v>0</v>
      </c>
      <c r="P12" s="4">
        <f>+TD_tdj2!P12*240</f>
        <v>240</v>
      </c>
      <c r="Q12" s="4">
        <f>+TD_tdj2!Q12*240</f>
        <v>240</v>
      </c>
      <c r="R12" s="4">
        <f>+TD_tdj2!R12*240</f>
        <v>0</v>
      </c>
      <c r="S12" s="4">
        <f>+TD_tdj2!S12*240</f>
        <v>0</v>
      </c>
      <c r="T12" s="4">
        <f>+TD_tdj2!T12*240</f>
        <v>240</v>
      </c>
      <c r="U12" s="4">
        <f>+TD_tdj2!U12*240</f>
        <v>240</v>
      </c>
      <c r="V12" s="4">
        <f>+TD_tdj2!V12*240</f>
        <v>240</v>
      </c>
      <c r="W12" s="4">
        <f>+TD_tdj2!W12*240</f>
        <v>240</v>
      </c>
      <c r="X12" s="4">
        <f>+TD_tdj2!X12*240</f>
        <v>240</v>
      </c>
      <c r="Y12" s="4">
        <f>+TD_tdj2!Y12*240</f>
        <v>0</v>
      </c>
      <c r="Z12" s="4">
        <f>+TD_tdj2!Z12*240</f>
        <v>0</v>
      </c>
      <c r="AA12" s="4">
        <f>+TD_tdj2!AA12*240</f>
        <v>240</v>
      </c>
      <c r="AB12" s="4">
        <f>+TD_tdj2!AB12*240</f>
        <v>240</v>
      </c>
      <c r="AC12" s="4">
        <f>+TD_tdj2!AC12*240</f>
        <v>240</v>
      </c>
      <c r="AD12" s="4">
        <f>+TD_tdj2!AD12*240</f>
        <v>240</v>
      </c>
      <c r="AE12" s="4">
        <f>+TD_tdj2!AE12*240</f>
        <v>240</v>
      </c>
      <c r="AF12" s="4">
        <f>+TD_tdj2!AF12*240</f>
        <v>0</v>
      </c>
    </row>
    <row r="13" spans="1:32" ht="18.75" customHeight="1" x14ac:dyDescent="0.25">
      <c r="A13" s="5" t="s">
        <v>64</v>
      </c>
      <c r="B13" s="4">
        <f>+TD_tdj2!B13*240</f>
        <v>0</v>
      </c>
      <c r="C13" s="4">
        <f>+TD_tdj2!C13*240</f>
        <v>0</v>
      </c>
      <c r="D13" s="4">
        <f>+TD_tdj2!D13*240</f>
        <v>0</v>
      </c>
      <c r="E13" s="4">
        <f>+TD_tdj2!E13*240</f>
        <v>0</v>
      </c>
      <c r="F13" s="4">
        <f>+TD_tdj2!F13*240</f>
        <v>0</v>
      </c>
      <c r="G13" s="4">
        <f>+TD_tdj2!G13*240</f>
        <v>240</v>
      </c>
      <c r="H13" s="4">
        <f>+TD_tdj2!H13*240</f>
        <v>240</v>
      </c>
      <c r="I13" s="4">
        <f>+TD_tdj2!I13*240</f>
        <v>0</v>
      </c>
      <c r="J13" s="4">
        <f>+TD_tdj2!J13*240</f>
        <v>0</v>
      </c>
      <c r="K13" s="4">
        <f>+TD_tdj2!K13*240</f>
        <v>0</v>
      </c>
      <c r="L13" s="4">
        <f>+TD_tdj2!L13*240</f>
        <v>0</v>
      </c>
      <c r="M13" s="4">
        <f>+TD_tdj2!M13*240</f>
        <v>0</v>
      </c>
      <c r="N13" s="4">
        <f>+TD_tdj2!N13*240</f>
        <v>0</v>
      </c>
      <c r="O13" s="4">
        <f>+TD_tdj2!O13*240</f>
        <v>240</v>
      </c>
      <c r="P13" s="4">
        <f>+TD_tdj2!P13*240</f>
        <v>240</v>
      </c>
      <c r="Q13" s="4">
        <f>+TD_tdj2!Q13*240</f>
        <v>240</v>
      </c>
      <c r="R13" s="4">
        <f>+TD_tdj2!R13*240</f>
        <v>0</v>
      </c>
      <c r="S13" s="4">
        <f>+TD_tdj2!S13*240</f>
        <v>0</v>
      </c>
      <c r="T13" s="4">
        <f>+TD_tdj2!T13*240</f>
        <v>0</v>
      </c>
      <c r="U13" s="4">
        <f>+TD_tdj2!U13*240</f>
        <v>240</v>
      </c>
      <c r="V13" s="4">
        <f>+TD_tdj2!V13*240</f>
        <v>0</v>
      </c>
      <c r="W13" s="4">
        <f>+TD_tdj2!W13*240</f>
        <v>240</v>
      </c>
      <c r="X13" s="4">
        <f>+TD_tdj2!X13*240</f>
        <v>240</v>
      </c>
      <c r="Y13" s="4">
        <f>+TD_tdj2!Y13*240</f>
        <v>0</v>
      </c>
      <c r="Z13" s="4">
        <f>+TD_tdj2!Z13*240</f>
        <v>0</v>
      </c>
      <c r="AA13" s="4">
        <f>+TD_tdj2!AA13*240</f>
        <v>0</v>
      </c>
      <c r="AB13" s="4">
        <f>+TD_tdj2!AB13*240</f>
        <v>240</v>
      </c>
      <c r="AC13" s="4">
        <f>+TD_tdj2!AC13*240</f>
        <v>240</v>
      </c>
      <c r="AD13" s="4">
        <f>+TD_tdj2!AD13*240</f>
        <v>0</v>
      </c>
      <c r="AE13" s="4">
        <f>+TD_tdj2!AE13*240</f>
        <v>240</v>
      </c>
      <c r="AF13" s="4">
        <f>+TD_tdj2!AF13*240</f>
        <v>0</v>
      </c>
    </row>
    <row r="14" spans="1:32" ht="18.75" customHeight="1" x14ac:dyDescent="0.25">
      <c r="A14" s="5" t="s">
        <v>65</v>
      </c>
      <c r="B14" s="4">
        <f>+TD_tdj2!B14*240</f>
        <v>0</v>
      </c>
      <c r="C14" s="4">
        <f>+TD_tdj2!C14*240</f>
        <v>0</v>
      </c>
      <c r="D14" s="4">
        <f>+TD_tdj2!D14*240</f>
        <v>0</v>
      </c>
      <c r="E14" s="4">
        <f>+TD_tdj2!E14*240</f>
        <v>0</v>
      </c>
      <c r="F14" s="4">
        <f>+TD_tdj2!F14*240</f>
        <v>0</v>
      </c>
      <c r="G14" s="4">
        <f>+TD_tdj2!G14*240</f>
        <v>0</v>
      </c>
      <c r="H14" s="4">
        <f>+TD_tdj2!H14*240</f>
        <v>0</v>
      </c>
      <c r="I14" s="4">
        <f>+TD_tdj2!I14*240</f>
        <v>240</v>
      </c>
      <c r="J14" s="4">
        <f>+TD_tdj2!J14*240</f>
        <v>0</v>
      </c>
      <c r="K14" s="4">
        <f>+TD_tdj2!K14*240</f>
        <v>0</v>
      </c>
      <c r="L14" s="4">
        <f>+TD_tdj2!L14*240</f>
        <v>0</v>
      </c>
      <c r="M14" s="4">
        <f>+TD_tdj2!M14*240</f>
        <v>0</v>
      </c>
      <c r="N14" s="4">
        <f>+TD_tdj2!N14*240</f>
        <v>240</v>
      </c>
      <c r="O14" s="4">
        <f>+TD_tdj2!O14*240</f>
        <v>0</v>
      </c>
      <c r="P14" s="4">
        <f>+TD_tdj2!P14*240</f>
        <v>240</v>
      </c>
      <c r="Q14" s="4">
        <f>+TD_tdj2!Q14*240</f>
        <v>0</v>
      </c>
      <c r="R14" s="4">
        <f>+TD_tdj2!R14*240</f>
        <v>0</v>
      </c>
      <c r="S14" s="4">
        <f>+TD_tdj2!S14*240</f>
        <v>0</v>
      </c>
      <c r="T14" s="4">
        <f>+TD_tdj2!T14*240</f>
        <v>240</v>
      </c>
      <c r="U14" s="4">
        <f>+TD_tdj2!U14*240</f>
        <v>240</v>
      </c>
      <c r="V14" s="4">
        <f>+TD_tdj2!V14*240</f>
        <v>0</v>
      </c>
      <c r="W14" s="4">
        <f>+TD_tdj2!W14*240</f>
        <v>0</v>
      </c>
      <c r="X14" s="4">
        <f>+TD_tdj2!X14*240</f>
        <v>0</v>
      </c>
      <c r="Y14" s="4">
        <f>+TD_tdj2!Y14*240</f>
        <v>0</v>
      </c>
      <c r="Z14" s="4">
        <f>+TD_tdj2!Z14*240</f>
        <v>0</v>
      </c>
      <c r="AA14" s="4">
        <f>+TD_tdj2!AA14*240</f>
        <v>240</v>
      </c>
      <c r="AB14" s="4">
        <f>+TD_tdj2!AB14*240</f>
        <v>240</v>
      </c>
      <c r="AC14" s="4">
        <f>+TD_tdj2!AC14*240</f>
        <v>0</v>
      </c>
      <c r="AD14" s="4">
        <f>+TD_tdj2!AD14*240</f>
        <v>0</v>
      </c>
      <c r="AE14" s="4">
        <f>+TD_tdj2!AE14*240</f>
        <v>0</v>
      </c>
      <c r="AF14" s="4">
        <f>+TD_tdj2!AF14*240</f>
        <v>0</v>
      </c>
    </row>
    <row r="15" spans="1:32" ht="18.75" customHeight="1" x14ac:dyDescent="0.25">
      <c r="A15" s="5" t="s">
        <v>66</v>
      </c>
      <c r="B15" s="4">
        <f>+TD_tdj2!B15*240</f>
        <v>0</v>
      </c>
      <c r="C15" s="4">
        <f>+TD_tdj2!C15*240</f>
        <v>0</v>
      </c>
      <c r="D15" s="4">
        <f>+TD_tdj2!D15*240</f>
        <v>0</v>
      </c>
      <c r="E15" s="4">
        <f>+TD_tdj2!E15*240</f>
        <v>0</v>
      </c>
      <c r="F15" s="4">
        <f>+TD_tdj2!F15*240</f>
        <v>0</v>
      </c>
      <c r="G15" s="4">
        <f>+TD_tdj2!G15*240</f>
        <v>0</v>
      </c>
      <c r="H15" s="4">
        <f>+TD_tdj2!H15*240</f>
        <v>0</v>
      </c>
      <c r="I15" s="4">
        <f>+TD_tdj2!I15*240</f>
        <v>0</v>
      </c>
      <c r="J15" s="4">
        <f>+TD_tdj2!J15*240</f>
        <v>0</v>
      </c>
      <c r="K15" s="4">
        <f>+TD_tdj2!K15*240</f>
        <v>0</v>
      </c>
      <c r="L15" s="4">
        <f>+TD_tdj2!L15*240</f>
        <v>0</v>
      </c>
      <c r="M15" s="4">
        <f>+TD_tdj2!M15*240</f>
        <v>0</v>
      </c>
      <c r="N15" s="4">
        <f>+TD_tdj2!N15*240</f>
        <v>0</v>
      </c>
      <c r="O15" s="4">
        <f>+TD_tdj2!O15*240</f>
        <v>0</v>
      </c>
      <c r="P15" s="4">
        <f>+TD_tdj2!P15*240</f>
        <v>0</v>
      </c>
      <c r="Q15" s="4">
        <f>+TD_tdj2!Q15*240</f>
        <v>0</v>
      </c>
      <c r="R15" s="4">
        <f>+TD_tdj2!R15*240</f>
        <v>0</v>
      </c>
      <c r="S15" s="4">
        <f>+TD_tdj2!S15*240</f>
        <v>0</v>
      </c>
      <c r="T15" s="4">
        <f>+TD_tdj2!T15*240</f>
        <v>0</v>
      </c>
      <c r="U15" s="4">
        <f>+TD_tdj2!U15*240</f>
        <v>0</v>
      </c>
      <c r="V15" s="4">
        <f>+TD_tdj2!V15*240</f>
        <v>0</v>
      </c>
      <c r="W15" s="4">
        <f>+TD_tdj2!W15*240</f>
        <v>240</v>
      </c>
      <c r="X15" s="4">
        <f>+TD_tdj2!X15*240</f>
        <v>240</v>
      </c>
      <c r="Y15" s="4">
        <f>+TD_tdj2!Y15*240</f>
        <v>0</v>
      </c>
      <c r="Z15" s="4">
        <f>+TD_tdj2!Z15*240</f>
        <v>0</v>
      </c>
      <c r="AA15" s="4">
        <f>+TD_tdj2!AA15*240</f>
        <v>0</v>
      </c>
      <c r="AB15" s="4">
        <f>+TD_tdj2!AB15*240</f>
        <v>0</v>
      </c>
      <c r="AC15" s="4">
        <f>+TD_tdj2!AC15*240</f>
        <v>0</v>
      </c>
      <c r="AD15" s="4">
        <f>+TD_tdj2!AD15*240</f>
        <v>240</v>
      </c>
      <c r="AE15" s="4">
        <f>+TD_tdj2!AE15*240</f>
        <v>240</v>
      </c>
      <c r="AF15" s="4">
        <f>+TD_tdj2!AF15*240</f>
        <v>0</v>
      </c>
    </row>
    <row r="16" spans="1:32" ht="18.75" customHeight="1" x14ac:dyDescent="0.25">
      <c r="A16" s="5" t="s">
        <v>67</v>
      </c>
      <c r="B16" s="4">
        <f>+TD_tdj2!B16*240</f>
        <v>0</v>
      </c>
      <c r="C16" s="4">
        <f>+TD_tdj2!C16*240</f>
        <v>0</v>
      </c>
      <c r="D16" s="4">
        <f>+TD_tdj2!D16*240</f>
        <v>0</v>
      </c>
      <c r="E16" s="4">
        <f>+TD_tdj2!E16*240</f>
        <v>0</v>
      </c>
      <c r="F16" s="4">
        <f>+TD_tdj2!F16*240</f>
        <v>0</v>
      </c>
      <c r="G16" s="4">
        <f>+TD_tdj2!G16*240</f>
        <v>240</v>
      </c>
      <c r="H16" s="4">
        <f>+TD_tdj2!H16*240</f>
        <v>240</v>
      </c>
      <c r="I16" s="4">
        <f>+TD_tdj2!I16*240</f>
        <v>240</v>
      </c>
      <c r="J16" s="4">
        <f>+TD_tdj2!J16*240</f>
        <v>240</v>
      </c>
      <c r="K16" s="4">
        <f>+TD_tdj2!K16*240</f>
        <v>0</v>
      </c>
      <c r="L16" s="4">
        <f>+TD_tdj2!L16*240</f>
        <v>0</v>
      </c>
      <c r="M16" s="4">
        <f>+TD_tdj2!M16*240</f>
        <v>0</v>
      </c>
      <c r="N16" s="4">
        <f>+TD_tdj2!N16*240</f>
        <v>240</v>
      </c>
      <c r="O16" s="4">
        <f>+TD_tdj2!O16*240</f>
        <v>240</v>
      </c>
      <c r="P16" s="4">
        <f>+TD_tdj2!P16*240</f>
        <v>240</v>
      </c>
      <c r="Q16" s="4">
        <f>+TD_tdj2!Q16*240</f>
        <v>0</v>
      </c>
      <c r="R16" s="4">
        <f>+TD_tdj2!R16*240</f>
        <v>0</v>
      </c>
      <c r="S16" s="4">
        <f>+TD_tdj2!S16*240</f>
        <v>0</v>
      </c>
      <c r="T16" s="4">
        <f>+TD_tdj2!T16*240</f>
        <v>0</v>
      </c>
      <c r="U16" s="4">
        <f>+TD_tdj2!U16*240</f>
        <v>240</v>
      </c>
      <c r="V16" s="4">
        <f>+TD_tdj2!V16*240</f>
        <v>240</v>
      </c>
      <c r="W16" s="4">
        <f>+TD_tdj2!W16*240</f>
        <v>240</v>
      </c>
      <c r="X16" s="4">
        <f>+TD_tdj2!X16*240</f>
        <v>240</v>
      </c>
      <c r="Y16" s="4">
        <f>+TD_tdj2!Y16*240</f>
        <v>0</v>
      </c>
      <c r="Z16" s="4">
        <f>+TD_tdj2!Z16*240</f>
        <v>0</v>
      </c>
      <c r="AA16" s="4">
        <f>+TD_tdj2!AA16*240</f>
        <v>240</v>
      </c>
      <c r="AB16" s="4">
        <f>+TD_tdj2!AB16*240</f>
        <v>240</v>
      </c>
      <c r="AC16" s="4">
        <f>+TD_tdj2!AC16*240</f>
        <v>240</v>
      </c>
      <c r="AD16" s="4">
        <f>+TD_tdj2!AD16*240</f>
        <v>240</v>
      </c>
      <c r="AE16" s="4">
        <f>+TD_tdj2!AE16*240</f>
        <v>0</v>
      </c>
      <c r="AF16" s="4">
        <f>+TD_tdj2!AF16*240</f>
        <v>0</v>
      </c>
    </row>
    <row r="17" spans="1:32" ht="18.75" customHeight="1" x14ac:dyDescent="0.25">
      <c r="A17" s="5" t="s">
        <v>68</v>
      </c>
      <c r="B17" s="4">
        <f>+TD_tdj2!B17*240</f>
        <v>0</v>
      </c>
      <c r="C17" s="4">
        <f>+TD_tdj2!C17*240</f>
        <v>0</v>
      </c>
      <c r="D17" s="4">
        <f>+TD_tdj2!D17*240</f>
        <v>0</v>
      </c>
      <c r="E17" s="4">
        <f>+TD_tdj2!E17*240</f>
        <v>0</v>
      </c>
      <c r="F17" s="4">
        <f>+TD_tdj2!F17*240</f>
        <v>0</v>
      </c>
      <c r="G17" s="4">
        <f>+TD_tdj2!G17*240</f>
        <v>0</v>
      </c>
      <c r="H17" s="4">
        <f>+TD_tdj2!H17*240</f>
        <v>0</v>
      </c>
      <c r="I17" s="4">
        <f>+TD_tdj2!I17*240</f>
        <v>0</v>
      </c>
      <c r="J17" s="4">
        <f>+TD_tdj2!J17*240</f>
        <v>0</v>
      </c>
      <c r="K17" s="4">
        <f>+TD_tdj2!K17*240</f>
        <v>0</v>
      </c>
      <c r="L17" s="4">
        <f>+TD_tdj2!L17*240</f>
        <v>0</v>
      </c>
      <c r="M17" s="4">
        <f>+TD_tdj2!M17*240</f>
        <v>0</v>
      </c>
      <c r="N17" s="4">
        <f>+TD_tdj2!N17*240</f>
        <v>0</v>
      </c>
      <c r="O17" s="4">
        <f>+TD_tdj2!O17*240</f>
        <v>0</v>
      </c>
      <c r="P17" s="4">
        <f>+TD_tdj2!P17*240</f>
        <v>0</v>
      </c>
      <c r="Q17" s="4">
        <f>+TD_tdj2!Q17*240</f>
        <v>0</v>
      </c>
      <c r="R17" s="4">
        <f>+TD_tdj2!R17*240</f>
        <v>0</v>
      </c>
      <c r="S17" s="4">
        <f>+TD_tdj2!S17*240</f>
        <v>0</v>
      </c>
      <c r="T17" s="4">
        <f>+TD_tdj2!T17*240</f>
        <v>0</v>
      </c>
      <c r="U17" s="4">
        <f>+TD_tdj2!U17*240</f>
        <v>0</v>
      </c>
      <c r="V17" s="4">
        <f>+TD_tdj2!V17*240</f>
        <v>0</v>
      </c>
      <c r="W17" s="4">
        <f>+TD_tdj2!W17*240</f>
        <v>0</v>
      </c>
      <c r="X17" s="4">
        <f>+TD_tdj2!X17*240</f>
        <v>0</v>
      </c>
      <c r="Y17" s="4">
        <f>+TD_tdj2!Y17*240</f>
        <v>0</v>
      </c>
      <c r="Z17" s="4">
        <f>+TD_tdj2!Z17*240</f>
        <v>0</v>
      </c>
      <c r="AA17" s="4">
        <f>+TD_tdj2!AA17*240</f>
        <v>0</v>
      </c>
      <c r="AB17" s="4">
        <f>+TD_tdj2!AB17*240</f>
        <v>0</v>
      </c>
      <c r="AC17" s="4">
        <f>+TD_tdj2!AC17*240</f>
        <v>0</v>
      </c>
      <c r="AD17" s="4">
        <f>+TD_tdj2!AD17*240</f>
        <v>0</v>
      </c>
      <c r="AE17" s="4">
        <f>+TD_tdj2!AE17*240</f>
        <v>0</v>
      </c>
      <c r="AF17" s="4">
        <f>+TD_tdj2!AF17*240</f>
        <v>0</v>
      </c>
    </row>
    <row r="18" spans="1:32" ht="18.75" customHeight="1" x14ac:dyDescent="0.25">
      <c r="A18" s="5" t="s">
        <v>69</v>
      </c>
      <c r="B18" s="4">
        <f>+TD_tdj2!B18*240</f>
        <v>0</v>
      </c>
      <c r="C18" s="4">
        <f>+TD_tdj2!C18*240</f>
        <v>0</v>
      </c>
      <c r="D18" s="4">
        <f>+TD_tdj2!D18*240</f>
        <v>0</v>
      </c>
      <c r="E18" s="4">
        <f>+TD_tdj2!E18*240</f>
        <v>0</v>
      </c>
      <c r="F18" s="4">
        <f>+TD_tdj2!F18*240</f>
        <v>0</v>
      </c>
      <c r="G18" s="4">
        <f>+TD_tdj2!G18*240</f>
        <v>240</v>
      </c>
      <c r="H18" s="4">
        <f>+TD_tdj2!H18*240</f>
        <v>0</v>
      </c>
      <c r="I18" s="4">
        <f>+TD_tdj2!I18*240</f>
        <v>240</v>
      </c>
      <c r="J18" s="4">
        <f>+TD_tdj2!J18*240</f>
        <v>0</v>
      </c>
      <c r="K18" s="4">
        <f>+TD_tdj2!K18*240</f>
        <v>0</v>
      </c>
      <c r="L18" s="4">
        <f>+TD_tdj2!L18*240</f>
        <v>0</v>
      </c>
      <c r="M18" s="4">
        <f>+TD_tdj2!M18*240</f>
        <v>0</v>
      </c>
      <c r="N18" s="4">
        <f>+TD_tdj2!N18*240</f>
        <v>0</v>
      </c>
      <c r="O18" s="4">
        <f>+TD_tdj2!O18*240</f>
        <v>0</v>
      </c>
      <c r="P18" s="4">
        <f>+TD_tdj2!P18*240</f>
        <v>240</v>
      </c>
      <c r="Q18" s="4">
        <f>+TD_tdj2!Q18*240</f>
        <v>0</v>
      </c>
      <c r="R18" s="4">
        <f>+TD_tdj2!R18*240</f>
        <v>0</v>
      </c>
      <c r="S18" s="4">
        <f>+TD_tdj2!S18*240</f>
        <v>0</v>
      </c>
      <c r="T18" s="4">
        <f>+TD_tdj2!T18*240</f>
        <v>240</v>
      </c>
      <c r="U18" s="4">
        <f>+TD_tdj2!U18*240</f>
        <v>240</v>
      </c>
      <c r="V18" s="4">
        <f>+TD_tdj2!V18*240</f>
        <v>0</v>
      </c>
      <c r="W18" s="4">
        <f>+TD_tdj2!W18*240</f>
        <v>0</v>
      </c>
      <c r="X18" s="4">
        <f>+TD_tdj2!X18*240</f>
        <v>0</v>
      </c>
      <c r="Y18" s="4">
        <f>+TD_tdj2!Y18*240</f>
        <v>0</v>
      </c>
      <c r="Z18" s="4">
        <f>+TD_tdj2!Z18*240</f>
        <v>0</v>
      </c>
      <c r="AA18" s="4">
        <f>+TD_tdj2!AA18*240</f>
        <v>0</v>
      </c>
      <c r="AB18" s="4">
        <f>+TD_tdj2!AB18*240</f>
        <v>240</v>
      </c>
      <c r="AC18" s="4">
        <f>+TD_tdj2!AC18*240</f>
        <v>0</v>
      </c>
      <c r="AD18" s="4">
        <f>+TD_tdj2!AD18*240</f>
        <v>240</v>
      </c>
      <c r="AE18" s="4">
        <f>+TD_tdj2!AE18*240</f>
        <v>0</v>
      </c>
      <c r="AF18" s="4">
        <f>+TD_tdj2!AF18*240</f>
        <v>0</v>
      </c>
    </row>
    <row r="19" spans="1:32" ht="18.75" customHeight="1" x14ac:dyDescent="0.25">
      <c r="A19" s="5" t="s">
        <v>70</v>
      </c>
      <c r="B19" s="4">
        <f>+TD_tdj2!B19*240</f>
        <v>0</v>
      </c>
      <c r="C19" s="4">
        <f>+TD_tdj2!C19*240</f>
        <v>0</v>
      </c>
      <c r="D19" s="4">
        <f>+TD_tdj2!D19*240</f>
        <v>0</v>
      </c>
      <c r="E19" s="4">
        <f>+TD_tdj2!E19*240</f>
        <v>0</v>
      </c>
      <c r="F19" s="4">
        <f>+TD_tdj2!F19*240</f>
        <v>0</v>
      </c>
      <c r="G19" s="4">
        <f>+TD_tdj2!G19*240</f>
        <v>0</v>
      </c>
      <c r="H19" s="4">
        <f>+TD_tdj2!H19*240</f>
        <v>240</v>
      </c>
      <c r="I19" s="4">
        <f>+TD_tdj2!I19*240</f>
        <v>0</v>
      </c>
      <c r="J19" s="4">
        <f>+TD_tdj2!J19*240</f>
        <v>0</v>
      </c>
      <c r="K19" s="4">
        <f>+TD_tdj2!K19*240</f>
        <v>0</v>
      </c>
      <c r="L19" s="4">
        <f>+TD_tdj2!L19*240</f>
        <v>0</v>
      </c>
      <c r="M19" s="4">
        <f>+TD_tdj2!M19*240</f>
        <v>0</v>
      </c>
      <c r="N19" s="4">
        <f>+TD_tdj2!N19*240</f>
        <v>0</v>
      </c>
      <c r="O19" s="4">
        <f>+TD_tdj2!O19*240</f>
        <v>240</v>
      </c>
      <c r="P19" s="4">
        <f>+TD_tdj2!P19*240</f>
        <v>0</v>
      </c>
      <c r="Q19" s="4">
        <f>+TD_tdj2!Q19*240</f>
        <v>0</v>
      </c>
      <c r="R19" s="4">
        <f>+TD_tdj2!R19*240</f>
        <v>0</v>
      </c>
      <c r="S19" s="4">
        <f>+TD_tdj2!S19*240</f>
        <v>0</v>
      </c>
      <c r="T19" s="4">
        <f>+TD_tdj2!T19*240</f>
        <v>0</v>
      </c>
      <c r="U19" s="4">
        <f>+TD_tdj2!U19*240</f>
        <v>0</v>
      </c>
      <c r="V19" s="4">
        <f>+TD_tdj2!V19*240</f>
        <v>240</v>
      </c>
      <c r="W19" s="4">
        <f>+TD_tdj2!W19*240</f>
        <v>0</v>
      </c>
      <c r="X19" s="4">
        <f>+TD_tdj2!X19*240</f>
        <v>0</v>
      </c>
      <c r="Y19" s="4">
        <f>+TD_tdj2!Y19*240</f>
        <v>0</v>
      </c>
      <c r="Z19" s="4">
        <f>+TD_tdj2!Z19*240</f>
        <v>0</v>
      </c>
      <c r="AA19" s="4">
        <f>+TD_tdj2!AA19*240</f>
        <v>0</v>
      </c>
      <c r="AB19" s="4">
        <f>+TD_tdj2!AB19*240</f>
        <v>0</v>
      </c>
      <c r="AC19" s="4">
        <f>+TD_tdj2!AC19*240</f>
        <v>240</v>
      </c>
      <c r="AD19" s="4">
        <f>+TD_tdj2!AD19*240</f>
        <v>0</v>
      </c>
      <c r="AE19" s="4">
        <f>+TD_tdj2!AE19*240</f>
        <v>0</v>
      </c>
      <c r="AF19" s="4">
        <f>+TD_tdj2!AF19*240</f>
        <v>0</v>
      </c>
    </row>
    <row r="20" spans="1:32" ht="18.75" customHeight="1" x14ac:dyDescent="0.25">
      <c r="A20" s="5" t="s">
        <v>71</v>
      </c>
      <c r="B20" s="4">
        <f>+TD_tdj2!B20*240</f>
        <v>0</v>
      </c>
      <c r="C20" s="4">
        <f>+TD_tdj2!C20*240</f>
        <v>0</v>
      </c>
      <c r="D20" s="4">
        <f>+TD_tdj2!D20*240</f>
        <v>0</v>
      </c>
      <c r="E20" s="4">
        <f>+TD_tdj2!E20*240</f>
        <v>0</v>
      </c>
      <c r="F20" s="4">
        <f>+TD_tdj2!F20*240</f>
        <v>0</v>
      </c>
      <c r="G20" s="4">
        <f>+TD_tdj2!G20*240</f>
        <v>0</v>
      </c>
      <c r="H20" s="4">
        <f>+TD_tdj2!H20*240</f>
        <v>0</v>
      </c>
      <c r="I20" s="4">
        <f>+TD_tdj2!I20*240</f>
        <v>0</v>
      </c>
      <c r="J20" s="4">
        <f>+TD_tdj2!J20*240</f>
        <v>240</v>
      </c>
      <c r="K20" s="4">
        <f>+TD_tdj2!K20*240</f>
        <v>0</v>
      </c>
      <c r="L20" s="4">
        <f>+TD_tdj2!L20*240</f>
        <v>0</v>
      </c>
      <c r="M20" s="4">
        <f>+TD_tdj2!M20*240</f>
        <v>0</v>
      </c>
      <c r="N20" s="4">
        <f>+TD_tdj2!N20*240</f>
        <v>240</v>
      </c>
      <c r="O20" s="4">
        <f>+TD_tdj2!O20*240</f>
        <v>0</v>
      </c>
      <c r="P20" s="4">
        <f>+TD_tdj2!P20*240</f>
        <v>0</v>
      </c>
      <c r="Q20" s="4">
        <f>+TD_tdj2!Q20*240</f>
        <v>240</v>
      </c>
      <c r="R20" s="4">
        <f>+TD_tdj2!R20*240</f>
        <v>0</v>
      </c>
      <c r="S20" s="4">
        <f>+TD_tdj2!S20*240</f>
        <v>0</v>
      </c>
      <c r="T20" s="4">
        <f>+TD_tdj2!T20*240</f>
        <v>0</v>
      </c>
      <c r="U20" s="4">
        <f>+TD_tdj2!U20*240</f>
        <v>0</v>
      </c>
      <c r="V20" s="4">
        <f>+TD_tdj2!V20*240</f>
        <v>0</v>
      </c>
      <c r="W20" s="4">
        <f>+TD_tdj2!W20*240</f>
        <v>0</v>
      </c>
      <c r="X20" s="4">
        <f>+TD_tdj2!X20*240</f>
        <v>240</v>
      </c>
      <c r="Y20" s="4">
        <f>+TD_tdj2!Y20*240</f>
        <v>0</v>
      </c>
      <c r="Z20" s="4">
        <f>+TD_tdj2!Z20*240</f>
        <v>0</v>
      </c>
      <c r="AA20" s="4">
        <f>+TD_tdj2!AA20*240</f>
        <v>0</v>
      </c>
      <c r="AB20" s="4">
        <f>+TD_tdj2!AB20*240</f>
        <v>240</v>
      </c>
      <c r="AC20" s="4">
        <f>+TD_tdj2!AC20*240</f>
        <v>0</v>
      </c>
      <c r="AD20" s="4">
        <f>+TD_tdj2!AD20*240</f>
        <v>0</v>
      </c>
      <c r="AE20" s="4">
        <f>+TD_tdj2!AE20*240</f>
        <v>240</v>
      </c>
      <c r="AF20" s="4">
        <f>+TD_tdj2!AF20*240</f>
        <v>0</v>
      </c>
    </row>
    <row r="21" spans="1:32" ht="18.75" customHeight="1" x14ac:dyDescent="0.25">
      <c r="A21" s="5" t="s">
        <v>72</v>
      </c>
      <c r="B21" s="4">
        <f>+TD_tdj2!B21*240</f>
        <v>0</v>
      </c>
      <c r="C21" s="4">
        <f>+TD_tdj2!C21*240</f>
        <v>0</v>
      </c>
      <c r="D21" s="4">
        <f>+TD_tdj2!D21*240</f>
        <v>0</v>
      </c>
      <c r="E21" s="4">
        <f>+TD_tdj2!E21*240</f>
        <v>0</v>
      </c>
      <c r="F21" s="4">
        <f>+TD_tdj2!F21*240</f>
        <v>0</v>
      </c>
      <c r="G21" s="4">
        <f>+TD_tdj2!G21*240</f>
        <v>0</v>
      </c>
      <c r="H21" s="4">
        <f>+TD_tdj2!H21*240</f>
        <v>240</v>
      </c>
      <c r="I21" s="4">
        <f>+TD_tdj2!I21*240</f>
        <v>240</v>
      </c>
      <c r="J21" s="4">
        <f>+TD_tdj2!J21*240</f>
        <v>240</v>
      </c>
      <c r="K21" s="4">
        <f>+TD_tdj2!K21*240</f>
        <v>0</v>
      </c>
      <c r="L21" s="4">
        <f>+TD_tdj2!L21*240</f>
        <v>0</v>
      </c>
      <c r="M21" s="4">
        <f>+TD_tdj2!M21*240</f>
        <v>0</v>
      </c>
      <c r="N21" s="4">
        <f>+TD_tdj2!N21*240</f>
        <v>240</v>
      </c>
      <c r="O21" s="4">
        <f>+TD_tdj2!O21*240</f>
        <v>240</v>
      </c>
      <c r="P21" s="4">
        <f>+TD_tdj2!P21*240</f>
        <v>240</v>
      </c>
      <c r="Q21" s="4">
        <f>+TD_tdj2!Q21*240</f>
        <v>240</v>
      </c>
      <c r="R21" s="4">
        <f>+TD_tdj2!R21*240</f>
        <v>0</v>
      </c>
      <c r="S21" s="4">
        <f>+TD_tdj2!S21*240</f>
        <v>0</v>
      </c>
      <c r="T21" s="4">
        <f>+TD_tdj2!T21*240</f>
        <v>240</v>
      </c>
      <c r="U21" s="4">
        <f>+TD_tdj2!U21*240</f>
        <v>240</v>
      </c>
      <c r="V21" s="4">
        <f>+TD_tdj2!V21*240</f>
        <v>240</v>
      </c>
      <c r="W21" s="4">
        <f>+TD_tdj2!W21*240</f>
        <v>240</v>
      </c>
      <c r="X21" s="4">
        <f>+TD_tdj2!X21*240</f>
        <v>240</v>
      </c>
      <c r="Y21" s="4">
        <f>+TD_tdj2!Y21*240</f>
        <v>0</v>
      </c>
      <c r="Z21" s="4">
        <f>+TD_tdj2!Z21*240</f>
        <v>0</v>
      </c>
      <c r="AA21" s="4">
        <f>+TD_tdj2!AA21*240</f>
        <v>240</v>
      </c>
      <c r="AB21" s="4">
        <f>+TD_tdj2!AB21*240</f>
        <v>240</v>
      </c>
      <c r="AC21" s="4">
        <f>+TD_tdj2!AC21*240</f>
        <v>240</v>
      </c>
      <c r="AD21" s="4">
        <f>+TD_tdj2!AD21*240</f>
        <v>240</v>
      </c>
      <c r="AE21" s="4">
        <f>+TD_tdj2!AE21*240</f>
        <v>240</v>
      </c>
      <c r="AF21" s="4">
        <f>+TD_tdj2!AF21*240</f>
        <v>0</v>
      </c>
    </row>
    <row r="22" spans="1:32" ht="18.75" customHeight="1" x14ac:dyDescent="0.25">
      <c r="A22" s="5" t="s">
        <v>73</v>
      </c>
      <c r="B22" s="4">
        <f>+TD_tdj2!B22*240</f>
        <v>0</v>
      </c>
      <c r="C22" s="4">
        <f>+TD_tdj2!C22*240</f>
        <v>0</v>
      </c>
      <c r="D22" s="4">
        <f>+TD_tdj2!D22*240</f>
        <v>0</v>
      </c>
      <c r="E22" s="4">
        <f>+TD_tdj2!E22*240</f>
        <v>0</v>
      </c>
      <c r="F22" s="4">
        <f>+TD_tdj2!F22*240</f>
        <v>0</v>
      </c>
      <c r="G22" s="4">
        <f>+TD_tdj2!G22*240</f>
        <v>0</v>
      </c>
      <c r="H22" s="4">
        <f>+TD_tdj2!H22*240</f>
        <v>0</v>
      </c>
      <c r="I22" s="4">
        <f>+TD_tdj2!I22*240</f>
        <v>0</v>
      </c>
      <c r="J22" s="4">
        <f>+TD_tdj2!J22*240</f>
        <v>0</v>
      </c>
      <c r="K22" s="4">
        <f>+TD_tdj2!K22*240</f>
        <v>0</v>
      </c>
      <c r="L22" s="4">
        <f>+TD_tdj2!L22*240</f>
        <v>0</v>
      </c>
      <c r="M22" s="4">
        <f>+TD_tdj2!M22*240</f>
        <v>0</v>
      </c>
      <c r="N22" s="4">
        <f>+TD_tdj2!N22*240</f>
        <v>0</v>
      </c>
      <c r="O22" s="4">
        <f>+TD_tdj2!O22*240</f>
        <v>0</v>
      </c>
      <c r="P22" s="4">
        <f>+TD_tdj2!P22*240</f>
        <v>240</v>
      </c>
      <c r="Q22" s="4">
        <f>+TD_tdj2!Q22*240</f>
        <v>240</v>
      </c>
      <c r="R22" s="4">
        <f>+TD_tdj2!R22*240</f>
        <v>0</v>
      </c>
      <c r="S22" s="4">
        <f>+TD_tdj2!S22*240</f>
        <v>0</v>
      </c>
      <c r="T22" s="4">
        <f>+TD_tdj2!T22*240</f>
        <v>0</v>
      </c>
      <c r="U22" s="4">
        <f>+TD_tdj2!U22*240</f>
        <v>0</v>
      </c>
      <c r="V22" s="4">
        <f>+TD_tdj2!V22*240</f>
        <v>0</v>
      </c>
      <c r="W22" s="4">
        <f>+TD_tdj2!W22*240</f>
        <v>0</v>
      </c>
      <c r="X22" s="4">
        <f>+TD_tdj2!X22*240</f>
        <v>0</v>
      </c>
      <c r="Y22" s="4">
        <f>+TD_tdj2!Y22*240</f>
        <v>0</v>
      </c>
      <c r="Z22" s="4">
        <f>+TD_tdj2!Z22*240</f>
        <v>0</v>
      </c>
      <c r="AA22" s="4">
        <f>+TD_tdj2!AA22*240</f>
        <v>0</v>
      </c>
      <c r="AB22" s="4">
        <f>+TD_tdj2!AB22*240</f>
        <v>240</v>
      </c>
      <c r="AC22" s="4">
        <f>+TD_tdj2!AC22*240</f>
        <v>0</v>
      </c>
      <c r="AD22" s="4">
        <f>+TD_tdj2!AD22*240</f>
        <v>240</v>
      </c>
      <c r="AE22" s="4">
        <f>+TD_tdj2!AE22*240</f>
        <v>0</v>
      </c>
      <c r="AF22" s="4">
        <f>+TD_tdj2!AF22*240</f>
        <v>0</v>
      </c>
    </row>
    <row r="23" spans="1:32" ht="18.75" customHeight="1" x14ac:dyDescent="0.25">
      <c r="A23" s="5" t="s">
        <v>74</v>
      </c>
      <c r="B23" s="4">
        <f>+TD_tdj2!B23*240</f>
        <v>0</v>
      </c>
      <c r="C23" s="4">
        <f>+TD_tdj2!C23*240</f>
        <v>0</v>
      </c>
      <c r="D23" s="4">
        <f>+TD_tdj2!D23*240</f>
        <v>0</v>
      </c>
      <c r="E23" s="4">
        <f>+TD_tdj2!E23*240</f>
        <v>0</v>
      </c>
      <c r="F23" s="4">
        <f>+TD_tdj2!F23*240</f>
        <v>0</v>
      </c>
      <c r="G23" s="4">
        <f>+TD_tdj2!G23*240</f>
        <v>0</v>
      </c>
      <c r="H23" s="4">
        <f>+TD_tdj2!H23*240</f>
        <v>0</v>
      </c>
      <c r="I23" s="4">
        <f>+TD_tdj2!I23*240</f>
        <v>0</v>
      </c>
      <c r="J23" s="4">
        <f>+TD_tdj2!J23*240</f>
        <v>0</v>
      </c>
      <c r="K23" s="4">
        <f>+TD_tdj2!K23*240</f>
        <v>0</v>
      </c>
      <c r="L23" s="4">
        <f>+TD_tdj2!L23*240</f>
        <v>0</v>
      </c>
      <c r="M23" s="4">
        <f>+TD_tdj2!M23*240</f>
        <v>0</v>
      </c>
      <c r="N23" s="4">
        <f>+TD_tdj2!N23*240</f>
        <v>240</v>
      </c>
      <c r="O23" s="4">
        <f>+TD_tdj2!O23*240</f>
        <v>240</v>
      </c>
      <c r="P23" s="4">
        <f>+TD_tdj2!P23*240</f>
        <v>240</v>
      </c>
      <c r="Q23" s="4">
        <f>+TD_tdj2!Q23*240</f>
        <v>240</v>
      </c>
      <c r="R23" s="4">
        <f>+TD_tdj2!R23*240</f>
        <v>0</v>
      </c>
      <c r="S23" s="4">
        <f>+TD_tdj2!S23*240</f>
        <v>0</v>
      </c>
      <c r="T23" s="4">
        <f>+TD_tdj2!T23*240</f>
        <v>240</v>
      </c>
      <c r="U23" s="4">
        <f>+TD_tdj2!U23*240</f>
        <v>240</v>
      </c>
      <c r="V23" s="4">
        <f>+TD_tdj2!V23*240</f>
        <v>240</v>
      </c>
      <c r="W23" s="4">
        <f>+TD_tdj2!W23*240</f>
        <v>240</v>
      </c>
      <c r="X23" s="4">
        <f>+TD_tdj2!X23*240</f>
        <v>240</v>
      </c>
      <c r="Y23" s="4">
        <f>+TD_tdj2!Y23*240</f>
        <v>0</v>
      </c>
      <c r="Z23" s="4">
        <f>+TD_tdj2!Z23*240</f>
        <v>0</v>
      </c>
      <c r="AA23" s="4">
        <f>+TD_tdj2!AA23*240</f>
        <v>240</v>
      </c>
      <c r="AB23" s="4">
        <f>+TD_tdj2!AB23*240</f>
        <v>240</v>
      </c>
      <c r="AC23" s="4">
        <f>+TD_tdj2!AC23*240</f>
        <v>240</v>
      </c>
      <c r="AD23" s="4">
        <f>+TD_tdj2!AD23*240</f>
        <v>240</v>
      </c>
      <c r="AE23" s="4">
        <f>+TD_tdj2!AE23*240</f>
        <v>240</v>
      </c>
      <c r="AF23" s="4">
        <f>+TD_tdj2!AF23*240</f>
        <v>0</v>
      </c>
    </row>
    <row r="24" spans="1:32" ht="18.75" customHeight="1" x14ac:dyDescent="0.25">
      <c r="A24" s="5" t="s">
        <v>75</v>
      </c>
      <c r="B24" s="4">
        <f>+TD_tdj2!B24*240</f>
        <v>0</v>
      </c>
      <c r="C24" s="4">
        <f>+TD_tdj2!C24*240</f>
        <v>0</v>
      </c>
      <c r="D24" s="4">
        <f>+TD_tdj2!D24*240</f>
        <v>0</v>
      </c>
      <c r="E24" s="4">
        <f>+TD_tdj2!E24*240</f>
        <v>0</v>
      </c>
      <c r="F24" s="4">
        <f>+TD_tdj2!F24*240</f>
        <v>240</v>
      </c>
      <c r="G24" s="4">
        <f>+TD_tdj2!G24*240</f>
        <v>240</v>
      </c>
      <c r="H24" s="4">
        <f>+TD_tdj2!H24*240</f>
        <v>240</v>
      </c>
      <c r="I24" s="4">
        <f>+TD_tdj2!I24*240</f>
        <v>240</v>
      </c>
      <c r="J24" s="4">
        <f>+TD_tdj2!J24*240</f>
        <v>0</v>
      </c>
      <c r="K24" s="4">
        <f>+TD_tdj2!K24*240</f>
        <v>0</v>
      </c>
      <c r="L24" s="4">
        <f>+TD_tdj2!L24*240</f>
        <v>0</v>
      </c>
      <c r="M24" s="4">
        <f>+TD_tdj2!M24*240</f>
        <v>0</v>
      </c>
      <c r="N24" s="4">
        <f>+TD_tdj2!N24*240</f>
        <v>240</v>
      </c>
      <c r="O24" s="4">
        <f>+TD_tdj2!O24*240</f>
        <v>240</v>
      </c>
      <c r="P24" s="4">
        <f>+TD_tdj2!P24*240</f>
        <v>240</v>
      </c>
      <c r="Q24" s="4">
        <f>+TD_tdj2!Q24*240</f>
        <v>240</v>
      </c>
      <c r="R24" s="4">
        <f>+TD_tdj2!R24*240</f>
        <v>0</v>
      </c>
      <c r="S24" s="4">
        <f>+TD_tdj2!S24*240</f>
        <v>0</v>
      </c>
      <c r="T24" s="4">
        <f>+TD_tdj2!T24*240</f>
        <v>240</v>
      </c>
      <c r="U24" s="4">
        <f>+TD_tdj2!U24*240</f>
        <v>240</v>
      </c>
      <c r="V24" s="4">
        <f>+TD_tdj2!V24*240</f>
        <v>240</v>
      </c>
      <c r="W24" s="4">
        <f>+TD_tdj2!W24*240</f>
        <v>240</v>
      </c>
      <c r="X24" s="4">
        <f>+TD_tdj2!X24*240</f>
        <v>240</v>
      </c>
      <c r="Y24" s="4">
        <f>+TD_tdj2!Y24*240</f>
        <v>0</v>
      </c>
      <c r="Z24" s="4">
        <f>+TD_tdj2!Z24*240</f>
        <v>0</v>
      </c>
      <c r="AA24" s="4">
        <f>+TD_tdj2!AA24*240</f>
        <v>240</v>
      </c>
      <c r="AB24" s="4">
        <f>+TD_tdj2!AB24*240</f>
        <v>240</v>
      </c>
      <c r="AC24" s="4">
        <f>+TD_tdj2!AC24*240</f>
        <v>240</v>
      </c>
      <c r="AD24" s="4">
        <f>+TD_tdj2!AD24*240</f>
        <v>0</v>
      </c>
      <c r="AE24" s="4">
        <f>+TD_tdj2!AE24*240</f>
        <v>0</v>
      </c>
      <c r="AF24" s="4">
        <f>+TD_tdj2!AF24*240</f>
        <v>0</v>
      </c>
    </row>
    <row r="25" spans="1:32" ht="18.75" customHeight="1" x14ac:dyDescent="0.25">
      <c r="A25" s="5" t="s">
        <v>76</v>
      </c>
      <c r="B25" s="4">
        <f>+TD_tdj2!B25*240</f>
        <v>0</v>
      </c>
      <c r="C25" s="4">
        <f>+TD_tdj2!C25*240</f>
        <v>0</v>
      </c>
      <c r="D25" s="4">
        <f>+TD_tdj2!D25*240</f>
        <v>0</v>
      </c>
      <c r="E25" s="4">
        <f>+TD_tdj2!E25*240</f>
        <v>0</v>
      </c>
      <c r="F25" s="4">
        <f>+TD_tdj2!F25*240</f>
        <v>0</v>
      </c>
      <c r="G25" s="4">
        <f>+TD_tdj2!G25*240</f>
        <v>0</v>
      </c>
      <c r="H25" s="4">
        <f>+TD_tdj2!H25*240</f>
        <v>0</v>
      </c>
      <c r="I25" s="4">
        <f>+TD_tdj2!I25*240</f>
        <v>0</v>
      </c>
      <c r="J25" s="4">
        <f>+TD_tdj2!J25*240</f>
        <v>0</v>
      </c>
      <c r="K25" s="4">
        <f>+TD_tdj2!K25*240</f>
        <v>0</v>
      </c>
      <c r="L25" s="4">
        <f>+TD_tdj2!L25*240</f>
        <v>0</v>
      </c>
      <c r="M25" s="4">
        <f>+TD_tdj2!M25*240</f>
        <v>0</v>
      </c>
      <c r="N25" s="4">
        <f>+TD_tdj2!N25*240</f>
        <v>240</v>
      </c>
      <c r="O25" s="4">
        <f>+TD_tdj2!O25*240</f>
        <v>240</v>
      </c>
      <c r="P25" s="4">
        <f>+TD_tdj2!P25*240</f>
        <v>240</v>
      </c>
      <c r="Q25" s="4">
        <f>+TD_tdj2!Q25*240</f>
        <v>240</v>
      </c>
      <c r="R25" s="4">
        <f>+TD_tdj2!R25*240</f>
        <v>0</v>
      </c>
      <c r="S25" s="4">
        <f>+TD_tdj2!S25*240</f>
        <v>0</v>
      </c>
      <c r="T25" s="4">
        <f>+TD_tdj2!T25*240</f>
        <v>240</v>
      </c>
      <c r="U25" s="4">
        <f>+TD_tdj2!U25*240</f>
        <v>240</v>
      </c>
      <c r="V25" s="4">
        <f>+TD_tdj2!V25*240</f>
        <v>240</v>
      </c>
      <c r="W25" s="4">
        <f>+TD_tdj2!W25*240</f>
        <v>240</v>
      </c>
      <c r="X25" s="4">
        <f>+TD_tdj2!X25*240</f>
        <v>240</v>
      </c>
      <c r="Y25" s="4">
        <f>+TD_tdj2!Y25*240</f>
        <v>0</v>
      </c>
      <c r="Z25" s="4">
        <f>+TD_tdj2!Z25*240</f>
        <v>0</v>
      </c>
      <c r="AA25" s="4">
        <f>+TD_tdj2!AA25*240</f>
        <v>240</v>
      </c>
      <c r="AB25" s="4">
        <f>+TD_tdj2!AB25*240</f>
        <v>240</v>
      </c>
      <c r="AC25" s="4">
        <f>+TD_tdj2!AC25*240</f>
        <v>240</v>
      </c>
      <c r="AD25" s="4">
        <f>+TD_tdj2!AD25*240</f>
        <v>240</v>
      </c>
      <c r="AE25" s="4">
        <f>+TD_tdj2!AE25*240</f>
        <v>240</v>
      </c>
      <c r="AF25" s="4">
        <f>+TD_tdj2!AF25*240</f>
        <v>0</v>
      </c>
    </row>
    <row r="26" spans="1:32" ht="18.75" customHeight="1" x14ac:dyDescent="0.25">
      <c r="A26" s="5" t="s">
        <v>77</v>
      </c>
      <c r="B26" s="4">
        <f>+TD_tdj2!B26*240</f>
        <v>0</v>
      </c>
      <c r="C26" s="4">
        <f>+TD_tdj2!C26*240</f>
        <v>0</v>
      </c>
      <c r="D26" s="4">
        <f>+TD_tdj2!D26*240</f>
        <v>0</v>
      </c>
      <c r="E26" s="4">
        <f>+TD_tdj2!E26*240</f>
        <v>0</v>
      </c>
      <c r="F26" s="4">
        <f>+TD_tdj2!F26*240</f>
        <v>0</v>
      </c>
      <c r="G26" s="4">
        <f>+TD_tdj2!G26*240</f>
        <v>0</v>
      </c>
      <c r="H26" s="4">
        <f>+TD_tdj2!H26*240</f>
        <v>0</v>
      </c>
      <c r="I26" s="4">
        <f>+TD_tdj2!I26*240</f>
        <v>0</v>
      </c>
      <c r="J26" s="4">
        <f>+TD_tdj2!J26*240</f>
        <v>0</v>
      </c>
      <c r="K26" s="4">
        <f>+TD_tdj2!K26*240</f>
        <v>0</v>
      </c>
      <c r="L26" s="4">
        <f>+TD_tdj2!L26*240</f>
        <v>0</v>
      </c>
      <c r="M26" s="4">
        <f>+TD_tdj2!M26*240</f>
        <v>0</v>
      </c>
      <c r="N26" s="4">
        <f>+TD_tdj2!N26*240</f>
        <v>0</v>
      </c>
      <c r="O26" s="4">
        <f>+TD_tdj2!O26*240</f>
        <v>0</v>
      </c>
      <c r="P26" s="4">
        <f>+TD_tdj2!P26*240</f>
        <v>0</v>
      </c>
      <c r="Q26" s="4">
        <f>+TD_tdj2!Q26*240</f>
        <v>240</v>
      </c>
      <c r="R26" s="4">
        <f>+TD_tdj2!R26*240</f>
        <v>0</v>
      </c>
      <c r="S26" s="4">
        <f>+TD_tdj2!S26*240</f>
        <v>0</v>
      </c>
      <c r="T26" s="4">
        <f>+TD_tdj2!T26*240</f>
        <v>0</v>
      </c>
      <c r="U26" s="4">
        <f>+TD_tdj2!U26*240</f>
        <v>240</v>
      </c>
      <c r="V26" s="4">
        <f>+TD_tdj2!V26*240</f>
        <v>0</v>
      </c>
      <c r="W26" s="4">
        <f>+TD_tdj2!W26*240</f>
        <v>0</v>
      </c>
      <c r="X26" s="4">
        <f>+TD_tdj2!X26*240</f>
        <v>240</v>
      </c>
      <c r="Y26" s="4">
        <f>+TD_tdj2!Y26*240</f>
        <v>0</v>
      </c>
      <c r="Z26" s="4">
        <f>+TD_tdj2!Z26*240</f>
        <v>0</v>
      </c>
      <c r="AA26" s="4">
        <f>+TD_tdj2!AA26*240</f>
        <v>0</v>
      </c>
      <c r="AB26" s="4">
        <f>+TD_tdj2!AB26*240</f>
        <v>240</v>
      </c>
      <c r="AC26" s="4">
        <f>+TD_tdj2!AC26*240</f>
        <v>0</v>
      </c>
      <c r="AD26" s="4">
        <f>+TD_tdj2!AD26*240</f>
        <v>0</v>
      </c>
      <c r="AE26" s="4">
        <f>+TD_tdj2!AE26*240</f>
        <v>240</v>
      </c>
      <c r="AF26" s="4">
        <f>+TD_tdj2!AF26*240</f>
        <v>0</v>
      </c>
    </row>
    <row r="27" spans="1:32" ht="18.75" customHeight="1" x14ac:dyDescent="0.25">
      <c r="A27" s="5" t="s">
        <v>78</v>
      </c>
      <c r="B27" s="4">
        <f>+TD_tdj2!B27*240</f>
        <v>0</v>
      </c>
      <c r="C27" s="4">
        <f>+TD_tdj2!C27*240</f>
        <v>0</v>
      </c>
      <c r="D27" s="4">
        <f>+TD_tdj2!D27*240</f>
        <v>0</v>
      </c>
      <c r="E27" s="4">
        <f>+TD_tdj2!E27*240</f>
        <v>0</v>
      </c>
      <c r="F27" s="4">
        <f>+TD_tdj2!F27*240</f>
        <v>0</v>
      </c>
      <c r="G27" s="4">
        <f>+TD_tdj2!G27*240</f>
        <v>0</v>
      </c>
      <c r="H27" s="4">
        <f>+TD_tdj2!H27*240</f>
        <v>0</v>
      </c>
      <c r="I27" s="4">
        <f>+TD_tdj2!I27*240</f>
        <v>0</v>
      </c>
      <c r="J27" s="4">
        <f>+TD_tdj2!J27*240</f>
        <v>0</v>
      </c>
      <c r="K27" s="4">
        <f>+TD_tdj2!K27*240</f>
        <v>0</v>
      </c>
      <c r="L27" s="4">
        <f>+TD_tdj2!L27*240</f>
        <v>0</v>
      </c>
      <c r="M27" s="4">
        <f>+TD_tdj2!M27*240</f>
        <v>0</v>
      </c>
      <c r="N27" s="4">
        <f>+TD_tdj2!N27*240</f>
        <v>240</v>
      </c>
      <c r="O27" s="4">
        <f>+TD_tdj2!O27*240</f>
        <v>240</v>
      </c>
      <c r="P27" s="4">
        <f>+TD_tdj2!P27*240</f>
        <v>240</v>
      </c>
      <c r="Q27" s="4">
        <f>+TD_tdj2!Q27*240</f>
        <v>240</v>
      </c>
      <c r="R27" s="4">
        <f>+TD_tdj2!R27*240</f>
        <v>0</v>
      </c>
      <c r="S27" s="4">
        <f>+TD_tdj2!S27*240</f>
        <v>0</v>
      </c>
      <c r="T27" s="4">
        <f>+TD_tdj2!T27*240</f>
        <v>240</v>
      </c>
      <c r="U27" s="4">
        <f>+TD_tdj2!U27*240</f>
        <v>240</v>
      </c>
      <c r="V27" s="4">
        <f>+TD_tdj2!V27*240</f>
        <v>240</v>
      </c>
      <c r="W27" s="4">
        <f>+TD_tdj2!W27*240</f>
        <v>240</v>
      </c>
      <c r="X27" s="4">
        <f>+TD_tdj2!X27*240</f>
        <v>240</v>
      </c>
      <c r="Y27" s="4">
        <f>+TD_tdj2!Y27*240</f>
        <v>0</v>
      </c>
      <c r="Z27" s="4">
        <f>+TD_tdj2!Z27*240</f>
        <v>0</v>
      </c>
      <c r="AA27" s="4">
        <f>+TD_tdj2!AA27*240</f>
        <v>240</v>
      </c>
      <c r="AB27" s="4">
        <f>+TD_tdj2!AB27*240</f>
        <v>240</v>
      </c>
      <c r="AC27" s="4">
        <f>+TD_tdj2!AC27*240</f>
        <v>240</v>
      </c>
      <c r="AD27" s="4">
        <f>+TD_tdj2!AD27*240</f>
        <v>240</v>
      </c>
      <c r="AE27" s="4">
        <f>+TD_tdj2!AE27*240</f>
        <v>240</v>
      </c>
      <c r="AF27" s="4">
        <f>+TD_tdj2!AF27*240</f>
        <v>0</v>
      </c>
    </row>
    <row r="28" spans="1:32" ht="18.75" customHeight="1" x14ac:dyDescent="0.25">
      <c r="A28" s="5" t="s">
        <v>79</v>
      </c>
      <c r="B28" s="4">
        <f>+TD_tdj2!B28*240</f>
        <v>0</v>
      </c>
      <c r="C28" s="4">
        <f>+TD_tdj2!C28*240</f>
        <v>0</v>
      </c>
      <c r="D28" s="4">
        <f>+TD_tdj2!D28*240</f>
        <v>0</v>
      </c>
      <c r="E28" s="4">
        <f>+TD_tdj2!E28*240</f>
        <v>0</v>
      </c>
      <c r="F28" s="4">
        <f>+TD_tdj2!F28*240</f>
        <v>0</v>
      </c>
      <c r="G28" s="4">
        <f>+TD_tdj2!G28*240</f>
        <v>0</v>
      </c>
      <c r="H28" s="4">
        <f>+TD_tdj2!H28*240</f>
        <v>240</v>
      </c>
      <c r="I28" s="4">
        <f>+TD_tdj2!I28*240</f>
        <v>240</v>
      </c>
      <c r="J28" s="4">
        <f>+TD_tdj2!J28*240</f>
        <v>240</v>
      </c>
      <c r="K28" s="4">
        <f>+TD_tdj2!K28*240</f>
        <v>0</v>
      </c>
      <c r="L28" s="4">
        <f>+TD_tdj2!L28*240</f>
        <v>0</v>
      </c>
      <c r="M28" s="4">
        <f>+TD_tdj2!M28*240</f>
        <v>0</v>
      </c>
      <c r="N28" s="4">
        <f>+TD_tdj2!N28*240</f>
        <v>240</v>
      </c>
      <c r="O28" s="4">
        <f>+TD_tdj2!O28*240</f>
        <v>240</v>
      </c>
      <c r="P28" s="4">
        <f>+TD_tdj2!P28*240</f>
        <v>240</v>
      </c>
      <c r="Q28" s="4">
        <f>+TD_tdj2!Q28*240</f>
        <v>240</v>
      </c>
      <c r="R28" s="4">
        <f>+TD_tdj2!R28*240</f>
        <v>0</v>
      </c>
      <c r="S28" s="4">
        <f>+TD_tdj2!S28*240</f>
        <v>0</v>
      </c>
      <c r="T28" s="4">
        <f>+TD_tdj2!T28*240</f>
        <v>240</v>
      </c>
      <c r="U28" s="4">
        <f>+TD_tdj2!U28*240</f>
        <v>240</v>
      </c>
      <c r="V28" s="4">
        <f>+TD_tdj2!V28*240</f>
        <v>240</v>
      </c>
      <c r="W28" s="4">
        <f>+TD_tdj2!W28*240</f>
        <v>240</v>
      </c>
      <c r="X28" s="4">
        <f>+TD_tdj2!X28*240</f>
        <v>240</v>
      </c>
      <c r="Y28" s="4">
        <f>+TD_tdj2!Y28*240</f>
        <v>0</v>
      </c>
      <c r="Z28" s="4">
        <f>+TD_tdj2!Z28*240</f>
        <v>0</v>
      </c>
      <c r="AA28" s="4">
        <f>+TD_tdj2!AA28*240</f>
        <v>240</v>
      </c>
      <c r="AB28" s="4">
        <f>+TD_tdj2!AB28*240</f>
        <v>240</v>
      </c>
      <c r="AC28" s="4">
        <f>+TD_tdj2!AC28*240</f>
        <v>240</v>
      </c>
      <c r="AD28" s="4">
        <f>+TD_tdj2!AD28*240</f>
        <v>240</v>
      </c>
      <c r="AE28" s="4">
        <f>+TD_tdj2!AE28*240</f>
        <v>240</v>
      </c>
      <c r="AF28" s="4">
        <f>+TD_tdj2!AF28*240</f>
        <v>0</v>
      </c>
    </row>
    <row r="29" spans="1:32" ht="18.75" customHeight="1" x14ac:dyDescent="0.25">
      <c r="A29" s="5" t="s">
        <v>80</v>
      </c>
      <c r="B29" s="4">
        <f>+TD_tdj2!B29*240</f>
        <v>0</v>
      </c>
      <c r="C29" s="4">
        <f>+TD_tdj2!C29*240</f>
        <v>0</v>
      </c>
      <c r="D29" s="4">
        <f>+TD_tdj2!D29*240</f>
        <v>0</v>
      </c>
      <c r="E29" s="4">
        <f>+TD_tdj2!E29*240</f>
        <v>0</v>
      </c>
      <c r="F29" s="4">
        <f>+TD_tdj2!F29*240</f>
        <v>0</v>
      </c>
      <c r="G29" s="4">
        <f>+TD_tdj2!G29*240</f>
        <v>0</v>
      </c>
      <c r="H29" s="4">
        <f>+TD_tdj2!H29*240</f>
        <v>0</v>
      </c>
      <c r="I29" s="4">
        <f>+TD_tdj2!I29*240</f>
        <v>0</v>
      </c>
      <c r="J29" s="4">
        <f>+TD_tdj2!J29*240</f>
        <v>0</v>
      </c>
      <c r="K29" s="4">
        <f>+TD_tdj2!K29*240</f>
        <v>0</v>
      </c>
      <c r="L29" s="4">
        <f>+TD_tdj2!L29*240</f>
        <v>0</v>
      </c>
      <c r="M29" s="4">
        <f>+TD_tdj2!M29*240</f>
        <v>0</v>
      </c>
      <c r="N29" s="4">
        <f>+TD_tdj2!N29*240</f>
        <v>0</v>
      </c>
      <c r="O29" s="4">
        <f>+TD_tdj2!O29*240</f>
        <v>0</v>
      </c>
      <c r="P29" s="4">
        <f>+TD_tdj2!P29*240</f>
        <v>0</v>
      </c>
      <c r="Q29" s="4">
        <f>+TD_tdj2!Q29*240</f>
        <v>0</v>
      </c>
      <c r="R29" s="4">
        <f>+TD_tdj2!R29*240</f>
        <v>0</v>
      </c>
      <c r="S29" s="4">
        <f>+TD_tdj2!S29*240</f>
        <v>0</v>
      </c>
      <c r="T29" s="4">
        <f>+TD_tdj2!T29*240</f>
        <v>0</v>
      </c>
      <c r="U29" s="4">
        <f>+TD_tdj2!U29*240</f>
        <v>0</v>
      </c>
      <c r="V29" s="4">
        <f>+TD_tdj2!V29*240</f>
        <v>0</v>
      </c>
      <c r="W29" s="4">
        <f>+TD_tdj2!W29*240</f>
        <v>0</v>
      </c>
      <c r="X29" s="4">
        <f>+TD_tdj2!X29*240</f>
        <v>0</v>
      </c>
      <c r="Y29" s="4">
        <f>+TD_tdj2!Y29*240</f>
        <v>0</v>
      </c>
      <c r="Z29" s="4">
        <f>+TD_tdj2!Z29*240</f>
        <v>0</v>
      </c>
      <c r="AA29" s="4">
        <f>+TD_tdj2!AA29*240</f>
        <v>0</v>
      </c>
      <c r="AB29" s="4">
        <f>+TD_tdj2!AB29*240</f>
        <v>0</v>
      </c>
      <c r="AC29" s="4">
        <f>+TD_tdj2!AC29*240</f>
        <v>0</v>
      </c>
      <c r="AD29" s="4">
        <f>+TD_tdj2!AD29*240</f>
        <v>0</v>
      </c>
      <c r="AE29" s="4">
        <f>+TD_tdj2!AE29*240</f>
        <v>0</v>
      </c>
      <c r="AF29" s="4">
        <f>+TD_tdj2!AF29*240</f>
        <v>0</v>
      </c>
    </row>
    <row r="30" spans="1:32" ht="18.75" customHeight="1" x14ac:dyDescent="0.25">
      <c r="A30" s="5" t="s">
        <v>81</v>
      </c>
      <c r="B30" s="4">
        <f>+TD_tdj2!B30*240</f>
        <v>0</v>
      </c>
      <c r="C30" s="4">
        <f>+TD_tdj2!C30*240</f>
        <v>0</v>
      </c>
      <c r="D30" s="4">
        <f>+TD_tdj2!D30*240</f>
        <v>0</v>
      </c>
      <c r="E30" s="4">
        <f>+TD_tdj2!E30*240</f>
        <v>0</v>
      </c>
      <c r="F30" s="4">
        <f>+TD_tdj2!F30*240</f>
        <v>0</v>
      </c>
      <c r="G30" s="4">
        <f>+TD_tdj2!G30*240</f>
        <v>0</v>
      </c>
      <c r="H30" s="4">
        <f>+TD_tdj2!H30*240</f>
        <v>0</v>
      </c>
      <c r="I30" s="4">
        <f>+TD_tdj2!I30*240</f>
        <v>0</v>
      </c>
      <c r="J30" s="4">
        <f>+TD_tdj2!J30*240</f>
        <v>0</v>
      </c>
      <c r="K30" s="4">
        <f>+TD_tdj2!K30*240</f>
        <v>0</v>
      </c>
      <c r="L30" s="4">
        <f>+TD_tdj2!L30*240</f>
        <v>0</v>
      </c>
      <c r="M30" s="4">
        <f>+TD_tdj2!M30*240</f>
        <v>0</v>
      </c>
      <c r="N30" s="4">
        <f>+TD_tdj2!N30*240</f>
        <v>0</v>
      </c>
      <c r="O30" s="4">
        <f>+TD_tdj2!O30*240</f>
        <v>0</v>
      </c>
      <c r="P30" s="4">
        <f>+TD_tdj2!P30*240</f>
        <v>0</v>
      </c>
      <c r="Q30" s="4">
        <f>+TD_tdj2!Q30*240</f>
        <v>0</v>
      </c>
      <c r="R30" s="4">
        <f>+TD_tdj2!R30*240</f>
        <v>0</v>
      </c>
      <c r="S30" s="4">
        <f>+TD_tdj2!S30*240</f>
        <v>0</v>
      </c>
      <c r="T30" s="4">
        <f>+TD_tdj2!T30*240</f>
        <v>0</v>
      </c>
      <c r="U30" s="4">
        <f>+TD_tdj2!U30*240</f>
        <v>0</v>
      </c>
      <c r="V30" s="4">
        <f>+TD_tdj2!V30*240</f>
        <v>0</v>
      </c>
      <c r="W30" s="4">
        <f>+TD_tdj2!W30*240</f>
        <v>0</v>
      </c>
      <c r="X30" s="4">
        <f>+TD_tdj2!X30*240</f>
        <v>0</v>
      </c>
      <c r="Y30" s="4">
        <f>+TD_tdj2!Y30*240</f>
        <v>0</v>
      </c>
      <c r="Z30" s="4">
        <f>+TD_tdj2!Z30*240</f>
        <v>0</v>
      </c>
      <c r="AA30" s="4">
        <f>+TD_tdj2!AA30*240</f>
        <v>0</v>
      </c>
      <c r="AB30" s="4">
        <f>+TD_tdj2!AB30*240</f>
        <v>0</v>
      </c>
      <c r="AC30" s="4">
        <f>+TD_tdj2!AC30*240</f>
        <v>0</v>
      </c>
      <c r="AD30" s="4">
        <f>+TD_tdj2!AD30*240</f>
        <v>0</v>
      </c>
      <c r="AE30" s="4">
        <f>+TD_tdj2!AE30*240</f>
        <v>0</v>
      </c>
      <c r="AF30" s="4">
        <f>+TD_tdj2!AF30*240</f>
        <v>0</v>
      </c>
    </row>
    <row r="31" spans="1:32" ht="18.75" customHeight="1" x14ac:dyDescent="0.25">
      <c r="A31" s="5" t="s">
        <v>82</v>
      </c>
      <c r="B31" s="4">
        <f>+TD_tdj2!B31*240</f>
        <v>0</v>
      </c>
      <c r="C31" s="4">
        <f>+TD_tdj2!C31*240</f>
        <v>0</v>
      </c>
      <c r="D31" s="4">
        <f>+TD_tdj2!D31*240</f>
        <v>0</v>
      </c>
      <c r="E31" s="4">
        <f>+TD_tdj2!E31*240</f>
        <v>0</v>
      </c>
      <c r="F31" s="4">
        <f>+TD_tdj2!F31*240</f>
        <v>0</v>
      </c>
      <c r="G31" s="4">
        <f>+TD_tdj2!G31*240</f>
        <v>0</v>
      </c>
      <c r="H31" s="4">
        <f>+TD_tdj2!H31*240</f>
        <v>240</v>
      </c>
      <c r="I31" s="4">
        <f>+TD_tdj2!I31*240</f>
        <v>240</v>
      </c>
      <c r="J31" s="4">
        <f>+TD_tdj2!J31*240</f>
        <v>240</v>
      </c>
      <c r="K31" s="4">
        <f>+TD_tdj2!K31*240</f>
        <v>0</v>
      </c>
      <c r="L31" s="4">
        <f>+TD_tdj2!L31*240</f>
        <v>0</v>
      </c>
      <c r="M31" s="4">
        <f>+TD_tdj2!M31*240</f>
        <v>0</v>
      </c>
      <c r="N31" s="4">
        <f>+TD_tdj2!N31*240</f>
        <v>240</v>
      </c>
      <c r="O31" s="4">
        <f>+TD_tdj2!O31*240</f>
        <v>240</v>
      </c>
      <c r="P31" s="4">
        <f>+TD_tdj2!P31*240</f>
        <v>240</v>
      </c>
      <c r="Q31" s="4">
        <f>+TD_tdj2!Q31*240</f>
        <v>240</v>
      </c>
      <c r="R31" s="4">
        <f>+TD_tdj2!R31*240</f>
        <v>0</v>
      </c>
      <c r="S31" s="4">
        <f>+TD_tdj2!S31*240</f>
        <v>0</v>
      </c>
      <c r="T31" s="4">
        <f>+TD_tdj2!T31*240</f>
        <v>240</v>
      </c>
      <c r="U31" s="4">
        <f>+TD_tdj2!U31*240</f>
        <v>240</v>
      </c>
      <c r="V31" s="4">
        <f>+TD_tdj2!V31*240</f>
        <v>240</v>
      </c>
      <c r="W31" s="4">
        <f>+TD_tdj2!W31*240</f>
        <v>240</v>
      </c>
      <c r="X31" s="4">
        <f>+TD_tdj2!X31*240</f>
        <v>240</v>
      </c>
      <c r="Y31" s="4">
        <f>+TD_tdj2!Y31*240</f>
        <v>0</v>
      </c>
      <c r="Z31" s="4">
        <f>+TD_tdj2!Z31*240</f>
        <v>0</v>
      </c>
      <c r="AA31" s="4">
        <f>+TD_tdj2!AA31*240</f>
        <v>240</v>
      </c>
      <c r="AB31" s="4">
        <f>+TD_tdj2!AB31*240</f>
        <v>240</v>
      </c>
      <c r="AC31" s="4">
        <f>+TD_tdj2!AC31*240</f>
        <v>240</v>
      </c>
      <c r="AD31" s="4">
        <f>+TD_tdj2!AD31*240</f>
        <v>240</v>
      </c>
      <c r="AE31" s="4">
        <f>+TD_tdj2!AE31*240</f>
        <v>240</v>
      </c>
      <c r="AF31" s="4">
        <f>+TD_tdj2!AF31*240</f>
        <v>0</v>
      </c>
    </row>
    <row r="32" spans="1:32" ht="18.75" customHeight="1" x14ac:dyDescent="0.25">
      <c r="A32" s="5" t="s">
        <v>83</v>
      </c>
      <c r="B32" s="4">
        <f>+TD_tdj2!B32*240</f>
        <v>0</v>
      </c>
      <c r="C32" s="4">
        <f>+TD_tdj2!C32*240</f>
        <v>0</v>
      </c>
      <c r="D32" s="4">
        <f>+TD_tdj2!D32*240</f>
        <v>0</v>
      </c>
      <c r="E32" s="4">
        <f>+TD_tdj2!E32*240</f>
        <v>0</v>
      </c>
      <c r="F32" s="4">
        <f>+TD_tdj2!F32*240</f>
        <v>0</v>
      </c>
      <c r="G32" s="4">
        <f>+TD_tdj2!G32*240</f>
        <v>0</v>
      </c>
      <c r="H32" s="4">
        <f>+TD_tdj2!H32*240</f>
        <v>240</v>
      </c>
      <c r="I32" s="4">
        <f>+TD_tdj2!I32*240</f>
        <v>240</v>
      </c>
      <c r="J32" s="4">
        <f>+TD_tdj2!J32*240</f>
        <v>240</v>
      </c>
      <c r="K32" s="4">
        <f>+TD_tdj2!K32*240</f>
        <v>0</v>
      </c>
      <c r="L32" s="4">
        <f>+TD_tdj2!L32*240</f>
        <v>0</v>
      </c>
      <c r="M32" s="4">
        <f>+TD_tdj2!M32*240</f>
        <v>0</v>
      </c>
      <c r="N32" s="4">
        <f>+TD_tdj2!N32*240</f>
        <v>240</v>
      </c>
      <c r="O32" s="4">
        <f>+TD_tdj2!O32*240</f>
        <v>240</v>
      </c>
      <c r="P32" s="4">
        <f>+TD_tdj2!P32*240</f>
        <v>240</v>
      </c>
      <c r="Q32" s="4">
        <f>+TD_tdj2!Q32*240</f>
        <v>240</v>
      </c>
      <c r="R32" s="4">
        <f>+TD_tdj2!R32*240</f>
        <v>0</v>
      </c>
      <c r="S32" s="4">
        <f>+TD_tdj2!S32*240</f>
        <v>0</v>
      </c>
      <c r="T32" s="4">
        <f>+TD_tdj2!T32*240</f>
        <v>240</v>
      </c>
      <c r="U32" s="4">
        <f>+TD_tdj2!U32*240</f>
        <v>240</v>
      </c>
      <c r="V32" s="4">
        <f>+TD_tdj2!V32*240</f>
        <v>240</v>
      </c>
      <c r="W32" s="4">
        <f>+TD_tdj2!W32*240</f>
        <v>240</v>
      </c>
      <c r="X32" s="4">
        <f>+TD_tdj2!X32*240</f>
        <v>240</v>
      </c>
      <c r="Y32" s="4">
        <f>+TD_tdj2!Y32*240</f>
        <v>0</v>
      </c>
      <c r="Z32" s="4">
        <f>+TD_tdj2!Z32*240</f>
        <v>0</v>
      </c>
      <c r="AA32" s="4">
        <f>+TD_tdj2!AA32*240</f>
        <v>240</v>
      </c>
      <c r="AB32" s="4">
        <f>+TD_tdj2!AB32*240</f>
        <v>240</v>
      </c>
      <c r="AC32" s="4">
        <f>+TD_tdj2!AC32*240</f>
        <v>240</v>
      </c>
      <c r="AD32" s="4">
        <f>+TD_tdj2!AD32*240</f>
        <v>240</v>
      </c>
      <c r="AE32" s="4">
        <f>+TD_tdj2!AE32*240</f>
        <v>240</v>
      </c>
      <c r="AF32" s="4">
        <f>+TD_tdj2!AF32*240</f>
        <v>0</v>
      </c>
    </row>
    <row r="33" spans="1:32" ht="18.75" customHeight="1" x14ac:dyDescent="0.25">
      <c r="A33" s="5" t="s">
        <v>84</v>
      </c>
      <c r="B33" s="4">
        <f>+TD_tdj2!B33*240</f>
        <v>0</v>
      </c>
      <c r="C33" s="4">
        <f>+TD_tdj2!C33*240</f>
        <v>0</v>
      </c>
      <c r="D33" s="4">
        <f>+TD_tdj2!D33*240</f>
        <v>0</v>
      </c>
      <c r="E33" s="4">
        <f>+TD_tdj2!E33*240</f>
        <v>0</v>
      </c>
      <c r="F33" s="4">
        <f>+TD_tdj2!F33*240</f>
        <v>0</v>
      </c>
      <c r="G33" s="4">
        <f>+TD_tdj2!G33*240</f>
        <v>0</v>
      </c>
      <c r="H33" s="4">
        <f>+TD_tdj2!H33*240</f>
        <v>0</v>
      </c>
      <c r="I33" s="4">
        <f>+TD_tdj2!I33*240</f>
        <v>0</v>
      </c>
      <c r="J33" s="4">
        <f>+TD_tdj2!J33*240</f>
        <v>0</v>
      </c>
      <c r="K33" s="4">
        <f>+TD_tdj2!K33*240</f>
        <v>0</v>
      </c>
      <c r="L33" s="4">
        <f>+TD_tdj2!L33*240</f>
        <v>0</v>
      </c>
      <c r="M33" s="4">
        <f>+TD_tdj2!M33*240</f>
        <v>0</v>
      </c>
      <c r="N33" s="4">
        <f>+TD_tdj2!N33*240</f>
        <v>0</v>
      </c>
      <c r="O33" s="4">
        <f>+TD_tdj2!O33*240</f>
        <v>0</v>
      </c>
      <c r="P33" s="4">
        <f>+TD_tdj2!P33*240</f>
        <v>0</v>
      </c>
      <c r="Q33" s="4">
        <f>+TD_tdj2!Q33*240</f>
        <v>0</v>
      </c>
      <c r="R33" s="4">
        <f>+TD_tdj2!R33*240</f>
        <v>0</v>
      </c>
      <c r="S33" s="4">
        <f>+TD_tdj2!S33*240</f>
        <v>0</v>
      </c>
      <c r="T33" s="4">
        <f>+TD_tdj2!T33*240</f>
        <v>0</v>
      </c>
      <c r="U33" s="4">
        <f>+TD_tdj2!U33*240</f>
        <v>0</v>
      </c>
      <c r="V33" s="4">
        <f>+TD_tdj2!V33*240</f>
        <v>0</v>
      </c>
      <c r="W33" s="4">
        <f>+TD_tdj2!W33*240</f>
        <v>0</v>
      </c>
      <c r="X33" s="4">
        <f>+TD_tdj2!X33*240</f>
        <v>0</v>
      </c>
      <c r="Y33" s="4">
        <f>+TD_tdj2!Y33*240</f>
        <v>0</v>
      </c>
      <c r="Z33" s="4">
        <f>+TD_tdj2!Z33*240</f>
        <v>0</v>
      </c>
      <c r="AA33" s="4">
        <f>+TD_tdj2!AA33*240</f>
        <v>0</v>
      </c>
      <c r="AB33" s="4">
        <f>+TD_tdj2!AB33*240</f>
        <v>0</v>
      </c>
      <c r="AC33" s="4">
        <f>+TD_tdj2!AC33*240</f>
        <v>0</v>
      </c>
      <c r="AD33" s="4">
        <f>+TD_tdj2!AD33*240</f>
        <v>0</v>
      </c>
      <c r="AE33" s="4">
        <f>+TD_tdj2!AE33*240</f>
        <v>0</v>
      </c>
      <c r="AF33" s="4">
        <f>+TD_tdj2!AF33*240</f>
        <v>0</v>
      </c>
    </row>
    <row r="34" spans="1:32" ht="18.75" customHeight="1" x14ac:dyDescent="0.25">
      <c r="A34" s="5" t="s">
        <v>85</v>
      </c>
      <c r="B34" s="4">
        <f>+TD_tdj2!B34*240</f>
        <v>0</v>
      </c>
      <c r="C34" s="4">
        <f>+TD_tdj2!C34*240</f>
        <v>0</v>
      </c>
      <c r="D34" s="4">
        <f>+TD_tdj2!D34*240</f>
        <v>0</v>
      </c>
      <c r="E34" s="4">
        <f>+TD_tdj2!E34*240</f>
        <v>0</v>
      </c>
      <c r="F34" s="4">
        <f>+TD_tdj2!F34*240</f>
        <v>0</v>
      </c>
      <c r="G34" s="4">
        <f>+TD_tdj2!G34*240</f>
        <v>0</v>
      </c>
      <c r="H34" s="4">
        <f>+TD_tdj2!H34*240</f>
        <v>0</v>
      </c>
      <c r="I34" s="4">
        <f>+TD_tdj2!I34*240</f>
        <v>0</v>
      </c>
      <c r="J34" s="4">
        <f>+TD_tdj2!J34*240</f>
        <v>0</v>
      </c>
      <c r="K34" s="4">
        <f>+TD_tdj2!K34*240</f>
        <v>0</v>
      </c>
      <c r="L34" s="4">
        <f>+TD_tdj2!L34*240</f>
        <v>0</v>
      </c>
      <c r="M34" s="4">
        <f>+TD_tdj2!M34*240</f>
        <v>0</v>
      </c>
      <c r="N34" s="4">
        <f>+TD_tdj2!N34*240</f>
        <v>0</v>
      </c>
      <c r="O34" s="4">
        <f>+TD_tdj2!O34*240</f>
        <v>0</v>
      </c>
      <c r="P34" s="4">
        <f>+TD_tdj2!P34*240</f>
        <v>0</v>
      </c>
      <c r="Q34" s="4">
        <f>+TD_tdj2!Q34*240</f>
        <v>0</v>
      </c>
      <c r="R34" s="4">
        <f>+TD_tdj2!R34*240</f>
        <v>0</v>
      </c>
      <c r="S34" s="4">
        <f>+TD_tdj2!S34*240</f>
        <v>0</v>
      </c>
      <c r="T34" s="4">
        <f>+TD_tdj2!T34*240</f>
        <v>0</v>
      </c>
      <c r="U34" s="4">
        <f>+TD_tdj2!U34*240</f>
        <v>0</v>
      </c>
      <c r="V34" s="4">
        <f>+TD_tdj2!V34*240</f>
        <v>0</v>
      </c>
      <c r="W34" s="4">
        <f>+TD_tdj2!W34*240</f>
        <v>0</v>
      </c>
      <c r="X34" s="4">
        <f>+TD_tdj2!X34*240</f>
        <v>0</v>
      </c>
      <c r="Y34" s="4">
        <f>+TD_tdj2!Y34*240</f>
        <v>0</v>
      </c>
      <c r="Z34" s="4">
        <f>+TD_tdj2!Z34*240</f>
        <v>0</v>
      </c>
      <c r="AA34" s="4">
        <f>+TD_tdj2!AA34*240</f>
        <v>0</v>
      </c>
      <c r="AB34" s="4">
        <f>+TD_tdj2!AB34*240</f>
        <v>0</v>
      </c>
      <c r="AC34" s="4">
        <f>+TD_tdj2!AC34*240</f>
        <v>0</v>
      </c>
      <c r="AD34" s="4">
        <f>+TD_tdj2!AD34*240</f>
        <v>0</v>
      </c>
      <c r="AE34" s="4">
        <f>+TD_tdj2!AE34*240</f>
        <v>0</v>
      </c>
      <c r="AF34" s="4">
        <f>+TD_tdj2!AF34*240</f>
        <v>0</v>
      </c>
    </row>
    <row r="35" spans="1:32" ht="18.75" customHeight="1" x14ac:dyDescent="0.25">
      <c r="A35" s="5" t="s">
        <v>86</v>
      </c>
      <c r="B35" s="4">
        <f>+TD_tdj2!B35*240</f>
        <v>0</v>
      </c>
      <c r="C35" s="4">
        <f>+TD_tdj2!C35*240</f>
        <v>0</v>
      </c>
      <c r="D35" s="4">
        <f>+TD_tdj2!D35*240</f>
        <v>0</v>
      </c>
      <c r="E35" s="4">
        <f>+TD_tdj2!E35*240</f>
        <v>0</v>
      </c>
      <c r="F35" s="4">
        <f>+TD_tdj2!F35*240</f>
        <v>240</v>
      </c>
      <c r="G35" s="4">
        <f>+TD_tdj2!G35*240</f>
        <v>240</v>
      </c>
      <c r="H35" s="4">
        <f>+TD_tdj2!H35*240</f>
        <v>240</v>
      </c>
      <c r="I35" s="4">
        <f>+TD_tdj2!I35*240</f>
        <v>240</v>
      </c>
      <c r="J35" s="4">
        <f>+TD_tdj2!J35*240</f>
        <v>240</v>
      </c>
      <c r="K35" s="4">
        <f>+TD_tdj2!K35*240</f>
        <v>0</v>
      </c>
      <c r="L35" s="4">
        <f>+TD_tdj2!L35*240</f>
        <v>0</v>
      </c>
      <c r="M35" s="4">
        <f>+TD_tdj2!M35*240</f>
        <v>0</v>
      </c>
      <c r="N35" s="4">
        <f>+TD_tdj2!N35*240</f>
        <v>240</v>
      </c>
      <c r="O35" s="4">
        <f>+TD_tdj2!O35*240</f>
        <v>240</v>
      </c>
      <c r="P35" s="4">
        <f>+TD_tdj2!P35*240</f>
        <v>240</v>
      </c>
      <c r="Q35" s="4">
        <f>+TD_tdj2!Q35*240</f>
        <v>240</v>
      </c>
      <c r="R35" s="4">
        <f>+TD_tdj2!R35*240</f>
        <v>0</v>
      </c>
      <c r="S35" s="4">
        <f>+TD_tdj2!S35*240</f>
        <v>0</v>
      </c>
      <c r="T35" s="4">
        <f>+TD_tdj2!T35*240</f>
        <v>240</v>
      </c>
      <c r="U35" s="4">
        <f>+TD_tdj2!U35*240</f>
        <v>240</v>
      </c>
      <c r="V35" s="4">
        <f>+TD_tdj2!V35*240</f>
        <v>240</v>
      </c>
      <c r="W35" s="4">
        <f>+TD_tdj2!W35*240</f>
        <v>240</v>
      </c>
      <c r="X35" s="4">
        <f>+TD_tdj2!X35*240</f>
        <v>240</v>
      </c>
      <c r="Y35" s="4">
        <f>+TD_tdj2!Y35*240</f>
        <v>0</v>
      </c>
      <c r="Z35" s="4">
        <f>+TD_tdj2!Z35*240</f>
        <v>0</v>
      </c>
      <c r="AA35" s="4">
        <f>+TD_tdj2!AA35*240</f>
        <v>240</v>
      </c>
      <c r="AB35" s="4">
        <f>+TD_tdj2!AB35*240</f>
        <v>240</v>
      </c>
      <c r="AC35" s="4">
        <f>+TD_tdj2!AC35*240</f>
        <v>240</v>
      </c>
      <c r="AD35" s="4">
        <f>+TD_tdj2!AD35*240</f>
        <v>240</v>
      </c>
      <c r="AE35" s="4">
        <f>+TD_tdj2!AE35*240</f>
        <v>240</v>
      </c>
      <c r="AF35" s="4">
        <f>+TD_tdj2!AF35*240</f>
        <v>0</v>
      </c>
    </row>
    <row r="36" spans="1:32" ht="18.75" customHeight="1" x14ac:dyDescent="0.25">
      <c r="A36" s="5" t="s">
        <v>87</v>
      </c>
      <c r="B36" s="4">
        <f>+TD_tdj2!B36*240</f>
        <v>0</v>
      </c>
      <c r="C36" s="4">
        <f>+TD_tdj2!C36*240</f>
        <v>0</v>
      </c>
      <c r="D36" s="4">
        <f>+TD_tdj2!D36*240</f>
        <v>0</v>
      </c>
      <c r="E36" s="4">
        <f>+TD_tdj2!E36*240</f>
        <v>0</v>
      </c>
      <c r="F36" s="4">
        <f>+TD_tdj2!F36*240</f>
        <v>0</v>
      </c>
      <c r="G36" s="4">
        <f>+TD_tdj2!G36*240</f>
        <v>0</v>
      </c>
      <c r="H36" s="4">
        <f>+TD_tdj2!H36*240</f>
        <v>0</v>
      </c>
      <c r="I36" s="4">
        <f>+TD_tdj2!I36*240</f>
        <v>0</v>
      </c>
      <c r="J36" s="4">
        <f>+TD_tdj2!J36*240</f>
        <v>0</v>
      </c>
      <c r="K36" s="4">
        <f>+TD_tdj2!K36*240</f>
        <v>0</v>
      </c>
      <c r="L36" s="4">
        <f>+TD_tdj2!L36*240</f>
        <v>0</v>
      </c>
      <c r="M36" s="4">
        <f>+TD_tdj2!M36*240</f>
        <v>0</v>
      </c>
      <c r="N36" s="4">
        <f>+TD_tdj2!N36*240</f>
        <v>0</v>
      </c>
      <c r="O36" s="4">
        <f>+TD_tdj2!O36*240</f>
        <v>0</v>
      </c>
      <c r="P36" s="4">
        <f>+TD_tdj2!P36*240</f>
        <v>0</v>
      </c>
      <c r="Q36" s="4">
        <f>+TD_tdj2!Q36*240</f>
        <v>0</v>
      </c>
      <c r="R36" s="4">
        <f>+TD_tdj2!R36*240</f>
        <v>0</v>
      </c>
      <c r="S36" s="4">
        <f>+TD_tdj2!S36*240</f>
        <v>0</v>
      </c>
      <c r="T36" s="4">
        <f>+TD_tdj2!T36*240</f>
        <v>0</v>
      </c>
      <c r="U36" s="4">
        <f>+TD_tdj2!U36*240</f>
        <v>0</v>
      </c>
      <c r="V36" s="4">
        <f>+TD_tdj2!V36*240</f>
        <v>0</v>
      </c>
      <c r="W36" s="4">
        <f>+TD_tdj2!W36*240</f>
        <v>0</v>
      </c>
      <c r="X36" s="4">
        <f>+TD_tdj2!X36*240</f>
        <v>0</v>
      </c>
      <c r="Y36" s="4">
        <f>+TD_tdj2!Y36*240</f>
        <v>0</v>
      </c>
      <c r="Z36" s="4">
        <f>+TD_tdj2!Z36*240</f>
        <v>0</v>
      </c>
      <c r="AA36" s="4">
        <f>+TD_tdj2!AA36*240</f>
        <v>0</v>
      </c>
      <c r="AB36" s="4">
        <f>+TD_tdj2!AB36*240</f>
        <v>0</v>
      </c>
      <c r="AC36" s="4">
        <f>+TD_tdj2!AC36*240</f>
        <v>0</v>
      </c>
      <c r="AD36" s="4">
        <f>+TD_tdj2!AD36*240</f>
        <v>0</v>
      </c>
      <c r="AE36" s="4">
        <f>+TD_tdj2!AE36*240</f>
        <v>0</v>
      </c>
      <c r="AF36" s="4">
        <f>+TD_tdj2!AF36*240</f>
        <v>0</v>
      </c>
    </row>
    <row r="37" spans="1:32" ht="18.75" customHeight="1" x14ac:dyDescent="0.25">
      <c r="A37" s="5" t="s">
        <v>88</v>
      </c>
      <c r="B37" s="4">
        <f>+TD_tdj2!B37*240</f>
        <v>0</v>
      </c>
      <c r="C37" s="4">
        <f>+TD_tdj2!C37*240</f>
        <v>0</v>
      </c>
      <c r="D37" s="4">
        <f>+TD_tdj2!D37*240</f>
        <v>0</v>
      </c>
      <c r="E37" s="4">
        <f>+TD_tdj2!E37*240</f>
        <v>0</v>
      </c>
      <c r="F37" s="4">
        <f>+TD_tdj2!F37*240</f>
        <v>0</v>
      </c>
      <c r="G37" s="4">
        <f>+TD_tdj2!G37*240</f>
        <v>0</v>
      </c>
      <c r="H37" s="4">
        <f>+TD_tdj2!H37*240</f>
        <v>0</v>
      </c>
      <c r="I37" s="4">
        <f>+TD_tdj2!I37*240</f>
        <v>0</v>
      </c>
      <c r="J37" s="4">
        <f>+TD_tdj2!J37*240</f>
        <v>0</v>
      </c>
      <c r="K37" s="4">
        <f>+TD_tdj2!K37*240</f>
        <v>0</v>
      </c>
      <c r="L37" s="4">
        <f>+TD_tdj2!L37*240</f>
        <v>0</v>
      </c>
      <c r="M37" s="4">
        <f>+TD_tdj2!M37*240</f>
        <v>0</v>
      </c>
      <c r="N37" s="4">
        <f>+TD_tdj2!N37*240</f>
        <v>0</v>
      </c>
      <c r="O37" s="4">
        <f>+TD_tdj2!O37*240</f>
        <v>0</v>
      </c>
      <c r="P37" s="4">
        <f>+TD_tdj2!P37*240</f>
        <v>0</v>
      </c>
      <c r="Q37" s="4">
        <f>+TD_tdj2!Q37*240</f>
        <v>0</v>
      </c>
      <c r="R37" s="4">
        <f>+TD_tdj2!R37*240</f>
        <v>0</v>
      </c>
      <c r="S37" s="4">
        <f>+TD_tdj2!S37*240</f>
        <v>0</v>
      </c>
      <c r="T37" s="4">
        <f>+TD_tdj2!T37*240</f>
        <v>0</v>
      </c>
      <c r="U37" s="4">
        <f>+TD_tdj2!U37*240</f>
        <v>0</v>
      </c>
      <c r="V37" s="4">
        <f>+TD_tdj2!V37*240</f>
        <v>0</v>
      </c>
      <c r="W37" s="4">
        <f>+TD_tdj2!W37*240</f>
        <v>0</v>
      </c>
      <c r="X37" s="4">
        <f>+TD_tdj2!X37*240</f>
        <v>0</v>
      </c>
      <c r="Y37" s="4">
        <f>+TD_tdj2!Y37*240</f>
        <v>0</v>
      </c>
      <c r="Z37" s="4">
        <f>+TD_tdj2!Z37*240</f>
        <v>0</v>
      </c>
      <c r="AA37" s="4">
        <f>+TD_tdj2!AA37*240</f>
        <v>0</v>
      </c>
      <c r="AB37" s="4">
        <f>+TD_tdj2!AB37*240</f>
        <v>0</v>
      </c>
      <c r="AC37" s="4">
        <f>+TD_tdj2!AC37*240</f>
        <v>0</v>
      </c>
      <c r="AD37" s="4">
        <f>+TD_tdj2!AD37*240</f>
        <v>0</v>
      </c>
      <c r="AE37" s="4">
        <f>+TD_tdj2!AE37*240</f>
        <v>0</v>
      </c>
      <c r="AF37" s="4">
        <f>+TD_tdj2!AF37*240</f>
        <v>0</v>
      </c>
    </row>
    <row r="38" spans="1:32" ht="18.75" customHeight="1" x14ac:dyDescent="0.25">
      <c r="A38" s="5" t="s">
        <v>89</v>
      </c>
      <c r="B38" s="4">
        <f>+TD_tdj2!B38*240</f>
        <v>0</v>
      </c>
      <c r="C38" s="4">
        <f>+TD_tdj2!C38*240</f>
        <v>0</v>
      </c>
      <c r="D38" s="4">
        <f>+TD_tdj2!D38*240</f>
        <v>0</v>
      </c>
      <c r="E38" s="4">
        <f>+TD_tdj2!E38*240</f>
        <v>0</v>
      </c>
      <c r="F38" s="4">
        <f>+TD_tdj2!F38*240</f>
        <v>240</v>
      </c>
      <c r="G38" s="4">
        <f>+TD_tdj2!G38*240</f>
        <v>240</v>
      </c>
      <c r="H38" s="4">
        <f>+TD_tdj2!H38*240</f>
        <v>240</v>
      </c>
      <c r="I38" s="4">
        <f>+TD_tdj2!I38*240</f>
        <v>240</v>
      </c>
      <c r="J38" s="4">
        <f>+TD_tdj2!J38*240</f>
        <v>240</v>
      </c>
      <c r="K38" s="4">
        <f>+TD_tdj2!K38*240</f>
        <v>0</v>
      </c>
      <c r="L38" s="4">
        <f>+TD_tdj2!L38*240</f>
        <v>0</v>
      </c>
      <c r="M38" s="4">
        <f>+TD_tdj2!M38*240</f>
        <v>0</v>
      </c>
      <c r="N38" s="4">
        <f>+TD_tdj2!N38*240</f>
        <v>240</v>
      </c>
      <c r="O38" s="4">
        <f>+TD_tdj2!O38*240</f>
        <v>240</v>
      </c>
      <c r="P38" s="4">
        <f>+TD_tdj2!P38*240</f>
        <v>240</v>
      </c>
      <c r="Q38" s="4">
        <f>+TD_tdj2!Q38*240</f>
        <v>240</v>
      </c>
      <c r="R38" s="4">
        <f>+TD_tdj2!R38*240</f>
        <v>0</v>
      </c>
      <c r="S38" s="4">
        <f>+TD_tdj2!S38*240</f>
        <v>0</v>
      </c>
      <c r="T38" s="4">
        <f>+TD_tdj2!T38*240</f>
        <v>240</v>
      </c>
      <c r="U38" s="4">
        <f>+TD_tdj2!U38*240</f>
        <v>240</v>
      </c>
      <c r="V38" s="4">
        <f>+TD_tdj2!V38*240</f>
        <v>240</v>
      </c>
      <c r="W38" s="4">
        <f>+TD_tdj2!W38*240</f>
        <v>240</v>
      </c>
      <c r="X38" s="4">
        <f>+TD_tdj2!X38*240</f>
        <v>240</v>
      </c>
      <c r="Y38" s="4">
        <f>+TD_tdj2!Y38*240</f>
        <v>0</v>
      </c>
      <c r="Z38" s="4">
        <f>+TD_tdj2!Z38*240</f>
        <v>0</v>
      </c>
      <c r="AA38" s="4">
        <f>+TD_tdj2!AA38*240</f>
        <v>240</v>
      </c>
      <c r="AB38" s="4">
        <f>+TD_tdj2!AB38*240</f>
        <v>240</v>
      </c>
      <c r="AC38" s="4">
        <f>+TD_tdj2!AC38*240</f>
        <v>240</v>
      </c>
      <c r="AD38" s="4">
        <f>+TD_tdj2!AD38*240</f>
        <v>240</v>
      </c>
      <c r="AE38" s="4">
        <f>+TD_tdj2!AE38*240</f>
        <v>240</v>
      </c>
      <c r="AF38" s="4">
        <f>+TD_tdj2!AF38*240</f>
        <v>0</v>
      </c>
    </row>
    <row r="39" spans="1:32" ht="18.75" customHeight="1" x14ac:dyDescent="0.25">
      <c r="A39" s="5" t="s">
        <v>90</v>
      </c>
      <c r="B39" s="4">
        <f>+TD_tdj2!B39*240</f>
        <v>0</v>
      </c>
      <c r="C39" s="4">
        <f>+TD_tdj2!C39*240</f>
        <v>0</v>
      </c>
      <c r="D39" s="4">
        <f>+TD_tdj2!D39*240</f>
        <v>0</v>
      </c>
      <c r="E39" s="4">
        <f>+TD_tdj2!E39*240</f>
        <v>0</v>
      </c>
      <c r="F39" s="4">
        <f>+TD_tdj2!F39*240</f>
        <v>240</v>
      </c>
      <c r="G39" s="4">
        <f>+TD_tdj2!G39*240</f>
        <v>240</v>
      </c>
      <c r="H39" s="4">
        <f>+TD_tdj2!H39*240</f>
        <v>240</v>
      </c>
      <c r="I39" s="4">
        <f>+TD_tdj2!I39*240</f>
        <v>240</v>
      </c>
      <c r="J39" s="4">
        <f>+TD_tdj2!J39*240</f>
        <v>240</v>
      </c>
      <c r="K39" s="4">
        <f>+TD_tdj2!K39*240</f>
        <v>0</v>
      </c>
      <c r="L39" s="4">
        <f>+TD_tdj2!L39*240</f>
        <v>0</v>
      </c>
      <c r="M39" s="4">
        <f>+TD_tdj2!M39*240</f>
        <v>0</v>
      </c>
      <c r="N39" s="4">
        <f>+TD_tdj2!N39*240</f>
        <v>240</v>
      </c>
      <c r="O39" s="4">
        <f>+TD_tdj2!O39*240</f>
        <v>240</v>
      </c>
      <c r="P39" s="4">
        <f>+TD_tdj2!P39*240</f>
        <v>240</v>
      </c>
      <c r="Q39" s="4">
        <f>+TD_tdj2!Q39*240</f>
        <v>240</v>
      </c>
      <c r="R39" s="4">
        <f>+TD_tdj2!R39*240</f>
        <v>0</v>
      </c>
      <c r="S39" s="4">
        <f>+TD_tdj2!S39*240</f>
        <v>0</v>
      </c>
      <c r="T39" s="4">
        <f>+TD_tdj2!T39*240</f>
        <v>240</v>
      </c>
      <c r="U39" s="4">
        <f>+TD_tdj2!U39*240</f>
        <v>240</v>
      </c>
      <c r="V39" s="4">
        <f>+TD_tdj2!V39*240</f>
        <v>240</v>
      </c>
      <c r="W39" s="4">
        <f>+TD_tdj2!W39*240</f>
        <v>240</v>
      </c>
      <c r="X39" s="4">
        <f>+TD_tdj2!X39*240</f>
        <v>240</v>
      </c>
      <c r="Y39" s="4">
        <f>+TD_tdj2!Y39*240</f>
        <v>0</v>
      </c>
      <c r="Z39" s="4">
        <f>+TD_tdj2!Z39*240</f>
        <v>0</v>
      </c>
      <c r="AA39" s="4">
        <f>+TD_tdj2!AA39*240</f>
        <v>240</v>
      </c>
      <c r="AB39" s="4">
        <f>+TD_tdj2!AB39*240</f>
        <v>240</v>
      </c>
      <c r="AC39" s="4">
        <f>+TD_tdj2!AC39*240</f>
        <v>240</v>
      </c>
      <c r="AD39" s="4">
        <f>+TD_tdj2!AD39*240</f>
        <v>240</v>
      </c>
      <c r="AE39" s="4">
        <f>+TD_tdj2!AE39*240</f>
        <v>240</v>
      </c>
      <c r="AF39" s="4">
        <f>+TD_tdj2!AF39*240</f>
        <v>0</v>
      </c>
    </row>
    <row r="40" spans="1:32" ht="18.75" customHeight="1" x14ac:dyDescent="0.25">
      <c r="A40" s="5" t="s">
        <v>91</v>
      </c>
      <c r="B40" s="4">
        <f>+TD_tdj2!B40*240</f>
        <v>0</v>
      </c>
      <c r="C40" s="4">
        <f>+TD_tdj2!C40*240</f>
        <v>0</v>
      </c>
      <c r="D40" s="4">
        <f>+TD_tdj2!D40*240</f>
        <v>0</v>
      </c>
      <c r="E40" s="4">
        <f>+TD_tdj2!E40*240</f>
        <v>0</v>
      </c>
      <c r="F40" s="4">
        <f>+TD_tdj2!F40*240</f>
        <v>0</v>
      </c>
      <c r="G40" s="4">
        <f>+TD_tdj2!G40*240</f>
        <v>0</v>
      </c>
      <c r="H40" s="4">
        <f>+TD_tdj2!H40*240</f>
        <v>0</v>
      </c>
      <c r="I40" s="4">
        <f>+TD_tdj2!I40*240</f>
        <v>0</v>
      </c>
      <c r="J40" s="4">
        <f>+TD_tdj2!J40*240</f>
        <v>0</v>
      </c>
      <c r="K40" s="4">
        <f>+TD_tdj2!K40*240</f>
        <v>0</v>
      </c>
      <c r="L40" s="4">
        <f>+TD_tdj2!L40*240</f>
        <v>0</v>
      </c>
      <c r="M40" s="4">
        <f>+TD_tdj2!M40*240</f>
        <v>0</v>
      </c>
      <c r="N40" s="4">
        <f>+TD_tdj2!N40*240</f>
        <v>0</v>
      </c>
      <c r="O40" s="4">
        <f>+TD_tdj2!O40*240</f>
        <v>0</v>
      </c>
      <c r="P40" s="4">
        <f>+TD_tdj2!P40*240</f>
        <v>0</v>
      </c>
      <c r="Q40" s="4">
        <f>+TD_tdj2!Q40*240</f>
        <v>0</v>
      </c>
      <c r="R40" s="4">
        <f>+TD_tdj2!R40*240</f>
        <v>0</v>
      </c>
      <c r="S40" s="4">
        <f>+TD_tdj2!S40*240</f>
        <v>0</v>
      </c>
      <c r="T40" s="4">
        <f>+TD_tdj2!T40*240</f>
        <v>0</v>
      </c>
      <c r="U40" s="4">
        <f>+TD_tdj2!U40*240</f>
        <v>0</v>
      </c>
      <c r="V40" s="4">
        <f>+TD_tdj2!V40*240</f>
        <v>0</v>
      </c>
      <c r="W40" s="4">
        <f>+TD_tdj2!W40*240</f>
        <v>0</v>
      </c>
      <c r="X40" s="4">
        <f>+TD_tdj2!X40*240</f>
        <v>0</v>
      </c>
      <c r="Y40" s="4">
        <f>+TD_tdj2!Y40*240</f>
        <v>0</v>
      </c>
      <c r="Z40" s="4">
        <f>+TD_tdj2!Z40*240</f>
        <v>0</v>
      </c>
      <c r="AA40" s="4">
        <f>+TD_tdj2!AA40*240</f>
        <v>240</v>
      </c>
      <c r="AB40" s="4">
        <f>+TD_tdj2!AB40*240</f>
        <v>240</v>
      </c>
      <c r="AC40" s="4">
        <f>+TD_tdj2!AC40*240</f>
        <v>240</v>
      </c>
      <c r="AD40" s="4">
        <f>+TD_tdj2!AD40*240</f>
        <v>240</v>
      </c>
      <c r="AE40" s="4">
        <f>+TD_tdj2!AE40*240</f>
        <v>240</v>
      </c>
      <c r="AF40" s="4">
        <f>+TD_tdj2!AF40*240</f>
        <v>0</v>
      </c>
    </row>
    <row r="41" spans="1:32" ht="18.75" customHeight="1" x14ac:dyDescent="0.25">
      <c r="A41" s="5" t="s">
        <v>92</v>
      </c>
      <c r="B41" s="4">
        <f>+TD_tdj2!B41*240</f>
        <v>0</v>
      </c>
      <c r="C41" s="4">
        <f>+TD_tdj2!C41*240</f>
        <v>0</v>
      </c>
      <c r="D41" s="4">
        <f>+TD_tdj2!D41*240</f>
        <v>0</v>
      </c>
      <c r="E41" s="4">
        <f>+TD_tdj2!E41*240</f>
        <v>0</v>
      </c>
      <c r="F41" s="4">
        <f>+TD_tdj2!F41*240</f>
        <v>0</v>
      </c>
      <c r="G41" s="4">
        <f>+TD_tdj2!G41*240</f>
        <v>0</v>
      </c>
      <c r="H41" s="4">
        <f>+TD_tdj2!H41*240</f>
        <v>0</v>
      </c>
      <c r="I41" s="4">
        <f>+TD_tdj2!I41*240</f>
        <v>0</v>
      </c>
      <c r="J41" s="4">
        <f>+TD_tdj2!J41*240</f>
        <v>0</v>
      </c>
      <c r="K41" s="4">
        <f>+TD_tdj2!K41*240</f>
        <v>0</v>
      </c>
      <c r="L41" s="4">
        <f>+TD_tdj2!L41*240</f>
        <v>0</v>
      </c>
      <c r="M41" s="4">
        <f>+TD_tdj2!M41*240</f>
        <v>0</v>
      </c>
      <c r="N41" s="4">
        <f>+TD_tdj2!N41*240</f>
        <v>0</v>
      </c>
      <c r="O41" s="4">
        <f>+TD_tdj2!O41*240</f>
        <v>0</v>
      </c>
      <c r="P41" s="4">
        <f>+TD_tdj2!P41*240</f>
        <v>0</v>
      </c>
      <c r="Q41" s="4">
        <f>+TD_tdj2!Q41*240</f>
        <v>0</v>
      </c>
      <c r="R41" s="4">
        <f>+TD_tdj2!R41*240</f>
        <v>0</v>
      </c>
      <c r="S41" s="4">
        <f>+TD_tdj2!S41*240</f>
        <v>0</v>
      </c>
      <c r="T41" s="4">
        <f>+TD_tdj2!T41*240</f>
        <v>0</v>
      </c>
      <c r="U41" s="4">
        <f>+TD_tdj2!U41*240</f>
        <v>0</v>
      </c>
      <c r="V41" s="4">
        <f>+TD_tdj2!V41*240</f>
        <v>0</v>
      </c>
      <c r="W41" s="4">
        <f>+TD_tdj2!W41*240</f>
        <v>0</v>
      </c>
      <c r="X41" s="4">
        <f>+TD_tdj2!X41*240</f>
        <v>0</v>
      </c>
      <c r="Y41" s="4">
        <f>+TD_tdj2!Y41*240</f>
        <v>0</v>
      </c>
      <c r="Z41" s="4">
        <f>+TD_tdj2!Z41*240</f>
        <v>0</v>
      </c>
      <c r="AA41" s="4">
        <f>+TD_tdj2!AA41*240</f>
        <v>0</v>
      </c>
      <c r="AB41" s="4">
        <f>+TD_tdj2!AB41*240</f>
        <v>0</v>
      </c>
      <c r="AC41" s="4">
        <f>+TD_tdj2!AC41*240</f>
        <v>0</v>
      </c>
      <c r="AD41" s="4">
        <f>+TD_tdj2!AD41*240</f>
        <v>0</v>
      </c>
      <c r="AE41" s="4">
        <f>+TD_tdj2!AE41*240</f>
        <v>0</v>
      </c>
      <c r="AF41" s="4">
        <f>+TD_tdj2!AF41*240</f>
        <v>0</v>
      </c>
    </row>
    <row r="42" spans="1:32" ht="18.75" customHeight="1" x14ac:dyDescent="0.25">
      <c r="A42" s="5" t="s">
        <v>93</v>
      </c>
      <c r="B42" s="4">
        <f>+TD_tdj2!B42*240</f>
        <v>0</v>
      </c>
      <c r="C42" s="4">
        <f>+TD_tdj2!C42*240</f>
        <v>0</v>
      </c>
      <c r="D42" s="4">
        <f>+TD_tdj2!D42*240</f>
        <v>0</v>
      </c>
      <c r="E42" s="4">
        <f>+TD_tdj2!E42*240</f>
        <v>0</v>
      </c>
      <c r="F42" s="4">
        <f>+TD_tdj2!F42*240</f>
        <v>0</v>
      </c>
      <c r="G42" s="4">
        <f>+TD_tdj2!G42*240</f>
        <v>0</v>
      </c>
      <c r="H42" s="4">
        <f>+TD_tdj2!H42*240</f>
        <v>0</v>
      </c>
      <c r="I42" s="4">
        <f>+TD_tdj2!I42*240</f>
        <v>0</v>
      </c>
      <c r="J42" s="4">
        <f>+TD_tdj2!J42*240</f>
        <v>0</v>
      </c>
      <c r="K42" s="4">
        <f>+TD_tdj2!K42*240</f>
        <v>0</v>
      </c>
      <c r="L42" s="4">
        <f>+TD_tdj2!L42*240</f>
        <v>0</v>
      </c>
      <c r="M42" s="4">
        <f>+TD_tdj2!M42*240</f>
        <v>0</v>
      </c>
      <c r="N42" s="4">
        <f>+TD_tdj2!N42*240</f>
        <v>0</v>
      </c>
      <c r="O42" s="4">
        <f>+TD_tdj2!O42*240</f>
        <v>0</v>
      </c>
      <c r="P42" s="4">
        <f>+TD_tdj2!P42*240</f>
        <v>0</v>
      </c>
      <c r="Q42" s="4">
        <f>+TD_tdj2!Q42*240</f>
        <v>0</v>
      </c>
      <c r="R42" s="4">
        <f>+TD_tdj2!R42*240</f>
        <v>0</v>
      </c>
      <c r="S42" s="4">
        <f>+TD_tdj2!S42*240</f>
        <v>0</v>
      </c>
      <c r="T42" s="4">
        <f>+TD_tdj2!T42*240</f>
        <v>240</v>
      </c>
      <c r="U42" s="4">
        <f>+TD_tdj2!U42*240</f>
        <v>0</v>
      </c>
      <c r="V42" s="4">
        <f>+TD_tdj2!V42*240</f>
        <v>0</v>
      </c>
      <c r="W42" s="4">
        <f>+TD_tdj2!W42*240</f>
        <v>0</v>
      </c>
      <c r="X42" s="4">
        <f>+TD_tdj2!X42*240</f>
        <v>0</v>
      </c>
      <c r="Y42" s="4">
        <f>+TD_tdj2!Y42*240</f>
        <v>0</v>
      </c>
      <c r="Z42" s="4">
        <f>+TD_tdj2!Z42*240</f>
        <v>0</v>
      </c>
      <c r="AA42" s="4">
        <f>+TD_tdj2!AA42*240</f>
        <v>240</v>
      </c>
      <c r="AB42" s="4">
        <f>+TD_tdj2!AB42*240</f>
        <v>0</v>
      </c>
      <c r="AC42" s="4">
        <f>+TD_tdj2!AC42*240</f>
        <v>0</v>
      </c>
      <c r="AD42" s="4">
        <f>+TD_tdj2!AD42*240</f>
        <v>0</v>
      </c>
      <c r="AE42" s="4">
        <f>+TD_tdj2!AE42*240</f>
        <v>0</v>
      </c>
      <c r="AF42" s="4">
        <f>+TD_tdj2!AF42*240</f>
        <v>0</v>
      </c>
    </row>
    <row r="43" spans="1:32" ht="18.75" customHeight="1" x14ac:dyDescent="0.25">
      <c r="A43" s="5" t="s">
        <v>94</v>
      </c>
      <c r="B43" s="4">
        <f>+TD_tdj2!B43*240</f>
        <v>0</v>
      </c>
      <c r="C43" s="4">
        <f>+TD_tdj2!C43*240</f>
        <v>0</v>
      </c>
      <c r="D43" s="4">
        <f>+TD_tdj2!D43*240</f>
        <v>0</v>
      </c>
      <c r="E43" s="4">
        <f>+TD_tdj2!E43*240</f>
        <v>0</v>
      </c>
      <c r="F43" s="4">
        <f>+TD_tdj2!F43*240</f>
        <v>240</v>
      </c>
      <c r="G43" s="4">
        <f>+TD_tdj2!G43*240</f>
        <v>240</v>
      </c>
      <c r="H43" s="4">
        <f>+TD_tdj2!H43*240</f>
        <v>240</v>
      </c>
      <c r="I43" s="4">
        <f>+TD_tdj2!I43*240</f>
        <v>240</v>
      </c>
      <c r="J43" s="4">
        <f>+TD_tdj2!J43*240</f>
        <v>240</v>
      </c>
      <c r="K43" s="4">
        <f>+TD_tdj2!K43*240</f>
        <v>0</v>
      </c>
      <c r="L43" s="4">
        <f>+TD_tdj2!L43*240</f>
        <v>0</v>
      </c>
      <c r="M43" s="4">
        <f>+TD_tdj2!M43*240</f>
        <v>0</v>
      </c>
      <c r="N43" s="4">
        <f>+TD_tdj2!N43*240</f>
        <v>240</v>
      </c>
      <c r="O43" s="4">
        <f>+TD_tdj2!O43*240</f>
        <v>240</v>
      </c>
      <c r="P43" s="4">
        <f>+TD_tdj2!P43*240</f>
        <v>240</v>
      </c>
      <c r="Q43" s="4">
        <f>+TD_tdj2!Q43*240</f>
        <v>240</v>
      </c>
      <c r="R43" s="4">
        <f>+TD_tdj2!R43*240</f>
        <v>0</v>
      </c>
      <c r="S43" s="4">
        <f>+TD_tdj2!S43*240</f>
        <v>0</v>
      </c>
      <c r="T43" s="4">
        <f>+TD_tdj2!T43*240</f>
        <v>240</v>
      </c>
      <c r="U43" s="4">
        <f>+TD_tdj2!U43*240</f>
        <v>240</v>
      </c>
      <c r="V43" s="4">
        <f>+TD_tdj2!V43*240</f>
        <v>240</v>
      </c>
      <c r="W43" s="4">
        <f>+TD_tdj2!W43*240</f>
        <v>240</v>
      </c>
      <c r="X43" s="4">
        <f>+TD_tdj2!X43*240</f>
        <v>240</v>
      </c>
      <c r="Y43" s="4">
        <f>+TD_tdj2!Y43*240</f>
        <v>0</v>
      </c>
      <c r="Z43" s="4">
        <f>+TD_tdj2!Z43*240</f>
        <v>0</v>
      </c>
      <c r="AA43" s="4">
        <f>+TD_tdj2!AA43*240</f>
        <v>240</v>
      </c>
      <c r="AB43" s="4">
        <f>+TD_tdj2!AB43*240</f>
        <v>240</v>
      </c>
      <c r="AC43" s="4">
        <f>+TD_tdj2!AC43*240</f>
        <v>240</v>
      </c>
      <c r="AD43" s="4">
        <f>+TD_tdj2!AD43*240</f>
        <v>240</v>
      </c>
      <c r="AE43" s="4">
        <f>+TD_tdj2!AE43*240</f>
        <v>240</v>
      </c>
      <c r="AF43" s="4">
        <f>+TD_tdj2!AF43*240</f>
        <v>0</v>
      </c>
    </row>
    <row r="44" spans="1:32" ht="18.75" customHeight="1" x14ac:dyDescent="0.25">
      <c r="A44" s="5" t="s">
        <v>95</v>
      </c>
      <c r="B44" s="4">
        <f>+TD_tdj2!B44*240</f>
        <v>0</v>
      </c>
      <c r="C44" s="4">
        <f>+TD_tdj2!C44*240</f>
        <v>0</v>
      </c>
      <c r="D44" s="4">
        <f>+TD_tdj2!D44*240</f>
        <v>0</v>
      </c>
      <c r="E44" s="4">
        <f>+TD_tdj2!E44*240</f>
        <v>0</v>
      </c>
      <c r="F44" s="4">
        <f>+TD_tdj2!F44*240</f>
        <v>240</v>
      </c>
      <c r="G44" s="4">
        <f>+TD_tdj2!G44*240</f>
        <v>240</v>
      </c>
      <c r="H44" s="4">
        <f>+TD_tdj2!H44*240</f>
        <v>240</v>
      </c>
      <c r="I44" s="4">
        <f>+TD_tdj2!I44*240</f>
        <v>240</v>
      </c>
      <c r="J44" s="4">
        <f>+TD_tdj2!J44*240</f>
        <v>240</v>
      </c>
      <c r="K44" s="4">
        <f>+TD_tdj2!K44*240</f>
        <v>0</v>
      </c>
      <c r="L44" s="4">
        <f>+TD_tdj2!L44*240</f>
        <v>0</v>
      </c>
      <c r="M44" s="4">
        <f>+TD_tdj2!M44*240</f>
        <v>0</v>
      </c>
      <c r="N44" s="4">
        <f>+TD_tdj2!N44*240</f>
        <v>240</v>
      </c>
      <c r="O44" s="4">
        <f>+TD_tdj2!O44*240</f>
        <v>240</v>
      </c>
      <c r="P44" s="4">
        <f>+TD_tdj2!P44*240</f>
        <v>240</v>
      </c>
      <c r="Q44" s="4">
        <f>+TD_tdj2!Q44*240</f>
        <v>240</v>
      </c>
      <c r="R44" s="4">
        <f>+TD_tdj2!R44*240</f>
        <v>0</v>
      </c>
      <c r="S44" s="4">
        <f>+TD_tdj2!S44*240</f>
        <v>0</v>
      </c>
      <c r="T44" s="4">
        <f>+TD_tdj2!T44*240</f>
        <v>240</v>
      </c>
      <c r="U44" s="4">
        <f>+TD_tdj2!U44*240</f>
        <v>240</v>
      </c>
      <c r="V44" s="4">
        <f>+TD_tdj2!V44*240</f>
        <v>240</v>
      </c>
      <c r="W44" s="4">
        <f>+TD_tdj2!W44*240</f>
        <v>240</v>
      </c>
      <c r="X44" s="4">
        <f>+TD_tdj2!X44*240</f>
        <v>240</v>
      </c>
      <c r="Y44" s="4">
        <f>+TD_tdj2!Y44*240</f>
        <v>0</v>
      </c>
      <c r="Z44" s="4">
        <f>+TD_tdj2!Z44*240</f>
        <v>0</v>
      </c>
      <c r="AA44" s="4">
        <f>+TD_tdj2!AA44*240</f>
        <v>240</v>
      </c>
      <c r="AB44" s="4">
        <f>+TD_tdj2!AB44*240</f>
        <v>240</v>
      </c>
      <c r="AC44" s="4">
        <f>+TD_tdj2!AC44*240</f>
        <v>240</v>
      </c>
      <c r="AD44" s="4">
        <f>+TD_tdj2!AD44*240</f>
        <v>240</v>
      </c>
      <c r="AE44" s="4">
        <f>+TD_tdj2!AE44*240</f>
        <v>240</v>
      </c>
      <c r="AF44" s="4">
        <f>+TD_tdj2!AF44*240</f>
        <v>0</v>
      </c>
    </row>
    <row r="45" spans="1:32" ht="18.75" customHeight="1" x14ac:dyDescent="0.25">
      <c r="A45" s="5" t="s">
        <v>96</v>
      </c>
      <c r="B45" s="4">
        <f>+TD_tdj2!B45*240</f>
        <v>0</v>
      </c>
      <c r="C45" s="4">
        <f>+TD_tdj2!C45*240</f>
        <v>0</v>
      </c>
      <c r="D45" s="4">
        <f>+TD_tdj2!D45*240</f>
        <v>0</v>
      </c>
      <c r="E45" s="4">
        <f>+TD_tdj2!E45*240</f>
        <v>0</v>
      </c>
      <c r="F45" s="4">
        <f>+TD_tdj2!F45*240</f>
        <v>240</v>
      </c>
      <c r="G45" s="4">
        <f>+TD_tdj2!G45*240</f>
        <v>0</v>
      </c>
      <c r="H45" s="4">
        <f>+TD_tdj2!H45*240</f>
        <v>240</v>
      </c>
      <c r="I45" s="4">
        <f>+TD_tdj2!I45*240</f>
        <v>240</v>
      </c>
      <c r="J45" s="4">
        <f>+TD_tdj2!J45*240</f>
        <v>0</v>
      </c>
      <c r="K45" s="4">
        <f>+TD_tdj2!K45*240</f>
        <v>0</v>
      </c>
      <c r="L45" s="4">
        <f>+TD_tdj2!L45*240</f>
        <v>0</v>
      </c>
      <c r="M45" s="4">
        <f>+TD_tdj2!M45*240</f>
        <v>0</v>
      </c>
      <c r="N45" s="4">
        <f>+TD_tdj2!N45*240</f>
        <v>240</v>
      </c>
      <c r="O45" s="4">
        <f>+TD_tdj2!O45*240</f>
        <v>240</v>
      </c>
      <c r="P45" s="4">
        <f>+TD_tdj2!P45*240</f>
        <v>240</v>
      </c>
      <c r="Q45" s="4">
        <f>+TD_tdj2!Q45*240</f>
        <v>0</v>
      </c>
      <c r="R45" s="4">
        <f>+TD_tdj2!R45*240</f>
        <v>0</v>
      </c>
      <c r="S45" s="4">
        <f>+TD_tdj2!S45*240</f>
        <v>0</v>
      </c>
      <c r="T45" s="4">
        <f>+TD_tdj2!T45*240</f>
        <v>240</v>
      </c>
      <c r="U45" s="4">
        <f>+TD_tdj2!U45*240</f>
        <v>0</v>
      </c>
      <c r="V45" s="4">
        <f>+TD_tdj2!V45*240</f>
        <v>0</v>
      </c>
      <c r="W45" s="4">
        <f>+TD_tdj2!W45*240</f>
        <v>240</v>
      </c>
      <c r="X45" s="4">
        <f>+TD_tdj2!X45*240</f>
        <v>240</v>
      </c>
      <c r="Y45" s="4">
        <f>+TD_tdj2!Y45*240</f>
        <v>0</v>
      </c>
      <c r="Z45" s="4">
        <f>+TD_tdj2!Z45*240</f>
        <v>0</v>
      </c>
      <c r="AA45" s="4">
        <f>+TD_tdj2!AA45*240</f>
        <v>240</v>
      </c>
      <c r="AB45" s="4">
        <f>+TD_tdj2!AB45*240</f>
        <v>0</v>
      </c>
      <c r="AC45" s="4">
        <f>+TD_tdj2!AC45*240</f>
        <v>240</v>
      </c>
      <c r="AD45" s="4">
        <f>+TD_tdj2!AD45*240</f>
        <v>240</v>
      </c>
      <c r="AE45" s="4">
        <f>+TD_tdj2!AE45*240</f>
        <v>0</v>
      </c>
      <c r="AF45" s="4">
        <f>+TD_tdj2!AF45*240</f>
        <v>0</v>
      </c>
    </row>
    <row r="46" spans="1:32" ht="18.75" customHeight="1" x14ac:dyDescent="0.25">
      <c r="A46" s="6" t="s">
        <v>97</v>
      </c>
      <c r="B46" s="4">
        <f>+TD_tdj2!B46*240</f>
        <v>0</v>
      </c>
      <c r="C46" s="4">
        <f>+TD_tdj2!C46*240</f>
        <v>0</v>
      </c>
      <c r="D46" s="4">
        <f>+TD_tdj2!D46*240</f>
        <v>0</v>
      </c>
      <c r="E46" s="4">
        <f>+TD_tdj2!E46*240</f>
        <v>0</v>
      </c>
      <c r="F46" s="4">
        <f>+TD_tdj2!F46*240</f>
        <v>0</v>
      </c>
      <c r="G46" s="4">
        <f>+TD_tdj2!G46*240</f>
        <v>0</v>
      </c>
      <c r="H46" s="4">
        <f>+TD_tdj2!H46*240</f>
        <v>240</v>
      </c>
      <c r="I46" s="4">
        <f>+TD_tdj2!I46*240</f>
        <v>240</v>
      </c>
      <c r="J46" s="4">
        <f>+TD_tdj2!J46*240</f>
        <v>240</v>
      </c>
      <c r="K46" s="4">
        <f>+TD_tdj2!K46*240</f>
        <v>0</v>
      </c>
      <c r="L46" s="4">
        <f>+TD_tdj2!L46*240</f>
        <v>0</v>
      </c>
      <c r="M46" s="4">
        <f>+TD_tdj2!M46*240</f>
        <v>0</v>
      </c>
      <c r="N46" s="4">
        <f>+TD_tdj2!N46*240</f>
        <v>240</v>
      </c>
      <c r="O46" s="4">
        <f>+TD_tdj2!O46*240</f>
        <v>240</v>
      </c>
      <c r="P46" s="4">
        <f>+TD_tdj2!P46*240</f>
        <v>240</v>
      </c>
      <c r="Q46" s="4">
        <f>+TD_tdj2!Q46*240</f>
        <v>240</v>
      </c>
      <c r="R46" s="4">
        <f>+TD_tdj2!R46*240</f>
        <v>0</v>
      </c>
      <c r="S46" s="4">
        <f>+TD_tdj2!S46*240</f>
        <v>0</v>
      </c>
      <c r="T46" s="4">
        <f>+TD_tdj2!T46*240</f>
        <v>240</v>
      </c>
      <c r="U46" s="4">
        <f>+TD_tdj2!U46*240</f>
        <v>240</v>
      </c>
      <c r="V46" s="4">
        <f>+TD_tdj2!V46*240</f>
        <v>240</v>
      </c>
      <c r="W46" s="4">
        <f>+TD_tdj2!W46*240</f>
        <v>240</v>
      </c>
      <c r="X46" s="4">
        <f>+TD_tdj2!X46*240</f>
        <v>240</v>
      </c>
      <c r="Y46" s="4">
        <f>+TD_tdj2!Y46*240</f>
        <v>0</v>
      </c>
      <c r="Z46" s="4">
        <f>+TD_tdj2!Z46*240</f>
        <v>0</v>
      </c>
      <c r="AA46" s="4">
        <f>+TD_tdj2!AA46*240</f>
        <v>240</v>
      </c>
      <c r="AB46" s="4">
        <f>+TD_tdj2!AB46*240</f>
        <v>240</v>
      </c>
      <c r="AC46" s="4">
        <f>+TD_tdj2!AC46*240</f>
        <v>240</v>
      </c>
      <c r="AD46" s="4">
        <f>+TD_tdj2!AD46*240</f>
        <v>240</v>
      </c>
      <c r="AE46" s="4">
        <f>+TD_tdj2!AE46*240</f>
        <v>240</v>
      </c>
      <c r="AF46" s="4">
        <f>+TD_tdj2!AF46*240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BC46"/>
  <sheetViews>
    <sheetView workbookViewId="0">
      <selection activeCell="X8" sqref="X8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</cols>
  <sheetData>
    <row r="1" spans="1:55" ht="18.7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8.75" customHeight="1" x14ac:dyDescent="0.25">
      <c r="A2" s="3" t="str">
        <f>"T"&amp;_xlfn.SEQUENCE(36,1,1,1)</f>
        <v>T1</v>
      </c>
      <c r="B2" s="9">
        <f>+AD_tis!$BD2*AD_tis!B2*AD_tis!B$47</f>
        <v>0</v>
      </c>
      <c r="C2" s="10">
        <f>+AD_tis!$BD2*AD_tis!C2*AD_tis!C$47</f>
        <v>0</v>
      </c>
      <c r="D2" s="10">
        <f>+AD_tis!$BD2*AD_tis!D2*AD_tis!D$47</f>
        <v>0</v>
      </c>
      <c r="E2" s="10">
        <f>+AD_tis!$BD2*AD_tis!E2*AD_tis!E$47</f>
        <v>1</v>
      </c>
      <c r="F2" s="10">
        <f>+AD_tis!$BD2*AD_tis!F2*AD_tis!F$47</f>
        <v>0</v>
      </c>
      <c r="G2" s="10">
        <f>+AD_tis!$BD2*AD_tis!G2*AD_tis!G$47</f>
        <v>0</v>
      </c>
      <c r="H2" s="10">
        <f>+AD_tis!$BD2*AD_tis!H2*AD_tis!H$47</f>
        <v>0</v>
      </c>
      <c r="I2" s="10">
        <f>+AD_tis!$BD2*AD_tis!I2*AD_tis!I$47</f>
        <v>0</v>
      </c>
      <c r="J2" s="10">
        <f>+AD_tis!$BD2*AD_tis!J2*AD_tis!J$47</f>
        <v>1</v>
      </c>
      <c r="K2" s="10">
        <f>+AD_tis!$BD2*AD_tis!K2*AD_tis!K$47</f>
        <v>0</v>
      </c>
      <c r="L2" s="10">
        <f>+AD_tis!$BD2*AD_tis!L2*AD_tis!L$47</f>
        <v>1</v>
      </c>
      <c r="M2" s="10">
        <f>+AD_tis!$BD2*AD_tis!M2*AD_tis!M$47</f>
        <v>1</v>
      </c>
      <c r="N2" s="10">
        <f>+AD_tis!$BD2*AD_tis!N2*AD_tis!N$47</f>
        <v>1</v>
      </c>
      <c r="O2" s="10">
        <f>+AD_tis!$BD2*AD_tis!O2*AD_tis!O$47</f>
        <v>0</v>
      </c>
      <c r="P2" s="10">
        <f>+AD_tis!$BD2*AD_tis!P2*AD_tis!P$47</f>
        <v>0</v>
      </c>
      <c r="Q2" s="10">
        <f>+AD_tis!$BD2*AD_tis!Q2*AD_tis!Q$47</f>
        <v>0</v>
      </c>
      <c r="R2" s="11">
        <f>+AD_tis!$BD2*AD_tis!R2*AD_tis!R$47</f>
        <v>1</v>
      </c>
      <c r="S2" s="10">
        <f>+AD_tis!$BD2*AD_tis!S2*AD_tis!S$47</f>
        <v>0</v>
      </c>
      <c r="T2" s="10">
        <f>+AD_tis!$BD2*AD_tis!T2*AD_tis!T$47</f>
        <v>0</v>
      </c>
      <c r="U2" s="10">
        <f>+AD_tis!$BD2*AD_tis!U2*AD_tis!U$47</f>
        <v>0</v>
      </c>
      <c r="V2" s="10">
        <f>+AD_tis!$BD2*AD_tis!V2*AD_tis!V$47</f>
        <v>0</v>
      </c>
      <c r="W2" s="10">
        <f>+AD_tis!$BD2*AD_tis!W2*AD_tis!W$47</f>
        <v>0</v>
      </c>
      <c r="X2" s="10">
        <f>+AD_tis!$BD2*AD_tis!X2*AD_tis!X$47</f>
        <v>0</v>
      </c>
      <c r="Y2" s="10">
        <f>+AD_tis!$BD2*AD_tis!Y2*AD_tis!Y$47</f>
        <v>0</v>
      </c>
      <c r="Z2" s="10">
        <f>+AD_tis!$BD2*AD_tis!Z2*AD_tis!Z$47</f>
        <v>0</v>
      </c>
      <c r="AA2" s="10">
        <f>+AD_tis!$BD2*AD_tis!AA2*AD_tis!AA$47</f>
        <v>0</v>
      </c>
      <c r="AB2" s="10">
        <f>+AD_tis!$BD2*AD_tis!AB2*AD_tis!AB$47</f>
        <v>0</v>
      </c>
      <c r="AC2" s="9">
        <f>+AD_tis!$BD2*AD_tis!AC2*AD_tis!AC$47</f>
        <v>0</v>
      </c>
      <c r="AD2" s="10">
        <f>+AD_tis!$BD2*AD_tis!AD2*AD_tis!AD$47</f>
        <v>0</v>
      </c>
      <c r="AE2" s="10">
        <f>+AD_tis!$BD2*AD_tis!AE2*AD_tis!AE$47</f>
        <v>0</v>
      </c>
      <c r="AF2" s="10">
        <f>+AD_tis!$BD2*AD_tis!AF2*AD_tis!AF$47</f>
        <v>0</v>
      </c>
      <c r="AG2" s="10">
        <f>+AD_tis!$BD2*AD_tis!AG2*AD_tis!AG$47</f>
        <v>0</v>
      </c>
      <c r="AH2" s="10">
        <f>+AD_tis!$BD2*AD_tis!AH2*AD_tis!AH$47</f>
        <v>0</v>
      </c>
      <c r="AI2" s="10">
        <f>+AD_tis!$BD2*AD_tis!AI2*AD_tis!AI$47</f>
        <v>0</v>
      </c>
      <c r="AJ2" s="10">
        <f>+AD_tis!$BD2*AD_tis!AJ2*AD_tis!AJ$47</f>
        <v>0</v>
      </c>
      <c r="AK2" s="10">
        <f>+AD_tis!$BD2*AD_tis!AK2*AD_tis!AK$47</f>
        <v>0</v>
      </c>
      <c r="AL2" s="10">
        <f>+AD_tis!$BD2*AD_tis!AL2*AD_tis!AL$47</f>
        <v>0</v>
      </c>
      <c r="AM2" s="11">
        <f>+AD_tis!$BD2*AD_tis!AM2*AD_tis!AM$47</f>
        <v>0</v>
      </c>
      <c r="AN2" s="10">
        <f>+AD_tis!$BD2*AD_tis!AN2*AD_tis!AN$47</f>
        <v>0</v>
      </c>
      <c r="AO2" s="10">
        <f>+AD_tis!$BD2*AD_tis!AO2*AD_tis!AO$47</f>
        <v>0</v>
      </c>
      <c r="AP2" s="10">
        <f>+AD_tis!$BD2*AD_tis!AP2*AD_tis!AP$47</f>
        <v>1</v>
      </c>
      <c r="AQ2" s="10">
        <f>+AD_tis!$BD2*AD_tis!AQ2*AD_tis!AQ$47</f>
        <v>0</v>
      </c>
      <c r="AR2" s="10">
        <f>+AD_tis!$BD2*AD_tis!AR2*AD_tis!AR$47</f>
        <v>0</v>
      </c>
      <c r="AS2" s="10">
        <f>+AD_tis!$BD2*AD_tis!AS2*AD_tis!AS$47</f>
        <v>0</v>
      </c>
      <c r="AT2" s="10">
        <f>+AD_tis!$BD2*AD_tis!AT2*AD_tis!AT$47</f>
        <v>0</v>
      </c>
      <c r="AU2" s="10">
        <f>+AD_tis!$BD2*AD_tis!AU2*AD_tis!AU$47</f>
        <v>0</v>
      </c>
      <c r="AV2" s="10">
        <f>+AD_tis!$BD2*AD_tis!AV2*AD_tis!AV$47</f>
        <v>0</v>
      </c>
      <c r="AW2" s="9">
        <f>+AD_tis!$BD2*AD_tis!AW2*AD_tis!AW$47</f>
        <v>0</v>
      </c>
      <c r="AX2" s="11">
        <f>+AD_tis!$BD2*AD_tis!AX2*AD_tis!AX$47</f>
        <v>1</v>
      </c>
      <c r="AY2" s="10">
        <f>+AD_tis!$BD2*AD_tis!AY2*AD_tis!AY$47</f>
        <v>0</v>
      </c>
      <c r="AZ2" s="10">
        <f>+AD_tis!$BD2*AD_tis!AZ2*AD_tis!AZ$47</f>
        <v>0</v>
      </c>
      <c r="BA2" s="9">
        <f>+AD_tis!$BD2*AD_tis!BA2*AD_tis!BA$47</f>
        <v>0</v>
      </c>
      <c r="BB2" s="10">
        <f>+AD_tis!$BD2*AD_tis!BB2*AD_tis!BB$47</f>
        <v>0</v>
      </c>
      <c r="BC2" s="11">
        <f>+AD_tis!$BD2*AD_tis!BC2*AD_tis!BC$47</f>
        <v>0</v>
      </c>
    </row>
    <row r="3" spans="1:55" ht="18.75" customHeight="1" x14ac:dyDescent="0.25">
      <c r="A3" s="5" t="s">
        <v>54</v>
      </c>
      <c r="B3" s="12">
        <f>+AD_tis!$BD3*AD_tis!B3*AD_tis!B$47</f>
        <v>0</v>
      </c>
      <c r="C3" s="4">
        <f>+AD_tis!$BD3*AD_tis!C3*AD_tis!C$47</f>
        <v>0</v>
      </c>
      <c r="D3" s="4">
        <f>+AD_tis!$BD3*AD_tis!D3*AD_tis!D$47</f>
        <v>0</v>
      </c>
      <c r="E3" s="4">
        <f>+AD_tis!$BD3*AD_tis!E3*AD_tis!E$47</f>
        <v>1</v>
      </c>
      <c r="F3" s="4">
        <f>+AD_tis!$BD3*AD_tis!F3*AD_tis!F$47</f>
        <v>0</v>
      </c>
      <c r="G3" s="4">
        <f>+AD_tis!$BD3*AD_tis!G3*AD_tis!G$47</f>
        <v>0</v>
      </c>
      <c r="H3" s="4">
        <f>+AD_tis!$BD3*AD_tis!H3*AD_tis!H$47</f>
        <v>0</v>
      </c>
      <c r="I3" s="4">
        <f>+AD_tis!$BD3*AD_tis!I3*AD_tis!I$47</f>
        <v>0</v>
      </c>
      <c r="J3" s="4">
        <f>+AD_tis!$BD3*AD_tis!J3*AD_tis!J$47</f>
        <v>1</v>
      </c>
      <c r="K3" s="4">
        <f>+AD_tis!$BD3*AD_tis!K3*AD_tis!K$47</f>
        <v>0</v>
      </c>
      <c r="L3" s="4">
        <f>+AD_tis!$BD3*AD_tis!L3*AD_tis!L$47</f>
        <v>1</v>
      </c>
      <c r="M3" s="4">
        <f>+AD_tis!$BD3*AD_tis!M3*AD_tis!M$47</f>
        <v>1</v>
      </c>
      <c r="N3" s="4">
        <f>+AD_tis!$BD3*AD_tis!N3*AD_tis!N$47</f>
        <v>1</v>
      </c>
      <c r="O3" s="4">
        <f>+AD_tis!$BD3*AD_tis!O3*AD_tis!O$47</f>
        <v>0</v>
      </c>
      <c r="P3" s="4">
        <f>+AD_tis!$BD3*AD_tis!P3*AD_tis!P$47</f>
        <v>0</v>
      </c>
      <c r="Q3" s="4">
        <f>+AD_tis!$BD3*AD_tis!Q3*AD_tis!Q$47</f>
        <v>0</v>
      </c>
      <c r="R3" s="13">
        <f>+AD_tis!$BD3*AD_tis!R3*AD_tis!R$47</f>
        <v>1</v>
      </c>
      <c r="S3" s="4">
        <f>+AD_tis!$BD3*AD_tis!S3*AD_tis!S$47</f>
        <v>0</v>
      </c>
      <c r="T3" s="4">
        <f>+AD_tis!$BD3*AD_tis!T3*AD_tis!T$47</f>
        <v>0</v>
      </c>
      <c r="U3" s="4">
        <f>+AD_tis!$BD3*AD_tis!U3*AD_tis!U$47</f>
        <v>0</v>
      </c>
      <c r="V3" s="4">
        <f>+AD_tis!$BD3*AD_tis!V3*AD_tis!V$47</f>
        <v>0</v>
      </c>
      <c r="W3" s="4">
        <f>+AD_tis!$BD3*AD_tis!W3*AD_tis!W$47</f>
        <v>0</v>
      </c>
      <c r="X3" s="4">
        <f>+AD_tis!$BD3*AD_tis!X3*AD_tis!X$47</f>
        <v>0</v>
      </c>
      <c r="Y3" s="4">
        <f>+AD_tis!$BD3*AD_tis!Y3*AD_tis!Y$47</f>
        <v>0</v>
      </c>
      <c r="Z3" s="4">
        <f>+AD_tis!$BD3*AD_tis!Z3*AD_tis!Z$47</f>
        <v>0</v>
      </c>
      <c r="AA3" s="4">
        <f>+AD_tis!$BD3*AD_tis!AA3*AD_tis!AA$47</f>
        <v>0</v>
      </c>
      <c r="AB3" s="4">
        <f>+AD_tis!$BD3*AD_tis!AB3*AD_tis!AB$47</f>
        <v>0</v>
      </c>
      <c r="AC3" s="12">
        <f>+AD_tis!$BD3*AD_tis!AC3*AD_tis!AC$47</f>
        <v>0</v>
      </c>
      <c r="AD3" s="4">
        <f>+AD_tis!$BD3*AD_tis!AD3*AD_tis!AD$47</f>
        <v>0</v>
      </c>
      <c r="AE3" s="4">
        <f>+AD_tis!$BD3*AD_tis!AE3*AD_tis!AE$47</f>
        <v>0</v>
      </c>
      <c r="AF3" s="4">
        <f>+AD_tis!$BD3*AD_tis!AF3*AD_tis!AF$47</f>
        <v>0</v>
      </c>
      <c r="AG3" s="4">
        <f>+AD_tis!$BD3*AD_tis!AG3*AD_tis!AG$47</f>
        <v>0</v>
      </c>
      <c r="AH3" s="4">
        <f>+AD_tis!$BD3*AD_tis!AH3*AD_tis!AH$47</f>
        <v>0</v>
      </c>
      <c r="AI3" s="4">
        <f>+AD_tis!$BD3*AD_tis!AI3*AD_tis!AI$47</f>
        <v>0</v>
      </c>
      <c r="AJ3" s="4">
        <f>+AD_tis!$BD3*AD_tis!AJ3*AD_tis!AJ$47</f>
        <v>0</v>
      </c>
      <c r="AK3" s="4">
        <f>+AD_tis!$BD3*AD_tis!AK3*AD_tis!AK$47</f>
        <v>0</v>
      </c>
      <c r="AL3" s="4">
        <f>+AD_tis!$BD3*AD_tis!AL3*AD_tis!AL$47</f>
        <v>0</v>
      </c>
      <c r="AM3" s="13">
        <f>+AD_tis!$BD3*AD_tis!AM3*AD_tis!AM$47</f>
        <v>0</v>
      </c>
      <c r="AN3" s="4">
        <f>+AD_tis!$BD3*AD_tis!AN3*AD_tis!AN$47</f>
        <v>0</v>
      </c>
      <c r="AO3" s="4">
        <f>+AD_tis!$BD3*AD_tis!AO3*AD_tis!AO$47</f>
        <v>0</v>
      </c>
      <c r="AP3" s="4">
        <f>+AD_tis!$BD3*AD_tis!AP3*AD_tis!AP$47</f>
        <v>1</v>
      </c>
      <c r="AQ3" s="4">
        <f>+AD_tis!$BD3*AD_tis!AQ3*AD_tis!AQ$47</f>
        <v>0</v>
      </c>
      <c r="AR3" s="4">
        <f>+AD_tis!$BD3*AD_tis!AR3*AD_tis!AR$47</f>
        <v>0</v>
      </c>
      <c r="AS3" s="4">
        <f>+AD_tis!$BD3*AD_tis!AS3*AD_tis!AS$47</f>
        <v>0</v>
      </c>
      <c r="AT3" s="4">
        <f>+AD_tis!$BD3*AD_tis!AT3*AD_tis!AT$47</f>
        <v>0</v>
      </c>
      <c r="AU3" s="4">
        <f>+AD_tis!$BD3*AD_tis!AU3*AD_tis!AU$47</f>
        <v>0</v>
      </c>
      <c r="AV3" s="4">
        <f>+AD_tis!$BD3*AD_tis!AV3*AD_tis!AV$47</f>
        <v>0</v>
      </c>
      <c r="AW3" s="12">
        <f>+AD_tis!$BD3*AD_tis!AW3*AD_tis!AW$47</f>
        <v>0</v>
      </c>
      <c r="AX3" s="13">
        <f>+AD_tis!$BD3*AD_tis!AX3*AD_tis!AX$47</f>
        <v>1</v>
      </c>
      <c r="AY3" s="4">
        <f>+AD_tis!$BD3*AD_tis!AY3*AD_tis!AY$47</f>
        <v>0</v>
      </c>
      <c r="AZ3" s="4">
        <f>+AD_tis!$BD3*AD_tis!AZ3*AD_tis!AZ$47</f>
        <v>0</v>
      </c>
      <c r="BA3" s="12">
        <f>+AD_tis!$BD3*AD_tis!BA3*AD_tis!BA$47</f>
        <v>0</v>
      </c>
      <c r="BB3" s="4">
        <f>+AD_tis!$BD3*AD_tis!BB3*AD_tis!BB$47</f>
        <v>0</v>
      </c>
      <c r="BC3" s="13">
        <f>+AD_tis!$BD3*AD_tis!BC3*AD_tis!BC$47</f>
        <v>0</v>
      </c>
    </row>
    <row r="4" spans="1:55" ht="18.75" customHeight="1" x14ac:dyDescent="0.25">
      <c r="A4" s="5" t="s">
        <v>55</v>
      </c>
      <c r="B4" s="12">
        <f>+AD_tis!$BD4*AD_tis!B4*AD_tis!B$47</f>
        <v>0</v>
      </c>
      <c r="C4" s="4">
        <f>+AD_tis!$BD4*AD_tis!C4*AD_tis!C$47</f>
        <v>0</v>
      </c>
      <c r="D4" s="4">
        <f>+AD_tis!$BD4*AD_tis!D4*AD_tis!D$47</f>
        <v>0</v>
      </c>
      <c r="E4" s="4">
        <f>+AD_tis!$BD4*AD_tis!E4*AD_tis!E$47</f>
        <v>1</v>
      </c>
      <c r="F4" s="4">
        <f>+AD_tis!$BD4*AD_tis!F4*AD_tis!F$47</f>
        <v>0</v>
      </c>
      <c r="G4" s="4">
        <f>+AD_tis!$BD4*AD_tis!G4*AD_tis!G$47</f>
        <v>0</v>
      </c>
      <c r="H4" s="4">
        <f>+AD_tis!$BD4*AD_tis!H4*AD_tis!H$47</f>
        <v>0</v>
      </c>
      <c r="I4" s="4">
        <f>+AD_tis!$BD4*AD_tis!I4*AD_tis!I$47</f>
        <v>0</v>
      </c>
      <c r="J4" s="4">
        <f>+AD_tis!$BD4*AD_tis!J4*AD_tis!J$47</f>
        <v>1</v>
      </c>
      <c r="K4" s="4">
        <f>+AD_tis!$BD4*AD_tis!K4*AD_tis!K$47</f>
        <v>0</v>
      </c>
      <c r="L4" s="4">
        <f>+AD_tis!$BD4*AD_tis!L4*AD_tis!L$47</f>
        <v>1</v>
      </c>
      <c r="M4" s="4">
        <f>+AD_tis!$BD4*AD_tis!M4*AD_tis!M$47</f>
        <v>1</v>
      </c>
      <c r="N4" s="4">
        <f>+AD_tis!$BD4*AD_tis!N4*AD_tis!N$47</f>
        <v>1</v>
      </c>
      <c r="O4" s="4">
        <f>+AD_tis!$BD4*AD_tis!O4*AD_tis!O$47</f>
        <v>0</v>
      </c>
      <c r="P4" s="4">
        <f>+AD_tis!$BD4*AD_tis!P4*AD_tis!P$47</f>
        <v>0</v>
      </c>
      <c r="Q4" s="4">
        <f>+AD_tis!$BD4*AD_tis!Q4*AD_tis!Q$47</f>
        <v>0</v>
      </c>
      <c r="R4" s="13">
        <f>+AD_tis!$BD4*AD_tis!R4*AD_tis!R$47</f>
        <v>1</v>
      </c>
      <c r="S4" s="4">
        <f>+AD_tis!$BD4*AD_tis!S4*AD_tis!S$47</f>
        <v>0</v>
      </c>
      <c r="T4" s="4">
        <f>+AD_tis!$BD4*AD_tis!T4*AD_tis!T$47</f>
        <v>0</v>
      </c>
      <c r="U4" s="4">
        <f>+AD_tis!$BD4*AD_tis!U4*AD_tis!U$47</f>
        <v>0</v>
      </c>
      <c r="V4" s="4">
        <f>+AD_tis!$BD4*AD_tis!V4*AD_tis!V$47</f>
        <v>0</v>
      </c>
      <c r="W4" s="4">
        <f>+AD_tis!$BD4*AD_tis!W4*AD_tis!W$47</f>
        <v>0</v>
      </c>
      <c r="X4" s="4">
        <f>+AD_tis!$BD4*AD_tis!X4*AD_tis!X$47</f>
        <v>0</v>
      </c>
      <c r="Y4" s="4">
        <f>+AD_tis!$BD4*AD_tis!Y4*AD_tis!Y$47</f>
        <v>0</v>
      </c>
      <c r="Z4" s="4">
        <f>+AD_tis!$BD4*AD_tis!Z4*AD_tis!Z$47</f>
        <v>0</v>
      </c>
      <c r="AA4" s="4">
        <f>+AD_tis!$BD4*AD_tis!AA4*AD_tis!AA$47</f>
        <v>0</v>
      </c>
      <c r="AB4" s="4">
        <f>+AD_tis!$BD4*AD_tis!AB4*AD_tis!AB$47</f>
        <v>0</v>
      </c>
      <c r="AC4" s="12">
        <f>+AD_tis!$BD4*AD_tis!AC4*AD_tis!AC$47</f>
        <v>0</v>
      </c>
      <c r="AD4" s="4">
        <f>+AD_tis!$BD4*AD_tis!AD4*AD_tis!AD$47</f>
        <v>0</v>
      </c>
      <c r="AE4" s="4">
        <f>+AD_tis!$BD4*AD_tis!AE4*AD_tis!AE$47</f>
        <v>0</v>
      </c>
      <c r="AF4" s="4">
        <f>+AD_tis!$BD4*AD_tis!AF4*AD_tis!AF$47</f>
        <v>0</v>
      </c>
      <c r="AG4" s="4">
        <f>+AD_tis!$BD4*AD_tis!AG4*AD_tis!AG$47</f>
        <v>0</v>
      </c>
      <c r="AH4" s="4">
        <f>+AD_tis!$BD4*AD_tis!AH4*AD_tis!AH$47</f>
        <v>0</v>
      </c>
      <c r="AI4" s="4">
        <f>+AD_tis!$BD4*AD_tis!AI4*AD_tis!AI$47</f>
        <v>0</v>
      </c>
      <c r="AJ4" s="4">
        <f>+AD_tis!$BD4*AD_tis!AJ4*AD_tis!AJ$47</f>
        <v>0</v>
      </c>
      <c r="AK4" s="4">
        <f>+AD_tis!$BD4*AD_tis!AK4*AD_tis!AK$47</f>
        <v>0</v>
      </c>
      <c r="AL4" s="4">
        <f>+AD_tis!$BD4*AD_tis!AL4*AD_tis!AL$47</f>
        <v>1</v>
      </c>
      <c r="AM4" s="13">
        <f>+AD_tis!$BD4*AD_tis!AM4*AD_tis!AM$47</f>
        <v>0</v>
      </c>
      <c r="AN4" s="4">
        <f>+AD_tis!$BD4*AD_tis!AN4*AD_tis!AN$47</f>
        <v>0</v>
      </c>
      <c r="AO4" s="4">
        <f>+AD_tis!$BD4*AD_tis!AO4*AD_tis!AO$47</f>
        <v>0</v>
      </c>
      <c r="AP4" s="4">
        <f>+AD_tis!$BD4*AD_tis!AP4*AD_tis!AP$47</f>
        <v>1</v>
      </c>
      <c r="AQ4" s="4">
        <f>+AD_tis!$BD4*AD_tis!AQ4*AD_tis!AQ$47</f>
        <v>1</v>
      </c>
      <c r="AR4" s="4">
        <f>+AD_tis!$BD4*AD_tis!AR4*AD_tis!AR$47</f>
        <v>0</v>
      </c>
      <c r="AS4" s="4">
        <f>+AD_tis!$BD4*AD_tis!AS4*AD_tis!AS$47</f>
        <v>0</v>
      </c>
      <c r="AT4" s="4">
        <f>+AD_tis!$BD4*AD_tis!AT4*AD_tis!AT$47</f>
        <v>0</v>
      </c>
      <c r="AU4" s="4">
        <f>+AD_tis!$BD4*AD_tis!AU4*AD_tis!AU$47</f>
        <v>0</v>
      </c>
      <c r="AV4" s="4">
        <f>+AD_tis!$BD4*AD_tis!AV4*AD_tis!AV$47</f>
        <v>0</v>
      </c>
      <c r="AW4" s="12">
        <f>+AD_tis!$BD4*AD_tis!AW4*AD_tis!AW$47</f>
        <v>0</v>
      </c>
      <c r="AX4" s="13">
        <f>+AD_tis!$BD4*AD_tis!AX4*AD_tis!AX$47</f>
        <v>1</v>
      </c>
      <c r="AY4" s="4">
        <f>+AD_tis!$BD4*AD_tis!AY4*AD_tis!AY$47</f>
        <v>0</v>
      </c>
      <c r="AZ4" s="4">
        <f>+AD_tis!$BD4*AD_tis!AZ4*AD_tis!AZ$47</f>
        <v>0</v>
      </c>
      <c r="BA4" s="12">
        <f>+AD_tis!$BD4*AD_tis!BA4*AD_tis!BA$47</f>
        <v>0</v>
      </c>
      <c r="BB4" s="4">
        <f>+AD_tis!$BD4*AD_tis!BB4*AD_tis!BB$47</f>
        <v>0</v>
      </c>
      <c r="BC4" s="13">
        <f>+AD_tis!$BD4*AD_tis!BC4*AD_tis!BC$47</f>
        <v>0</v>
      </c>
    </row>
    <row r="5" spans="1:55" ht="18.75" customHeight="1" x14ac:dyDescent="0.25">
      <c r="A5" s="5" t="s">
        <v>56</v>
      </c>
      <c r="B5" s="12">
        <f>+AD_tis!$BD5*AD_tis!B5*AD_tis!B$47</f>
        <v>0</v>
      </c>
      <c r="C5" s="4">
        <f>+AD_tis!$BD5*AD_tis!C5*AD_tis!C$47</f>
        <v>0</v>
      </c>
      <c r="D5" s="4">
        <f>+AD_tis!$BD5*AD_tis!D5*AD_tis!D$47</f>
        <v>0</v>
      </c>
      <c r="E5" s="4">
        <f>+AD_tis!$BD5*AD_tis!E5*AD_tis!E$47</f>
        <v>1</v>
      </c>
      <c r="F5" s="4">
        <f>+AD_tis!$BD5*AD_tis!F5*AD_tis!F$47</f>
        <v>0</v>
      </c>
      <c r="G5" s="4">
        <f>+AD_tis!$BD5*AD_tis!G5*AD_tis!G$47</f>
        <v>0</v>
      </c>
      <c r="H5" s="4">
        <f>+AD_tis!$BD5*AD_tis!H5*AD_tis!H$47</f>
        <v>0</v>
      </c>
      <c r="I5" s="4">
        <f>+AD_tis!$BD5*AD_tis!I5*AD_tis!I$47</f>
        <v>0</v>
      </c>
      <c r="J5" s="4">
        <f>+AD_tis!$BD5*AD_tis!J5*AD_tis!J$47</f>
        <v>1</v>
      </c>
      <c r="K5" s="4">
        <f>+AD_tis!$BD5*AD_tis!K5*AD_tis!K$47</f>
        <v>0</v>
      </c>
      <c r="L5" s="4">
        <f>+AD_tis!$BD5*AD_tis!L5*AD_tis!L$47</f>
        <v>1</v>
      </c>
      <c r="M5" s="4">
        <f>+AD_tis!$BD5*AD_tis!M5*AD_tis!M$47</f>
        <v>1</v>
      </c>
      <c r="N5" s="4">
        <f>+AD_tis!$BD5*AD_tis!N5*AD_tis!N$47</f>
        <v>1</v>
      </c>
      <c r="O5" s="4">
        <f>+AD_tis!$BD5*AD_tis!O5*AD_tis!O$47</f>
        <v>0</v>
      </c>
      <c r="P5" s="4">
        <f>+AD_tis!$BD5*AD_tis!P5*AD_tis!P$47</f>
        <v>0</v>
      </c>
      <c r="Q5" s="4">
        <f>+AD_tis!$BD5*AD_tis!Q5*AD_tis!Q$47</f>
        <v>0</v>
      </c>
      <c r="R5" s="13">
        <f>+AD_tis!$BD5*AD_tis!R5*AD_tis!R$47</f>
        <v>1</v>
      </c>
      <c r="S5" s="4">
        <f>+AD_tis!$BD5*AD_tis!S5*AD_tis!S$47</f>
        <v>0</v>
      </c>
      <c r="T5" s="4">
        <f>+AD_tis!$BD5*AD_tis!T5*AD_tis!T$47</f>
        <v>0</v>
      </c>
      <c r="U5" s="4">
        <f>+AD_tis!$BD5*AD_tis!U5*AD_tis!U$47</f>
        <v>0</v>
      </c>
      <c r="V5" s="4">
        <f>+AD_tis!$BD5*AD_tis!V5*AD_tis!V$47</f>
        <v>0</v>
      </c>
      <c r="W5" s="4">
        <f>+AD_tis!$BD5*AD_tis!W5*AD_tis!W$47</f>
        <v>0</v>
      </c>
      <c r="X5" s="4">
        <f>+AD_tis!$BD5*AD_tis!X5*AD_tis!X$47</f>
        <v>0</v>
      </c>
      <c r="Y5" s="4">
        <f>+AD_tis!$BD5*AD_tis!Y5*AD_tis!Y$47</f>
        <v>0</v>
      </c>
      <c r="Z5" s="4">
        <f>+AD_tis!$BD5*AD_tis!Z5*AD_tis!Z$47</f>
        <v>0</v>
      </c>
      <c r="AA5" s="4">
        <f>+AD_tis!$BD5*AD_tis!AA5*AD_tis!AA$47</f>
        <v>0</v>
      </c>
      <c r="AB5" s="4">
        <f>+AD_tis!$BD5*AD_tis!AB5*AD_tis!AB$47</f>
        <v>0</v>
      </c>
      <c r="AC5" s="12">
        <f>+AD_tis!$BD5*AD_tis!AC5*AD_tis!AC$47</f>
        <v>0</v>
      </c>
      <c r="AD5" s="4">
        <f>+AD_tis!$BD5*AD_tis!AD5*AD_tis!AD$47</f>
        <v>0</v>
      </c>
      <c r="AE5" s="4">
        <f>+AD_tis!$BD5*AD_tis!AE5*AD_tis!AE$47</f>
        <v>0</v>
      </c>
      <c r="AF5" s="4">
        <f>+AD_tis!$BD5*AD_tis!AF5*AD_tis!AF$47</f>
        <v>0</v>
      </c>
      <c r="AG5" s="4">
        <f>+AD_tis!$BD5*AD_tis!AG5*AD_tis!AG$47</f>
        <v>0</v>
      </c>
      <c r="AH5" s="4">
        <f>+AD_tis!$BD5*AD_tis!AH5*AD_tis!AH$47</f>
        <v>0</v>
      </c>
      <c r="AI5" s="4">
        <f>+AD_tis!$BD5*AD_tis!AI5*AD_tis!AI$47</f>
        <v>0</v>
      </c>
      <c r="AJ5" s="4">
        <f>+AD_tis!$BD5*AD_tis!AJ5*AD_tis!AJ$47</f>
        <v>0</v>
      </c>
      <c r="AK5" s="4">
        <f>+AD_tis!$BD5*AD_tis!AK5*AD_tis!AK$47</f>
        <v>0</v>
      </c>
      <c r="AL5" s="4">
        <f>+AD_tis!$BD5*AD_tis!AL5*AD_tis!AL$47</f>
        <v>0</v>
      </c>
      <c r="AM5" s="13">
        <f>+AD_tis!$BD5*AD_tis!AM5*AD_tis!AM$47</f>
        <v>0</v>
      </c>
      <c r="AN5" s="4">
        <f>+AD_tis!$BD5*AD_tis!AN5*AD_tis!AN$47</f>
        <v>0</v>
      </c>
      <c r="AO5" s="4">
        <f>+AD_tis!$BD5*AD_tis!AO5*AD_tis!AO$47</f>
        <v>0</v>
      </c>
      <c r="AP5" s="4">
        <f>+AD_tis!$BD5*AD_tis!AP5*AD_tis!AP$47</f>
        <v>1</v>
      </c>
      <c r="AQ5" s="4">
        <f>+AD_tis!$BD5*AD_tis!AQ5*AD_tis!AQ$47</f>
        <v>1</v>
      </c>
      <c r="AR5" s="4">
        <f>+AD_tis!$BD5*AD_tis!AR5*AD_tis!AR$47</f>
        <v>0</v>
      </c>
      <c r="AS5" s="4">
        <f>+AD_tis!$BD5*AD_tis!AS5*AD_tis!AS$47</f>
        <v>0</v>
      </c>
      <c r="AT5" s="4">
        <f>+AD_tis!$BD5*AD_tis!AT5*AD_tis!AT$47</f>
        <v>0</v>
      </c>
      <c r="AU5" s="4">
        <f>+AD_tis!$BD5*AD_tis!AU5*AD_tis!AU$47</f>
        <v>0</v>
      </c>
      <c r="AV5" s="4">
        <f>+AD_tis!$BD5*AD_tis!AV5*AD_tis!AV$47</f>
        <v>0</v>
      </c>
      <c r="AW5" s="12">
        <f>+AD_tis!$BD5*AD_tis!AW5*AD_tis!AW$47</f>
        <v>0</v>
      </c>
      <c r="AX5" s="13">
        <f>+AD_tis!$BD5*AD_tis!AX5*AD_tis!AX$47</f>
        <v>1</v>
      </c>
      <c r="AY5" s="4">
        <f>+AD_tis!$BD5*AD_tis!AY5*AD_tis!AY$47</f>
        <v>0</v>
      </c>
      <c r="AZ5" s="4">
        <f>+AD_tis!$BD5*AD_tis!AZ5*AD_tis!AZ$47</f>
        <v>0</v>
      </c>
      <c r="BA5" s="12">
        <f>+AD_tis!$BD5*AD_tis!BA5*AD_tis!BA$47</f>
        <v>0</v>
      </c>
      <c r="BB5" s="4">
        <f>+AD_tis!$BD5*AD_tis!BB5*AD_tis!BB$47</f>
        <v>0</v>
      </c>
      <c r="BC5" s="13">
        <f>+AD_tis!$BD5*AD_tis!BC5*AD_tis!BC$47</f>
        <v>0</v>
      </c>
    </row>
    <row r="6" spans="1:55" ht="18.75" customHeight="1" x14ac:dyDescent="0.25">
      <c r="A6" s="5" t="s">
        <v>57</v>
      </c>
      <c r="B6" s="12">
        <f>+AD_tis!$BD6*AD_tis!B6*AD_tis!B$47</f>
        <v>0</v>
      </c>
      <c r="C6" s="4">
        <f>+AD_tis!$BD6*AD_tis!C6*AD_tis!C$47</f>
        <v>0</v>
      </c>
      <c r="D6" s="4">
        <f>+AD_tis!$BD6*AD_tis!D6*AD_tis!D$47</f>
        <v>1</v>
      </c>
      <c r="E6" s="4">
        <f>+AD_tis!$BD6*AD_tis!E6*AD_tis!E$47</f>
        <v>0</v>
      </c>
      <c r="F6" s="4">
        <f>+AD_tis!$BD6*AD_tis!F6*AD_tis!F$47</f>
        <v>0</v>
      </c>
      <c r="G6" s="4">
        <f>+AD_tis!$BD6*AD_tis!G6*AD_tis!G$47</f>
        <v>0</v>
      </c>
      <c r="H6" s="4">
        <f>+AD_tis!$BD6*AD_tis!H6*AD_tis!H$47</f>
        <v>0</v>
      </c>
      <c r="I6" s="4">
        <f>+AD_tis!$BD6*AD_tis!I6*AD_tis!I$47</f>
        <v>0</v>
      </c>
      <c r="J6" s="4">
        <f>+AD_tis!$BD6*AD_tis!J6*AD_tis!J$47</f>
        <v>1</v>
      </c>
      <c r="K6" s="4">
        <f>+AD_tis!$BD6*AD_tis!K6*AD_tis!K$47</f>
        <v>0</v>
      </c>
      <c r="L6" s="4">
        <f>+AD_tis!$BD6*AD_tis!L6*AD_tis!L$47</f>
        <v>1</v>
      </c>
      <c r="M6" s="4">
        <f>+AD_tis!$BD6*AD_tis!M6*AD_tis!M$47</f>
        <v>1</v>
      </c>
      <c r="N6" s="4">
        <f>+AD_tis!$BD6*AD_tis!N6*AD_tis!N$47</f>
        <v>1</v>
      </c>
      <c r="O6" s="4">
        <f>+AD_tis!$BD6*AD_tis!O6*AD_tis!O$47</f>
        <v>0</v>
      </c>
      <c r="P6" s="4">
        <f>+AD_tis!$BD6*AD_tis!P6*AD_tis!P$47</f>
        <v>0</v>
      </c>
      <c r="Q6" s="4">
        <f>+AD_tis!$BD6*AD_tis!Q6*AD_tis!Q$47</f>
        <v>0</v>
      </c>
      <c r="R6" s="13">
        <f>+AD_tis!$BD6*AD_tis!R6*AD_tis!R$47</f>
        <v>0</v>
      </c>
      <c r="S6" s="4">
        <f>+AD_tis!$BD6*AD_tis!S6*AD_tis!S$47</f>
        <v>0</v>
      </c>
      <c r="T6" s="4">
        <f>+AD_tis!$BD6*AD_tis!T6*AD_tis!T$47</f>
        <v>0</v>
      </c>
      <c r="U6" s="4">
        <f>+AD_tis!$BD6*AD_tis!U6*AD_tis!U$47</f>
        <v>0</v>
      </c>
      <c r="V6" s="4">
        <f>+AD_tis!$BD6*AD_tis!V6*AD_tis!V$47</f>
        <v>0</v>
      </c>
      <c r="W6" s="4">
        <f>+AD_tis!$BD6*AD_tis!W6*AD_tis!W$47</f>
        <v>0</v>
      </c>
      <c r="X6" s="4">
        <f>+AD_tis!$BD6*AD_tis!X6*AD_tis!X$47</f>
        <v>0</v>
      </c>
      <c r="Y6" s="4">
        <f>+AD_tis!$BD6*AD_tis!Y6*AD_tis!Y$47</f>
        <v>0</v>
      </c>
      <c r="Z6" s="4">
        <f>+AD_tis!$BD6*AD_tis!Z6*AD_tis!Z$47</f>
        <v>0</v>
      </c>
      <c r="AA6" s="4">
        <f>+AD_tis!$BD6*AD_tis!AA6*AD_tis!AA$47</f>
        <v>0</v>
      </c>
      <c r="AB6" s="4">
        <f>+AD_tis!$BD6*AD_tis!AB6*AD_tis!AB$47</f>
        <v>0</v>
      </c>
      <c r="AC6" s="12">
        <f>+AD_tis!$BD6*AD_tis!AC6*AD_tis!AC$47</f>
        <v>0</v>
      </c>
      <c r="AD6" s="4">
        <f>+AD_tis!$BD6*AD_tis!AD6*AD_tis!AD$47</f>
        <v>0</v>
      </c>
      <c r="AE6" s="4">
        <f>+AD_tis!$BD6*AD_tis!AE6*AD_tis!AE$47</f>
        <v>0</v>
      </c>
      <c r="AF6" s="4">
        <f>+AD_tis!$BD6*AD_tis!AF6*AD_tis!AF$47</f>
        <v>0</v>
      </c>
      <c r="AG6" s="4">
        <f>+AD_tis!$BD6*AD_tis!AG6*AD_tis!AG$47</f>
        <v>0</v>
      </c>
      <c r="AH6" s="4">
        <f>+AD_tis!$BD6*AD_tis!AH6*AD_tis!AH$47</f>
        <v>0</v>
      </c>
      <c r="AI6" s="4">
        <f>+AD_tis!$BD6*AD_tis!AI6*AD_tis!AI$47</f>
        <v>0</v>
      </c>
      <c r="AJ6" s="4">
        <f>+AD_tis!$BD6*AD_tis!AJ6*AD_tis!AJ$47</f>
        <v>0</v>
      </c>
      <c r="AK6" s="4">
        <f>+AD_tis!$BD6*AD_tis!AK6*AD_tis!AK$47</f>
        <v>0</v>
      </c>
      <c r="AL6" s="4">
        <f>+AD_tis!$BD6*AD_tis!AL6*AD_tis!AL$47</f>
        <v>0</v>
      </c>
      <c r="AM6" s="13">
        <f>+AD_tis!$BD6*AD_tis!AM6*AD_tis!AM$47</f>
        <v>0</v>
      </c>
      <c r="AN6" s="4">
        <f>+AD_tis!$BD6*AD_tis!AN6*AD_tis!AN$47</f>
        <v>1</v>
      </c>
      <c r="AO6" s="4">
        <f>+AD_tis!$BD6*AD_tis!AO6*AD_tis!AO$47</f>
        <v>0</v>
      </c>
      <c r="AP6" s="4">
        <f>+AD_tis!$BD6*AD_tis!AP6*AD_tis!AP$47</f>
        <v>0</v>
      </c>
      <c r="AQ6" s="4">
        <f>+AD_tis!$BD6*AD_tis!AQ6*AD_tis!AQ$47</f>
        <v>1</v>
      </c>
      <c r="AR6" s="4">
        <f>+AD_tis!$BD6*AD_tis!AR6*AD_tis!AR$47</f>
        <v>0</v>
      </c>
      <c r="AS6" s="4">
        <f>+AD_tis!$BD6*AD_tis!AS6*AD_tis!AS$47</f>
        <v>0</v>
      </c>
      <c r="AT6" s="4">
        <f>+AD_tis!$BD6*AD_tis!AT6*AD_tis!AT$47</f>
        <v>0</v>
      </c>
      <c r="AU6" s="4">
        <f>+AD_tis!$BD6*AD_tis!AU6*AD_tis!AU$47</f>
        <v>0</v>
      </c>
      <c r="AV6" s="4">
        <f>+AD_tis!$BD6*AD_tis!AV6*AD_tis!AV$47</f>
        <v>0</v>
      </c>
      <c r="AW6" s="12">
        <f>+AD_tis!$BD6*AD_tis!AW6*AD_tis!AW$47</f>
        <v>0</v>
      </c>
      <c r="AX6" s="13">
        <f>+AD_tis!$BD6*AD_tis!AX6*AD_tis!AX$47</f>
        <v>1</v>
      </c>
      <c r="AY6" s="4">
        <f>+AD_tis!$BD6*AD_tis!AY6*AD_tis!AY$47</f>
        <v>0</v>
      </c>
      <c r="AZ6" s="4">
        <f>+AD_tis!$BD6*AD_tis!AZ6*AD_tis!AZ$47</f>
        <v>1</v>
      </c>
      <c r="BA6" s="12">
        <f>+AD_tis!$BD6*AD_tis!BA6*AD_tis!BA$47</f>
        <v>0</v>
      </c>
      <c r="BB6" s="4">
        <f>+AD_tis!$BD6*AD_tis!BB6*AD_tis!BB$47</f>
        <v>0</v>
      </c>
      <c r="BC6" s="13">
        <f>+AD_tis!$BD6*AD_tis!BC6*AD_tis!BC$47</f>
        <v>0</v>
      </c>
    </row>
    <row r="7" spans="1:55" ht="18.75" customHeight="1" x14ac:dyDescent="0.25">
      <c r="A7" s="5" t="s">
        <v>58</v>
      </c>
      <c r="B7" s="12">
        <f>+AD_tis!$BD7*AD_tis!B7*AD_tis!B$47</f>
        <v>0</v>
      </c>
      <c r="C7" s="4">
        <f>+AD_tis!$BD7*AD_tis!C7*AD_tis!C$47</f>
        <v>0</v>
      </c>
      <c r="D7" s="4">
        <f>+AD_tis!$BD7*AD_tis!D7*AD_tis!D$47</f>
        <v>0</v>
      </c>
      <c r="E7" s="4">
        <f>+AD_tis!$BD7*AD_tis!E7*AD_tis!E$47</f>
        <v>0</v>
      </c>
      <c r="F7" s="4">
        <f>+AD_tis!$BD7*AD_tis!F7*AD_tis!F$47</f>
        <v>0</v>
      </c>
      <c r="G7" s="4">
        <f>+AD_tis!$BD7*AD_tis!G7*AD_tis!G$47</f>
        <v>0</v>
      </c>
      <c r="H7" s="4">
        <f>+AD_tis!$BD7*AD_tis!H7*AD_tis!H$47</f>
        <v>1</v>
      </c>
      <c r="I7" s="4">
        <f>+AD_tis!$BD7*AD_tis!I7*AD_tis!I$47</f>
        <v>1</v>
      </c>
      <c r="J7" s="4">
        <f>+AD_tis!$BD7*AD_tis!J7*AD_tis!J$47</f>
        <v>1</v>
      </c>
      <c r="K7" s="4">
        <f>+AD_tis!$BD7*AD_tis!K7*AD_tis!K$47</f>
        <v>0</v>
      </c>
      <c r="L7" s="4">
        <f>+AD_tis!$BD7*AD_tis!L7*AD_tis!L$47</f>
        <v>1</v>
      </c>
      <c r="M7" s="4">
        <f>+AD_tis!$BD7*AD_tis!M7*AD_tis!M$47</f>
        <v>1</v>
      </c>
      <c r="N7" s="4">
        <f>+AD_tis!$BD7*AD_tis!N7*AD_tis!N$47</f>
        <v>1</v>
      </c>
      <c r="O7" s="4">
        <f>+AD_tis!$BD7*AD_tis!O7*AD_tis!O$47</f>
        <v>0</v>
      </c>
      <c r="P7" s="4">
        <f>+AD_tis!$BD7*AD_tis!P7*AD_tis!P$47</f>
        <v>0</v>
      </c>
      <c r="Q7" s="4">
        <f>+AD_tis!$BD7*AD_tis!Q7*AD_tis!Q$47</f>
        <v>0</v>
      </c>
      <c r="R7" s="13">
        <f>+AD_tis!$BD7*AD_tis!R7*AD_tis!R$47</f>
        <v>1</v>
      </c>
      <c r="S7" s="4">
        <f>+AD_tis!$BD7*AD_tis!S7*AD_tis!S$47</f>
        <v>0</v>
      </c>
      <c r="T7" s="4">
        <f>+AD_tis!$BD7*AD_tis!T7*AD_tis!T$47</f>
        <v>0</v>
      </c>
      <c r="U7" s="4">
        <f>+AD_tis!$BD7*AD_tis!U7*AD_tis!U$47</f>
        <v>0</v>
      </c>
      <c r="V7" s="4">
        <f>+AD_tis!$BD7*AD_tis!V7*AD_tis!V$47</f>
        <v>0</v>
      </c>
      <c r="W7" s="4">
        <f>+AD_tis!$BD7*AD_tis!W7*AD_tis!W$47</f>
        <v>0</v>
      </c>
      <c r="X7" s="4">
        <f>+AD_tis!$BD7*AD_tis!X7*AD_tis!X$47</f>
        <v>0</v>
      </c>
      <c r="Y7" s="4">
        <f>+AD_tis!$BD7*AD_tis!Y7*AD_tis!Y$47</f>
        <v>0</v>
      </c>
      <c r="Z7" s="4">
        <f>+AD_tis!$BD7*AD_tis!Z7*AD_tis!Z$47</f>
        <v>0</v>
      </c>
      <c r="AA7" s="4">
        <f>+AD_tis!$BD7*AD_tis!AA7*AD_tis!AA$47</f>
        <v>0</v>
      </c>
      <c r="AB7" s="4">
        <f>+AD_tis!$BD7*AD_tis!AB7*AD_tis!AB$47</f>
        <v>0</v>
      </c>
      <c r="AC7" s="12">
        <f>+AD_tis!$BD7*AD_tis!AC7*AD_tis!AC$47</f>
        <v>0</v>
      </c>
      <c r="AD7" s="4">
        <f>+AD_tis!$BD7*AD_tis!AD7*AD_tis!AD$47</f>
        <v>0</v>
      </c>
      <c r="AE7" s="4">
        <f>+AD_tis!$BD7*AD_tis!AE7*AD_tis!AE$47</f>
        <v>0</v>
      </c>
      <c r="AF7" s="4">
        <f>+AD_tis!$BD7*AD_tis!AF7*AD_tis!AF$47</f>
        <v>0</v>
      </c>
      <c r="AG7" s="4">
        <f>+AD_tis!$BD7*AD_tis!AG7*AD_tis!AG$47</f>
        <v>0</v>
      </c>
      <c r="AH7" s="4">
        <f>+AD_tis!$BD7*AD_tis!AH7*AD_tis!AH$47</f>
        <v>0</v>
      </c>
      <c r="AI7" s="4">
        <f>+AD_tis!$BD7*AD_tis!AI7*AD_tis!AI$47</f>
        <v>0</v>
      </c>
      <c r="AJ7" s="4">
        <f>+AD_tis!$BD7*AD_tis!AJ7*AD_tis!AJ$47</f>
        <v>0</v>
      </c>
      <c r="AK7" s="4">
        <f>+AD_tis!$BD7*AD_tis!AK7*AD_tis!AK$47</f>
        <v>0</v>
      </c>
      <c r="AL7" s="4">
        <f>+AD_tis!$BD7*AD_tis!AL7*AD_tis!AL$47</f>
        <v>1</v>
      </c>
      <c r="AM7" s="13">
        <f>+AD_tis!$BD7*AD_tis!AM7*AD_tis!AM$47</f>
        <v>0</v>
      </c>
      <c r="AN7" s="4">
        <f>+AD_tis!$BD7*AD_tis!AN7*AD_tis!AN$47</f>
        <v>0</v>
      </c>
      <c r="AO7" s="4">
        <f>+AD_tis!$BD7*AD_tis!AO7*AD_tis!AO$47</f>
        <v>0</v>
      </c>
      <c r="AP7" s="4">
        <f>+AD_tis!$BD7*AD_tis!AP7*AD_tis!AP$47</f>
        <v>0</v>
      </c>
      <c r="AQ7" s="4">
        <f>+AD_tis!$BD7*AD_tis!AQ7*AD_tis!AQ$47</f>
        <v>1</v>
      </c>
      <c r="AR7" s="4">
        <f>+AD_tis!$BD7*AD_tis!AR7*AD_tis!AR$47</f>
        <v>0</v>
      </c>
      <c r="AS7" s="4">
        <f>+AD_tis!$BD7*AD_tis!AS7*AD_tis!AS$47</f>
        <v>0</v>
      </c>
      <c r="AT7" s="4">
        <f>+AD_tis!$BD7*AD_tis!AT7*AD_tis!AT$47</f>
        <v>0</v>
      </c>
      <c r="AU7" s="4">
        <f>+AD_tis!$BD7*AD_tis!AU7*AD_tis!AU$47</f>
        <v>0</v>
      </c>
      <c r="AV7" s="4">
        <f>+AD_tis!$BD7*AD_tis!AV7*AD_tis!AV$47</f>
        <v>0</v>
      </c>
      <c r="AW7" s="12">
        <f>+AD_tis!$BD7*AD_tis!AW7*AD_tis!AW$47</f>
        <v>0</v>
      </c>
      <c r="AX7" s="13">
        <f>+AD_tis!$BD7*AD_tis!AX7*AD_tis!AX$47</f>
        <v>1</v>
      </c>
      <c r="AY7" s="4">
        <f>+AD_tis!$BD7*AD_tis!AY7*AD_tis!AY$47</f>
        <v>0</v>
      </c>
      <c r="AZ7" s="4">
        <f>+AD_tis!$BD7*AD_tis!AZ7*AD_tis!AZ$47</f>
        <v>0</v>
      </c>
      <c r="BA7" s="12">
        <f>+AD_tis!$BD7*AD_tis!BA7*AD_tis!BA$47</f>
        <v>0</v>
      </c>
      <c r="BB7" s="4">
        <f>+AD_tis!$BD7*AD_tis!BB7*AD_tis!BB$47</f>
        <v>0</v>
      </c>
      <c r="BC7" s="13">
        <f>+AD_tis!$BD7*AD_tis!BC7*AD_tis!BC$47</f>
        <v>0</v>
      </c>
    </row>
    <row r="8" spans="1:55" ht="18.75" customHeight="1" x14ac:dyDescent="0.25">
      <c r="A8" s="5" t="s">
        <v>59</v>
      </c>
      <c r="B8" s="12">
        <f>+AD_tis!$BD8*AD_tis!B8*AD_tis!B$47</f>
        <v>0</v>
      </c>
      <c r="C8" s="4">
        <f>+AD_tis!$BD8*AD_tis!C8*AD_tis!C$47</f>
        <v>0</v>
      </c>
      <c r="D8" s="4">
        <f>+AD_tis!$BD8*AD_tis!D8*AD_tis!D$47</f>
        <v>0</v>
      </c>
      <c r="E8" s="4">
        <f>+AD_tis!$BD8*AD_tis!E8*AD_tis!E$47</f>
        <v>0</v>
      </c>
      <c r="F8" s="4">
        <f>+AD_tis!$BD8*AD_tis!F8*AD_tis!F$47</f>
        <v>0</v>
      </c>
      <c r="G8" s="4">
        <f>+AD_tis!$BD8*AD_tis!G8*AD_tis!G$47</f>
        <v>0</v>
      </c>
      <c r="H8" s="4">
        <f>+AD_tis!$BD8*AD_tis!H8*AD_tis!H$47</f>
        <v>0</v>
      </c>
      <c r="I8" s="4">
        <f>+AD_tis!$BD8*AD_tis!I8*AD_tis!I$47</f>
        <v>0</v>
      </c>
      <c r="J8" s="4">
        <f>+AD_tis!$BD8*AD_tis!J8*AD_tis!J$47</f>
        <v>1</v>
      </c>
      <c r="K8" s="4">
        <f>+AD_tis!$BD8*AD_tis!K8*AD_tis!K$47</f>
        <v>0</v>
      </c>
      <c r="L8" s="4">
        <f>+AD_tis!$BD8*AD_tis!L8*AD_tis!L$47</f>
        <v>1</v>
      </c>
      <c r="M8" s="4">
        <f>+AD_tis!$BD8*AD_tis!M8*AD_tis!M$47</f>
        <v>1</v>
      </c>
      <c r="N8" s="4">
        <f>+AD_tis!$BD8*AD_tis!N8*AD_tis!N$47</f>
        <v>1</v>
      </c>
      <c r="O8" s="4">
        <f>+AD_tis!$BD8*AD_tis!O8*AD_tis!O$47</f>
        <v>0</v>
      </c>
      <c r="P8" s="4">
        <f>+AD_tis!$BD8*AD_tis!P8*AD_tis!P$47</f>
        <v>0</v>
      </c>
      <c r="Q8" s="4">
        <f>+AD_tis!$BD8*AD_tis!Q8*AD_tis!Q$47</f>
        <v>0</v>
      </c>
      <c r="R8" s="13">
        <f>+AD_tis!$BD8*AD_tis!R8*AD_tis!R$47</f>
        <v>1</v>
      </c>
      <c r="S8" s="4">
        <f>+AD_tis!$BD8*AD_tis!S8*AD_tis!S$47</f>
        <v>0</v>
      </c>
      <c r="T8" s="4">
        <f>+AD_tis!$BD8*AD_tis!T8*AD_tis!T$47</f>
        <v>0</v>
      </c>
      <c r="U8" s="4">
        <f>+AD_tis!$BD8*AD_tis!U8*AD_tis!U$47</f>
        <v>0</v>
      </c>
      <c r="V8" s="4">
        <f>+AD_tis!$BD8*AD_tis!V8*AD_tis!V$47</f>
        <v>0</v>
      </c>
      <c r="W8" s="4">
        <f>+AD_tis!$BD8*AD_tis!W8*AD_tis!W$47</f>
        <v>0</v>
      </c>
      <c r="X8" s="4">
        <f>+AD_tis!$BD8*AD_tis!X8*AD_tis!X$47</f>
        <v>0</v>
      </c>
      <c r="Y8" s="4">
        <f>+AD_tis!$BD8*AD_tis!Y8*AD_tis!Y$47</f>
        <v>0</v>
      </c>
      <c r="Z8" s="4">
        <f>+AD_tis!$BD8*AD_tis!Z8*AD_tis!Z$47</f>
        <v>0</v>
      </c>
      <c r="AA8" s="4">
        <f>+AD_tis!$BD8*AD_tis!AA8*AD_tis!AA$47</f>
        <v>0</v>
      </c>
      <c r="AB8" s="4">
        <f>+AD_tis!$BD8*AD_tis!AB8*AD_tis!AB$47</f>
        <v>0</v>
      </c>
      <c r="AC8" s="12">
        <f>+AD_tis!$BD8*AD_tis!AC8*AD_tis!AC$47</f>
        <v>0</v>
      </c>
      <c r="AD8" s="4">
        <f>+AD_tis!$BD8*AD_tis!AD8*AD_tis!AD$47</f>
        <v>0</v>
      </c>
      <c r="AE8" s="4">
        <f>+AD_tis!$BD8*AD_tis!AE8*AD_tis!AE$47</f>
        <v>0</v>
      </c>
      <c r="AF8" s="4">
        <f>+AD_tis!$BD8*AD_tis!AF8*AD_tis!AF$47</f>
        <v>0</v>
      </c>
      <c r="AG8" s="4">
        <f>+AD_tis!$BD8*AD_tis!AG8*AD_tis!AG$47</f>
        <v>0</v>
      </c>
      <c r="AH8" s="4">
        <f>+AD_tis!$BD8*AD_tis!AH8*AD_tis!AH$47</f>
        <v>0</v>
      </c>
      <c r="AI8" s="4">
        <f>+AD_tis!$BD8*AD_tis!AI8*AD_tis!AI$47</f>
        <v>0</v>
      </c>
      <c r="AJ8" s="4">
        <f>+AD_tis!$BD8*AD_tis!AJ8*AD_tis!AJ$47</f>
        <v>0</v>
      </c>
      <c r="AK8" s="4">
        <f>+AD_tis!$BD8*AD_tis!AK8*AD_tis!AK$47</f>
        <v>0</v>
      </c>
      <c r="AL8" s="4">
        <f>+AD_tis!$BD8*AD_tis!AL8*AD_tis!AL$47</f>
        <v>0</v>
      </c>
      <c r="AM8" s="13">
        <f>+AD_tis!$BD8*AD_tis!AM8*AD_tis!AM$47</f>
        <v>0</v>
      </c>
      <c r="AN8" s="4">
        <f>+AD_tis!$BD8*AD_tis!AN8*AD_tis!AN$47</f>
        <v>0</v>
      </c>
      <c r="AO8" s="4">
        <f>+AD_tis!$BD8*AD_tis!AO8*AD_tis!AO$47</f>
        <v>0</v>
      </c>
      <c r="AP8" s="4">
        <f>+AD_tis!$BD8*AD_tis!AP8*AD_tis!AP$47</f>
        <v>0</v>
      </c>
      <c r="AQ8" s="4">
        <f>+AD_tis!$BD8*AD_tis!AQ8*AD_tis!AQ$47</f>
        <v>1</v>
      </c>
      <c r="AR8" s="4">
        <f>+AD_tis!$BD8*AD_tis!AR8*AD_tis!AR$47</f>
        <v>0</v>
      </c>
      <c r="AS8" s="4">
        <f>+AD_tis!$BD8*AD_tis!AS8*AD_tis!AS$47</f>
        <v>0</v>
      </c>
      <c r="AT8" s="4">
        <f>+AD_tis!$BD8*AD_tis!AT8*AD_tis!AT$47</f>
        <v>0</v>
      </c>
      <c r="AU8" s="4">
        <f>+AD_tis!$BD8*AD_tis!AU8*AD_tis!AU$47</f>
        <v>0</v>
      </c>
      <c r="AV8" s="4">
        <f>+AD_tis!$BD8*AD_tis!AV8*AD_tis!AV$47</f>
        <v>0</v>
      </c>
      <c r="AW8" s="12">
        <f>+AD_tis!$BD8*AD_tis!AW8*AD_tis!AW$47</f>
        <v>0</v>
      </c>
      <c r="AX8" s="13">
        <f>+AD_tis!$BD8*AD_tis!AX8*AD_tis!AX$47</f>
        <v>1</v>
      </c>
      <c r="AY8" s="4">
        <f>+AD_tis!$BD8*AD_tis!AY8*AD_tis!AY$47</f>
        <v>0</v>
      </c>
      <c r="AZ8" s="4">
        <f>+AD_tis!$BD8*AD_tis!AZ8*AD_tis!AZ$47</f>
        <v>0</v>
      </c>
      <c r="BA8" s="12">
        <f>+AD_tis!$BD8*AD_tis!BA8*AD_tis!BA$47</f>
        <v>0</v>
      </c>
      <c r="BB8" s="4">
        <f>+AD_tis!$BD8*AD_tis!BB8*AD_tis!BB$47</f>
        <v>0</v>
      </c>
      <c r="BC8" s="13">
        <f>+AD_tis!$BD8*AD_tis!BC8*AD_tis!BC$47</f>
        <v>0</v>
      </c>
    </row>
    <row r="9" spans="1:55" ht="18.75" customHeight="1" x14ac:dyDescent="0.25">
      <c r="A9" s="5" t="s">
        <v>60</v>
      </c>
      <c r="B9" s="12">
        <f>+AD_tis!$BD9*AD_tis!B9*AD_tis!B$47</f>
        <v>0</v>
      </c>
      <c r="C9" s="4">
        <f>+AD_tis!$BD9*AD_tis!C9*AD_tis!C$47</f>
        <v>0</v>
      </c>
      <c r="D9" s="4">
        <f>+AD_tis!$BD9*AD_tis!D9*AD_tis!D$47</f>
        <v>0</v>
      </c>
      <c r="E9" s="4">
        <f>+AD_tis!$BD9*AD_tis!E9*AD_tis!E$47</f>
        <v>1</v>
      </c>
      <c r="F9" s="4">
        <f>+AD_tis!$BD9*AD_tis!F9*AD_tis!F$47</f>
        <v>0</v>
      </c>
      <c r="G9" s="4">
        <f>+AD_tis!$BD9*AD_tis!G9*AD_tis!G$47</f>
        <v>0</v>
      </c>
      <c r="H9" s="4">
        <f>+AD_tis!$BD9*AD_tis!H9*AD_tis!H$47</f>
        <v>0</v>
      </c>
      <c r="I9" s="4">
        <f>+AD_tis!$BD9*AD_tis!I9*AD_tis!I$47</f>
        <v>0</v>
      </c>
      <c r="J9" s="4">
        <f>+AD_tis!$BD9*AD_tis!J9*AD_tis!J$47</f>
        <v>1</v>
      </c>
      <c r="K9" s="4">
        <f>+AD_tis!$BD9*AD_tis!K9*AD_tis!K$47</f>
        <v>0</v>
      </c>
      <c r="L9" s="4">
        <f>+AD_tis!$BD9*AD_tis!L9*AD_tis!L$47</f>
        <v>1</v>
      </c>
      <c r="M9" s="4">
        <f>+AD_tis!$BD9*AD_tis!M9*AD_tis!M$47</f>
        <v>1</v>
      </c>
      <c r="N9" s="4">
        <f>+AD_tis!$BD9*AD_tis!N9*AD_tis!N$47</f>
        <v>1</v>
      </c>
      <c r="O9" s="4">
        <f>+AD_tis!$BD9*AD_tis!O9*AD_tis!O$47</f>
        <v>0</v>
      </c>
      <c r="P9" s="4">
        <f>+AD_tis!$BD9*AD_tis!P9*AD_tis!P$47</f>
        <v>0</v>
      </c>
      <c r="Q9" s="4">
        <f>+AD_tis!$BD9*AD_tis!Q9*AD_tis!Q$47</f>
        <v>0</v>
      </c>
      <c r="R9" s="13">
        <f>+AD_tis!$BD9*AD_tis!R9*AD_tis!R$47</f>
        <v>1</v>
      </c>
      <c r="S9" s="4">
        <f>+AD_tis!$BD9*AD_tis!S9*AD_tis!S$47</f>
        <v>0</v>
      </c>
      <c r="T9" s="4">
        <f>+AD_tis!$BD9*AD_tis!T9*AD_tis!T$47</f>
        <v>0</v>
      </c>
      <c r="U9" s="4">
        <f>+AD_tis!$BD9*AD_tis!U9*AD_tis!U$47</f>
        <v>0</v>
      </c>
      <c r="V9" s="4">
        <f>+AD_tis!$BD9*AD_tis!V9*AD_tis!V$47</f>
        <v>0</v>
      </c>
      <c r="W9" s="4">
        <f>+AD_tis!$BD9*AD_tis!W9*AD_tis!W$47</f>
        <v>0</v>
      </c>
      <c r="X9" s="4">
        <f>+AD_tis!$BD9*AD_tis!X9*AD_tis!X$47</f>
        <v>0</v>
      </c>
      <c r="Y9" s="4">
        <f>+AD_tis!$BD9*AD_tis!Y9*AD_tis!Y$47</f>
        <v>0</v>
      </c>
      <c r="Z9" s="4">
        <f>+AD_tis!$BD9*AD_tis!Z9*AD_tis!Z$47</f>
        <v>0</v>
      </c>
      <c r="AA9" s="4">
        <f>+AD_tis!$BD9*AD_tis!AA9*AD_tis!AA$47</f>
        <v>0</v>
      </c>
      <c r="AB9" s="4">
        <f>+AD_tis!$BD9*AD_tis!AB9*AD_tis!AB$47</f>
        <v>0</v>
      </c>
      <c r="AC9" s="12">
        <f>+AD_tis!$BD9*AD_tis!AC9*AD_tis!AC$47</f>
        <v>0</v>
      </c>
      <c r="AD9" s="4">
        <f>+AD_tis!$BD9*AD_tis!AD9*AD_tis!AD$47</f>
        <v>0</v>
      </c>
      <c r="AE9" s="4">
        <f>+AD_tis!$BD9*AD_tis!AE9*AD_tis!AE$47</f>
        <v>0</v>
      </c>
      <c r="AF9" s="4">
        <f>+AD_tis!$BD9*AD_tis!AF9*AD_tis!AF$47</f>
        <v>0</v>
      </c>
      <c r="AG9" s="4">
        <f>+AD_tis!$BD9*AD_tis!AG9*AD_tis!AG$47</f>
        <v>0</v>
      </c>
      <c r="AH9" s="4">
        <f>+AD_tis!$BD9*AD_tis!AH9*AD_tis!AH$47</f>
        <v>0</v>
      </c>
      <c r="AI9" s="4">
        <f>+AD_tis!$BD9*AD_tis!AI9*AD_tis!AI$47</f>
        <v>0</v>
      </c>
      <c r="AJ9" s="4">
        <f>+AD_tis!$BD9*AD_tis!AJ9*AD_tis!AJ$47</f>
        <v>0</v>
      </c>
      <c r="AK9" s="4">
        <f>+AD_tis!$BD9*AD_tis!AK9*AD_tis!AK$47</f>
        <v>0</v>
      </c>
      <c r="AL9" s="4">
        <f>+AD_tis!$BD9*AD_tis!AL9*AD_tis!AL$47</f>
        <v>1</v>
      </c>
      <c r="AM9" s="13">
        <f>+AD_tis!$BD9*AD_tis!AM9*AD_tis!AM$47</f>
        <v>0</v>
      </c>
      <c r="AN9" s="4">
        <f>+AD_tis!$BD9*AD_tis!AN9*AD_tis!AN$47</f>
        <v>0</v>
      </c>
      <c r="AO9" s="4">
        <f>+AD_tis!$BD9*AD_tis!AO9*AD_tis!AO$47</f>
        <v>0</v>
      </c>
      <c r="AP9" s="4">
        <f>+AD_tis!$BD9*AD_tis!AP9*AD_tis!AP$47</f>
        <v>0</v>
      </c>
      <c r="AQ9" s="4">
        <f>+AD_tis!$BD9*AD_tis!AQ9*AD_tis!AQ$47</f>
        <v>1</v>
      </c>
      <c r="AR9" s="4">
        <f>+AD_tis!$BD9*AD_tis!AR9*AD_tis!AR$47</f>
        <v>0</v>
      </c>
      <c r="AS9" s="4">
        <f>+AD_tis!$BD9*AD_tis!AS9*AD_tis!AS$47</f>
        <v>0</v>
      </c>
      <c r="AT9" s="4">
        <f>+AD_tis!$BD9*AD_tis!AT9*AD_tis!AT$47</f>
        <v>1</v>
      </c>
      <c r="AU9" s="4">
        <f>+AD_tis!$BD9*AD_tis!AU9*AD_tis!AU$47</f>
        <v>0</v>
      </c>
      <c r="AV9" s="4">
        <f>+AD_tis!$BD9*AD_tis!AV9*AD_tis!AV$47</f>
        <v>0</v>
      </c>
      <c r="AW9" s="12">
        <f>+AD_tis!$BD9*AD_tis!AW9*AD_tis!AW$47</f>
        <v>0</v>
      </c>
      <c r="AX9" s="13">
        <f>+AD_tis!$BD9*AD_tis!AX9*AD_tis!AX$47</f>
        <v>1</v>
      </c>
      <c r="AY9" s="4">
        <f>+AD_tis!$BD9*AD_tis!AY9*AD_tis!AY$47</f>
        <v>0</v>
      </c>
      <c r="AZ9" s="4">
        <f>+AD_tis!$BD9*AD_tis!AZ9*AD_tis!AZ$47</f>
        <v>0</v>
      </c>
      <c r="BA9" s="12">
        <f>+AD_tis!$BD9*AD_tis!BA9*AD_tis!BA$47</f>
        <v>0</v>
      </c>
      <c r="BB9" s="4">
        <f>+AD_tis!$BD9*AD_tis!BB9*AD_tis!BB$47</f>
        <v>0</v>
      </c>
      <c r="BC9" s="13">
        <f>+AD_tis!$BD9*AD_tis!BC9*AD_tis!BC$47</f>
        <v>0</v>
      </c>
    </row>
    <row r="10" spans="1:55" ht="18.75" customHeight="1" x14ac:dyDescent="0.25">
      <c r="A10" s="5" t="s">
        <v>61</v>
      </c>
      <c r="B10" s="12">
        <f>+AD_tis!$BD10*AD_tis!B10*AD_tis!B$47</f>
        <v>0</v>
      </c>
      <c r="C10" s="4">
        <f>+AD_tis!$BD10*AD_tis!C10*AD_tis!C$47</f>
        <v>0</v>
      </c>
      <c r="D10" s="4">
        <f>+AD_tis!$BD10*AD_tis!D10*AD_tis!D$47</f>
        <v>1</v>
      </c>
      <c r="E10" s="4">
        <f>+AD_tis!$BD10*AD_tis!E10*AD_tis!E$47</f>
        <v>0</v>
      </c>
      <c r="F10" s="4">
        <f>+AD_tis!$BD10*AD_tis!F10*AD_tis!F$47</f>
        <v>0</v>
      </c>
      <c r="G10" s="4">
        <f>+AD_tis!$BD10*AD_tis!G10*AD_tis!G$47</f>
        <v>0</v>
      </c>
      <c r="H10" s="4">
        <f>+AD_tis!$BD10*AD_tis!H10*AD_tis!H$47</f>
        <v>0</v>
      </c>
      <c r="I10" s="4">
        <f>+AD_tis!$BD10*AD_tis!I10*AD_tis!I$47</f>
        <v>0</v>
      </c>
      <c r="J10" s="4">
        <f>+AD_tis!$BD10*AD_tis!J10*AD_tis!J$47</f>
        <v>1</v>
      </c>
      <c r="K10" s="4">
        <f>+AD_tis!$BD10*AD_tis!K10*AD_tis!K$47</f>
        <v>0</v>
      </c>
      <c r="L10" s="4">
        <f>+AD_tis!$BD10*AD_tis!L10*AD_tis!L$47</f>
        <v>1</v>
      </c>
      <c r="M10" s="4">
        <f>+AD_tis!$BD10*AD_tis!M10*AD_tis!M$47</f>
        <v>1</v>
      </c>
      <c r="N10" s="4">
        <f>+AD_tis!$BD10*AD_tis!N10*AD_tis!N$47</f>
        <v>1</v>
      </c>
      <c r="O10" s="4">
        <f>+AD_tis!$BD10*AD_tis!O10*AD_tis!O$47</f>
        <v>0</v>
      </c>
      <c r="P10" s="4">
        <f>+AD_tis!$BD10*AD_tis!P10*AD_tis!P$47</f>
        <v>0</v>
      </c>
      <c r="Q10" s="4">
        <f>+AD_tis!$BD10*AD_tis!Q10*AD_tis!Q$47</f>
        <v>0</v>
      </c>
      <c r="R10" s="13">
        <f>+AD_tis!$BD10*AD_tis!R10*AD_tis!R$47</f>
        <v>1</v>
      </c>
      <c r="S10" s="4">
        <f>+AD_tis!$BD10*AD_tis!S10*AD_tis!S$47</f>
        <v>0</v>
      </c>
      <c r="T10" s="4">
        <f>+AD_tis!$BD10*AD_tis!T10*AD_tis!T$47</f>
        <v>0</v>
      </c>
      <c r="U10" s="4">
        <f>+AD_tis!$BD10*AD_tis!U10*AD_tis!U$47</f>
        <v>0</v>
      </c>
      <c r="V10" s="4">
        <f>+AD_tis!$BD10*AD_tis!V10*AD_tis!V$47</f>
        <v>0</v>
      </c>
      <c r="W10" s="4">
        <f>+AD_tis!$BD10*AD_tis!W10*AD_tis!W$47</f>
        <v>0</v>
      </c>
      <c r="X10" s="4">
        <f>+AD_tis!$BD10*AD_tis!X10*AD_tis!X$47</f>
        <v>0</v>
      </c>
      <c r="Y10" s="4">
        <f>+AD_tis!$BD10*AD_tis!Y10*AD_tis!Y$47</f>
        <v>0</v>
      </c>
      <c r="Z10" s="4">
        <f>+AD_tis!$BD10*AD_tis!Z10*AD_tis!Z$47</f>
        <v>0</v>
      </c>
      <c r="AA10" s="4">
        <f>+AD_tis!$BD10*AD_tis!AA10*AD_tis!AA$47</f>
        <v>0</v>
      </c>
      <c r="AB10" s="4">
        <f>+AD_tis!$BD10*AD_tis!AB10*AD_tis!AB$47</f>
        <v>0</v>
      </c>
      <c r="AC10" s="12">
        <f>+AD_tis!$BD10*AD_tis!AC10*AD_tis!AC$47</f>
        <v>0</v>
      </c>
      <c r="AD10" s="4">
        <f>+AD_tis!$BD10*AD_tis!AD10*AD_tis!AD$47</f>
        <v>0</v>
      </c>
      <c r="AE10" s="4">
        <f>+AD_tis!$BD10*AD_tis!AE10*AD_tis!AE$47</f>
        <v>0</v>
      </c>
      <c r="AF10" s="4">
        <f>+AD_tis!$BD10*AD_tis!AF10*AD_tis!AF$47</f>
        <v>0</v>
      </c>
      <c r="AG10" s="4">
        <f>+AD_tis!$BD10*AD_tis!AG10*AD_tis!AG$47</f>
        <v>0</v>
      </c>
      <c r="AH10" s="4">
        <f>+AD_tis!$BD10*AD_tis!AH10*AD_tis!AH$47</f>
        <v>0</v>
      </c>
      <c r="AI10" s="4">
        <f>+AD_tis!$BD10*AD_tis!AI10*AD_tis!AI$47</f>
        <v>0</v>
      </c>
      <c r="AJ10" s="4">
        <f>+AD_tis!$BD10*AD_tis!AJ10*AD_tis!AJ$47</f>
        <v>0</v>
      </c>
      <c r="AK10" s="4">
        <f>+AD_tis!$BD10*AD_tis!AK10*AD_tis!AK$47</f>
        <v>0</v>
      </c>
      <c r="AL10" s="4">
        <f>+AD_tis!$BD10*AD_tis!AL10*AD_tis!AL$47</f>
        <v>0</v>
      </c>
      <c r="AM10" s="13">
        <f>+AD_tis!$BD10*AD_tis!AM10*AD_tis!AM$47</f>
        <v>0</v>
      </c>
      <c r="AN10" s="4">
        <f>+AD_tis!$BD10*AD_tis!AN10*AD_tis!AN$47</f>
        <v>1</v>
      </c>
      <c r="AO10" s="4">
        <f>+AD_tis!$BD10*AD_tis!AO10*AD_tis!AO$47</f>
        <v>0</v>
      </c>
      <c r="AP10" s="4">
        <f>+AD_tis!$BD10*AD_tis!AP10*AD_tis!AP$47</f>
        <v>0</v>
      </c>
      <c r="AQ10" s="4">
        <f>+AD_tis!$BD10*AD_tis!AQ10*AD_tis!AQ$47</f>
        <v>1</v>
      </c>
      <c r="AR10" s="4">
        <f>+AD_tis!$BD10*AD_tis!AR10*AD_tis!AR$47</f>
        <v>0</v>
      </c>
      <c r="AS10" s="4">
        <f>+AD_tis!$BD10*AD_tis!AS10*AD_tis!AS$47</f>
        <v>0</v>
      </c>
      <c r="AT10" s="4">
        <f>+AD_tis!$BD10*AD_tis!AT10*AD_tis!AT$47</f>
        <v>0</v>
      </c>
      <c r="AU10" s="4">
        <f>+AD_tis!$BD10*AD_tis!AU10*AD_tis!AU$47</f>
        <v>0</v>
      </c>
      <c r="AV10" s="4">
        <f>+AD_tis!$BD10*AD_tis!AV10*AD_tis!AV$47</f>
        <v>0</v>
      </c>
      <c r="AW10" s="12">
        <f>+AD_tis!$BD10*AD_tis!AW10*AD_tis!AW$47</f>
        <v>0</v>
      </c>
      <c r="AX10" s="13">
        <f>+AD_tis!$BD10*AD_tis!AX10*AD_tis!AX$47</f>
        <v>0</v>
      </c>
      <c r="AY10" s="4">
        <f>+AD_tis!$BD10*AD_tis!AY10*AD_tis!AY$47</f>
        <v>0</v>
      </c>
      <c r="AZ10" s="4">
        <f>+AD_tis!$BD10*AD_tis!AZ10*AD_tis!AZ$47</f>
        <v>1</v>
      </c>
      <c r="BA10" s="12">
        <f>+AD_tis!$BD10*AD_tis!BA10*AD_tis!BA$47</f>
        <v>0</v>
      </c>
      <c r="BB10" s="4">
        <f>+AD_tis!$BD10*AD_tis!BB10*AD_tis!BB$47</f>
        <v>0</v>
      </c>
      <c r="BC10" s="13">
        <f>+AD_tis!$BD10*AD_tis!BC10*AD_tis!BC$47</f>
        <v>0</v>
      </c>
    </row>
    <row r="11" spans="1:55" ht="18.75" customHeight="1" x14ac:dyDescent="0.25">
      <c r="A11" s="5" t="s">
        <v>62</v>
      </c>
      <c r="B11" s="12">
        <f>+AD_tis!$BD11*AD_tis!B11*AD_tis!B$47</f>
        <v>0</v>
      </c>
      <c r="C11" s="4">
        <f>+AD_tis!$BD11*AD_tis!C11*AD_tis!C$47</f>
        <v>0</v>
      </c>
      <c r="D11" s="4">
        <f>+AD_tis!$BD11*AD_tis!D11*AD_tis!D$47</f>
        <v>0</v>
      </c>
      <c r="E11" s="4">
        <f>+AD_tis!$BD11*AD_tis!E11*AD_tis!E$47</f>
        <v>0</v>
      </c>
      <c r="F11" s="4">
        <f>+AD_tis!$BD11*AD_tis!F11*AD_tis!F$47</f>
        <v>0</v>
      </c>
      <c r="G11" s="4">
        <f>+AD_tis!$BD11*AD_tis!G11*AD_tis!G$47</f>
        <v>0</v>
      </c>
      <c r="H11" s="4">
        <f>+AD_tis!$BD11*AD_tis!H11*AD_tis!H$47</f>
        <v>0</v>
      </c>
      <c r="I11" s="4">
        <f>+AD_tis!$BD11*AD_tis!I11*AD_tis!I$47</f>
        <v>0</v>
      </c>
      <c r="J11" s="4">
        <f>+AD_tis!$BD11*AD_tis!J11*AD_tis!J$47</f>
        <v>1</v>
      </c>
      <c r="K11" s="4">
        <f>+AD_tis!$BD11*AD_tis!K11*AD_tis!K$47</f>
        <v>0</v>
      </c>
      <c r="L11" s="4">
        <f>+AD_tis!$BD11*AD_tis!L11*AD_tis!L$47</f>
        <v>0</v>
      </c>
      <c r="M11" s="4">
        <f>+AD_tis!$BD11*AD_tis!M11*AD_tis!M$47</f>
        <v>1</v>
      </c>
      <c r="N11" s="4">
        <f>+AD_tis!$BD11*AD_tis!N11*AD_tis!N$47</f>
        <v>1</v>
      </c>
      <c r="O11" s="4">
        <f>+AD_tis!$BD11*AD_tis!O11*AD_tis!O$47</f>
        <v>0</v>
      </c>
      <c r="P11" s="4">
        <f>+AD_tis!$BD11*AD_tis!P11*AD_tis!P$47</f>
        <v>0</v>
      </c>
      <c r="Q11" s="4">
        <f>+AD_tis!$BD11*AD_tis!Q11*AD_tis!Q$47</f>
        <v>0</v>
      </c>
      <c r="R11" s="13">
        <f>+AD_tis!$BD11*AD_tis!R11*AD_tis!R$47</f>
        <v>1</v>
      </c>
      <c r="S11" s="4">
        <f>+AD_tis!$BD11*AD_tis!S11*AD_tis!S$47</f>
        <v>0</v>
      </c>
      <c r="T11" s="4">
        <f>+AD_tis!$BD11*AD_tis!T11*AD_tis!T$47</f>
        <v>0</v>
      </c>
      <c r="U11" s="4">
        <f>+AD_tis!$BD11*AD_tis!U11*AD_tis!U$47</f>
        <v>0</v>
      </c>
      <c r="V11" s="4">
        <f>+AD_tis!$BD11*AD_tis!V11*AD_tis!V$47</f>
        <v>0</v>
      </c>
      <c r="W11" s="4">
        <f>+AD_tis!$BD11*AD_tis!W11*AD_tis!W$47</f>
        <v>0</v>
      </c>
      <c r="X11" s="4">
        <f>+AD_tis!$BD11*AD_tis!X11*AD_tis!X$47</f>
        <v>0</v>
      </c>
      <c r="Y11" s="4">
        <f>+AD_tis!$BD11*AD_tis!Y11*AD_tis!Y$47</f>
        <v>0</v>
      </c>
      <c r="Z11" s="4">
        <f>+AD_tis!$BD11*AD_tis!Z11*AD_tis!Z$47</f>
        <v>0</v>
      </c>
      <c r="AA11" s="4">
        <f>+AD_tis!$BD11*AD_tis!AA11*AD_tis!AA$47</f>
        <v>0</v>
      </c>
      <c r="AB11" s="4">
        <f>+AD_tis!$BD11*AD_tis!AB11*AD_tis!AB$47</f>
        <v>0</v>
      </c>
      <c r="AC11" s="12">
        <f>+AD_tis!$BD11*AD_tis!AC11*AD_tis!AC$47</f>
        <v>0</v>
      </c>
      <c r="AD11" s="4">
        <f>+AD_tis!$BD11*AD_tis!AD11*AD_tis!AD$47</f>
        <v>0</v>
      </c>
      <c r="AE11" s="4">
        <f>+AD_tis!$BD11*AD_tis!AE11*AD_tis!AE$47</f>
        <v>0</v>
      </c>
      <c r="AF11" s="4">
        <f>+AD_tis!$BD11*AD_tis!AF11*AD_tis!AF$47</f>
        <v>0</v>
      </c>
      <c r="AG11" s="4">
        <f>+AD_tis!$BD11*AD_tis!AG11*AD_tis!AG$47</f>
        <v>0</v>
      </c>
      <c r="AH11" s="4">
        <f>+AD_tis!$BD11*AD_tis!AH11*AD_tis!AH$47</f>
        <v>0</v>
      </c>
      <c r="AI11" s="4">
        <f>+AD_tis!$BD11*AD_tis!AI11*AD_tis!AI$47</f>
        <v>0</v>
      </c>
      <c r="AJ11" s="4">
        <f>+AD_tis!$BD11*AD_tis!AJ11*AD_tis!AJ$47</f>
        <v>0</v>
      </c>
      <c r="AK11" s="4">
        <f>+AD_tis!$BD11*AD_tis!AK11*AD_tis!AK$47</f>
        <v>0</v>
      </c>
      <c r="AL11" s="4">
        <f>+AD_tis!$BD11*AD_tis!AL11*AD_tis!AL$47</f>
        <v>0</v>
      </c>
      <c r="AM11" s="13">
        <f>+AD_tis!$BD11*AD_tis!AM11*AD_tis!AM$47</f>
        <v>0</v>
      </c>
      <c r="AN11" s="4">
        <f>+AD_tis!$BD11*AD_tis!AN11*AD_tis!AN$47</f>
        <v>0</v>
      </c>
      <c r="AO11" s="4">
        <f>+AD_tis!$BD11*AD_tis!AO11*AD_tis!AO$47</f>
        <v>1</v>
      </c>
      <c r="AP11" s="4">
        <f>+AD_tis!$BD11*AD_tis!AP11*AD_tis!AP$47</f>
        <v>0</v>
      </c>
      <c r="AQ11" s="4">
        <f>+AD_tis!$BD11*AD_tis!AQ11*AD_tis!AQ$47</f>
        <v>0</v>
      </c>
      <c r="AR11" s="4">
        <f>+AD_tis!$BD11*AD_tis!AR11*AD_tis!AR$47</f>
        <v>0</v>
      </c>
      <c r="AS11" s="4">
        <f>+AD_tis!$BD11*AD_tis!AS11*AD_tis!AS$47</f>
        <v>0</v>
      </c>
      <c r="AT11" s="4">
        <f>+AD_tis!$BD11*AD_tis!AT11*AD_tis!AT$47</f>
        <v>0</v>
      </c>
      <c r="AU11" s="4">
        <f>+AD_tis!$BD11*AD_tis!AU11*AD_tis!AU$47</f>
        <v>0</v>
      </c>
      <c r="AV11" s="4">
        <f>+AD_tis!$BD11*AD_tis!AV11*AD_tis!AV$47</f>
        <v>0</v>
      </c>
      <c r="AW11" s="12">
        <f>+AD_tis!$BD11*AD_tis!AW11*AD_tis!AW$47</f>
        <v>0</v>
      </c>
      <c r="AX11" s="13">
        <f>+AD_tis!$BD11*AD_tis!AX11*AD_tis!AX$47</f>
        <v>0</v>
      </c>
      <c r="AY11" s="4">
        <f>+AD_tis!$BD11*AD_tis!AY11*AD_tis!AY$47</f>
        <v>0</v>
      </c>
      <c r="AZ11" s="4">
        <f>+AD_tis!$BD11*AD_tis!AZ11*AD_tis!AZ$47</f>
        <v>0</v>
      </c>
      <c r="BA11" s="12">
        <f>+AD_tis!$BD11*AD_tis!BA11*AD_tis!BA$47</f>
        <v>0</v>
      </c>
      <c r="BB11" s="4">
        <f>+AD_tis!$BD11*AD_tis!BB11*AD_tis!BB$47</f>
        <v>0</v>
      </c>
      <c r="BC11" s="13">
        <f>+AD_tis!$BD11*AD_tis!BC11*AD_tis!BC$47</f>
        <v>0</v>
      </c>
    </row>
    <row r="12" spans="1:55" ht="18.75" customHeight="1" x14ac:dyDescent="0.25">
      <c r="A12" s="5" t="s">
        <v>63</v>
      </c>
      <c r="B12" s="12">
        <f>+AD_tis!$BD12*AD_tis!B12*AD_tis!B$47</f>
        <v>0</v>
      </c>
      <c r="C12" s="4">
        <f>+AD_tis!$BD12*AD_tis!C12*AD_tis!C$47</f>
        <v>0</v>
      </c>
      <c r="D12" s="4">
        <f>+AD_tis!$BD12*AD_tis!D12*AD_tis!D$47</f>
        <v>0</v>
      </c>
      <c r="E12" s="4">
        <f>+AD_tis!$BD12*AD_tis!E12*AD_tis!E$47</f>
        <v>0</v>
      </c>
      <c r="F12" s="4">
        <f>+AD_tis!$BD12*AD_tis!F12*AD_tis!F$47</f>
        <v>0</v>
      </c>
      <c r="G12" s="4">
        <f>+AD_tis!$BD12*AD_tis!G12*AD_tis!G$47</f>
        <v>0</v>
      </c>
      <c r="H12" s="4">
        <f>+AD_tis!$BD12*AD_tis!H12*AD_tis!H$47</f>
        <v>0</v>
      </c>
      <c r="I12" s="4">
        <f>+AD_tis!$BD12*AD_tis!I12*AD_tis!I$47</f>
        <v>0</v>
      </c>
      <c r="J12" s="4">
        <f>+AD_tis!$BD12*AD_tis!J12*AD_tis!J$47</f>
        <v>1</v>
      </c>
      <c r="K12" s="4">
        <f>+AD_tis!$BD12*AD_tis!K12*AD_tis!K$47</f>
        <v>0</v>
      </c>
      <c r="L12" s="4">
        <f>+AD_tis!$BD12*AD_tis!L12*AD_tis!L$47</f>
        <v>1</v>
      </c>
      <c r="M12" s="4">
        <f>+AD_tis!$BD12*AD_tis!M12*AD_tis!M$47</f>
        <v>1</v>
      </c>
      <c r="N12" s="4">
        <f>+AD_tis!$BD12*AD_tis!N12*AD_tis!N$47</f>
        <v>0</v>
      </c>
      <c r="O12" s="4">
        <f>+AD_tis!$BD12*AD_tis!O12*AD_tis!O$47</f>
        <v>0</v>
      </c>
      <c r="P12" s="4">
        <f>+AD_tis!$BD12*AD_tis!P12*AD_tis!P$47</f>
        <v>0</v>
      </c>
      <c r="Q12" s="4">
        <f>+AD_tis!$BD12*AD_tis!Q12*AD_tis!Q$47</f>
        <v>0</v>
      </c>
      <c r="R12" s="13">
        <f>+AD_tis!$BD12*AD_tis!R12*AD_tis!R$47</f>
        <v>0</v>
      </c>
      <c r="S12" s="4">
        <f>+AD_tis!$BD12*AD_tis!S12*AD_tis!S$47</f>
        <v>0</v>
      </c>
      <c r="T12" s="4">
        <f>+AD_tis!$BD12*AD_tis!T12*AD_tis!T$47</f>
        <v>0</v>
      </c>
      <c r="U12" s="4">
        <f>+AD_tis!$BD12*AD_tis!U12*AD_tis!U$47</f>
        <v>0</v>
      </c>
      <c r="V12" s="4">
        <f>+AD_tis!$BD12*AD_tis!V12*AD_tis!V$47</f>
        <v>0</v>
      </c>
      <c r="W12" s="4">
        <f>+AD_tis!$BD12*AD_tis!W12*AD_tis!W$47</f>
        <v>0</v>
      </c>
      <c r="X12" s="4">
        <f>+AD_tis!$BD12*AD_tis!X12*AD_tis!X$47</f>
        <v>0</v>
      </c>
      <c r="Y12" s="4">
        <f>+AD_tis!$BD12*AD_tis!Y12*AD_tis!Y$47</f>
        <v>0</v>
      </c>
      <c r="Z12" s="4">
        <f>+AD_tis!$BD12*AD_tis!Z12*AD_tis!Z$47</f>
        <v>0</v>
      </c>
      <c r="AA12" s="4">
        <f>+AD_tis!$BD12*AD_tis!AA12*AD_tis!AA$47</f>
        <v>0</v>
      </c>
      <c r="AB12" s="4">
        <f>+AD_tis!$BD12*AD_tis!AB12*AD_tis!AB$47</f>
        <v>0</v>
      </c>
      <c r="AC12" s="12">
        <f>+AD_tis!$BD12*AD_tis!AC12*AD_tis!AC$47</f>
        <v>0</v>
      </c>
      <c r="AD12" s="4">
        <f>+AD_tis!$BD12*AD_tis!AD12*AD_tis!AD$47</f>
        <v>0</v>
      </c>
      <c r="AE12" s="4">
        <f>+AD_tis!$BD12*AD_tis!AE12*AD_tis!AE$47</f>
        <v>0</v>
      </c>
      <c r="AF12" s="4">
        <f>+AD_tis!$BD12*AD_tis!AF12*AD_tis!AF$47</f>
        <v>0</v>
      </c>
      <c r="AG12" s="4">
        <f>+AD_tis!$BD12*AD_tis!AG12*AD_tis!AG$47</f>
        <v>0</v>
      </c>
      <c r="AH12" s="4">
        <f>+AD_tis!$BD12*AD_tis!AH12*AD_tis!AH$47</f>
        <v>0</v>
      </c>
      <c r="AI12" s="4">
        <f>+AD_tis!$BD12*AD_tis!AI12*AD_tis!AI$47</f>
        <v>0</v>
      </c>
      <c r="AJ12" s="4">
        <f>+AD_tis!$BD12*AD_tis!AJ12*AD_tis!AJ$47</f>
        <v>0</v>
      </c>
      <c r="AK12" s="4">
        <f>+AD_tis!$BD12*AD_tis!AK12*AD_tis!AK$47</f>
        <v>0</v>
      </c>
      <c r="AL12" s="4">
        <f>+AD_tis!$BD12*AD_tis!AL12*AD_tis!AL$47</f>
        <v>0</v>
      </c>
      <c r="AM12" s="13">
        <f>+AD_tis!$BD12*AD_tis!AM12*AD_tis!AM$47</f>
        <v>0</v>
      </c>
      <c r="AN12" s="4">
        <f>+AD_tis!$BD12*AD_tis!AN12*AD_tis!AN$47</f>
        <v>0</v>
      </c>
      <c r="AO12" s="4">
        <f>+AD_tis!$BD12*AD_tis!AO12*AD_tis!AO$47</f>
        <v>0</v>
      </c>
      <c r="AP12" s="4">
        <f>+AD_tis!$BD12*AD_tis!AP12*AD_tis!AP$47</f>
        <v>0</v>
      </c>
      <c r="AQ12" s="4">
        <f>+AD_tis!$BD12*AD_tis!AQ12*AD_tis!AQ$47</f>
        <v>0</v>
      </c>
      <c r="AR12" s="4">
        <f>+AD_tis!$BD12*AD_tis!AR12*AD_tis!AR$47</f>
        <v>0</v>
      </c>
      <c r="AS12" s="4">
        <f>+AD_tis!$BD12*AD_tis!AS12*AD_tis!AS$47</f>
        <v>0</v>
      </c>
      <c r="AT12" s="4">
        <f>+AD_tis!$BD12*AD_tis!AT12*AD_tis!AT$47</f>
        <v>0</v>
      </c>
      <c r="AU12" s="4">
        <f>+AD_tis!$BD12*AD_tis!AU12*AD_tis!AU$47</f>
        <v>0</v>
      </c>
      <c r="AV12" s="4">
        <f>+AD_tis!$BD12*AD_tis!AV12*AD_tis!AV$47</f>
        <v>0</v>
      </c>
      <c r="AW12" s="12">
        <f>+AD_tis!$BD12*AD_tis!AW12*AD_tis!AW$47</f>
        <v>0</v>
      </c>
      <c r="AX12" s="13">
        <f>+AD_tis!$BD12*AD_tis!AX12*AD_tis!AX$47</f>
        <v>0</v>
      </c>
      <c r="AY12" s="4">
        <f>+AD_tis!$BD12*AD_tis!AY12*AD_tis!AY$47</f>
        <v>0</v>
      </c>
      <c r="AZ12" s="4">
        <f>+AD_tis!$BD12*AD_tis!AZ12*AD_tis!AZ$47</f>
        <v>0</v>
      </c>
      <c r="BA12" s="12">
        <f>+AD_tis!$BD12*AD_tis!BA12*AD_tis!BA$47</f>
        <v>0</v>
      </c>
      <c r="BB12" s="4">
        <f>+AD_tis!$BD12*AD_tis!BB12*AD_tis!BB$47</f>
        <v>0</v>
      </c>
      <c r="BC12" s="13">
        <f>+AD_tis!$BD12*AD_tis!BC12*AD_tis!BC$47</f>
        <v>0</v>
      </c>
    </row>
    <row r="13" spans="1:55" ht="18.75" customHeight="1" x14ac:dyDescent="0.25">
      <c r="A13" s="5" t="s">
        <v>64</v>
      </c>
      <c r="B13" s="12">
        <f>+AD_tis!$BD13*AD_tis!B13*AD_tis!B$47</f>
        <v>0</v>
      </c>
      <c r="C13" s="4">
        <f>+AD_tis!$BD13*AD_tis!C13*AD_tis!C$47</f>
        <v>0</v>
      </c>
      <c r="D13" s="4">
        <f>+AD_tis!$BD13*AD_tis!D13*AD_tis!D$47</f>
        <v>0</v>
      </c>
      <c r="E13" s="4">
        <f>+AD_tis!$BD13*AD_tis!E13*AD_tis!E$47</f>
        <v>0</v>
      </c>
      <c r="F13" s="4">
        <f>+AD_tis!$BD13*AD_tis!F13*AD_tis!F$47</f>
        <v>0</v>
      </c>
      <c r="G13" s="4">
        <f>+AD_tis!$BD13*AD_tis!G13*AD_tis!G$47</f>
        <v>0</v>
      </c>
      <c r="H13" s="4">
        <f>+AD_tis!$BD13*AD_tis!H13*AD_tis!H$47</f>
        <v>0</v>
      </c>
      <c r="I13" s="4">
        <f>+AD_tis!$BD13*AD_tis!I13*AD_tis!I$47</f>
        <v>0</v>
      </c>
      <c r="J13" s="4">
        <f>+AD_tis!$BD13*AD_tis!J13*AD_tis!J$47</f>
        <v>1</v>
      </c>
      <c r="K13" s="4">
        <f>+AD_tis!$BD13*AD_tis!K13*AD_tis!K$47</f>
        <v>0</v>
      </c>
      <c r="L13" s="4">
        <f>+AD_tis!$BD13*AD_tis!L13*AD_tis!L$47</f>
        <v>0</v>
      </c>
      <c r="M13" s="4">
        <f>+AD_tis!$BD13*AD_tis!M13*AD_tis!M$47</f>
        <v>1</v>
      </c>
      <c r="N13" s="4">
        <f>+AD_tis!$BD13*AD_tis!N13*AD_tis!N$47</f>
        <v>1</v>
      </c>
      <c r="O13" s="4">
        <f>+AD_tis!$BD13*AD_tis!O13*AD_tis!O$47</f>
        <v>0</v>
      </c>
      <c r="P13" s="4">
        <f>+AD_tis!$BD13*AD_tis!P13*AD_tis!P$47</f>
        <v>0</v>
      </c>
      <c r="Q13" s="4">
        <f>+AD_tis!$BD13*AD_tis!Q13*AD_tis!Q$47</f>
        <v>0</v>
      </c>
      <c r="R13" s="13">
        <f>+AD_tis!$BD13*AD_tis!R13*AD_tis!R$47</f>
        <v>1</v>
      </c>
      <c r="S13" s="4">
        <f>+AD_tis!$BD13*AD_tis!S13*AD_tis!S$47</f>
        <v>0</v>
      </c>
      <c r="T13" s="4">
        <f>+AD_tis!$BD13*AD_tis!T13*AD_tis!T$47</f>
        <v>0</v>
      </c>
      <c r="U13" s="4">
        <f>+AD_tis!$BD13*AD_tis!U13*AD_tis!U$47</f>
        <v>0</v>
      </c>
      <c r="V13" s="4">
        <f>+AD_tis!$BD13*AD_tis!V13*AD_tis!V$47</f>
        <v>0</v>
      </c>
      <c r="W13" s="4">
        <f>+AD_tis!$BD13*AD_tis!W13*AD_tis!W$47</f>
        <v>0</v>
      </c>
      <c r="X13" s="4">
        <f>+AD_tis!$BD13*AD_tis!X13*AD_tis!X$47</f>
        <v>0</v>
      </c>
      <c r="Y13" s="4">
        <f>+AD_tis!$BD13*AD_tis!Y13*AD_tis!Y$47</f>
        <v>0</v>
      </c>
      <c r="Z13" s="4">
        <f>+AD_tis!$BD13*AD_tis!Z13*AD_tis!Z$47</f>
        <v>0</v>
      </c>
      <c r="AA13" s="4">
        <f>+AD_tis!$BD13*AD_tis!AA13*AD_tis!AA$47</f>
        <v>0</v>
      </c>
      <c r="AB13" s="4">
        <f>+AD_tis!$BD13*AD_tis!AB13*AD_tis!AB$47</f>
        <v>0</v>
      </c>
      <c r="AC13" s="12">
        <f>+AD_tis!$BD13*AD_tis!AC13*AD_tis!AC$47</f>
        <v>0</v>
      </c>
      <c r="AD13" s="4">
        <f>+AD_tis!$BD13*AD_tis!AD13*AD_tis!AD$47</f>
        <v>0</v>
      </c>
      <c r="AE13" s="4">
        <f>+AD_tis!$BD13*AD_tis!AE13*AD_tis!AE$47</f>
        <v>0</v>
      </c>
      <c r="AF13" s="4">
        <f>+AD_tis!$BD13*AD_tis!AF13*AD_tis!AF$47</f>
        <v>0</v>
      </c>
      <c r="AG13" s="4">
        <f>+AD_tis!$BD13*AD_tis!AG13*AD_tis!AG$47</f>
        <v>0</v>
      </c>
      <c r="AH13" s="4">
        <f>+AD_tis!$BD13*AD_tis!AH13*AD_tis!AH$47</f>
        <v>0</v>
      </c>
      <c r="AI13" s="4">
        <f>+AD_tis!$BD13*AD_tis!AI13*AD_tis!AI$47</f>
        <v>0</v>
      </c>
      <c r="AJ13" s="4">
        <f>+AD_tis!$BD13*AD_tis!AJ13*AD_tis!AJ$47</f>
        <v>0</v>
      </c>
      <c r="AK13" s="4">
        <f>+AD_tis!$BD13*AD_tis!AK13*AD_tis!AK$47</f>
        <v>0</v>
      </c>
      <c r="AL13" s="4">
        <f>+AD_tis!$BD13*AD_tis!AL13*AD_tis!AL$47</f>
        <v>0</v>
      </c>
      <c r="AM13" s="13">
        <f>+AD_tis!$BD13*AD_tis!AM13*AD_tis!AM$47</f>
        <v>0</v>
      </c>
      <c r="AN13" s="4">
        <f>+AD_tis!$BD13*AD_tis!AN13*AD_tis!AN$47</f>
        <v>0</v>
      </c>
      <c r="AO13" s="4">
        <f>+AD_tis!$BD13*AD_tis!AO13*AD_tis!AO$47</f>
        <v>1</v>
      </c>
      <c r="AP13" s="4">
        <f>+AD_tis!$BD13*AD_tis!AP13*AD_tis!AP$47</f>
        <v>0</v>
      </c>
      <c r="AQ13" s="4">
        <f>+AD_tis!$BD13*AD_tis!AQ13*AD_tis!AQ$47</f>
        <v>0</v>
      </c>
      <c r="AR13" s="4">
        <f>+AD_tis!$BD13*AD_tis!AR13*AD_tis!AR$47</f>
        <v>0</v>
      </c>
      <c r="AS13" s="4">
        <f>+AD_tis!$BD13*AD_tis!AS13*AD_tis!AS$47</f>
        <v>0</v>
      </c>
      <c r="AT13" s="4">
        <f>+AD_tis!$BD13*AD_tis!AT13*AD_tis!AT$47</f>
        <v>0</v>
      </c>
      <c r="AU13" s="4">
        <f>+AD_tis!$BD13*AD_tis!AU13*AD_tis!AU$47</f>
        <v>0</v>
      </c>
      <c r="AV13" s="4">
        <f>+AD_tis!$BD13*AD_tis!AV13*AD_tis!AV$47</f>
        <v>0</v>
      </c>
      <c r="AW13" s="12">
        <f>+AD_tis!$BD13*AD_tis!AW13*AD_tis!AW$47</f>
        <v>0</v>
      </c>
      <c r="AX13" s="13">
        <f>+AD_tis!$BD13*AD_tis!AX13*AD_tis!AX$47</f>
        <v>0</v>
      </c>
      <c r="AY13" s="4">
        <f>+AD_tis!$BD13*AD_tis!AY13*AD_tis!AY$47</f>
        <v>0</v>
      </c>
      <c r="AZ13" s="4">
        <f>+AD_tis!$BD13*AD_tis!AZ13*AD_tis!AZ$47</f>
        <v>0</v>
      </c>
      <c r="BA13" s="12">
        <f>+AD_tis!$BD13*AD_tis!BA13*AD_tis!BA$47</f>
        <v>0</v>
      </c>
      <c r="BB13" s="4">
        <f>+AD_tis!$BD13*AD_tis!BB13*AD_tis!BB$47</f>
        <v>0</v>
      </c>
      <c r="BC13" s="13">
        <f>+AD_tis!$BD13*AD_tis!BC13*AD_tis!BC$47</f>
        <v>0</v>
      </c>
    </row>
    <row r="14" spans="1:55" ht="18.75" customHeight="1" x14ac:dyDescent="0.25">
      <c r="A14" s="5" t="s">
        <v>65</v>
      </c>
      <c r="B14" s="12">
        <f>+AD_tis!$BD14*AD_tis!B14*AD_tis!B$47</f>
        <v>1</v>
      </c>
      <c r="C14" s="4">
        <f>+AD_tis!$BD14*AD_tis!C14*AD_tis!C$47</f>
        <v>0</v>
      </c>
      <c r="D14" s="4">
        <f>+AD_tis!$BD14*AD_tis!D14*AD_tis!D$47</f>
        <v>0</v>
      </c>
      <c r="E14" s="4">
        <f>+AD_tis!$BD14*AD_tis!E14*AD_tis!E$47</f>
        <v>0</v>
      </c>
      <c r="F14" s="4">
        <f>+AD_tis!$BD14*AD_tis!F14*AD_tis!F$47</f>
        <v>0</v>
      </c>
      <c r="G14" s="4">
        <f>+AD_tis!$BD14*AD_tis!G14*AD_tis!G$47</f>
        <v>0</v>
      </c>
      <c r="H14" s="4">
        <f>+AD_tis!$BD14*AD_tis!H14*AD_tis!H$47</f>
        <v>0</v>
      </c>
      <c r="I14" s="4">
        <f>+AD_tis!$BD14*AD_tis!I14*AD_tis!I$47</f>
        <v>0</v>
      </c>
      <c r="J14" s="4">
        <f>+AD_tis!$BD14*AD_tis!J14*AD_tis!J$47</f>
        <v>0</v>
      </c>
      <c r="K14" s="4">
        <f>+AD_tis!$BD14*AD_tis!K14*AD_tis!K$47</f>
        <v>0</v>
      </c>
      <c r="L14" s="4">
        <f>+AD_tis!$BD14*AD_tis!L14*AD_tis!L$47</f>
        <v>1</v>
      </c>
      <c r="M14" s="4">
        <f>+AD_tis!$BD14*AD_tis!M14*AD_tis!M$47</f>
        <v>1</v>
      </c>
      <c r="N14" s="4">
        <f>+AD_tis!$BD14*AD_tis!N14*AD_tis!N$47</f>
        <v>1</v>
      </c>
      <c r="O14" s="4">
        <f>+AD_tis!$BD14*AD_tis!O14*AD_tis!O$47</f>
        <v>1</v>
      </c>
      <c r="P14" s="4">
        <f>+AD_tis!$BD14*AD_tis!P14*AD_tis!P$47</f>
        <v>0</v>
      </c>
      <c r="Q14" s="4">
        <f>+AD_tis!$BD14*AD_tis!Q14*AD_tis!Q$47</f>
        <v>0</v>
      </c>
      <c r="R14" s="13">
        <f>+AD_tis!$BD14*AD_tis!R14*AD_tis!R$47</f>
        <v>0</v>
      </c>
      <c r="S14" s="4">
        <f>+AD_tis!$BD14*AD_tis!S14*AD_tis!S$47</f>
        <v>0</v>
      </c>
      <c r="T14" s="4">
        <f>+AD_tis!$BD14*AD_tis!T14*AD_tis!T$47</f>
        <v>0</v>
      </c>
      <c r="U14" s="4">
        <f>+AD_tis!$BD14*AD_tis!U14*AD_tis!U$47</f>
        <v>0</v>
      </c>
      <c r="V14" s="4">
        <f>+AD_tis!$BD14*AD_tis!V14*AD_tis!V$47</f>
        <v>0</v>
      </c>
      <c r="W14" s="4">
        <f>+AD_tis!$BD14*AD_tis!W14*AD_tis!W$47</f>
        <v>0</v>
      </c>
      <c r="X14" s="4">
        <f>+AD_tis!$BD14*AD_tis!X14*AD_tis!X$47</f>
        <v>0</v>
      </c>
      <c r="Y14" s="4">
        <f>+AD_tis!$BD14*AD_tis!Y14*AD_tis!Y$47</f>
        <v>0</v>
      </c>
      <c r="Z14" s="4">
        <f>+AD_tis!$BD14*AD_tis!Z14*AD_tis!Z$47</f>
        <v>0</v>
      </c>
      <c r="AA14" s="4">
        <f>+AD_tis!$BD14*AD_tis!AA14*AD_tis!AA$47</f>
        <v>0</v>
      </c>
      <c r="AB14" s="4">
        <f>+AD_tis!$BD14*AD_tis!AB14*AD_tis!AB$47</f>
        <v>0</v>
      </c>
      <c r="AC14" s="12">
        <f>+AD_tis!$BD14*AD_tis!AC14*AD_tis!AC$47</f>
        <v>0</v>
      </c>
      <c r="AD14" s="4">
        <f>+AD_tis!$BD14*AD_tis!AD14*AD_tis!AD$47</f>
        <v>0</v>
      </c>
      <c r="AE14" s="4">
        <f>+AD_tis!$BD14*AD_tis!AE14*AD_tis!AE$47</f>
        <v>0</v>
      </c>
      <c r="AF14" s="4">
        <f>+AD_tis!$BD14*AD_tis!AF14*AD_tis!AF$47</f>
        <v>0</v>
      </c>
      <c r="AG14" s="4">
        <f>+AD_tis!$BD14*AD_tis!AG14*AD_tis!AG$47</f>
        <v>0</v>
      </c>
      <c r="AH14" s="4">
        <f>+AD_tis!$BD14*AD_tis!AH14*AD_tis!AH$47</f>
        <v>0</v>
      </c>
      <c r="AI14" s="4">
        <f>+AD_tis!$BD14*AD_tis!AI14*AD_tis!AI$47</f>
        <v>0</v>
      </c>
      <c r="AJ14" s="4">
        <f>+AD_tis!$BD14*AD_tis!AJ14*AD_tis!AJ$47</f>
        <v>0</v>
      </c>
      <c r="AK14" s="4">
        <f>+AD_tis!$BD14*AD_tis!AK14*AD_tis!AK$47</f>
        <v>0</v>
      </c>
      <c r="AL14" s="4">
        <f>+AD_tis!$BD14*AD_tis!AL14*AD_tis!AL$47</f>
        <v>0</v>
      </c>
      <c r="AM14" s="13">
        <f>+AD_tis!$BD14*AD_tis!AM14*AD_tis!AM$47</f>
        <v>0</v>
      </c>
      <c r="AN14" s="4">
        <f>+AD_tis!$BD14*AD_tis!AN14*AD_tis!AN$47</f>
        <v>0</v>
      </c>
      <c r="AO14" s="4">
        <f>+AD_tis!$BD14*AD_tis!AO14*AD_tis!AO$47</f>
        <v>0</v>
      </c>
      <c r="AP14" s="4">
        <f>+AD_tis!$BD14*AD_tis!AP14*AD_tis!AP$47</f>
        <v>0</v>
      </c>
      <c r="AQ14" s="4">
        <f>+AD_tis!$BD14*AD_tis!AQ14*AD_tis!AQ$47</f>
        <v>0</v>
      </c>
      <c r="AR14" s="4">
        <f>+AD_tis!$BD14*AD_tis!AR14*AD_tis!AR$47</f>
        <v>1</v>
      </c>
      <c r="AS14" s="4">
        <f>+AD_tis!$BD14*AD_tis!AS14*AD_tis!AS$47</f>
        <v>1</v>
      </c>
      <c r="AT14" s="4">
        <f>+AD_tis!$BD14*AD_tis!AT14*AD_tis!AT$47</f>
        <v>0</v>
      </c>
      <c r="AU14" s="4">
        <f>+AD_tis!$BD14*AD_tis!AU14*AD_tis!AU$47</f>
        <v>0</v>
      </c>
      <c r="AV14" s="4">
        <f>+AD_tis!$BD14*AD_tis!AV14*AD_tis!AV$47</f>
        <v>0</v>
      </c>
      <c r="AW14" s="12">
        <f>+AD_tis!$BD14*AD_tis!AW14*AD_tis!AW$47</f>
        <v>1</v>
      </c>
      <c r="AX14" s="13">
        <f>+AD_tis!$BD14*AD_tis!AX14*AD_tis!AX$47</f>
        <v>0</v>
      </c>
      <c r="AY14" s="4">
        <f>+AD_tis!$BD14*AD_tis!AY14*AD_tis!AY$47</f>
        <v>0</v>
      </c>
      <c r="AZ14" s="4">
        <f>+AD_tis!$BD14*AD_tis!AZ14*AD_tis!AZ$47</f>
        <v>0</v>
      </c>
      <c r="BA14" s="12">
        <f>+AD_tis!$BD14*AD_tis!BA14*AD_tis!BA$47</f>
        <v>0</v>
      </c>
      <c r="BB14" s="4">
        <f>+AD_tis!$BD14*AD_tis!BB14*AD_tis!BB$47</f>
        <v>0</v>
      </c>
      <c r="BC14" s="13">
        <f>+AD_tis!$BD14*AD_tis!BC14*AD_tis!BC$47</f>
        <v>0</v>
      </c>
    </row>
    <row r="15" spans="1:55" ht="18.75" customHeight="1" x14ac:dyDescent="0.25">
      <c r="A15" s="5" t="s">
        <v>66</v>
      </c>
      <c r="B15" s="12">
        <f>+AD_tis!$BD15*AD_tis!B15*AD_tis!B$47</f>
        <v>0</v>
      </c>
      <c r="C15" s="4">
        <f>+AD_tis!$BD15*AD_tis!C15*AD_tis!C$47</f>
        <v>1</v>
      </c>
      <c r="D15" s="4">
        <f>+AD_tis!$BD15*AD_tis!D15*AD_tis!D$47</f>
        <v>0</v>
      </c>
      <c r="E15" s="4">
        <f>+AD_tis!$BD15*AD_tis!E15*AD_tis!E$47</f>
        <v>0</v>
      </c>
      <c r="F15" s="4">
        <f>+AD_tis!$BD15*AD_tis!F15*AD_tis!F$47</f>
        <v>0</v>
      </c>
      <c r="G15" s="4">
        <f>+AD_tis!$BD15*AD_tis!G15*AD_tis!G$47</f>
        <v>0</v>
      </c>
      <c r="H15" s="4">
        <f>+AD_tis!$BD15*AD_tis!H15*AD_tis!H$47</f>
        <v>0</v>
      </c>
      <c r="I15" s="4">
        <f>+AD_tis!$BD15*AD_tis!I15*AD_tis!I$47</f>
        <v>0</v>
      </c>
      <c r="J15" s="4">
        <f>+AD_tis!$BD15*AD_tis!J15*AD_tis!J$47</f>
        <v>0</v>
      </c>
      <c r="K15" s="4">
        <f>+AD_tis!$BD15*AD_tis!K15*AD_tis!K$47</f>
        <v>0</v>
      </c>
      <c r="L15" s="4">
        <f>+AD_tis!$BD15*AD_tis!L15*AD_tis!L$47</f>
        <v>0</v>
      </c>
      <c r="M15" s="4">
        <f>+AD_tis!$BD15*AD_tis!M15*AD_tis!M$47</f>
        <v>1</v>
      </c>
      <c r="N15" s="4">
        <f>+AD_tis!$BD15*AD_tis!N15*AD_tis!N$47</f>
        <v>1</v>
      </c>
      <c r="O15" s="4">
        <f>+AD_tis!$BD15*AD_tis!O15*AD_tis!O$47</f>
        <v>0</v>
      </c>
      <c r="P15" s="4">
        <f>+AD_tis!$BD15*AD_tis!P15*AD_tis!P$47</f>
        <v>1</v>
      </c>
      <c r="Q15" s="4">
        <f>+AD_tis!$BD15*AD_tis!Q15*AD_tis!Q$47</f>
        <v>0</v>
      </c>
      <c r="R15" s="13">
        <f>+AD_tis!$BD15*AD_tis!R15*AD_tis!R$47</f>
        <v>0</v>
      </c>
      <c r="S15" s="4">
        <f>+AD_tis!$BD15*AD_tis!S15*AD_tis!S$47</f>
        <v>0</v>
      </c>
      <c r="T15" s="4">
        <f>+AD_tis!$BD15*AD_tis!T15*AD_tis!T$47</f>
        <v>0</v>
      </c>
      <c r="U15" s="4">
        <f>+AD_tis!$BD15*AD_tis!U15*AD_tis!U$47</f>
        <v>0</v>
      </c>
      <c r="V15" s="4">
        <f>+AD_tis!$BD15*AD_tis!V15*AD_tis!V$47</f>
        <v>0</v>
      </c>
      <c r="W15" s="4">
        <f>+AD_tis!$BD15*AD_tis!W15*AD_tis!W$47</f>
        <v>0</v>
      </c>
      <c r="X15" s="4">
        <f>+AD_tis!$BD15*AD_tis!X15*AD_tis!X$47</f>
        <v>0</v>
      </c>
      <c r="Y15" s="4">
        <f>+AD_tis!$BD15*AD_tis!Y15*AD_tis!Y$47</f>
        <v>0</v>
      </c>
      <c r="Z15" s="4">
        <f>+AD_tis!$BD15*AD_tis!Z15*AD_tis!Z$47</f>
        <v>0</v>
      </c>
      <c r="AA15" s="4">
        <f>+AD_tis!$BD15*AD_tis!AA15*AD_tis!AA$47</f>
        <v>0</v>
      </c>
      <c r="AB15" s="4">
        <f>+AD_tis!$BD15*AD_tis!AB15*AD_tis!AB$47</f>
        <v>0</v>
      </c>
      <c r="AC15" s="12">
        <f>+AD_tis!$BD15*AD_tis!AC15*AD_tis!AC$47</f>
        <v>0</v>
      </c>
      <c r="AD15" s="4">
        <f>+AD_tis!$BD15*AD_tis!AD15*AD_tis!AD$47</f>
        <v>0</v>
      </c>
      <c r="AE15" s="4">
        <f>+AD_tis!$BD15*AD_tis!AE15*AD_tis!AE$47</f>
        <v>0</v>
      </c>
      <c r="AF15" s="4">
        <f>+AD_tis!$BD15*AD_tis!AF15*AD_tis!AF$47</f>
        <v>0</v>
      </c>
      <c r="AG15" s="4">
        <f>+AD_tis!$BD15*AD_tis!AG15*AD_tis!AG$47</f>
        <v>0</v>
      </c>
      <c r="AH15" s="4">
        <f>+AD_tis!$BD15*AD_tis!AH15*AD_tis!AH$47</f>
        <v>0</v>
      </c>
      <c r="AI15" s="4">
        <f>+AD_tis!$BD15*AD_tis!AI15*AD_tis!AI$47</f>
        <v>0</v>
      </c>
      <c r="AJ15" s="4">
        <f>+AD_tis!$BD15*AD_tis!AJ15*AD_tis!AJ$47</f>
        <v>0</v>
      </c>
      <c r="AK15" s="4">
        <f>+AD_tis!$BD15*AD_tis!AK15*AD_tis!AK$47</f>
        <v>0</v>
      </c>
      <c r="AL15" s="4">
        <f>+AD_tis!$BD15*AD_tis!AL15*AD_tis!AL$47</f>
        <v>0</v>
      </c>
      <c r="AM15" s="13">
        <f>+AD_tis!$BD15*AD_tis!AM15*AD_tis!AM$47</f>
        <v>0</v>
      </c>
      <c r="AN15" s="4">
        <f>+AD_tis!$BD15*AD_tis!AN15*AD_tis!AN$47</f>
        <v>0</v>
      </c>
      <c r="AO15" s="4">
        <f>+AD_tis!$BD15*AD_tis!AO15*AD_tis!AO$47</f>
        <v>0</v>
      </c>
      <c r="AP15" s="4">
        <f>+AD_tis!$BD15*AD_tis!AP15*AD_tis!AP$47</f>
        <v>0</v>
      </c>
      <c r="AQ15" s="4">
        <f>+AD_tis!$BD15*AD_tis!AQ15*AD_tis!AQ$47</f>
        <v>0</v>
      </c>
      <c r="AR15" s="4">
        <f>+AD_tis!$BD15*AD_tis!AR15*AD_tis!AR$47</f>
        <v>0</v>
      </c>
      <c r="AS15" s="4">
        <f>+AD_tis!$BD15*AD_tis!AS15*AD_tis!AS$47</f>
        <v>0</v>
      </c>
      <c r="AT15" s="4">
        <f>+AD_tis!$BD15*AD_tis!AT15*AD_tis!AT$47</f>
        <v>0</v>
      </c>
      <c r="AU15" s="4">
        <f>+AD_tis!$BD15*AD_tis!AU15*AD_tis!AU$47</f>
        <v>1</v>
      </c>
      <c r="AV15" s="4">
        <f>+AD_tis!$BD15*AD_tis!AV15*AD_tis!AV$47</f>
        <v>0</v>
      </c>
      <c r="AW15" s="12">
        <f>+AD_tis!$BD15*AD_tis!AW15*AD_tis!AW$47</f>
        <v>0</v>
      </c>
      <c r="AX15" s="13">
        <f>+AD_tis!$BD15*AD_tis!AX15*AD_tis!AX$47</f>
        <v>1</v>
      </c>
      <c r="AY15" s="4">
        <f>+AD_tis!$BD15*AD_tis!AY15*AD_tis!AY$47</f>
        <v>0</v>
      </c>
      <c r="AZ15" s="4">
        <f>+AD_tis!$BD15*AD_tis!AZ15*AD_tis!AZ$47</f>
        <v>0</v>
      </c>
      <c r="BA15" s="12">
        <f>+AD_tis!$BD15*AD_tis!BA15*AD_tis!BA$47</f>
        <v>0</v>
      </c>
      <c r="BB15" s="4">
        <f>+AD_tis!$BD15*AD_tis!BB15*AD_tis!BB$47</f>
        <v>0</v>
      </c>
      <c r="BC15" s="13">
        <f>+AD_tis!$BD15*AD_tis!BC15*AD_tis!BC$47</f>
        <v>0</v>
      </c>
    </row>
    <row r="16" spans="1:55" ht="18.75" customHeight="1" x14ac:dyDescent="0.25">
      <c r="A16" s="5" t="s">
        <v>67</v>
      </c>
      <c r="B16" s="12">
        <f>+AD_tis!$BD16*AD_tis!B16*AD_tis!B$47</f>
        <v>0</v>
      </c>
      <c r="C16" s="4">
        <f>+AD_tis!$BD16*AD_tis!C16*AD_tis!C$47</f>
        <v>0</v>
      </c>
      <c r="D16" s="4">
        <f>+AD_tis!$BD16*AD_tis!D16*AD_tis!D$47</f>
        <v>0</v>
      </c>
      <c r="E16" s="4">
        <f>+AD_tis!$BD16*AD_tis!E16*AD_tis!E$47</f>
        <v>0</v>
      </c>
      <c r="F16" s="4">
        <f>+AD_tis!$BD16*AD_tis!F16*AD_tis!F$47</f>
        <v>0</v>
      </c>
      <c r="G16" s="4">
        <f>+AD_tis!$BD16*AD_tis!G16*AD_tis!G$47</f>
        <v>0</v>
      </c>
      <c r="H16" s="4">
        <f>+AD_tis!$BD16*AD_tis!H16*AD_tis!H$47</f>
        <v>0</v>
      </c>
      <c r="I16" s="4">
        <f>+AD_tis!$BD16*AD_tis!I16*AD_tis!I$47</f>
        <v>0</v>
      </c>
      <c r="J16" s="4">
        <f>+AD_tis!$BD16*AD_tis!J16*AD_tis!J$47</f>
        <v>1</v>
      </c>
      <c r="K16" s="4">
        <f>+AD_tis!$BD16*AD_tis!K16*AD_tis!K$47</f>
        <v>0</v>
      </c>
      <c r="L16" s="4">
        <f>+AD_tis!$BD16*AD_tis!L16*AD_tis!L$47</f>
        <v>1</v>
      </c>
      <c r="M16" s="4">
        <f>+AD_tis!$BD16*AD_tis!M16*AD_tis!M$47</f>
        <v>1</v>
      </c>
      <c r="N16" s="4">
        <f>+AD_tis!$BD16*AD_tis!N16*AD_tis!N$47</f>
        <v>1</v>
      </c>
      <c r="O16" s="4">
        <f>+AD_tis!$BD16*AD_tis!O16*AD_tis!O$47</f>
        <v>0</v>
      </c>
      <c r="P16" s="4">
        <f>+AD_tis!$BD16*AD_tis!P16*AD_tis!P$47</f>
        <v>0</v>
      </c>
      <c r="Q16" s="4">
        <f>+AD_tis!$BD16*AD_tis!Q16*AD_tis!Q$47</f>
        <v>0</v>
      </c>
      <c r="R16" s="13">
        <f>+AD_tis!$BD16*AD_tis!R16*AD_tis!R$47</f>
        <v>1</v>
      </c>
      <c r="S16" s="4">
        <f>+AD_tis!$BD16*AD_tis!S16*AD_tis!S$47</f>
        <v>0</v>
      </c>
      <c r="T16" s="4">
        <f>+AD_tis!$BD16*AD_tis!T16*AD_tis!T$47</f>
        <v>0</v>
      </c>
      <c r="U16" s="4">
        <f>+AD_tis!$BD16*AD_tis!U16*AD_tis!U$47</f>
        <v>0</v>
      </c>
      <c r="V16" s="4">
        <f>+AD_tis!$BD16*AD_tis!V16*AD_tis!V$47</f>
        <v>0</v>
      </c>
      <c r="W16" s="4">
        <f>+AD_tis!$BD16*AD_tis!W16*AD_tis!W$47</f>
        <v>0</v>
      </c>
      <c r="X16" s="4">
        <f>+AD_tis!$BD16*AD_tis!X16*AD_tis!X$47</f>
        <v>0</v>
      </c>
      <c r="Y16" s="4">
        <f>+AD_tis!$BD16*AD_tis!Y16*AD_tis!Y$47</f>
        <v>0</v>
      </c>
      <c r="Z16" s="4">
        <f>+AD_tis!$BD16*AD_tis!Z16*AD_tis!Z$47</f>
        <v>0</v>
      </c>
      <c r="AA16" s="4">
        <f>+AD_tis!$BD16*AD_tis!AA16*AD_tis!AA$47</f>
        <v>0</v>
      </c>
      <c r="AB16" s="4">
        <f>+AD_tis!$BD16*AD_tis!AB16*AD_tis!AB$47</f>
        <v>0</v>
      </c>
      <c r="AC16" s="12">
        <f>+AD_tis!$BD16*AD_tis!AC16*AD_tis!AC$47</f>
        <v>0</v>
      </c>
      <c r="AD16" s="4">
        <f>+AD_tis!$BD16*AD_tis!AD16*AD_tis!AD$47</f>
        <v>0</v>
      </c>
      <c r="AE16" s="4">
        <f>+AD_tis!$BD16*AD_tis!AE16*AD_tis!AE$47</f>
        <v>0</v>
      </c>
      <c r="AF16" s="4">
        <f>+AD_tis!$BD16*AD_tis!AF16*AD_tis!AF$47</f>
        <v>0</v>
      </c>
      <c r="AG16" s="4">
        <f>+AD_tis!$BD16*AD_tis!AG16*AD_tis!AG$47</f>
        <v>0</v>
      </c>
      <c r="AH16" s="4">
        <f>+AD_tis!$BD16*AD_tis!AH16*AD_tis!AH$47</f>
        <v>0</v>
      </c>
      <c r="AI16" s="4">
        <f>+AD_tis!$BD16*AD_tis!AI16*AD_tis!AI$47</f>
        <v>0</v>
      </c>
      <c r="AJ16" s="4">
        <f>+AD_tis!$BD16*AD_tis!AJ16*AD_tis!AJ$47</f>
        <v>0</v>
      </c>
      <c r="AK16" s="4">
        <f>+AD_tis!$BD16*AD_tis!AK16*AD_tis!AK$47</f>
        <v>0</v>
      </c>
      <c r="AL16" s="4">
        <f>+AD_tis!$BD16*AD_tis!AL16*AD_tis!AL$47</f>
        <v>0</v>
      </c>
      <c r="AM16" s="13">
        <f>+AD_tis!$BD16*AD_tis!AM16*AD_tis!AM$47</f>
        <v>0</v>
      </c>
      <c r="AN16" s="4">
        <f>+AD_tis!$BD16*AD_tis!AN16*AD_tis!AN$47</f>
        <v>0</v>
      </c>
      <c r="AO16" s="4">
        <f>+AD_tis!$BD16*AD_tis!AO16*AD_tis!AO$47</f>
        <v>0</v>
      </c>
      <c r="AP16" s="4">
        <f>+AD_tis!$BD16*AD_tis!AP16*AD_tis!AP$47</f>
        <v>0</v>
      </c>
      <c r="AQ16" s="4">
        <f>+AD_tis!$BD16*AD_tis!AQ16*AD_tis!AQ$47</f>
        <v>1</v>
      </c>
      <c r="AR16" s="4">
        <f>+AD_tis!$BD16*AD_tis!AR16*AD_tis!AR$47</f>
        <v>0</v>
      </c>
      <c r="AS16" s="4">
        <f>+AD_tis!$BD16*AD_tis!AS16*AD_tis!AS$47</f>
        <v>0</v>
      </c>
      <c r="AT16" s="4">
        <f>+AD_tis!$BD16*AD_tis!AT16*AD_tis!AT$47</f>
        <v>0</v>
      </c>
      <c r="AU16" s="4">
        <f>+AD_tis!$BD16*AD_tis!AU16*AD_tis!AU$47</f>
        <v>0</v>
      </c>
      <c r="AV16" s="4">
        <f>+AD_tis!$BD16*AD_tis!AV16*AD_tis!AV$47</f>
        <v>0</v>
      </c>
      <c r="AW16" s="12">
        <f>+AD_tis!$BD16*AD_tis!AW16*AD_tis!AW$47</f>
        <v>0</v>
      </c>
      <c r="AX16" s="13">
        <f>+AD_tis!$BD16*AD_tis!AX16*AD_tis!AX$47</f>
        <v>1</v>
      </c>
      <c r="AY16" s="4">
        <f>+AD_tis!$BD16*AD_tis!AY16*AD_tis!AY$47</f>
        <v>0</v>
      </c>
      <c r="AZ16" s="4">
        <f>+AD_tis!$BD16*AD_tis!AZ16*AD_tis!AZ$47</f>
        <v>0</v>
      </c>
      <c r="BA16" s="12">
        <f>+AD_tis!$BD16*AD_tis!BA16*AD_tis!BA$47</f>
        <v>0</v>
      </c>
      <c r="BB16" s="4">
        <f>+AD_tis!$BD16*AD_tis!BB16*AD_tis!BB$47</f>
        <v>0</v>
      </c>
      <c r="BC16" s="13">
        <f>+AD_tis!$BD16*AD_tis!BC16*AD_tis!BC$47</f>
        <v>0</v>
      </c>
    </row>
    <row r="17" spans="1:55" ht="18.75" customHeight="1" x14ac:dyDescent="0.25">
      <c r="A17" s="5" t="s">
        <v>68</v>
      </c>
      <c r="B17" s="12">
        <f>+AD_tis!$BD17*AD_tis!B17*AD_tis!B$47</f>
        <v>0</v>
      </c>
      <c r="C17" s="4">
        <f>+AD_tis!$BD17*AD_tis!C17*AD_tis!C$47</f>
        <v>1</v>
      </c>
      <c r="D17" s="4">
        <f>+AD_tis!$BD17*AD_tis!D17*AD_tis!D$47</f>
        <v>0</v>
      </c>
      <c r="E17" s="4">
        <f>+AD_tis!$BD17*AD_tis!E17*AD_tis!E$47</f>
        <v>0</v>
      </c>
      <c r="F17" s="4">
        <f>+AD_tis!$BD17*AD_tis!F17*AD_tis!F$47</f>
        <v>0</v>
      </c>
      <c r="G17" s="4">
        <f>+AD_tis!$BD17*AD_tis!G17*AD_tis!G$47</f>
        <v>0</v>
      </c>
      <c r="H17" s="4">
        <f>+AD_tis!$BD17*AD_tis!H17*AD_tis!H$47</f>
        <v>0</v>
      </c>
      <c r="I17" s="4">
        <f>+AD_tis!$BD17*AD_tis!I17*AD_tis!I$47</f>
        <v>0</v>
      </c>
      <c r="J17" s="4">
        <f>+AD_tis!$BD17*AD_tis!J17*AD_tis!J$47</f>
        <v>0</v>
      </c>
      <c r="K17" s="4">
        <f>+AD_tis!$BD17*AD_tis!K17*AD_tis!K$47</f>
        <v>0</v>
      </c>
      <c r="L17" s="4">
        <f>+AD_tis!$BD17*AD_tis!L17*AD_tis!L$47</f>
        <v>0</v>
      </c>
      <c r="M17" s="4">
        <f>+AD_tis!$BD17*AD_tis!M17*AD_tis!M$47</f>
        <v>1</v>
      </c>
      <c r="N17" s="4">
        <f>+AD_tis!$BD17*AD_tis!N17*AD_tis!N$47</f>
        <v>1</v>
      </c>
      <c r="O17" s="4">
        <f>+AD_tis!$BD17*AD_tis!O17*AD_tis!O$47</f>
        <v>0</v>
      </c>
      <c r="P17" s="4">
        <f>+AD_tis!$BD17*AD_tis!P17*AD_tis!P$47</f>
        <v>1</v>
      </c>
      <c r="Q17" s="4">
        <f>+AD_tis!$BD17*AD_tis!Q17*AD_tis!Q$47</f>
        <v>0</v>
      </c>
      <c r="R17" s="13">
        <f>+AD_tis!$BD17*AD_tis!R17*AD_tis!R$47</f>
        <v>0</v>
      </c>
      <c r="S17" s="4">
        <f>+AD_tis!$BD17*AD_tis!S17*AD_tis!S$47</f>
        <v>0</v>
      </c>
      <c r="T17" s="4">
        <f>+AD_tis!$BD17*AD_tis!T17*AD_tis!T$47</f>
        <v>0</v>
      </c>
      <c r="U17" s="4">
        <f>+AD_tis!$BD17*AD_tis!U17*AD_tis!U$47</f>
        <v>0</v>
      </c>
      <c r="V17" s="4">
        <f>+AD_tis!$BD17*AD_tis!V17*AD_tis!V$47</f>
        <v>0</v>
      </c>
      <c r="W17" s="4">
        <f>+AD_tis!$BD17*AD_tis!W17*AD_tis!W$47</f>
        <v>0</v>
      </c>
      <c r="X17" s="4">
        <f>+AD_tis!$BD17*AD_tis!X17*AD_tis!X$47</f>
        <v>0</v>
      </c>
      <c r="Y17" s="4">
        <f>+AD_tis!$BD17*AD_tis!Y17*AD_tis!Y$47</f>
        <v>0</v>
      </c>
      <c r="Z17" s="4">
        <f>+AD_tis!$BD17*AD_tis!Z17*AD_tis!Z$47</f>
        <v>0</v>
      </c>
      <c r="AA17" s="4">
        <f>+AD_tis!$BD17*AD_tis!AA17*AD_tis!AA$47</f>
        <v>0</v>
      </c>
      <c r="AB17" s="4">
        <f>+AD_tis!$BD17*AD_tis!AB17*AD_tis!AB$47</f>
        <v>0</v>
      </c>
      <c r="AC17" s="12">
        <f>+AD_tis!$BD17*AD_tis!AC17*AD_tis!AC$47</f>
        <v>0</v>
      </c>
      <c r="AD17" s="4">
        <f>+AD_tis!$BD17*AD_tis!AD17*AD_tis!AD$47</f>
        <v>0</v>
      </c>
      <c r="AE17" s="4">
        <f>+AD_tis!$BD17*AD_tis!AE17*AD_tis!AE$47</f>
        <v>0</v>
      </c>
      <c r="AF17" s="4">
        <f>+AD_tis!$BD17*AD_tis!AF17*AD_tis!AF$47</f>
        <v>0</v>
      </c>
      <c r="AG17" s="4">
        <f>+AD_tis!$BD17*AD_tis!AG17*AD_tis!AG$47</f>
        <v>0</v>
      </c>
      <c r="AH17" s="4">
        <f>+AD_tis!$BD17*AD_tis!AH17*AD_tis!AH$47</f>
        <v>0</v>
      </c>
      <c r="AI17" s="4">
        <f>+AD_tis!$BD17*AD_tis!AI17*AD_tis!AI$47</f>
        <v>0</v>
      </c>
      <c r="AJ17" s="4">
        <f>+AD_tis!$BD17*AD_tis!AJ17*AD_tis!AJ$47</f>
        <v>0</v>
      </c>
      <c r="AK17" s="4">
        <f>+AD_tis!$BD17*AD_tis!AK17*AD_tis!AK$47</f>
        <v>0</v>
      </c>
      <c r="AL17" s="4">
        <f>+AD_tis!$BD17*AD_tis!AL17*AD_tis!AL$47</f>
        <v>0</v>
      </c>
      <c r="AM17" s="13">
        <f>+AD_tis!$BD17*AD_tis!AM17*AD_tis!AM$47</f>
        <v>0</v>
      </c>
      <c r="AN17" s="4">
        <f>+AD_tis!$BD17*AD_tis!AN17*AD_tis!AN$47</f>
        <v>0</v>
      </c>
      <c r="AO17" s="4">
        <f>+AD_tis!$BD17*AD_tis!AO17*AD_tis!AO$47</f>
        <v>0</v>
      </c>
      <c r="AP17" s="4">
        <f>+AD_tis!$BD17*AD_tis!AP17*AD_tis!AP$47</f>
        <v>0</v>
      </c>
      <c r="AQ17" s="4">
        <f>+AD_tis!$BD17*AD_tis!AQ17*AD_tis!AQ$47</f>
        <v>0</v>
      </c>
      <c r="AR17" s="4">
        <f>+AD_tis!$BD17*AD_tis!AR17*AD_tis!AR$47</f>
        <v>0</v>
      </c>
      <c r="AS17" s="4">
        <f>+AD_tis!$BD17*AD_tis!AS17*AD_tis!AS$47</f>
        <v>0</v>
      </c>
      <c r="AT17" s="4">
        <f>+AD_tis!$BD17*AD_tis!AT17*AD_tis!AT$47</f>
        <v>0</v>
      </c>
      <c r="AU17" s="4">
        <f>+AD_tis!$BD17*AD_tis!AU17*AD_tis!AU$47</f>
        <v>1</v>
      </c>
      <c r="AV17" s="4">
        <f>+AD_tis!$BD17*AD_tis!AV17*AD_tis!AV$47</f>
        <v>0</v>
      </c>
      <c r="AW17" s="12">
        <f>+AD_tis!$BD17*AD_tis!AW17*AD_tis!AW$47</f>
        <v>0</v>
      </c>
      <c r="AX17" s="13">
        <f>+AD_tis!$BD17*AD_tis!AX17*AD_tis!AX$47</f>
        <v>1</v>
      </c>
      <c r="AY17" s="4">
        <f>+AD_tis!$BD17*AD_tis!AY17*AD_tis!AY$47</f>
        <v>0</v>
      </c>
      <c r="AZ17" s="4">
        <f>+AD_tis!$BD17*AD_tis!AZ17*AD_tis!AZ$47</f>
        <v>0</v>
      </c>
      <c r="BA17" s="12">
        <f>+AD_tis!$BD17*AD_tis!BA17*AD_tis!BA$47</f>
        <v>0</v>
      </c>
      <c r="BB17" s="4">
        <f>+AD_tis!$BD17*AD_tis!BB17*AD_tis!BB$47</f>
        <v>0</v>
      </c>
      <c r="BC17" s="13">
        <f>+AD_tis!$BD17*AD_tis!BC17*AD_tis!BC$47</f>
        <v>0</v>
      </c>
    </row>
    <row r="18" spans="1:55" ht="18.75" customHeight="1" x14ac:dyDescent="0.25">
      <c r="A18" s="5" t="s">
        <v>69</v>
      </c>
      <c r="B18" s="12">
        <f>+AD_tis!$BD18*AD_tis!B18*AD_tis!B$47</f>
        <v>0</v>
      </c>
      <c r="C18" s="4">
        <f>+AD_tis!$BD18*AD_tis!C18*AD_tis!C$47</f>
        <v>0</v>
      </c>
      <c r="D18" s="4">
        <f>+AD_tis!$BD18*AD_tis!D18*AD_tis!D$47</f>
        <v>0</v>
      </c>
      <c r="E18" s="4">
        <f>+AD_tis!$BD18*AD_tis!E18*AD_tis!E$47</f>
        <v>0</v>
      </c>
      <c r="F18" s="4">
        <f>+AD_tis!$BD18*AD_tis!F18*AD_tis!F$47</f>
        <v>0</v>
      </c>
      <c r="G18" s="4">
        <f>+AD_tis!$BD18*AD_tis!G18*AD_tis!G$47</f>
        <v>0</v>
      </c>
      <c r="H18" s="4">
        <f>+AD_tis!$BD18*AD_tis!H18*AD_tis!H$47</f>
        <v>0</v>
      </c>
      <c r="I18" s="4">
        <f>+AD_tis!$BD18*AD_tis!I18*AD_tis!I$47</f>
        <v>0</v>
      </c>
      <c r="J18" s="4">
        <f>+AD_tis!$BD18*AD_tis!J18*AD_tis!J$47</f>
        <v>0</v>
      </c>
      <c r="K18" s="4">
        <f>+AD_tis!$BD18*AD_tis!K18*AD_tis!K$47</f>
        <v>0</v>
      </c>
      <c r="L18" s="4">
        <f>+AD_tis!$BD18*AD_tis!L18*AD_tis!L$47</f>
        <v>0</v>
      </c>
      <c r="M18" s="4">
        <f>+AD_tis!$BD18*AD_tis!M18*AD_tis!M$47</f>
        <v>0</v>
      </c>
      <c r="N18" s="4">
        <f>+AD_tis!$BD18*AD_tis!N18*AD_tis!N$47</f>
        <v>0</v>
      </c>
      <c r="O18" s="4">
        <f>+AD_tis!$BD18*AD_tis!O18*AD_tis!O$47</f>
        <v>0</v>
      </c>
      <c r="P18" s="4">
        <f>+AD_tis!$BD18*AD_tis!P18*AD_tis!P$47</f>
        <v>0</v>
      </c>
      <c r="Q18" s="4">
        <f>+AD_tis!$BD18*AD_tis!Q18*AD_tis!Q$47</f>
        <v>0</v>
      </c>
      <c r="R18" s="13">
        <f>+AD_tis!$BD18*AD_tis!R18*AD_tis!R$47</f>
        <v>0</v>
      </c>
      <c r="S18" s="4">
        <f>+AD_tis!$BD18*AD_tis!S18*AD_tis!S$47</f>
        <v>0</v>
      </c>
      <c r="T18" s="4">
        <f>+AD_tis!$BD18*AD_tis!T18*AD_tis!T$47</f>
        <v>0</v>
      </c>
      <c r="U18" s="4">
        <f>+AD_tis!$BD18*AD_tis!U18*AD_tis!U$47</f>
        <v>0</v>
      </c>
      <c r="V18" s="4">
        <f>+AD_tis!$BD18*AD_tis!V18*AD_tis!V$47</f>
        <v>0</v>
      </c>
      <c r="W18" s="4">
        <f>+AD_tis!$BD18*AD_tis!W18*AD_tis!W$47</f>
        <v>0</v>
      </c>
      <c r="X18" s="4">
        <f>+AD_tis!$BD18*AD_tis!X18*AD_tis!X$47</f>
        <v>0</v>
      </c>
      <c r="Y18" s="4">
        <f>+AD_tis!$BD18*AD_tis!Y18*AD_tis!Y$47</f>
        <v>0</v>
      </c>
      <c r="Z18" s="4">
        <f>+AD_tis!$BD18*AD_tis!Z18*AD_tis!Z$47</f>
        <v>0</v>
      </c>
      <c r="AA18" s="4">
        <f>+AD_tis!$BD18*AD_tis!AA18*AD_tis!AA$47</f>
        <v>0</v>
      </c>
      <c r="AB18" s="4">
        <f>+AD_tis!$BD18*AD_tis!AB18*AD_tis!AB$47</f>
        <v>0</v>
      </c>
      <c r="AC18" s="12">
        <f>+AD_tis!$BD18*AD_tis!AC18*AD_tis!AC$47</f>
        <v>0</v>
      </c>
      <c r="AD18" s="4">
        <f>+AD_tis!$BD18*AD_tis!AD18*AD_tis!AD$47</f>
        <v>0</v>
      </c>
      <c r="AE18" s="4">
        <f>+AD_tis!$BD18*AD_tis!AE18*AD_tis!AE$47</f>
        <v>0</v>
      </c>
      <c r="AF18" s="4">
        <f>+AD_tis!$BD18*AD_tis!AF18*AD_tis!AF$47</f>
        <v>0</v>
      </c>
      <c r="AG18" s="4">
        <f>+AD_tis!$BD18*AD_tis!AG18*AD_tis!AG$47</f>
        <v>0</v>
      </c>
      <c r="AH18" s="4">
        <f>+AD_tis!$BD18*AD_tis!AH18*AD_tis!AH$47</f>
        <v>0</v>
      </c>
      <c r="AI18" s="4">
        <f>+AD_tis!$BD18*AD_tis!AI18*AD_tis!AI$47</f>
        <v>0</v>
      </c>
      <c r="AJ18" s="4">
        <f>+AD_tis!$BD18*AD_tis!AJ18*AD_tis!AJ$47</f>
        <v>0</v>
      </c>
      <c r="AK18" s="4">
        <f>+AD_tis!$BD18*AD_tis!AK18*AD_tis!AK$47</f>
        <v>0</v>
      </c>
      <c r="AL18" s="4">
        <f>+AD_tis!$BD18*AD_tis!AL18*AD_tis!AL$47</f>
        <v>0</v>
      </c>
      <c r="AM18" s="13">
        <f>+AD_tis!$BD18*AD_tis!AM18*AD_tis!AM$47</f>
        <v>0</v>
      </c>
      <c r="AN18" s="4">
        <f>+AD_tis!$BD18*AD_tis!AN18*AD_tis!AN$47</f>
        <v>0</v>
      </c>
      <c r="AO18" s="4">
        <f>+AD_tis!$BD18*AD_tis!AO18*AD_tis!AO$47</f>
        <v>0</v>
      </c>
      <c r="AP18" s="4">
        <f>+AD_tis!$BD18*AD_tis!AP18*AD_tis!AP$47</f>
        <v>0</v>
      </c>
      <c r="AQ18" s="4">
        <f>+AD_tis!$BD18*AD_tis!AQ18*AD_tis!AQ$47</f>
        <v>0</v>
      </c>
      <c r="AR18" s="4">
        <f>+AD_tis!$BD18*AD_tis!AR18*AD_tis!AR$47</f>
        <v>0</v>
      </c>
      <c r="AS18" s="4">
        <f>+AD_tis!$BD18*AD_tis!AS18*AD_tis!AS$47</f>
        <v>0</v>
      </c>
      <c r="AT18" s="4">
        <f>+AD_tis!$BD18*AD_tis!AT18*AD_tis!AT$47</f>
        <v>0</v>
      </c>
      <c r="AU18" s="4">
        <f>+AD_tis!$BD18*AD_tis!AU18*AD_tis!AU$47</f>
        <v>0</v>
      </c>
      <c r="AV18" s="4">
        <f>+AD_tis!$BD18*AD_tis!AV18*AD_tis!AV$47</f>
        <v>1</v>
      </c>
      <c r="AW18" s="12">
        <f>+AD_tis!$BD18*AD_tis!AW18*AD_tis!AW$47</f>
        <v>0</v>
      </c>
      <c r="AX18" s="13">
        <f>+AD_tis!$BD18*AD_tis!AX18*AD_tis!AX$47</f>
        <v>0</v>
      </c>
      <c r="AY18" s="4">
        <f>+AD_tis!$BD18*AD_tis!AY18*AD_tis!AY$47</f>
        <v>0</v>
      </c>
      <c r="AZ18" s="4">
        <f>+AD_tis!$BD18*AD_tis!AZ18*AD_tis!AZ$47</f>
        <v>0</v>
      </c>
      <c r="BA18" s="12">
        <f>+AD_tis!$BD18*AD_tis!BA18*AD_tis!BA$47</f>
        <v>0</v>
      </c>
      <c r="BB18" s="4">
        <f>+AD_tis!$BD18*AD_tis!BB18*AD_tis!BB$47</f>
        <v>0</v>
      </c>
      <c r="BC18" s="13">
        <f>+AD_tis!$BD18*AD_tis!BC18*AD_tis!BC$47</f>
        <v>0</v>
      </c>
    </row>
    <row r="19" spans="1:55" ht="18.75" customHeight="1" x14ac:dyDescent="0.25">
      <c r="A19" s="5" t="s">
        <v>70</v>
      </c>
      <c r="B19" s="12">
        <f>+AD_tis!$BD19*AD_tis!B19*AD_tis!B$47</f>
        <v>0</v>
      </c>
      <c r="C19" s="4">
        <f>+AD_tis!$BD19*AD_tis!C19*AD_tis!C$47</f>
        <v>0</v>
      </c>
      <c r="D19" s="4">
        <f>+AD_tis!$BD19*AD_tis!D19*AD_tis!D$47</f>
        <v>0</v>
      </c>
      <c r="E19" s="4">
        <f>+AD_tis!$BD19*AD_tis!E19*AD_tis!E$47</f>
        <v>0</v>
      </c>
      <c r="F19" s="4">
        <f>+AD_tis!$BD19*AD_tis!F19*AD_tis!F$47</f>
        <v>0</v>
      </c>
      <c r="G19" s="4">
        <f>+AD_tis!$BD19*AD_tis!G19*AD_tis!G$47</f>
        <v>0</v>
      </c>
      <c r="H19" s="4">
        <f>+AD_tis!$BD19*AD_tis!H19*AD_tis!H$47</f>
        <v>0</v>
      </c>
      <c r="I19" s="4">
        <f>+AD_tis!$BD19*AD_tis!I19*AD_tis!I$47</f>
        <v>0</v>
      </c>
      <c r="J19" s="4">
        <f>+AD_tis!$BD19*AD_tis!J19*AD_tis!J$47</f>
        <v>0</v>
      </c>
      <c r="K19" s="4">
        <f>+AD_tis!$BD19*AD_tis!K19*AD_tis!K$47</f>
        <v>0</v>
      </c>
      <c r="L19" s="4">
        <f>+AD_tis!$BD19*AD_tis!L19*AD_tis!L$47</f>
        <v>0</v>
      </c>
      <c r="M19" s="4">
        <f>+AD_tis!$BD19*AD_tis!M19*AD_tis!M$47</f>
        <v>0</v>
      </c>
      <c r="N19" s="4">
        <f>+AD_tis!$BD19*AD_tis!N19*AD_tis!N$47</f>
        <v>0</v>
      </c>
      <c r="O19" s="4">
        <f>+AD_tis!$BD19*AD_tis!O19*AD_tis!O$47</f>
        <v>0</v>
      </c>
      <c r="P19" s="4">
        <f>+AD_tis!$BD19*AD_tis!P19*AD_tis!P$47</f>
        <v>0</v>
      </c>
      <c r="Q19" s="4">
        <f>+AD_tis!$BD19*AD_tis!Q19*AD_tis!Q$47</f>
        <v>0</v>
      </c>
      <c r="R19" s="13">
        <f>+AD_tis!$BD19*AD_tis!R19*AD_tis!R$47</f>
        <v>0</v>
      </c>
      <c r="S19" s="4">
        <f>+AD_tis!$BD19*AD_tis!S19*AD_tis!S$47</f>
        <v>0</v>
      </c>
      <c r="T19" s="4">
        <f>+AD_tis!$BD19*AD_tis!T19*AD_tis!T$47</f>
        <v>0</v>
      </c>
      <c r="U19" s="4">
        <f>+AD_tis!$BD19*AD_tis!U19*AD_tis!U$47</f>
        <v>0</v>
      </c>
      <c r="V19" s="4">
        <f>+AD_tis!$BD19*AD_tis!V19*AD_tis!V$47</f>
        <v>0</v>
      </c>
      <c r="W19" s="4">
        <f>+AD_tis!$BD19*AD_tis!W19*AD_tis!W$47</f>
        <v>0</v>
      </c>
      <c r="X19" s="4">
        <f>+AD_tis!$BD19*AD_tis!X19*AD_tis!X$47</f>
        <v>0</v>
      </c>
      <c r="Y19" s="4">
        <f>+AD_tis!$BD19*AD_tis!Y19*AD_tis!Y$47</f>
        <v>0</v>
      </c>
      <c r="Z19" s="4">
        <f>+AD_tis!$BD19*AD_tis!Z19*AD_tis!Z$47</f>
        <v>0</v>
      </c>
      <c r="AA19" s="4">
        <f>+AD_tis!$BD19*AD_tis!AA19*AD_tis!AA$47</f>
        <v>0</v>
      </c>
      <c r="AB19" s="4">
        <f>+AD_tis!$BD19*AD_tis!AB19*AD_tis!AB$47</f>
        <v>0</v>
      </c>
      <c r="AC19" s="12">
        <f>+AD_tis!$BD19*AD_tis!AC19*AD_tis!AC$47</f>
        <v>0</v>
      </c>
      <c r="AD19" s="4">
        <f>+AD_tis!$BD19*AD_tis!AD19*AD_tis!AD$47</f>
        <v>0</v>
      </c>
      <c r="AE19" s="4">
        <f>+AD_tis!$BD19*AD_tis!AE19*AD_tis!AE$47</f>
        <v>0</v>
      </c>
      <c r="AF19" s="4">
        <f>+AD_tis!$BD19*AD_tis!AF19*AD_tis!AF$47</f>
        <v>0</v>
      </c>
      <c r="AG19" s="4">
        <f>+AD_tis!$BD19*AD_tis!AG19*AD_tis!AG$47</f>
        <v>0</v>
      </c>
      <c r="AH19" s="4">
        <f>+AD_tis!$BD19*AD_tis!AH19*AD_tis!AH$47</f>
        <v>0</v>
      </c>
      <c r="AI19" s="4">
        <f>+AD_tis!$BD19*AD_tis!AI19*AD_tis!AI$47</f>
        <v>0</v>
      </c>
      <c r="AJ19" s="4">
        <f>+AD_tis!$BD19*AD_tis!AJ19*AD_tis!AJ$47</f>
        <v>0</v>
      </c>
      <c r="AK19" s="4">
        <f>+AD_tis!$BD19*AD_tis!AK19*AD_tis!AK$47</f>
        <v>0</v>
      </c>
      <c r="AL19" s="4">
        <f>+AD_tis!$BD19*AD_tis!AL19*AD_tis!AL$47</f>
        <v>0</v>
      </c>
      <c r="AM19" s="13">
        <f>+AD_tis!$BD19*AD_tis!AM19*AD_tis!AM$47</f>
        <v>0</v>
      </c>
      <c r="AN19" s="4">
        <f>+AD_tis!$BD19*AD_tis!AN19*AD_tis!AN$47</f>
        <v>0</v>
      </c>
      <c r="AO19" s="4">
        <f>+AD_tis!$BD19*AD_tis!AO19*AD_tis!AO$47</f>
        <v>0</v>
      </c>
      <c r="AP19" s="4">
        <f>+AD_tis!$BD19*AD_tis!AP19*AD_tis!AP$47</f>
        <v>0</v>
      </c>
      <c r="AQ19" s="4">
        <f>+AD_tis!$BD19*AD_tis!AQ19*AD_tis!AQ$47</f>
        <v>0</v>
      </c>
      <c r="AR19" s="4">
        <f>+AD_tis!$BD19*AD_tis!AR19*AD_tis!AR$47</f>
        <v>0</v>
      </c>
      <c r="AS19" s="4">
        <f>+AD_tis!$BD19*AD_tis!AS19*AD_tis!AS$47</f>
        <v>0</v>
      </c>
      <c r="AT19" s="4">
        <f>+AD_tis!$BD19*AD_tis!AT19*AD_tis!AT$47</f>
        <v>0</v>
      </c>
      <c r="AU19" s="4">
        <f>+AD_tis!$BD19*AD_tis!AU19*AD_tis!AU$47</f>
        <v>0</v>
      </c>
      <c r="AV19" s="4">
        <f>+AD_tis!$BD19*AD_tis!AV19*AD_tis!AV$47</f>
        <v>1</v>
      </c>
      <c r="AW19" s="12">
        <f>+AD_tis!$BD19*AD_tis!AW19*AD_tis!AW$47</f>
        <v>0</v>
      </c>
      <c r="AX19" s="13">
        <f>+AD_tis!$BD19*AD_tis!AX19*AD_tis!AX$47</f>
        <v>0</v>
      </c>
      <c r="AY19" s="4">
        <f>+AD_tis!$BD19*AD_tis!AY19*AD_tis!AY$47</f>
        <v>0</v>
      </c>
      <c r="AZ19" s="4">
        <f>+AD_tis!$BD19*AD_tis!AZ19*AD_tis!AZ$47</f>
        <v>0</v>
      </c>
      <c r="BA19" s="12">
        <f>+AD_tis!$BD19*AD_tis!BA19*AD_tis!BA$47</f>
        <v>0</v>
      </c>
      <c r="BB19" s="4">
        <f>+AD_tis!$BD19*AD_tis!BB19*AD_tis!BB$47</f>
        <v>0</v>
      </c>
      <c r="BC19" s="13">
        <f>+AD_tis!$BD19*AD_tis!BC19*AD_tis!BC$47</f>
        <v>0</v>
      </c>
    </row>
    <row r="20" spans="1:55" ht="18.75" customHeight="1" x14ac:dyDescent="0.25">
      <c r="A20" s="5" t="s">
        <v>71</v>
      </c>
      <c r="B20" s="12">
        <f>+AD_tis!$BD20*AD_tis!B20*AD_tis!B$47</f>
        <v>0</v>
      </c>
      <c r="C20" s="4">
        <f>+AD_tis!$BD20*AD_tis!C20*AD_tis!C$47</f>
        <v>0</v>
      </c>
      <c r="D20" s="4">
        <f>+AD_tis!$BD20*AD_tis!D20*AD_tis!D$47</f>
        <v>0</v>
      </c>
      <c r="E20" s="4">
        <f>+AD_tis!$BD20*AD_tis!E20*AD_tis!E$47</f>
        <v>0</v>
      </c>
      <c r="F20" s="4">
        <f>+AD_tis!$BD20*AD_tis!F20*AD_tis!F$47</f>
        <v>0</v>
      </c>
      <c r="G20" s="4">
        <f>+AD_tis!$BD20*AD_tis!G20*AD_tis!G$47</f>
        <v>0</v>
      </c>
      <c r="H20" s="4">
        <f>+AD_tis!$BD20*AD_tis!H20*AD_tis!H$47</f>
        <v>0</v>
      </c>
      <c r="I20" s="4">
        <f>+AD_tis!$BD20*AD_tis!I20*AD_tis!I$47</f>
        <v>0</v>
      </c>
      <c r="J20" s="4">
        <f>+AD_tis!$BD20*AD_tis!J20*AD_tis!J$47</f>
        <v>0</v>
      </c>
      <c r="K20" s="4">
        <f>+AD_tis!$BD20*AD_tis!K20*AD_tis!K$47</f>
        <v>0</v>
      </c>
      <c r="L20" s="4">
        <f>+AD_tis!$BD20*AD_tis!L20*AD_tis!L$47</f>
        <v>0</v>
      </c>
      <c r="M20" s="4">
        <f>+AD_tis!$BD20*AD_tis!M20*AD_tis!M$47</f>
        <v>0</v>
      </c>
      <c r="N20" s="4">
        <f>+AD_tis!$BD20*AD_tis!N20*AD_tis!N$47</f>
        <v>0</v>
      </c>
      <c r="O20" s="4">
        <f>+AD_tis!$BD20*AD_tis!O20*AD_tis!O$47</f>
        <v>0</v>
      </c>
      <c r="P20" s="4">
        <f>+AD_tis!$BD20*AD_tis!P20*AD_tis!P$47</f>
        <v>0</v>
      </c>
      <c r="Q20" s="4">
        <f>+AD_tis!$BD20*AD_tis!Q20*AD_tis!Q$47</f>
        <v>0</v>
      </c>
      <c r="R20" s="13">
        <f>+AD_tis!$BD20*AD_tis!R20*AD_tis!R$47</f>
        <v>0</v>
      </c>
      <c r="S20" s="4">
        <f>+AD_tis!$BD20*AD_tis!S20*AD_tis!S$47</f>
        <v>0</v>
      </c>
      <c r="T20" s="4">
        <f>+AD_tis!$BD20*AD_tis!T20*AD_tis!T$47</f>
        <v>0</v>
      </c>
      <c r="U20" s="4">
        <f>+AD_tis!$BD20*AD_tis!U20*AD_tis!U$47</f>
        <v>0</v>
      </c>
      <c r="V20" s="4">
        <f>+AD_tis!$BD20*AD_tis!V20*AD_tis!V$47</f>
        <v>0</v>
      </c>
      <c r="W20" s="4">
        <f>+AD_tis!$BD20*AD_tis!W20*AD_tis!W$47</f>
        <v>0</v>
      </c>
      <c r="X20" s="4">
        <f>+AD_tis!$BD20*AD_tis!X20*AD_tis!X$47</f>
        <v>0</v>
      </c>
      <c r="Y20" s="4">
        <f>+AD_tis!$BD20*AD_tis!Y20*AD_tis!Y$47</f>
        <v>0</v>
      </c>
      <c r="Z20" s="4">
        <f>+AD_tis!$BD20*AD_tis!Z20*AD_tis!Z$47</f>
        <v>0</v>
      </c>
      <c r="AA20" s="4">
        <f>+AD_tis!$BD20*AD_tis!AA20*AD_tis!AA$47</f>
        <v>0</v>
      </c>
      <c r="AB20" s="4">
        <f>+AD_tis!$BD20*AD_tis!AB20*AD_tis!AB$47</f>
        <v>0</v>
      </c>
      <c r="AC20" s="12">
        <f>+AD_tis!$BD20*AD_tis!AC20*AD_tis!AC$47</f>
        <v>0</v>
      </c>
      <c r="AD20" s="4">
        <f>+AD_tis!$BD20*AD_tis!AD20*AD_tis!AD$47</f>
        <v>0</v>
      </c>
      <c r="AE20" s="4">
        <f>+AD_tis!$BD20*AD_tis!AE20*AD_tis!AE$47</f>
        <v>0</v>
      </c>
      <c r="AF20" s="4">
        <f>+AD_tis!$BD20*AD_tis!AF20*AD_tis!AF$47</f>
        <v>0</v>
      </c>
      <c r="AG20" s="4">
        <f>+AD_tis!$BD20*AD_tis!AG20*AD_tis!AG$47</f>
        <v>0</v>
      </c>
      <c r="AH20" s="4">
        <f>+AD_tis!$BD20*AD_tis!AH20*AD_tis!AH$47</f>
        <v>0</v>
      </c>
      <c r="AI20" s="4">
        <f>+AD_tis!$BD20*AD_tis!AI20*AD_tis!AI$47</f>
        <v>0</v>
      </c>
      <c r="AJ20" s="4">
        <f>+AD_tis!$BD20*AD_tis!AJ20*AD_tis!AJ$47</f>
        <v>0</v>
      </c>
      <c r="AK20" s="4">
        <f>+AD_tis!$BD20*AD_tis!AK20*AD_tis!AK$47</f>
        <v>0</v>
      </c>
      <c r="AL20" s="4">
        <f>+AD_tis!$BD20*AD_tis!AL20*AD_tis!AL$47</f>
        <v>0</v>
      </c>
      <c r="AM20" s="13">
        <f>+AD_tis!$BD20*AD_tis!AM20*AD_tis!AM$47</f>
        <v>0</v>
      </c>
      <c r="AN20" s="4">
        <f>+AD_tis!$BD20*AD_tis!AN20*AD_tis!AN$47</f>
        <v>0</v>
      </c>
      <c r="AO20" s="4">
        <f>+AD_tis!$BD20*AD_tis!AO20*AD_tis!AO$47</f>
        <v>0</v>
      </c>
      <c r="AP20" s="4">
        <f>+AD_tis!$BD20*AD_tis!AP20*AD_tis!AP$47</f>
        <v>0</v>
      </c>
      <c r="AQ20" s="4">
        <f>+AD_tis!$BD20*AD_tis!AQ20*AD_tis!AQ$47</f>
        <v>0</v>
      </c>
      <c r="AR20" s="4">
        <f>+AD_tis!$BD20*AD_tis!AR20*AD_tis!AR$47</f>
        <v>0</v>
      </c>
      <c r="AS20" s="4">
        <f>+AD_tis!$BD20*AD_tis!AS20*AD_tis!AS$47</f>
        <v>0</v>
      </c>
      <c r="AT20" s="4">
        <f>+AD_tis!$BD20*AD_tis!AT20*AD_tis!AT$47</f>
        <v>0</v>
      </c>
      <c r="AU20" s="4">
        <f>+AD_tis!$BD20*AD_tis!AU20*AD_tis!AU$47</f>
        <v>0</v>
      </c>
      <c r="AV20" s="4">
        <f>+AD_tis!$BD20*AD_tis!AV20*AD_tis!AV$47</f>
        <v>1</v>
      </c>
      <c r="AW20" s="12">
        <f>+AD_tis!$BD20*AD_tis!AW20*AD_tis!AW$47</f>
        <v>0</v>
      </c>
      <c r="AX20" s="13">
        <f>+AD_tis!$BD20*AD_tis!AX20*AD_tis!AX$47</f>
        <v>0</v>
      </c>
      <c r="AY20" s="4">
        <f>+AD_tis!$BD20*AD_tis!AY20*AD_tis!AY$47</f>
        <v>0</v>
      </c>
      <c r="AZ20" s="4">
        <f>+AD_tis!$BD20*AD_tis!AZ20*AD_tis!AZ$47</f>
        <v>0</v>
      </c>
      <c r="BA20" s="12">
        <f>+AD_tis!$BD20*AD_tis!BA20*AD_tis!BA$47</f>
        <v>0</v>
      </c>
      <c r="BB20" s="4">
        <f>+AD_tis!$BD20*AD_tis!BB20*AD_tis!BB$47</f>
        <v>0</v>
      </c>
      <c r="BC20" s="13">
        <f>+AD_tis!$BD20*AD_tis!BC20*AD_tis!BC$47</f>
        <v>0</v>
      </c>
    </row>
    <row r="21" spans="1:55" ht="18.75" customHeight="1" x14ac:dyDescent="0.25">
      <c r="A21" s="5" t="s">
        <v>72</v>
      </c>
      <c r="B21" s="12">
        <f>+AD_tis!$BD21*AD_tis!B21*AD_tis!B$47</f>
        <v>0</v>
      </c>
      <c r="C21" s="4">
        <f>+AD_tis!$BD21*AD_tis!C21*AD_tis!C$47</f>
        <v>0</v>
      </c>
      <c r="D21" s="4">
        <f>+AD_tis!$BD21*AD_tis!D21*AD_tis!D$47</f>
        <v>0</v>
      </c>
      <c r="E21" s="4">
        <f>+AD_tis!$BD21*AD_tis!E21*AD_tis!E$47</f>
        <v>0</v>
      </c>
      <c r="F21" s="4">
        <f>+AD_tis!$BD21*AD_tis!F21*AD_tis!F$47</f>
        <v>0</v>
      </c>
      <c r="G21" s="4">
        <f>+AD_tis!$BD21*AD_tis!G21*AD_tis!G$47</f>
        <v>0</v>
      </c>
      <c r="H21" s="4">
        <f>+AD_tis!$BD21*AD_tis!H21*AD_tis!H$47</f>
        <v>0</v>
      </c>
      <c r="I21" s="4">
        <f>+AD_tis!$BD21*AD_tis!I21*AD_tis!I$47</f>
        <v>0</v>
      </c>
      <c r="J21" s="4">
        <f>+AD_tis!$BD21*AD_tis!J21*AD_tis!J$47</f>
        <v>0</v>
      </c>
      <c r="K21" s="4">
        <f>+AD_tis!$BD21*AD_tis!K21*AD_tis!K$47</f>
        <v>0</v>
      </c>
      <c r="L21" s="4">
        <f>+AD_tis!$BD21*AD_tis!L21*AD_tis!L$47</f>
        <v>0</v>
      </c>
      <c r="M21" s="4">
        <f>+AD_tis!$BD21*AD_tis!M21*AD_tis!M$47</f>
        <v>0</v>
      </c>
      <c r="N21" s="4">
        <f>+AD_tis!$BD21*AD_tis!N21*AD_tis!N$47</f>
        <v>0</v>
      </c>
      <c r="O21" s="4">
        <f>+AD_tis!$BD21*AD_tis!O21*AD_tis!O$47</f>
        <v>0</v>
      </c>
      <c r="P21" s="4">
        <f>+AD_tis!$BD21*AD_tis!P21*AD_tis!P$47</f>
        <v>0</v>
      </c>
      <c r="Q21" s="4">
        <f>+AD_tis!$BD21*AD_tis!Q21*AD_tis!Q$47</f>
        <v>0</v>
      </c>
      <c r="R21" s="13">
        <f>+AD_tis!$BD21*AD_tis!R21*AD_tis!R$47</f>
        <v>0</v>
      </c>
      <c r="S21" s="4">
        <f>+AD_tis!$BD21*AD_tis!S21*AD_tis!S$47</f>
        <v>0</v>
      </c>
      <c r="T21" s="4">
        <f>+AD_tis!$BD21*AD_tis!T21*AD_tis!T$47</f>
        <v>0</v>
      </c>
      <c r="U21" s="4">
        <f>+AD_tis!$BD21*AD_tis!U21*AD_tis!U$47</f>
        <v>1</v>
      </c>
      <c r="V21" s="4">
        <f>+AD_tis!$BD21*AD_tis!V21*AD_tis!V$47</f>
        <v>0</v>
      </c>
      <c r="W21" s="4">
        <f>+AD_tis!$BD21*AD_tis!W21*AD_tis!W$47</f>
        <v>0</v>
      </c>
      <c r="X21" s="4">
        <f>+AD_tis!$BD21*AD_tis!X21*AD_tis!X$47</f>
        <v>0</v>
      </c>
      <c r="Y21" s="4">
        <f>+AD_tis!$BD21*AD_tis!Y21*AD_tis!Y$47</f>
        <v>1</v>
      </c>
      <c r="Z21" s="4">
        <f>+AD_tis!$BD21*AD_tis!Z21*AD_tis!Z$47</f>
        <v>1</v>
      </c>
      <c r="AA21" s="4">
        <f>+AD_tis!$BD21*AD_tis!AA21*AD_tis!AA$47</f>
        <v>1</v>
      </c>
      <c r="AB21" s="4">
        <f>+AD_tis!$BD21*AD_tis!AB21*AD_tis!AB$47</f>
        <v>0</v>
      </c>
      <c r="AC21" s="12">
        <f>+AD_tis!$BD21*AD_tis!AC21*AD_tis!AC$47</f>
        <v>1</v>
      </c>
      <c r="AD21" s="4">
        <f>+AD_tis!$BD21*AD_tis!AD21*AD_tis!AD$47</f>
        <v>0</v>
      </c>
      <c r="AE21" s="4">
        <f>+AD_tis!$BD21*AD_tis!AE21*AD_tis!AE$47</f>
        <v>1</v>
      </c>
      <c r="AF21" s="4">
        <f>+AD_tis!$BD21*AD_tis!AF21*AD_tis!AF$47</f>
        <v>1</v>
      </c>
      <c r="AG21" s="4">
        <f>+AD_tis!$BD21*AD_tis!AG21*AD_tis!AG$47</f>
        <v>1</v>
      </c>
      <c r="AH21" s="4">
        <f>+AD_tis!$BD21*AD_tis!AH21*AD_tis!AH$47</f>
        <v>1</v>
      </c>
      <c r="AI21" s="4">
        <f>+AD_tis!$BD21*AD_tis!AI21*AD_tis!AI$47</f>
        <v>0</v>
      </c>
      <c r="AJ21" s="4">
        <f>+AD_tis!$BD21*AD_tis!AJ21*AD_tis!AJ$47</f>
        <v>0</v>
      </c>
      <c r="AK21" s="4">
        <f>+AD_tis!$BD21*AD_tis!AK21*AD_tis!AK$47</f>
        <v>0</v>
      </c>
      <c r="AL21" s="4">
        <f>+AD_tis!$BD21*AD_tis!AL21*AD_tis!AL$47</f>
        <v>0</v>
      </c>
      <c r="AM21" s="13">
        <f>+AD_tis!$BD21*AD_tis!AM21*AD_tis!AM$47</f>
        <v>0</v>
      </c>
      <c r="AN21" s="4">
        <f>+AD_tis!$BD21*AD_tis!AN21*AD_tis!AN$47</f>
        <v>0</v>
      </c>
      <c r="AO21" s="4">
        <f>+AD_tis!$BD21*AD_tis!AO21*AD_tis!AO$47</f>
        <v>0</v>
      </c>
      <c r="AP21" s="4">
        <f>+AD_tis!$BD21*AD_tis!AP21*AD_tis!AP$47</f>
        <v>0</v>
      </c>
      <c r="AQ21" s="4">
        <f>+AD_tis!$BD21*AD_tis!AQ21*AD_tis!AQ$47</f>
        <v>0</v>
      </c>
      <c r="AR21" s="4">
        <f>+AD_tis!$BD21*AD_tis!AR21*AD_tis!AR$47</f>
        <v>0</v>
      </c>
      <c r="AS21" s="4">
        <f>+AD_tis!$BD21*AD_tis!AS21*AD_tis!AS$47</f>
        <v>0</v>
      </c>
      <c r="AT21" s="4">
        <f>+AD_tis!$BD21*AD_tis!AT21*AD_tis!AT$47</f>
        <v>0</v>
      </c>
      <c r="AU21" s="4">
        <f>+AD_tis!$BD21*AD_tis!AU21*AD_tis!AU$47</f>
        <v>0</v>
      </c>
      <c r="AV21" s="4">
        <f>+AD_tis!$BD21*AD_tis!AV21*AD_tis!AV$47</f>
        <v>0</v>
      </c>
      <c r="AW21" s="12">
        <f>+AD_tis!$BD21*AD_tis!AW21*AD_tis!AW$47</f>
        <v>0</v>
      </c>
      <c r="AX21" s="13">
        <f>+AD_tis!$BD21*AD_tis!AX21*AD_tis!AX$47</f>
        <v>0</v>
      </c>
      <c r="AY21" s="4">
        <f>+AD_tis!$BD21*AD_tis!AY21*AD_tis!AY$47</f>
        <v>0</v>
      </c>
      <c r="AZ21" s="4">
        <f>+AD_tis!$BD21*AD_tis!AZ21*AD_tis!AZ$47</f>
        <v>0</v>
      </c>
      <c r="BA21" s="12">
        <f>+AD_tis!$BD21*AD_tis!BA21*AD_tis!BA$47</f>
        <v>0</v>
      </c>
      <c r="BB21" s="4">
        <f>+AD_tis!$BD21*AD_tis!BB21*AD_tis!BB$47</f>
        <v>0</v>
      </c>
      <c r="BC21" s="13">
        <f>+AD_tis!$BD21*AD_tis!BC21*AD_tis!BC$47</f>
        <v>0</v>
      </c>
    </row>
    <row r="22" spans="1:55" ht="18.75" customHeight="1" x14ac:dyDescent="0.25">
      <c r="A22" s="5" t="s">
        <v>73</v>
      </c>
      <c r="B22" s="12">
        <f>+AD_tis!$BD22*AD_tis!B22*AD_tis!B$47</f>
        <v>0</v>
      </c>
      <c r="C22" s="4">
        <f>+AD_tis!$BD22*AD_tis!C22*AD_tis!C$47</f>
        <v>0</v>
      </c>
      <c r="D22" s="4">
        <f>+AD_tis!$BD22*AD_tis!D22*AD_tis!D$47</f>
        <v>0</v>
      </c>
      <c r="E22" s="4">
        <f>+AD_tis!$BD22*AD_tis!E22*AD_tis!E$47</f>
        <v>0</v>
      </c>
      <c r="F22" s="4">
        <f>+AD_tis!$BD22*AD_tis!F22*AD_tis!F$47</f>
        <v>0</v>
      </c>
      <c r="G22" s="4">
        <f>+AD_tis!$BD22*AD_tis!G22*AD_tis!G$47</f>
        <v>0</v>
      </c>
      <c r="H22" s="4">
        <f>+AD_tis!$BD22*AD_tis!H22*AD_tis!H$47</f>
        <v>0</v>
      </c>
      <c r="I22" s="4">
        <f>+AD_tis!$BD22*AD_tis!I22*AD_tis!I$47</f>
        <v>0</v>
      </c>
      <c r="J22" s="4">
        <f>+AD_tis!$BD22*AD_tis!J22*AD_tis!J$47</f>
        <v>0</v>
      </c>
      <c r="K22" s="4">
        <f>+AD_tis!$BD22*AD_tis!K22*AD_tis!K$47</f>
        <v>0</v>
      </c>
      <c r="L22" s="4">
        <f>+AD_tis!$BD22*AD_tis!L22*AD_tis!L$47</f>
        <v>0</v>
      </c>
      <c r="M22" s="4">
        <f>+AD_tis!$BD22*AD_tis!M22*AD_tis!M$47</f>
        <v>0</v>
      </c>
      <c r="N22" s="4">
        <f>+AD_tis!$BD22*AD_tis!N22*AD_tis!N$47</f>
        <v>0</v>
      </c>
      <c r="O22" s="4">
        <f>+AD_tis!$BD22*AD_tis!O22*AD_tis!O$47</f>
        <v>0</v>
      </c>
      <c r="P22" s="4">
        <f>+AD_tis!$BD22*AD_tis!P22*AD_tis!P$47</f>
        <v>0</v>
      </c>
      <c r="Q22" s="4">
        <f>+AD_tis!$BD22*AD_tis!Q22*AD_tis!Q$47</f>
        <v>0</v>
      </c>
      <c r="R22" s="13">
        <f>+AD_tis!$BD22*AD_tis!R22*AD_tis!R$47</f>
        <v>0</v>
      </c>
      <c r="S22" s="4">
        <f>+AD_tis!$BD22*AD_tis!S22*AD_tis!S$47</f>
        <v>0</v>
      </c>
      <c r="T22" s="4">
        <f>+AD_tis!$BD22*AD_tis!T22*AD_tis!T$47</f>
        <v>0</v>
      </c>
      <c r="U22" s="4">
        <f>+AD_tis!$BD22*AD_tis!U22*AD_tis!U$47</f>
        <v>1</v>
      </c>
      <c r="V22" s="4">
        <f>+AD_tis!$BD22*AD_tis!V22*AD_tis!V$47</f>
        <v>0</v>
      </c>
      <c r="W22" s="4">
        <f>+AD_tis!$BD22*AD_tis!W22*AD_tis!W$47</f>
        <v>0</v>
      </c>
      <c r="X22" s="4">
        <f>+AD_tis!$BD22*AD_tis!X22*AD_tis!X$47</f>
        <v>0</v>
      </c>
      <c r="Y22" s="4">
        <f>+AD_tis!$BD22*AD_tis!Y22*AD_tis!Y$47</f>
        <v>0</v>
      </c>
      <c r="Z22" s="4">
        <f>+AD_tis!$BD22*AD_tis!Z22*AD_tis!Z$47</f>
        <v>1</v>
      </c>
      <c r="AA22" s="4">
        <f>+AD_tis!$BD22*AD_tis!AA22*AD_tis!AA$47</f>
        <v>1</v>
      </c>
      <c r="AB22" s="4">
        <f>+AD_tis!$BD22*AD_tis!AB22*AD_tis!AB$47</f>
        <v>0</v>
      </c>
      <c r="AC22" s="12">
        <f>+AD_tis!$BD22*AD_tis!AC22*AD_tis!AC$47</f>
        <v>0</v>
      </c>
      <c r="AD22" s="4">
        <f>+AD_tis!$BD22*AD_tis!AD22*AD_tis!AD$47</f>
        <v>0</v>
      </c>
      <c r="AE22" s="4">
        <f>+AD_tis!$BD22*AD_tis!AE22*AD_tis!AE$47</f>
        <v>0</v>
      </c>
      <c r="AF22" s="4">
        <f>+AD_tis!$BD22*AD_tis!AF22*AD_tis!AF$47</f>
        <v>0</v>
      </c>
      <c r="AG22" s="4">
        <f>+AD_tis!$BD22*AD_tis!AG22*AD_tis!AG$47</f>
        <v>0</v>
      </c>
      <c r="AH22" s="4">
        <f>+AD_tis!$BD22*AD_tis!AH22*AD_tis!AH$47</f>
        <v>0</v>
      </c>
      <c r="AI22" s="4">
        <f>+AD_tis!$BD22*AD_tis!AI22*AD_tis!AI$47</f>
        <v>0</v>
      </c>
      <c r="AJ22" s="4">
        <f>+AD_tis!$BD22*AD_tis!AJ22*AD_tis!AJ$47</f>
        <v>0</v>
      </c>
      <c r="AK22" s="4">
        <f>+AD_tis!$BD22*AD_tis!AK22*AD_tis!AK$47</f>
        <v>0</v>
      </c>
      <c r="AL22" s="4">
        <f>+AD_tis!$BD22*AD_tis!AL22*AD_tis!AL$47</f>
        <v>0</v>
      </c>
      <c r="AM22" s="13">
        <f>+AD_tis!$BD22*AD_tis!AM22*AD_tis!AM$47</f>
        <v>0</v>
      </c>
      <c r="AN22" s="4">
        <f>+AD_tis!$BD22*AD_tis!AN22*AD_tis!AN$47</f>
        <v>0</v>
      </c>
      <c r="AO22" s="4">
        <f>+AD_tis!$BD22*AD_tis!AO22*AD_tis!AO$47</f>
        <v>0</v>
      </c>
      <c r="AP22" s="4">
        <f>+AD_tis!$BD22*AD_tis!AP22*AD_tis!AP$47</f>
        <v>0</v>
      </c>
      <c r="AQ22" s="4">
        <f>+AD_tis!$BD22*AD_tis!AQ22*AD_tis!AQ$47</f>
        <v>0</v>
      </c>
      <c r="AR22" s="4">
        <f>+AD_tis!$BD22*AD_tis!AR22*AD_tis!AR$47</f>
        <v>0</v>
      </c>
      <c r="AS22" s="4">
        <f>+AD_tis!$BD22*AD_tis!AS22*AD_tis!AS$47</f>
        <v>0</v>
      </c>
      <c r="AT22" s="4">
        <f>+AD_tis!$BD22*AD_tis!AT22*AD_tis!AT$47</f>
        <v>0</v>
      </c>
      <c r="AU22" s="4">
        <f>+AD_tis!$BD22*AD_tis!AU22*AD_tis!AU$47</f>
        <v>0</v>
      </c>
      <c r="AV22" s="4">
        <f>+AD_tis!$BD22*AD_tis!AV22*AD_tis!AV$47</f>
        <v>0</v>
      </c>
      <c r="AW22" s="12">
        <f>+AD_tis!$BD22*AD_tis!AW22*AD_tis!AW$47</f>
        <v>0</v>
      </c>
      <c r="AX22" s="13">
        <f>+AD_tis!$BD22*AD_tis!AX22*AD_tis!AX$47</f>
        <v>0</v>
      </c>
      <c r="AY22" s="4">
        <f>+AD_tis!$BD22*AD_tis!AY22*AD_tis!AY$47</f>
        <v>0</v>
      </c>
      <c r="AZ22" s="4">
        <f>+AD_tis!$BD22*AD_tis!AZ22*AD_tis!AZ$47</f>
        <v>0</v>
      </c>
      <c r="BA22" s="12">
        <f>+AD_tis!$BD22*AD_tis!BA22*AD_tis!BA$47</f>
        <v>0</v>
      </c>
      <c r="BB22" s="4">
        <f>+AD_tis!$BD22*AD_tis!BB22*AD_tis!BB$47</f>
        <v>0</v>
      </c>
      <c r="BC22" s="13">
        <f>+AD_tis!$BD22*AD_tis!BC22*AD_tis!BC$47</f>
        <v>0</v>
      </c>
    </row>
    <row r="23" spans="1:55" ht="18.75" customHeight="1" x14ac:dyDescent="0.25">
      <c r="A23" s="5" t="s">
        <v>74</v>
      </c>
      <c r="B23" s="12">
        <f>+AD_tis!$BD23*AD_tis!B23*AD_tis!B$47</f>
        <v>0</v>
      </c>
      <c r="C23" s="4">
        <f>+AD_tis!$BD23*AD_tis!C23*AD_tis!C$47</f>
        <v>0</v>
      </c>
      <c r="D23" s="4">
        <f>+AD_tis!$BD23*AD_tis!D23*AD_tis!D$47</f>
        <v>0</v>
      </c>
      <c r="E23" s="4">
        <f>+AD_tis!$BD23*AD_tis!E23*AD_tis!E$47</f>
        <v>0</v>
      </c>
      <c r="F23" s="4">
        <f>+AD_tis!$BD23*AD_tis!F23*AD_tis!F$47</f>
        <v>0</v>
      </c>
      <c r="G23" s="4">
        <f>+AD_tis!$BD23*AD_tis!G23*AD_tis!G$47</f>
        <v>0</v>
      </c>
      <c r="H23" s="4">
        <f>+AD_tis!$BD23*AD_tis!H23*AD_tis!H$47</f>
        <v>0</v>
      </c>
      <c r="I23" s="4">
        <f>+AD_tis!$BD23*AD_tis!I23*AD_tis!I$47</f>
        <v>0</v>
      </c>
      <c r="J23" s="4">
        <f>+AD_tis!$BD23*AD_tis!J23*AD_tis!J$47</f>
        <v>0</v>
      </c>
      <c r="K23" s="4">
        <f>+AD_tis!$BD23*AD_tis!K23*AD_tis!K$47</f>
        <v>0</v>
      </c>
      <c r="L23" s="4">
        <f>+AD_tis!$BD23*AD_tis!L23*AD_tis!L$47</f>
        <v>0</v>
      </c>
      <c r="M23" s="4">
        <f>+AD_tis!$BD23*AD_tis!M23*AD_tis!M$47</f>
        <v>0</v>
      </c>
      <c r="N23" s="4">
        <f>+AD_tis!$BD23*AD_tis!N23*AD_tis!N$47</f>
        <v>0</v>
      </c>
      <c r="O23" s="4">
        <f>+AD_tis!$BD23*AD_tis!O23*AD_tis!O$47</f>
        <v>0</v>
      </c>
      <c r="P23" s="4">
        <f>+AD_tis!$BD23*AD_tis!P23*AD_tis!P$47</f>
        <v>0</v>
      </c>
      <c r="Q23" s="4">
        <f>+AD_tis!$BD23*AD_tis!Q23*AD_tis!Q$47</f>
        <v>0</v>
      </c>
      <c r="R23" s="13">
        <f>+AD_tis!$BD23*AD_tis!R23*AD_tis!R$47</f>
        <v>0</v>
      </c>
      <c r="S23" s="4">
        <f>+AD_tis!$BD23*AD_tis!S23*AD_tis!S$47</f>
        <v>0</v>
      </c>
      <c r="T23" s="4">
        <f>+AD_tis!$BD23*AD_tis!T23*AD_tis!T$47</f>
        <v>0</v>
      </c>
      <c r="U23" s="4">
        <f>+AD_tis!$BD23*AD_tis!U23*AD_tis!U$47</f>
        <v>1</v>
      </c>
      <c r="V23" s="4">
        <f>+AD_tis!$BD23*AD_tis!V23*AD_tis!V$47</f>
        <v>0</v>
      </c>
      <c r="W23" s="4">
        <f>+AD_tis!$BD23*AD_tis!W23*AD_tis!W$47</f>
        <v>0</v>
      </c>
      <c r="X23" s="4">
        <f>+AD_tis!$BD23*AD_tis!X23*AD_tis!X$47</f>
        <v>0</v>
      </c>
      <c r="Y23" s="4">
        <f>+AD_tis!$BD23*AD_tis!Y23*AD_tis!Y$47</f>
        <v>0</v>
      </c>
      <c r="Z23" s="4">
        <f>+AD_tis!$BD23*AD_tis!Z23*AD_tis!Z$47</f>
        <v>1</v>
      </c>
      <c r="AA23" s="4">
        <f>+AD_tis!$BD23*AD_tis!AA23*AD_tis!AA$47</f>
        <v>1</v>
      </c>
      <c r="AB23" s="4">
        <f>+AD_tis!$BD23*AD_tis!AB23*AD_tis!AB$47</f>
        <v>0</v>
      </c>
      <c r="AC23" s="12">
        <f>+AD_tis!$BD23*AD_tis!AC23*AD_tis!AC$47</f>
        <v>0</v>
      </c>
      <c r="AD23" s="4">
        <f>+AD_tis!$BD23*AD_tis!AD23*AD_tis!AD$47</f>
        <v>0</v>
      </c>
      <c r="AE23" s="4">
        <f>+AD_tis!$BD23*AD_tis!AE23*AD_tis!AE$47</f>
        <v>0</v>
      </c>
      <c r="AF23" s="4">
        <f>+AD_tis!$BD23*AD_tis!AF23*AD_tis!AF$47</f>
        <v>0</v>
      </c>
      <c r="AG23" s="4">
        <f>+AD_tis!$BD23*AD_tis!AG23*AD_tis!AG$47</f>
        <v>0</v>
      </c>
      <c r="AH23" s="4">
        <f>+AD_tis!$BD23*AD_tis!AH23*AD_tis!AH$47</f>
        <v>0</v>
      </c>
      <c r="AI23" s="4">
        <f>+AD_tis!$BD23*AD_tis!AI23*AD_tis!AI$47</f>
        <v>0</v>
      </c>
      <c r="AJ23" s="4">
        <f>+AD_tis!$BD23*AD_tis!AJ23*AD_tis!AJ$47</f>
        <v>0</v>
      </c>
      <c r="AK23" s="4">
        <f>+AD_tis!$BD23*AD_tis!AK23*AD_tis!AK$47</f>
        <v>0</v>
      </c>
      <c r="AL23" s="4">
        <f>+AD_tis!$BD23*AD_tis!AL23*AD_tis!AL$47</f>
        <v>0</v>
      </c>
      <c r="AM23" s="13">
        <f>+AD_tis!$BD23*AD_tis!AM23*AD_tis!AM$47</f>
        <v>0</v>
      </c>
      <c r="AN23" s="4">
        <f>+AD_tis!$BD23*AD_tis!AN23*AD_tis!AN$47</f>
        <v>0</v>
      </c>
      <c r="AO23" s="4">
        <f>+AD_tis!$BD23*AD_tis!AO23*AD_tis!AO$47</f>
        <v>0</v>
      </c>
      <c r="AP23" s="4">
        <f>+AD_tis!$BD23*AD_tis!AP23*AD_tis!AP$47</f>
        <v>0</v>
      </c>
      <c r="AQ23" s="4">
        <f>+AD_tis!$BD23*AD_tis!AQ23*AD_tis!AQ$47</f>
        <v>0</v>
      </c>
      <c r="AR23" s="4">
        <f>+AD_tis!$BD23*AD_tis!AR23*AD_tis!AR$47</f>
        <v>0</v>
      </c>
      <c r="AS23" s="4">
        <f>+AD_tis!$BD23*AD_tis!AS23*AD_tis!AS$47</f>
        <v>0</v>
      </c>
      <c r="AT23" s="4">
        <f>+AD_tis!$BD23*AD_tis!AT23*AD_tis!AT$47</f>
        <v>0</v>
      </c>
      <c r="AU23" s="4">
        <f>+AD_tis!$BD23*AD_tis!AU23*AD_tis!AU$47</f>
        <v>0</v>
      </c>
      <c r="AV23" s="4">
        <f>+AD_tis!$BD23*AD_tis!AV23*AD_tis!AV$47</f>
        <v>0</v>
      </c>
      <c r="AW23" s="12">
        <f>+AD_tis!$BD23*AD_tis!AW23*AD_tis!AW$47</f>
        <v>0</v>
      </c>
      <c r="AX23" s="13">
        <f>+AD_tis!$BD23*AD_tis!AX23*AD_tis!AX$47</f>
        <v>0</v>
      </c>
      <c r="AY23" s="4">
        <f>+AD_tis!$BD23*AD_tis!AY23*AD_tis!AY$47</f>
        <v>0</v>
      </c>
      <c r="AZ23" s="4">
        <f>+AD_tis!$BD23*AD_tis!AZ23*AD_tis!AZ$47</f>
        <v>0</v>
      </c>
      <c r="BA23" s="12">
        <f>+AD_tis!$BD23*AD_tis!BA23*AD_tis!BA$47</f>
        <v>0</v>
      </c>
      <c r="BB23" s="4">
        <f>+AD_tis!$BD23*AD_tis!BB23*AD_tis!BB$47</f>
        <v>0</v>
      </c>
      <c r="BC23" s="13">
        <f>+AD_tis!$BD23*AD_tis!BC23*AD_tis!BC$47</f>
        <v>0</v>
      </c>
    </row>
    <row r="24" spans="1:55" ht="18.75" customHeight="1" x14ac:dyDescent="0.25">
      <c r="A24" s="5" t="s">
        <v>75</v>
      </c>
      <c r="B24" s="12">
        <f>+AD_tis!$BD24*AD_tis!B24*AD_tis!B$47</f>
        <v>0</v>
      </c>
      <c r="C24" s="4">
        <f>+AD_tis!$BD24*AD_tis!C24*AD_tis!C$47</f>
        <v>0</v>
      </c>
      <c r="D24" s="4">
        <f>+AD_tis!$BD24*AD_tis!D24*AD_tis!D$47</f>
        <v>0</v>
      </c>
      <c r="E24" s="4">
        <f>+AD_tis!$BD24*AD_tis!E24*AD_tis!E$47</f>
        <v>0</v>
      </c>
      <c r="F24" s="4">
        <f>+AD_tis!$BD24*AD_tis!F24*AD_tis!F$47</f>
        <v>0</v>
      </c>
      <c r="G24" s="4">
        <f>+AD_tis!$BD24*AD_tis!G24*AD_tis!G$47</f>
        <v>0</v>
      </c>
      <c r="H24" s="4">
        <f>+AD_tis!$BD24*AD_tis!H24*AD_tis!H$47</f>
        <v>0</v>
      </c>
      <c r="I24" s="4">
        <f>+AD_tis!$BD24*AD_tis!I24*AD_tis!I$47</f>
        <v>0</v>
      </c>
      <c r="J24" s="4">
        <f>+AD_tis!$BD24*AD_tis!J24*AD_tis!J$47</f>
        <v>0</v>
      </c>
      <c r="K24" s="4">
        <f>+AD_tis!$BD24*AD_tis!K24*AD_tis!K$47</f>
        <v>0</v>
      </c>
      <c r="L24" s="4">
        <f>+AD_tis!$BD24*AD_tis!L24*AD_tis!L$47</f>
        <v>0</v>
      </c>
      <c r="M24" s="4">
        <f>+AD_tis!$BD24*AD_tis!M24*AD_tis!M$47</f>
        <v>0</v>
      </c>
      <c r="N24" s="4">
        <f>+AD_tis!$BD24*AD_tis!N24*AD_tis!N$47</f>
        <v>0</v>
      </c>
      <c r="O24" s="4">
        <f>+AD_tis!$BD24*AD_tis!O24*AD_tis!O$47</f>
        <v>0</v>
      </c>
      <c r="P24" s="4">
        <f>+AD_tis!$BD24*AD_tis!P24*AD_tis!P$47</f>
        <v>0</v>
      </c>
      <c r="Q24" s="4">
        <f>+AD_tis!$BD24*AD_tis!Q24*AD_tis!Q$47</f>
        <v>0</v>
      </c>
      <c r="R24" s="13">
        <f>+AD_tis!$BD24*AD_tis!R24*AD_tis!R$47</f>
        <v>0</v>
      </c>
      <c r="S24" s="4">
        <f>+AD_tis!$BD24*AD_tis!S24*AD_tis!S$47</f>
        <v>0</v>
      </c>
      <c r="T24" s="4">
        <f>+AD_tis!$BD24*AD_tis!T24*AD_tis!T$47</f>
        <v>0</v>
      </c>
      <c r="U24" s="4">
        <f>+AD_tis!$BD24*AD_tis!U24*AD_tis!U$47</f>
        <v>1</v>
      </c>
      <c r="V24" s="4">
        <f>+AD_tis!$BD24*AD_tis!V24*AD_tis!V$47</f>
        <v>0</v>
      </c>
      <c r="W24" s="4">
        <f>+AD_tis!$BD24*AD_tis!W24*AD_tis!W$47</f>
        <v>0</v>
      </c>
      <c r="X24" s="4">
        <f>+AD_tis!$BD24*AD_tis!X24*AD_tis!X$47</f>
        <v>0</v>
      </c>
      <c r="Y24" s="4">
        <f>+AD_tis!$BD24*AD_tis!Y24*AD_tis!Y$47</f>
        <v>0</v>
      </c>
      <c r="Z24" s="4">
        <f>+AD_tis!$BD24*AD_tis!Z24*AD_tis!Z$47</f>
        <v>1</v>
      </c>
      <c r="AA24" s="4">
        <f>+AD_tis!$BD24*AD_tis!AA24*AD_tis!AA$47</f>
        <v>1</v>
      </c>
      <c r="AB24" s="4">
        <f>+AD_tis!$BD24*AD_tis!AB24*AD_tis!AB$47</f>
        <v>0</v>
      </c>
      <c r="AC24" s="12">
        <f>+AD_tis!$BD24*AD_tis!AC24*AD_tis!AC$47</f>
        <v>0</v>
      </c>
      <c r="AD24" s="4">
        <f>+AD_tis!$BD24*AD_tis!AD24*AD_tis!AD$47</f>
        <v>0</v>
      </c>
      <c r="AE24" s="4">
        <f>+AD_tis!$BD24*AD_tis!AE24*AD_tis!AE$47</f>
        <v>0</v>
      </c>
      <c r="AF24" s="4">
        <f>+AD_tis!$BD24*AD_tis!AF24*AD_tis!AF$47</f>
        <v>0</v>
      </c>
      <c r="AG24" s="4">
        <f>+AD_tis!$BD24*AD_tis!AG24*AD_tis!AG$47</f>
        <v>0</v>
      </c>
      <c r="AH24" s="4">
        <f>+AD_tis!$BD24*AD_tis!AH24*AD_tis!AH$47</f>
        <v>0</v>
      </c>
      <c r="AI24" s="4">
        <f>+AD_tis!$BD24*AD_tis!AI24*AD_tis!AI$47</f>
        <v>0</v>
      </c>
      <c r="AJ24" s="4">
        <f>+AD_tis!$BD24*AD_tis!AJ24*AD_tis!AJ$47</f>
        <v>0</v>
      </c>
      <c r="AK24" s="4">
        <f>+AD_tis!$BD24*AD_tis!AK24*AD_tis!AK$47</f>
        <v>0</v>
      </c>
      <c r="AL24" s="4">
        <f>+AD_tis!$BD24*AD_tis!AL24*AD_tis!AL$47</f>
        <v>0</v>
      </c>
      <c r="AM24" s="13">
        <f>+AD_tis!$BD24*AD_tis!AM24*AD_tis!AM$47</f>
        <v>0</v>
      </c>
      <c r="AN24" s="4">
        <f>+AD_tis!$BD24*AD_tis!AN24*AD_tis!AN$47</f>
        <v>0</v>
      </c>
      <c r="AO24" s="4">
        <f>+AD_tis!$BD24*AD_tis!AO24*AD_tis!AO$47</f>
        <v>0</v>
      </c>
      <c r="AP24" s="4">
        <f>+AD_tis!$BD24*AD_tis!AP24*AD_tis!AP$47</f>
        <v>0</v>
      </c>
      <c r="AQ24" s="4">
        <f>+AD_tis!$BD24*AD_tis!AQ24*AD_tis!AQ$47</f>
        <v>0</v>
      </c>
      <c r="AR24" s="4">
        <f>+AD_tis!$BD24*AD_tis!AR24*AD_tis!AR$47</f>
        <v>0</v>
      </c>
      <c r="AS24" s="4">
        <f>+AD_tis!$BD24*AD_tis!AS24*AD_tis!AS$47</f>
        <v>0</v>
      </c>
      <c r="AT24" s="4">
        <f>+AD_tis!$BD24*AD_tis!AT24*AD_tis!AT$47</f>
        <v>0</v>
      </c>
      <c r="AU24" s="4">
        <f>+AD_tis!$BD24*AD_tis!AU24*AD_tis!AU$47</f>
        <v>0</v>
      </c>
      <c r="AV24" s="4">
        <f>+AD_tis!$BD24*AD_tis!AV24*AD_tis!AV$47</f>
        <v>0</v>
      </c>
      <c r="AW24" s="12">
        <f>+AD_tis!$BD24*AD_tis!AW24*AD_tis!AW$47</f>
        <v>0</v>
      </c>
      <c r="AX24" s="13">
        <f>+AD_tis!$BD24*AD_tis!AX24*AD_tis!AX$47</f>
        <v>0</v>
      </c>
      <c r="AY24" s="4">
        <f>+AD_tis!$BD24*AD_tis!AY24*AD_tis!AY$47</f>
        <v>0</v>
      </c>
      <c r="AZ24" s="4">
        <f>+AD_tis!$BD24*AD_tis!AZ24*AD_tis!AZ$47</f>
        <v>0</v>
      </c>
      <c r="BA24" s="12">
        <f>+AD_tis!$BD24*AD_tis!BA24*AD_tis!BA$47</f>
        <v>0</v>
      </c>
      <c r="BB24" s="4">
        <f>+AD_tis!$BD24*AD_tis!BB24*AD_tis!BB$47</f>
        <v>0</v>
      </c>
      <c r="BC24" s="13">
        <f>+AD_tis!$BD24*AD_tis!BC24*AD_tis!BC$47</f>
        <v>0</v>
      </c>
    </row>
    <row r="25" spans="1:55" ht="18.75" customHeight="1" x14ac:dyDescent="0.25">
      <c r="A25" s="5" t="s">
        <v>76</v>
      </c>
      <c r="B25" s="12">
        <f>+AD_tis!$BD25*AD_tis!B25*AD_tis!B$47</f>
        <v>0</v>
      </c>
      <c r="C25" s="4">
        <f>+AD_tis!$BD25*AD_tis!C25*AD_tis!C$47</f>
        <v>0</v>
      </c>
      <c r="D25" s="4">
        <f>+AD_tis!$BD25*AD_tis!D25*AD_tis!D$47</f>
        <v>0</v>
      </c>
      <c r="E25" s="4">
        <f>+AD_tis!$BD25*AD_tis!E25*AD_tis!E$47</f>
        <v>0</v>
      </c>
      <c r="F25" s="4">
        <f>+AD_tis!$BD25*AD_tis!F25*AD_tis!F$47</f>
        <v>0</v>
      </c>
      <c r="G25" s="4">
        <f>+AD_tis!$BD25*AD_tis!G25*AD_tis!G$47</f>
        <v>0</v>
      </c>
      <c r="H25" s="4">
        <f>+AD_tis!$BD25*AD_tis!H25*AD_tis!H$47</f>
        <v>0</v>
      </c>
      <c r="I25" s="4">
        <f>+AD_tis!$BD25*AD_tis!I25*AD_tis!I$47</f>
        <v>0</v>
      </c>
      <c r="J25" s="4">
        <f>+AD_tis!$BD25*AD_tis!J25*AD_tis!J$47</f>
        <v>0</v>
      </c>
      <c r="K25" s="4">
        <f>+AD_tis!$BD25*AD_tis!K25*AD_tis!K$47</f>
        <v>0</v>
      </c>
      <c r="L25" s="4">
        <f>+AD_tis!$BD25*AD_tis!L25*AD_tis!L$47</f>
        <v>0</v>
      </c>
      <c r="M25" s="4">
        <f>+AD_tis!$BD25*AD_tis!M25*AD_tis!M$47</f>
        <v>0</v>
      </c>
      <c r="N25" s="4">
        <f>+AD_tis!$BD25*AD_tis!N25*AD_tis!N$47</f>
        <v>0</v>
      </c>
      <c r="O25" s="4">
        <f>+AD_tis!$BD25*AD_tis!O25*AD_tis!O$47</f>
        <v>0</v>
      </c>
      <c r="P25" s="4">
        <f>+AD_tis!$BD25*AD_tis!P25*AD_tis!P$47</f>
        <v>0</v>
      </c>
      <c r="Q25" s="4">
        <f>+AD_tis!$BD25*AD_tis!Q25*AD_tis!Q$47</f>
        <v>0</v>
      </c>
      <c r="R25" s="13">
        <f>+AD_tis!$BD25*AD_tis!R25*AD_tis!R$47</f>
        <v>0</v>
      </c>
      <c r="S25" s="4">
        <f>+AD_tis!$BD25*AD_tis!S25*AD_tis!S$47</f>
        <v>0</v>
      </c>
      <c r="T25" s="4">
        <f>+AD_tis!$BD25*AD_tis!T25*AD_tis!T$47</f>
        <v>0</v>
      </c>
      <c r="U25" s="4">
        <f>+AD_tis!$BD25*AD_tis!U25*AD_tis!U$47</f>
        <v>1</v>
      </c>
      <c r="V25" s="4">
        <f>+AD_tis!$BD25*AD_tis!V25*AD_tis!V$47</f>
        <v>0</v>
      </c>
      <c r="W25" s="4">
        <f>+AD_tis!$BD25*AD_tis!W25*AD_tis!W$47</f>
        <v>0</v>
      </c>
      <c r="X25" s="4">
        <f>+AD_tis!$BD25*AD_tis!X25*AD_tis!X$47</f>
        <v>0</v>
      </c>
      <c r="Y25" s="4">
        <f>+AD_tis!$BD25*AD_tis!Y25*AD_tis!Y$47</f>
        <v>0</v>
      </c>
      <c r="Z25" s="4">
        <f>+AD_tis!$BD25*AD_tis!Z25*AD_tis!Z$47</f>
        <v>1</v>
      </c>
      <c r="AA25" s="4">
        <f>+AD_tis!$BD25*AD_tis!AA25*AD_tis!AA$47</f>
        <v>1</v>
      </c>
      <c r="AB25" s="4">
        <f>+AD_tis!$BD25*AD_tis!AB25*AD_tis!AB$47</f>
        <v>0</v>
      </c>
      <c r="AC25" s="12">
        <f>+AD_tis!$BD25*AD_tis!AC25*AD_tis!AC$47</f>
        <v>0</v>
      </c>
      <c r="AD25" s="4">
        <f>+AD_tis!$BD25*AD_tis!AD25*AD_tis!AD$47</f>
        <v>0</v>
      </c>
      <c r="AE25" s="4">
        <f>+AD_tis!$BD25*AD_tis!AE25*AD_tis!AE$47</f>
        <v>0</v>
      </c>
      <c r="AF25" s="4">
        <f>+AD_tis!$BD25*AD_tis!AF25*AD_tis!AF$47</f>
        <v>0</v>
      </c>
      <c r="AG25" s="4">
        <f>+AD_tis!$BD25*AD_tis!AG25*AD_tis!AG$47</f>
        <v>0</v>
      </c>
      <c r="AH25" s="4">
        <f>+AD_tis!$BD25*AD_tis!AH25*AD_tis!AH$47</f>
        <v>0</v>
      </c>
      <c r="AI25" s="4">
        <f>+AD_tis!$BD25*AD_tis!AI25*AD_tis!AI$47</f>
        <v>0</v>
      </c>
      <c r="AJ25" s="4">
        <f>+AD_tis!$BD25*AD_tis!AJ25*AD_tis!AJ$47</f>
        <v>0</v>
      </c>
      <c r="AK25" s="4">
        <f>+AD_tis!$BD25*AD_tis!AK25*AD_tis!AK$47</f>
        <v>0</v>
      </c>
      <c r="AL25" s="4">
        <f>+AD_tis!$BD25*AD_tis!AL25*AD_tis!AL$47</f>
        <v>0</v>
      </c>
      <c r="AM25" s="13">
        <f>+AD_tis!$BD25*AD_tis!AM25*AD_tis!AM$47</f>
        <v>0</v>
      </c>
      <c r="AN25" s="4">
        <f>+AD_tis!$BD25*AD_tis!AN25*AD_tis!AN$47</f>
        <v>0</v>
      </c>
      <c r="AO25" s="4">
        <f>+AD_tis!$BD25*AD_tis!AO25*AD_tis!AO$47</f>
        <v>0</v>
      </c>
      <c r="AP25" s="4">
        <f>+AD_tis!$BD25*AD_tis!AP25*AD_tis!AP$47</f>
        <v>0</v>
      </c>
      <c r="AQ25" s="4">
        <f>+AD_tis!$BD25*AD_tis!AQ25*AD_tis!AQ$47</f>
        <v>0</v>
      </c>
      <c r="AR25" s="4">
        <f>+AD_tis!$BD25*AD_tis!AR25*AD_tis!AR$47</f>
        <v>0</v>
      </c>
      <c r="AS25" s="4">
        <f>+AD_tis!$BD25*AD_tis!AS25*AD_tis!AS$47</f>
        <v>0</v>
      </c>
      <c r="AT25" s="4">
        <f>+AD_tis!$BD25*AD_tis!AT25*AD_tis!AT$47</f>
        <v>0</v>
      </c>
      <c r="AU25" s="4">
        <f>+AD_tis!$BD25*AD_tis!AU25*AD_tis!AU$47</f>
        <v>0</v>
      </c>
      <c r="AV25" s="4">
        <f>+AD_tis!$BD25*AD_tis!AV25*AD_tis!AV$47</f>
        <v>0</v>
      </c>
      <c r="AW25" s="12">
        <f>+AD_tis!$BD25*AD_tis!AW25*AD_tis!AW$47</f>
        <v>0</v>
      </c>
      <c r="AX25" s="13">
        <f>+AD_tis!$BD25*AD_tis!AX25*AD_tis!AX$47</f>
        <v>0</v>
      </c>
      <c r="AY25" s="4">
        <f>+AD_tis!$BD25*AD_tis!AY25*AD_tis!AY$47</f>
        <v>0</v>
      </c>
      <c r="AZ25" s="4">
        <f>+AD_tis!$BD25*AD_tis!AZ25*AD_tis!AZ$47</f>
        <v>0</v>
      </c>
      <c r="BA25" s="12">
        <f>+AD_tis!$BD25*AD_tis!BA25*AD_tis!BA$47</f>
        <v>0</v>
      </c>
      <c r="BB25" s="4">
        <f>+AD_tis!$BD25*AD_tis!BB25*AD_tis!BB$47</f>
        <v>0</v>
      </c>
      <c r="BC25" s="13">
        <f>+AD_tis!$BD25*AD_tis!BC25*AD_tis!BC$47</f>
        <v>0</v>
      </c>
    </row>
    <row r="26" spans="1:55" ht="18.75" customHeight="1" x14ac:dyDescent="0.25">
      <c r="A26" s="5" t="s">
        <v>77</v>
      </c>
      <c r="B26" s="12">
        <f>+AD_tis!$BD26*AD_tis!B26*AD_tis!B$47</f>
        <v>0</v>
      </c>
      <c r="C26" s="4">
        <f>+AD_tis!$BD26*AD_tis!C26*AD_tis!C$47</f>
        <v>0</v>
      </c>
      <c r="D26" s="4">
        <f>+AD_tis!$BD26*AD_tis!D26*AD_tis!D$47</f>
        <v>0</v>
      </c>
      <c r="E26" s="4">
        <f>+AD_tis!$BD26*AD_tis!E26*AD_tis!E$47</f>
        <v>0</v>
      </c>
      <c r="F26" s="4">
        <f>+AD_tis!$BD26*AD_tis!F26*AD_tis!F$47</f>
        <v>0</v>
      </c>
      <c r="G26" s="4">
        <f>+AD_tis!$BD26*AD_tis!G26*AD_tis!G$47</f>
        <v>0</v>
      </c>
      <c r="H26" s="4">
        <f>+AD_tis!$BD26*AD_tis!H26*AD_tis!H$47</f>
        <v>0</v>
      </c>
      <c r="I26" s="4">
        <f>+AD_tis!$BD26*AD_tis!I26*AD_tis!I$47</f>
        <v>0</v>
      </c>
      <c r="J26" s="4">
        <f>+AD_tis!$BD26*AD_tis!J26*AD_tis!J$47</f>
        <v>0</v>
      </c>
      <c r="K26" s="4">
        <f>+AD_tis!$BD26*AD_tis!K26*AD_tis!K$47</f>
        <v>0</v>
      </c>
      <c r="L26" s="4">
        <f>+AD_tis!$BD26*AD_tis!L26*AD_tis!L$47</f>
        <v>0</v>
      </c>
      <c r="M26" s="4">
        <f>+AD_tis!$BD26*AD_tis!M26*AD_tis!M$47</f>
        <v>0</v>
      </c>
      <c r="N26" s="4">
        <f>+AD_tis!$BD26*AD_tis!N26*AD_tis!N$47</f>
        <v>0</v>
      </c>
      <c r="O26" s="4">
        <f>+AD_tis!$BD26*AD_tis!O26*AD_tis!O$47</f>
        <v>0</v>
      </c>
      <c r="P26" s="4">
        <f>+AD_tis!$BD26*AD_tis!P26*AD_tis!P$47</f>
        <v>0</v>
      </c>
      <c r="Q26" s="4">
        <f>+AD_tis!$BD26*AD_tis!Q26*AD_tis!Q$47</f>
        <v>0</v>
      </c>
      <c r="R26" s="13">
        <f>+AD_tis!$BD26*AD_tis!R26*AD_tis!R$47</f>
        <v>0</v>
      </c>
      <c r="S26" s="4">
        <f>+AD_tis!$BD26*AD_tis!S26*AD_tis!S$47</f>
        <v>0</v>
      </c>
      <c r="T26" s="4">
        <f>+AD_tis!$BD26*AD_tis!T26*AD_tis!T$47</f>
        <v>0</v>
      </c>
      <c r="U26" s="4">
        <f>+AD_tis!$BD26*AD_tis!U26*AD_tis!U$47</f>
        <v>1</v>
      </c>
      <c r="V26" s="4">
        <f>+AD_tis!$BD26*AD_tis!V26*AD_tis!V$47</f>
        <v>0</v>
      </c>
      <c r="W26" s="4">
        <f>+AD_tis!$BD26*AD_tis!W26*AD_tis!W$47</f>
        <v>0</v>
      </c>
      <c r="X26" s="4">
        <f>+AD_tis!$BD26*AD_tis!X26*AD_tis!X$47</f>
        <v>0</v>
      </c>
      <c r="Y26" s="4">
        <f>+AD_tis!$BD26*AD_tis!Y26*AD_tis!Y$47</f>
        <v>0</v>
      </c>
      <c r="Z26" s="4">
        <f>+AD_tis!$BD26*AD_tis!Z26*AD_tis!Z$47</f>
        <v>1</v>
      </c>
      <c r="AA26" s="4">
        <f>+AD_tis!$BD26*AD_tis!AA26*AD_tis!AA$47</f>
        <v>0</v>
      </c>
      <c r="AB26" s="4">
        <f>+AD_tis!$BD26*AD_tis!AB26*AD_tis!AB$47</f>
        <v>0</v>
      </c>
      <c r="AC26" s="12">
        <f>+AD_tis!$BD26*AD_tis!AC26*AD_tis!AC$47</f>
        <v>0</v>
      </c>
      <c r="AD26" s="4">
        <f>+AD_tis!$BD26*AD_tis!AD26*AD_tis!AD$47</f>
        <v>0</v>
      </c>
      <c r="AE26" s="4">
        <f>+AD_tis!$BD26*AD_tis!AE26*AD_tis!AE$47</f>
        <v>0</v>
      </c>
      <c r="AF26" s="4">
        <f>+AD_tis!$BD26*AD_tis!AF26*AD_tis!AF$47</f>
        <v>0</v>
      </c>
      <c r="AG26" s="4">
        <f>+AD_tis!$BD26*AD_tis!AG26*AD_tis!AG$47</f>
        <v>0</v>
      </c>
      <c r="AH26" s="4">
        <f>+AD_tis!$BD26*AD_tis!AH26*AD_tis!AH$47</f>
        <v>0</v>
      </c>
      <c r="AI26" s="4">
        <f>+AD_tis!$BD26*AD_tis!AI26*AD_tis!AI$47</f>
        <v>0</v>
      </c>
      <c r="AJ26" s="4">
        <f>+AD_tis!$BD26*AD_tis!AJ26*AD_tis!AJ$47</f>
        <v>0</v>
      </c>
      <c r="AK26" s="4">
        <f>+AD_tis!$BD26*AD_tis!AK26*AD_tis!AK$47</f>
        <v>0</v>
      </c>
      <c r="AL26" s="4">
        <f>+AD_tis!$BD26*AD_tis!AL26*AD_tis!AL$47</f>
        <v>0</v>
      </c>
      <c r="AM26" s="13">
        <f>+AD_tis!$BD26*AD_tis!AM26*AD_tis!AM$47</f>
        <v>0</v>
      </c>
      <c r="AN26" s="4">
        <f>+AD_tis!$BD26*AD_tis!AN26*AD_tis!AN$47</f>
        <v>0</v>
      </c>
      <c r="AO26" s="4">
        <f>+AD_tis!$BD26*AD_tis!AO26*AD_tis!AO$47</f>
        <v>0</v>
      </c>
      <c r="AP26" s="4">
        <f>+AD_tis!$BD26*AD_tis!AP26*AD_tis!AP$47</f>
        <v>0</v>
      </c>
      <c r="AQ26" s="4">
        <f>+AD_tis!$BD26*AD_tis!AQ26*AD_tis!AQ$47</f>
        <v>0</v>
      </c>
      <c r="AR26" s="4">
        <f>+AD_tis!$BD26*AD_tis!AR26*AD_tis!AR$47</f>
        <v>0</v>
      </c>
      <c r="AS26" s="4">
        <f>+AD_tis!$BD26*AD_tis!AS26*AD_tis!AS$47</f>
        <v>0</v>
      </c>
      <c r="AT26" s="4">
        <f>+AD_tis!$BD26*AD_tis!AT26*AD_tis!AT$47</f>
        <v>0</v>
      </c>
      <c r="AU26" s="4">
        <f>+AD_tis!$BD26*AD_tis!AU26*AD_tis!AU$47</f>
        <v>0</v>
      </c>
      <c r="AV26" s="4">
        <f>+AD_tis!$BD26*AD_tis!AV26*AD_tis!AV$47</f>
        <v>0</v>
      </c>
      <c r="AW26" s="12">
        <f>+AD_tis!$BD26*AD_tis!AW26*AD_tis!AW$47</f>
        <v>0</v>
      </c>
      <c r="AX26" s="13">
        <f>+AD_tis!$BD26*AD_tis!AX26*AD_tis!AX$47</f>
        <v>0</v>
      </c>
      <c r="AY26" s="4">
        <f>+AD_tis!$BD26*AD_tis!AY26*AD_tis!AY$47</f>
        <v>0</v>
      </c>
      <c r="AZ26" s="4">
        <f>+AD_tis!$BD26*AD_tis!AZ26*AD_tis!AZ$47</f>
        <v>0</v>
      </c>
      <c r="BA26" s="12">
        <f>+AD_tis!$BD26*AD_tis!BA26*AD_tis!BA$47</f>
        <v>0</v>
      </c>
      <c r="BB26" s="4">
        <f>+AD_tis!$BD26*AD_tis!BB26*AD_tis!BB$47</f>
        <v>0</v>
      </c>
      <c r="BC26" s="13">
        <f>+AD_tis!$BD26*AD_tis!BC26*AD_tis!BC$47</f>
        <v>0</v>
      </c>
    </row>
    <row r="27" spans="1:55" ht="18.75" customHeight="1" x14ac:dyDescent="0.25">
      <c r="A27" s="5" t="s">
        <v>78</v>
      </c>
      <c r="B27" s="12">
        <f>+AD_tis!$BD27*AD_tis!B27*AD_tis!B$47</f>
        <v>0</v>
      </c>
      <c r="C27" s="4">
        <f>+AD_tis!$BD27*AD_tis!C27*AD_tis!C$47</f>
        <v>0</v>
      </c>
      <c r="D27" s="4">
        <f>+AD_tis!$BD27*AD_tis!D27*AD_tis!D$47</f>
        <v>0</v>
      </c>
      <c r="E27" s="4">
        <f>+AD_tis!$BD27*AD_tis!E27*AD_tis!E$47</f>
        <v>0</v>
      </c>
      <c r="F27" s="4">
        <f>+AD_tis!$BD27*AD_tis!F27*AD_tis!F$47</f>
        <v>0</v>
      </c>
      <c r="G27" s="4">
        <f>+AD_tis!$BD27*AD_tis!G27*AD_tis!G$47</f>
        <v>0</v>
      </c>
      <c r="H27" s="4">
        <f>+AD_tis!$BD27*AD_tis!H27*AD_tis!H$47</f>
        <v>0</v>
      </c>
      <c r="I27" s="4">
        <f>+AD_tis!$BD27*AD_tis!I27*AD_tis!I$47</f>
        <v>0</v>
      </c>
      <c r="J27" s="4">
        <f>+AD_tis!$BD27*AD_tis!J27*AD_tis!J$47</f>
        <v>0</v>
      </c>
      <c r="K27" s="4">
        <f>+AD_tis!$BD27*AD_tis!K27*AD_tis!K$47</f>
        <v>0</v>
      </c>
      <c r="L27" s="4">
        <f>+AD_tis!$BD27*AD_tis!L27*AD_tis!L$47</f>
        <v>0</v>
      </c>
      <c r="M27" s="4">
        <f>+AD_tis!$BD27*AD_tis!M27*AD_tis!M$47</f>
        <v>0</v>
      </c>
      <c r="N27" s="4">
        <f>+AD_tis!$BD27*AD_tis!N27*AD_tis!N$47</f>
        <v>0</v>
      </c>
      <c r="O27" s="4">
        <f>+AD_tis!$BD27*AD_tis!O27*AD_tis!O$47</f>
        <v>0</v>
      </c>
      <c r="P27" s="4">
        <f>+AD_tis!$BD27*AD_tis!P27*AD_tis!P$47</f>
        <v>0</v>
      </c>
      <c r="Q27" s="4">
        <f>+AD_tis!$BD27*AD_tis!Q27*AD_tis!Q$47</f>
        <v>0</v>
      </c>
      <c r="R27" s="13">
        <f>+AD_tis!$BD27*AD_tis!R27*AD_tis!R$47</f>
        <v>0</v>
      </c>
      <c r="S27" s="4">
        <f>+AD_tis!$BD27*AD_tis!S27*AD_tis!S$47</f>
        <v>0</v>
      </c>
      <c r="T27" s="4">
        <f>+AD_tis!$BD27*AD_tis!T27*AD_tis!T$47</f>
        <v>0</v>
      </c>
      <c r="U27" s="4">
        <f>+AD_tis!$BD27*AD_tis!U27*AD_tis!U$47</f>
        <v>1</v>
      </c>
      <c r="V27" s="4">
        <f>+AD_tis!$BD27*AD_tis!V27*AD_tis!V$47</f>
        <v>0</v>
      </c>
      <c r="W27" s="4">
        <f>+AD_tis!$BD27*AD_tis!W27*AD_tis!W$47</f>
        <v>0</v>
      </c>
      <c r="X27" s="4">
        <f>+AD_tis!$BD27*AD_tis!X27*AD_tis!X$47</f>
        <v>0</v>
      </c>
      <c r="Y27" s="4">
        <f>+AD_tis!$BD27*AD_tis!Y27*AD_tis!Y$47</f>
        <v>0</v>
      </c>
      <c r="Z27" s="4">
        <f>+AD_tis!$BD27*AD_tis!Z27*AD_tis!Z$47</f>
        <v>1</v>
      </c>
      <c r="AA27" s="4">
        <f>+AD_tis!$BD27*AD_tis!AA27*AD_tis!AA$47</f>
        <v>1</v>
      </c>
      <c r="AB27" s="4">
        <f>+AD_tis!$BD27*AD_tis!AB27*AD_tis!AB$47</f>
        <v>0</v>
      </c>
      <c r="AC27" s="12">
        <f>+AD_tis!$BD27*AD_tis!AC27*AD_tis!AC$47</f>
        <v>0</v>
      </c>
      <c r="AD27" s="4">
        <f>+AD_tis!$BD27*AD_tis!AD27*AD_tis!AD$47</f>
        <v>0</v>
      </c>
      <c r="AE27" s="4">
        <f>+AD_tis!$BD27*AD_tis!AE27*AD_tis!AE$47</f>
        <v>0</v>
      </c>
      <c r="AF27" s="4">
        <f>+AD_tis!$BD27*AD_tis!AF27*AD_tis!AF$47</f>
        <v>0</v>
      </c>
      <c r="AG27" s="4">
        <f>+AD_tis!$BD27*AD_tis!AG27*AD_tis!AG$47</f>
        <v>0</v>
      </c>
      <c r="AH27" s="4">
        <f>+AD_tis!$BD27*AD_tis!AH27*AD_tis!AH$47</f>
        <v>0</v>
      </c>
      <c r="AI27" s="4">
        <f>+AD_tis!$BD27*AD_tis!AI27*AD_tis!AI$47</f>
        <v>0</v>
      </c>
      <c r="AJ27" s="4">
        <f>+AD_tis!$BD27*AD_tis!AJ27*AD_tis!AJ$47</f>
        <v>0</v>
      </c>
      <c r="AK27" s="4">
        <f>+AD_tis!$BD27*AD_tis!AK27*AD_tis!AK$47</f>
        <v>0</v>
      </c>
      <c r="AL27" s="4">
        <f>+AD_tis!$BD27*AD_tis!AL27*AD_tis!AL$47</f>
        <v>0</v>
      </c>
      <c r="AM27" s="13">
        <f>+AD_tis!$BD27*AD_tis!AM27*AD_tis!AM$47</f>
        <v>0</v>
      </c>
      <c r="AN27" s="4">
        <f>+AD_tis!$BD27*AD_tis!AN27*AD_tis!AN$47</f>
        <v>0</v>
      </c>
      <c r="AO27" s="4">
        <f>+AD_tis!$BD27*AD_tis!AO27*AD_tis!AO$47</f>
        <v>0</v>
      </c>
      <c r="AP27" s="4">
        <f>+AD_tis!$BD27*AD_tis!AP27*AD_tis!AP$47</f>
        <v>0</v>
      </c>
      <c r="AQ27" s="4">
        <f>+AD_tis!$BD27*AD_tis!AQ27*AD_tis!AQ$47</f>
        <v>0</v>
      </c>
      <c r="AR27" s="4">
        <f>+AD_tis!$BD27*AD_tis!AR27*AD_tis!AR$47</f>
        <v>0</v>
      </c>
      <c r="AS27" s="4">
        <f>+AD_tis!$BD27*AD_tis!AS27*AD_tis!AS$47</f>
        <v>0</v>
      </c>
      <c r="AT27" s="4">
        <f>+AD_tis!$BD27*AD_tis!AT27*AD_tis!AT$47</f>
        <v>0</v>
      </c>
      <c r="AU27" s="4">
        <f>+AD_tis!$BD27*AD_tis!AU27*AD_tis!AU$47</f>
        <v>0</v>
      </c>
      <c r="AV27" s="4">
        <f>+AD_tis!$BD27*AD_tis!AV27*AD_tis!AV$47</f>
        <v>0</v>
      </c>
      <c r="AW27" s="12">
        <f>+AD_tis!$BD27*AD_tis!AW27*AD_tis!AW$47</f>
        <v>0</v>
      </c>
      <c r="AX27" s="13">
        <f>+AD_tis!$BD27*AD_tis!AX27*AD_tis!AX$47</f>
        <v>0</v>
      </c>
      <c r="AY27" s="4">
        <f>+AD_tis!$BD27*AD_tis!AY27*AD_tis!AY$47</f>
        <v>0</v>
      </c>
      <c r="AZ27" s="4">
        <f>+AD_tis!$BD27*AD_tis!AZ27*AD_tis!AZ$47</f>
        <v>0</v>
      </c>
      <c r="BA27" s="12">
        <f>+AD_tis!$BD27*AD_tis!BA27*AD_tis!BA$47</f>
        <v>0</v>
      </c>
      <c r="BB27" s="4">
        <f>+AD_tis!$BD27*AD_tis!BB27*AD_tis!BB$47</f>
        <v>0</v>
      </c>
      <c r="BC27" s="13">
        <f>+AD_tis!$BD27*AD_tis!BC27*AD_tis!BC$47</f>
        <v>0</v>
      </c>
    </row>
    <row r="28" spans="1:55" ht="18.75" customHeight="1" x14ac:dyDescent="0.25">
      <c r="A28" s="5" t="s">
        <v>79</v>
      </c>
      <c r="B28" s="12">
        <f>+AD_tis!$BD28*AD_tis!B28*AD_tis!B$47</f>
        <v>0</v>
      </c>
      <c r="C28" s="4">
        <f>+AD_tis!$BD28*AD_tis!C28*AD_tis!C$47</f>
        <v>0</v>
      </c>
      <c r="D28" s="4">
        <f>+AD_tis!$BD28*AD_tis!D28*AD_tis!D$47</f>
        <v>0</v>
      </c>
      <c r="E28" s="4">
        <f>+AD_tis!$BD28*AD_tis!E28*AD_tis!E$47</f>
        <v>0</v>
      </c>
      <c r="F28" s="4">
        <f>+AD_tis!$BD28*AD_tis!F28*AD_tis!F$47</f>
        <v>0</v>
      </c>
      <c r="G28" s="4">
        <f>+AD_tis!$BD28*AD_tis!G28*AD_tis!G$47</f>
        <v>0</v>
      </c>
      <c r="H28" s="4">
        <f>+AD_tis!$BD28*AD_tis!H28*AD_tis!H$47</f>
        <v>0</v>
      </c>
      <c r="I28" s="4">
        <f>+AD_tis!$BD28*AD_tis!I28*AD_tis!I$47</f>
        <v>0</v>
      </c>
      <c r="J28" s="4">
        <f>+AD_tis!$BD28*AD_tis!J28*AD_tis!J$47</f>
        <v>0</v>
      </c>
      <c r="K28" s="4">
        <f>+AD_tis!$BD28*AD_tis!K28*AD_tis!K$47</f>
        <v>0</v>
      </c>
      <c r="L28" s="4">
        <f>+AD_tis!$BD28*AD_tis!L28*AD_tis!L$47</f>
        <v>1</v>
      </c>
      <c r="M28" s="4">
        <f>+AD_tis!$BD28*AD_tis!M28*AD_tis!M$47</f>
        <v>1</v>
      </c>
      <c r="N28" s="4">
        <f>+AD_tis!$BD28*AD_tis!N28*AD_tis!N$47</f>
        <v>0</v>
      </c>
      <c r="O28" s="4">
        <f>+AD_tis!$BD28*AD_tis!O28*AD_tis!O$47</f>
        <v>0</v>
      </c>
      <c r="P28" s="4">
        <f>+AD_tis!$BD28*AD_tis!P28*AD_tis!P$47</f>
        <v>0</v>
      </c>
      <c r="Q28" s="4">
        <f>+AD_tis!$BD28*AD_tis!Q28*AD_tis!Q$47</f>
        <v>0</v>
      </c>
      <c r="R28" s="13">
        <f>+AD_tis!$BD28*AD_tis!R28*AD_tis!R$47</f>
        <v>0</v>
      </c>
      <c r="S28" s="4">
        <f>+AD_tis!$BD28*AD_tis!S28*AD_tis!S$47</f>
        <v>0</v>
      </c>
      <c r="T28" s="4">
        <f>+AD_tis!$BD28*AD_tis!T28*AD_tis!T$47</f>
        <v>0</v>
      </c>
      <c r="U28" s="4">
        <f>+AD_tis!$BD28*AD_tis!U28*AD_tis!U$47</f>
        <v>1</v>
      </c>
      <c r="V28" s="4">
        <f>+AD_tis!$BD28*AD_tis!V28*AD_tis!V$47</f>
        <v>0</v>
      </c>
      <c r="W28" s="4">
        <f>+AD_tis!$BD28*AD_tis!W28*AD_tis!W$47</f>
        <v>0</v>
      </c>
      <c r="X28" s="4">
        <f>+AD_tis!$BD28*AD_tis!X28*AD_tis!X$47</f>
        <v>0</v>
      </c>
      <c r="Y28" s="4">
        <f>+AD_tis!$BD28*AD_tis!Y28*AD_tis!Y$47</f>
        <v>0</v>
      </c>
      <c r="Z28" s="4">
        <f>+AD_tis!$BD28*AD_tis!Z28*AD_tis!Z$47</f>
        <v>1</v>
      </c>
      <c r="AA28" s="4">
        <f>+AD_tis!$BD28*AD_tis!AA28*AD_tis!AA$47</f>
        <v>1</v>
      </c>
      <c r="AB28" s="4">
        <f>+AD_tis!$BD28*AD_tis!AB28*AD_tis!AB$47</f>
        <v>0</v>
      </c>
      <c r="AC28" s="12">
        <f>+AD_tis!$BD28*AD_tis!AC28*AD_tis!AC$47</f>
        <v>1</v>
      </c>
      <c r="AD28" s="4">
        <f>+AD_tis!$BD28*AD_tis!AD28*AD_tis!AD$47</f>
        <v>0</v>
      </c>
      <c r="AE28" s="4">
        <f>+AD_tis!$BD28*AD_tis!AE28*AD_tis!AE$47</f>
        <v>1</v>
      </c>
      <c r="AF28" s="4">
        <f>+AD_tis!$BD28*AD_tis!AF28*AD_tis!AF$47</f>
        <v>1</v>
      </c>
      <c r="AG28" s="4">
        <f>+AD_tis!$BD28*AD_tis!AG28*AD_tis!AG$47</f>
        <v>1</v>
      </c>
      <c r="AH28" s="4">
        <f>+AD_tis!$BD28*AD_tis!AH28*AD_tis!AH$47</f>
        <v>1</v>
      </c>
      <c r="AI28" s="4">
        <f>+AD_tis!$BD28*AD_tis!AI28*AD_tis!AI$47</f>
        <v>0</v>
      </c>
      <c r="AJ28" s="4">
        <f>+AD_tis!$BD28*AD_tis!AJ28*AD_tis!AJ$47</f>
        <v>0</v>
      </c>
      <c r="AK28" s="4">
        <f>+AD_tis!$BD28*AD_tis!AK28*AD_tis!AK$47</f>
        <v>0</v>
      </c>
      <c r="AL28" s="4">
        <f>+AD_tis!$BD28*AD_tis!AL28*AD_tis!AL$47</f>
        <v>0</v>
      </c>
      <c r="AM28" s="13">
        <f>+AD_tis!$BD28*AD_tis!AM28*AD_tis!AM$47</f>
        <v>0</v>
      </c>
      <c r="AN28" s="4">
        <f>+AD_tis!$BD28*AD_tis!AN28*AD_tis!AN$47</f>
        <v>0</v>
      </c>
      <c r="AO28" s="4">
        <f>+AD_tis!$BD28*AD_tis!AO28*AD_tis!AO$47</f>
        <v>0</v>
      </c>
      <c r="AP28" s="4">
        <f>+AD_tis!$BD28*AD_tis!AP28*AD_tis!AP$47</f>
        <v>0</v>
      </c>
      <c r="AQ28" s="4">
        <f>+AD_tis!$BD28*AD_tis!AQ28*AD_tis!AQ$47</f>
        <v>0</v>
      </c>
      <c r="AR28" s="4">
        <f>+AD_tis!$BD28*AD_tis!AR28*AD_tis!AR$47</f>
        <v>0</v>
      </c>
      <c r="AS28" s="4">
        <f>+AD_tis!$BD28*AD_tis!AS28*AD_tis!AS$47</f>
        <v>0</v>
      </c>
      <c r="AT28" s="4">
        <f>+AD_tis!$BD28*AD_tis!AT28*AD_tis!AT$47</f>
        <v>0</v>
      </c>
      <c r="AU28" s="4">
        <f>+AD_tis!$BD28*AD_tis!AU28*AD_tis!AU$47</f>
        <v>0</v>
      </c>
      <c r="AV28" s="4">
        <f>+AD_tis!$BD28*AD_tis!AV28*AD_tis!AV$47</f>
        <v>0</v>
      </c>
      <c r="AW28" s="12">
        <f>+AD_tis!$BD28*AD_tis!AW28*AD_tis!AW$47</f>
        <v>0</v>
      </c>
      <c r="AX28" s="13">
        <f>+AD_tis!$BD28*AD_tis!AX28*AD_tis!AX$47</f>
        <v>0</v>
      </c>
      <c r="AY28" s="4">
        <f>+AD_tis!$BD28*AD_tis!AY28*AD_tis!AY$47</f>
        <v>0</v>
      </c>
      <c r="AZ28" s="4">
        <f>+AD_tis!$BD28*AD_tis!AZ28*AD_tis!AZ$47</f>
        <v>0</v>
      </c>
      <c r="BA28" s="12">
        <f>+AD_tis!$BD28*AD_tis!BA28*AD_tis!BA$47</f>
        <v>0</v>
      </c>
      <c r="BB28" s="4">
        <f>+AD_tis!$BD28*AD_tis!BB28*AD_tis!BB$47</f>
        <v>0</v>
      </c>
      <c r="BC28" s="13">
        <f>+AD_tis!$BD28*AD_tis!BC28*AD_tis!BC$47</f>
        <v>0</v>
      </c>
    </row>
    <row r="29" spans="1:55" ht="18.75" customHeight="1" x14ac:dyDescent="0.25">
      <c r="A29" s="5" t="s">
        <v>80</v>
      </c>
      <c r="B29" s="12">
        <f>+AD_tis!$BD29*AD_tis!B29*AD_tis!B$47</f>
        <v>0</v>
      </c>
      <c r="C29" s="4">
        <f>+AD_tis!$BD29*AD_tis!C29*AD_tis!C$47</f>
        <v>0</v>
      </c>
      <c r="D29" s="4">
        <f>+AD_tis!$BD29*AD_tis!D29*AD_tis!D$47</f>
        <v>0</v>
      </c>
      <c r="E29" s="4">
        <f>+AD_tis!$BD29*AD_tis!E29*AD_tis!E$47</f>
        <v>0</v>
      </c>
      <c r="F29" s="4">
        <f>+AD_tis!$BD29*AD_tis!F29*AD_tis!F$47</f>
        <v>0</v>
      </c>
      <c r="G29" s="4">
        <f>+AD_tis!$BD29*AD_tis!G29*AD_tis!G$47</f>
        <v>0</v>
      </c>
      <c r="H29" s="4">
        <f>+AD_tis!$BD29*AD_tis!H29*AD_tis!H$47</f>
        <v>0</v>
      </c>
      <c r="I29" s="4">
        <f>+AD_tis!$BD29*AD_tis!I29*AD_tis!I$47</f>
        <v>0</v>
      </c>
      <c r="J29" s="4">
        <f>+AD_tis!$BD29*AD_tis!J29*AD_tis!J$47</f>
        <v>1</v>
      </c>
      <c r="K29" s="4">
        <f>+AD_tis!$BD29*AD_tis!K29*AD_tis!K$47</f>
        <v>0</v>
      </c>
      <c r="L29" s="4">
        <f>+AD_tis!$BD29*AD_tis!L29*AD_tis!L$47</f>
        <v>0</v>
      </c>
      <c r="M29" s="4">
        <f>+AD_tis!$BD29*AD_tis!M29*AD_tis!M$47</f>
        <v>0</v>
      </c>
      <c r="N29" s="4">
        <f>+AD_tis!$BD29*AD_tis!N29*AD_tis!N$47</f>
        <v>0</v>
      </c>
      <c r="O29" s="4">
        <f>+AD_tis!$BD29*AD_tis!O29*AD_tis!O$47</f>
        <v>0</v>
      </c>
      <c r="P29" s="4">
        <f>+AD_tis!$BD29*AD_tis!P29*AD_tis!P$47</f>
        <v>0</v>
      </c>
      <c r="Q29" s="4">
        <f>+AD_tis!$BD29*AD_tis!Q29*AD_tis!Q$47</f>
        <v>0</v>
      </c>
      <c r="R29" s="13">
        <f>+AD_tis!$BD29*AD_tis!R29*AD_tis!R$47</f>
        <v>0</v>
      </c>
      <c r="S29" s="4">
        <f>+AD_tis!$BD29*AD_tis!S29*AD_tis!S$47</f>
        <v>0</v>
      </c>
      <c r="T29" s="4">
        <f>+AD_tis!$BD29*AD_tis!T29*AD_tis!T$47</f>
        <v>0</v>
      </c>
      <c r="U29" s="4">
        <f>+AD_tis!$BD29*AD_tis!U29*AD_tis!U$47</f>
        <v>0</v>
      </c>
      <c r="V29" s="4">
        <f>+AD_tis!$BD29*AD_tis!V29*AD_tis!V$47</f>
        <v>0</v>
      </c>
      <c r="W29" s="4">
        <f>+AD_tis!$BD29*AD_tis!W29*AD_tis!W$47</f>
        <v>0</v>
      </c>
      <c r="X29" s="4">
        <f>+AD_tis!$BD29*AD_tis!X29*AD_tis!X$47</f>
        <v>0</v>
      </c>
      <c r="Y29" s="4">
        <f>+AD_tis!$BD29*AD_tis!Y29*AD_tis!Y$47</f>
        <v>0</v>
      </c>
      <c r="Z29" s="4">
        <f>+AD_tis!$BD29*AD_tis!Z29*AD_tis!Z$47</f>
        <v>0</v>
      </c>
      <c r="AA29" s="4">
        <f>+AD_tis!$BD29*AD_tis!AA29*AD_tis!AA$47</f>
        <v>0</v>
      </c>
      <c r="AB29" s="4">
        <f>+AD_tis!$BD29*AD_tis!AB29*AD_tis!AB$47</f>
        <v>0</v>
      </c>
      <c r="AC29" s="12">
        <f>+AD_tis!$BD29*AD_tis!AC29*AD_tis!AC$47</f>
        <v>0</v>
      </c>
      <c r="AD29" s="4">
        <f>+AD_tis!$BD29*AD_tis!AD29*AD_tis!AD$47</f>
        <v>0</v>
      </c>
      <c r="AE29" s="4">
        <f>+AD_tis!$BD29*AD_tis!AE29*AD_tis!AE$47</f>
        <v>0</v>
      </c>
      <c r="AF29" s="4">
        <f>+AD_tis!$BD29*AD_tis!AF29*AD_tis!AF$47</f>
        <v>0</v>
      </c>
      <c r="AG29" s="4">
        <f>+AD_tis!$BD29*AD_tis!AG29*AD_tis!AG$47</f>
        <v>0</v>
      </c>
      <c r="AH29" s="4">
        <f>+AD_tis!$BD29*AD_tis!AH29*AD_tis!AH$47</f>
        <v>0</v>
      </c>
      <c r="AI29" s="4">
        <f>+AD_tis!$BD29*AD_tis!AI29*AD_tis!AI$47</f>
        <v>0</v>
      </c>
      <c r="AJ29" s="4">
        <f>+AD_tis!$BD29*AD_tis!AJ29*AD_tis!AJ$47</f>
        <v>0</v>
      </c>
      <c r="AK29" s="4">
        <f>+AD_tis!$BD29*AD_tis!AK29*AD_tis!AK$47</f>
        <v>0</v>
      </c>
      <c r="AL29" s="4">
        <f>+AD_tis!$BD29*AD_tis!AL29*AD_tis!AL$47</f>
        <v>0</v>
      </c>
      <c r="AM29" s="13">
        <f>+AD_tis!$BD29*AD_tis!AM29*AD_tis!AM$47</f>
        <v>0</v>
      </c>
      <c r="AN29" s="4">
        <f>+AD_tis!$BD29*AD_tis!AN29*AD_tis!AN$47</f>
        <v>0</v>
      </c>
      <c r="AO29" s="4">
        <f>+AD_tis!$BD29*AD_tis!AO29*AD_tis!AO$47</f>
        <v>0</v>
      </c>
      <c r="AP29" s="4">
        <f>+AD_tis!$BD29*AD_tis!AP29*AD_tis!AP$47</f>
        <v>0</v>
      </c>
      <c r="AQ29" s="4">
        <f>+AD_tis!$BD29*AD_tis!AQ29*AD_tis!AQ$47</f>
        <v>0</v>
      </c>
      <c r="AR29" s="4">
        <f>+AD_tis!$BD29*AD_tis!AR29*AD_tis!AR$47</f>
        <v>0</v>
      </c>
      <c r="AS29" s="4">
        <f>+AD_tis!$BD29*AD_tis!AS29*AD_tis!AS$47</f>
        <v>0</v>
      </c>
      <c r="AT29" s="4">
        <f>+AD_tis!$BD29*AD_tis!AT29*AD_tis!AT$47</f>
        <v>0</v>
      </c>
      <c r="AU29" s="4">
        <f>+AD_tis!$BD29*AD_tis!AU29*AD_tis!AU$47</f>
        <v>0</v>
      </c>
      <c r="AV29" s="4">
        <f>+AD_tis!$BD29*AD_tis!AV29*AD_tis!AV$47</f>
        <v>0</v>
      </c>
      <c r="AW29" s="12">
        <f>+AD_tis!$BD29*AD_tis!AW29*AD_tis!AW$47</f>
        <v>0</v>
      </c>
      <c r="AX29" s="13">
        <f>+AD_tis!$BD29*AD_tis!AX29*AD_tis!AX$47</f>
        <v>0</v>
      </c>
      <c r="AY29" s="4">
        <f>+AD_tis!$BD29*AD_tis!AY29*AD_tis!AY$47</f>
        <v>0</v>
      </c>
      <c r="AZ29" s="4">
        <f>+AD_tis!$BD29*AD_tis!AZ29*AD_tis!AZ$47</f>
        <v>0</v>
      </c>
      <c r="BA29" s="12">
        <f>+AD_tis!$BD29*AD_tis!BA29*AD_tis!BA$47</f>
        <v>0</v>
      </c>
      <c r="BB29" s="4">
        <f>+AD_tis!$BD29*AD_tis!BB29*AD_tis!BB$47</f>
        <v>0</v>
      </c>
      <c r="BC29" s="13">
        <f>+AD_tis!$BD29*AD_tis!BC29*AD_tis!BC$47</f>
        <v>0</v>
      </c>
    </row>
    <row r="30" spans="1:55" ht="18.75" customHeight="1" x14ac:dyDescent="0.25">
      <c r="A30" s="5" t="s">
        <v>81</v>
      </c>
      <c r="B30" s="12">
        <f>+AD_tis!$BD30*AD_tis!B30*AD_tis!B$47</f>
        <v>0</v>
      </c>
      <c r="C30" s="4">
        <f>+AD_tis!$BD30*AD_tis!C30*AD_tis!C$47</f>
        <v>0</v>
      </c>
      <c r="D30" s="4">
        <f>+AD_tis!$BD30*AD_tis!D30*AD_tis!D$47</f>
        <v>0</v>
      </c>
      <c r="E30" s="4">
        <f>+AD_tis!$BD30*AD_tis!E30*AD_tis!E$47</f>
        <v>0</v>
      </c>
      <c r="F30" s="4">
        <f>+AD_tis!$BD30*AD_tis!F30*AD_tis!F$47</f>
        <v>0</v>
      </c>
      <c r="G30" s="4">
        <f>+AD_tis!$BD30*AD_tis!G30*AD_tis!G$47</f>
        <v>0</v>
      </c>
      <c r="H30" s="4">
        <f>+AD_tis!$BD30*AD_tis!H30*AD_tis!H$47</f>
        <v>0</v>
      </c>
      <c r="I30" s="4">
        <f>+AD_tis!$BD30*AD_tis!I30*AD_tis!I$47</f>
        <v>0</v>
      </c>
      <c r="J30" s="4">
        <f>+AD_tis!$BD30*AD_tis!J30*AD_tis!J$47</f>
        <v>0</v>
      </c>
      <c r="K30" s="4">
        <f>+AD_tis!$BD30*AD_tis!K30*AD_tis!K$47</f>
        <v>0</v>
      </c>
      <c r="L30" s="4">
        <f>+AD_tis!$BD30*AD_tis!L30*AD_tis!L$47</f>
        <v>0</v>
      </c>
      <c r="M30" s="4">
        <f>+AD_tis!$BD30*AD_tis!M30*AD_tis!M$47</f>
        <v>0</v>
      </c>
      <c r="N30" s="4">
        <f>+AD_tis!$BD30*AD_tis!N30*AD_tis!N$47</f>
        <v>0</v>
      </c>
      <c r="O30" s="4">
        <f>+AD_tis!$BD30*AD_tis!O30*AD_tis!O$47</f>
        <v>0</v>
      </c>
      <c r="P30" s="4">
        <f>+AD_tis!$BD30*AD_tis!P30*AD_tis!P$47</f>
        <v>0</v>
      </c>
      <c r="Q30" s="4">
        <f>+AD_tis!$BD30*AD_tis!Q30*AD_tis!Q$47</f>
        <v>0</v>
      </c>
      <c r="R30" s="13">
        <f>+AD_tis!$BD30*AD_tis!R30*AD_tis!R$47</f>
        <v>0</v>
      </c>
      <c r="S30" s="4">
        <f>+AD_tis!$BD30*AD_tis!S30*AD_tis!S$47</f>
        <v>0</v>
      </c>
      <c r="T30" s="4">
        <f>+AD_tis!$BD30*AD_tis!T30*AD_tis!T$47</f>
        <v>0</v>
      </c>
      <c r="U30" s="4">
        <f>+AD_tis!$BD30*AD_tis!U30*AD_tis!U$47</f>
        <v>0</v>
      </c>
      <c r="V30" s="4">
        <f>+AD_tis!$BD30*AD_tis!V30*AD_tis!V$47</f>
        <v>0</v>
      </c>
      <c r="W30" s="4">
        <f>+AD_tis!$BD30*AD_tis!W30*AD_tis!W$47</f>
        <v>0</v>
      </c>
      <c r="X30" s="4">
        <f>+AD_tis!$BD30*AD_tis!X30*AD_tis!X$47</f>
        <v>0</v>
      </c>
      <c r="Y30" s="4">
        <f>+AD_tis!$BD30*AD_tis!Y30*AD_tis!Y$47</f>
        <v>0</v>
      </c>
      <c r="Z30" s="4">
        <f>+AD_tis!$BD30*AD_tis!Z30*AD_tis!Z$47</f>
        <v>0</v>
      </c>
      <c r="AA30" s="4">
        <f>+AD_tis!$BD30*AD_tis!AA30*AD_tis!AA$47</f>
        <v>0</v>
      </c>
      <c r="AB30" s="4">
        <f>+AD_tis!$BD30*AD_tis!AB30*AD_tis!AB$47</f>
        <v>0</v>
      </c>
      <c r="AC30" s="12">
        <f>+AD_tis!$BD30*AD_tis!AC30*AD_tis!AC$47</f>
        <v>0</v>
      </c>
      <c r="AD30" s="4">
        <f>+AD_tis!$BD30*AD_tis!AD30*AD_tis!AD$47</f>
        <v>0</v>
      </c>
      <c r="AE30" s="4">
        <f>+AD_tis!$BD30*AD_tis!AE30*AD_tis!AE$47</f>
        <v>0</v>
      </c>
      <c r="AF30" s="4">
        <f>+AD_tis!$BD30*AD_tis!AF30*AD_tis!AF$47</f>
        <v>0</v>
      </c>
      <c r="AG30" s="4">
        <f>+AD_tis!$BD30*AD_tis!AG30*AD_tis!AG$47</f>
        <v>0</v>
      </c>
      <c r="AH30" s="4">
        <f>+AD_tis!$BD30*AD_tis!AH30*AD_tis!AH$47</f>
        <v>0</v>
      </c>
      <c r="AI30" s="4">
        <f>+AD_tis!$BD30*AD_tis!AI30*AD_tis!AI$47</f>
        <v>0</v>
      </c>
      <c r="AJ30" s="4">
        <f>+AD_tis!$BD30*AD_tis!AJ30*AD_tis!AJ$47</f>
        <v>0</v>
      </c>
      <c r="AK30" s="4">
        <f>+AD_tis!$BD30*AD_tis!AK30*AD_tis!AK$47</f>
        <v>0</v>
      </c>
      <c r="AL30" s="4">
        <f>+AD_tis!$BD30*AD_tis!AL30*AD_tis!AL$47</f>
        <v>0</v>
      </c>
      <c r="AM30" s="13">
        <f>+AD_tis!$BD30*AD_tis!AM30*AD_tis!AM$47</f>
        <v>0</v>
      </c>
      <c r="AN30" s="4">
        <f>+AD_tis!$BD30*AD_tis!AN30*AD_tis!AN$47</f>
        <v>0</v>
      </c>
      <c r="AO30" s="4">
        <f>+AD_tis!$BD30*AD_tis!AO30*AD_tis!AO$47</f>
        <v>0</v>
      </c>
      <c r="AP30" s="4">
        <f>+AD_tis!$BD30*AD_tis!AP30*AD_tis!AP$47</f>
        <v>0</v>
      </c>
      <c r="AQ30" s="4">
        <f>+AD_tis!$BD30*AD_tis!AQ30*AD_tis!AQ$47</f>
        <v>0</v>
      </c>
      <c r="AR30" s="4">
        <f>+AD_tis!$BD30*AD_tis!AR30*AD_tis!AR$47</f>
        <v>0</v>
      </c>
      <c r="AS30" s="4">
        <f>+AD_tis!$BD30*AD_tis!AS30*AD_tis!AS$47</f>
        <v>0</v>
      </c>
      <c r="AT30" s="4">
        <f>+AD_tis!$BD30*AD_tis!AT30*AD_tis!AT$47</f>
        <v>0</v>
      </c>
      <c r="AU30" s="4">
        <f>+AD_tis!$BD30*AD_tis!AU30*AD_tis!AU$47</f>
        <v>0</v>
      </c>
      <c r="AV30" s="4">
        <f>+AD_tis!$BD30*AD_tis!AV30*AD_tis!AV$47</f>
        <v>0</v>
      </c>
      <c r="AW30" s="12">
        <f>+AD_tis!$BD30*AD_tis!AW30*AD_tis!AW$47</f>
        <v>0</v>
      </c>
      <c r="AX30" s="13">
        <f>+AD_tis!$BD30*AD_tis!AX30*AD_tis!AX$47</f>
        <v>0</v>
      </c>
      <c r="AY30" s="4">
        <f>+AD_tis!$BD30*AD_tis!AY30*AD_tis!AY$47</f>
        <v>0</v>
      </c>
      <c r="AZ30" s="4">
        <f>+AD_tis!$BD30*AD_tis!AZ30*AD_tis!AZ$47</f>
        <v>0</v>
      </c>
      <c r="BA30" s="12">
        <f>+AD_tis!$BD30*AD_tis!BA30*AD_tis!BA$47</f>
        <v>0</v>
      </c>
      <c r="BB30" s="4">
        <f>+AD_tis!$BD30*AD_tis!BB30*AD_tis!BB$47</f>
        <v>0</v>
      </c>
      <c r="BC30" s="13">
        <f>+AD_tis!$BD30*AD_tis!BC30*AD_tis!BC$47</f>
        <v>0</v>
      </c>
    </row>
    <row r="31" spans="1:55" ht="18.75" customHeight="1" x14ac:dyDescent="0.25">
      <c r="A31" s="5" t="s">
        <v>82</v>
      </c>
      <c r="B31" s="12">
        <f>+AD_tis!$BD31*AD_tis!B31*AD_tis!B$47</f>
        <v>0</v>
      </c>
      <c r="C31" s="4">
        <f>+AD_tis!$BD31*AD_tis!C31*AD_tis!C$47</f>
        <v>0</v>
      </c>
      <c r="D31" s="4">
        <f>+AD_tis!$BD31*AD_tis!D31*AD_tis!D$47</f>
        <v>0</v>
      </c>
      <c r="E31" s="4">
        <f>+AD_tis!$BD31*AD_tis!E31*AD_tis!E$47</f>
        <v>0</v>
      </c>
      <c r="F31" s="4">
        <f>+AD_tis!$BD31*AD_tis!F31*AD_tis!F$47</f>
        <v>0</v>
      </c>
      <c r="G31" s="4">
        <f>+AD_tis!$BD31*AD_tis!G31*AD_tis!G$47</f>
        <v>0</v>
      </c>
      <c r="H31" s="4">
        <f>+AD_tis!$BD31*AD_tis!H31*AD_tis!H$47</f>
        <v>0</v>
      </c>
      <c r="I31" s="4">
        <f>+AD_tis!$BD31*AD_tis!I31*AD_tis!I$47</f>
        <v>0</v>
      </c>
      <c r="J31" s="4">
        <f>+AD_tis!$BD31*AD_tis!J31*AD_tis!J$47</f>
        <v>0</v>
      </c>
      <c r="K31" s="4">
        <f>+AD_tis!$BD31*AD_tis!K31*AD_tis!K$47</f>
        <v>0</v>
      </c>
      <c r="L31" s="4">
        <f>+AD_tis!$BD31*AD_tis!L31*AD_tis!L$47</f>
        <v>0</v>
      </c>
      <c r="M31" s="4">
        <f>+AD_tis!$BD31*AD_tis!M31*AD_tis!M$47</f>
        <v>0</v>
      </c>
      <c r="N31" s="4">
        <f>+AD_tis!$BD31*AD_tis!N31*AD_tis!N$47</f>
        <v>0</v>
      </c>
      <c r="O31" s="4">
        <f>+AD_tis!$BD31*AD_tis!O31*AD_tis!O$47</f>
        <v>0</v>
      </c>
      <c r="P31" s="4">
        <f>+AD_tis!$BD31*AD_tis!P31*AD_tis!P$47</f>
        <v>0</v>
      </c>
      <c r="Q31" s="4">
        <f>+AD_tis!$BD31*AD_tis!Q31*AD_tis!Q$47</f>
        <v>0</v>
      </c>
      <c r="R31" s="13">
        <f>+AD_tis!$BD31*AD_tis!R31*AD_tis!R$47</f>
        <v>0</v>
      </c>
      <c r="S31" s="4">
        <f>+AD_tis!$BD31*AD_tis!S31*AD_tis!S$47</f>
        <v>0</v>
      </c>
      <c r="T31" s="4">
        <f>+AD_tis!$BD31*AD_tis!T31*AD_tis!T$47</f>
        <v>0</v>
      </c>
      <c r="U31" s="4">
        <f>+AD_tis!$BD31*AD_tis!U31*AD_tis!U$47</f>
        <v>0</v>
      </c>
      <c r="V31" s="4">
        <f>+AD_tis!$BD31*AD_tis!V31*AD_tis!V$47</f>
        <v>0</v>
      </c>
      <c r="W31" s="4">
        <f>+AD_tis!$BD31*AD_tis!W31*AD_tis!W$47</f>
        <v>0</v>
      </c>
      <c r="X31" s="4">
        <f>+AD_tis!$BD31*AD_tis!X31*AD_tis!X$47</f>
        <v>0</v>
      </c>
      <c r="Y31" s="4">
        <f>+AD_tis!$BD31*AD_tis!Y31*AD_tis!Y$47</f>
        <v>0</v>
      </c>
      <c r="Z31" s="4">
        <f>+AD_tis!$BD31*AD_tis!Z31*AD_tis!Z$47</f>
        <v>0</v>
      </c>
      <c r="AA31" s="4">
        <f>+AD_tis!$BD31*AD_tis!AA31*AD_tis!AA$47</f>
        <v>0</v>
      </c>
      <c r="AB31" s="4">
        <f>+AD_tis!$BD31*AD_tis!AB31*AD_tis!AB$47</f>
        <v>0</v>
      </c>
      <c r="AC31" s="12">
        <f>+AD_tis!$BD31*AD_tis!AC31*AD_tis!AC$47</f>
        <v>0</v>
      </c>
      <c r="AD31" s="4">
        <f>+AD_tis!$BD31*AD_tis!AD31*AD_tis!AD$47</f>
        <v>0</v>
      </c>
      <c r="AE31" s="4">
        <f>+AD_tis!$BD31*AD_tis!AE31*AD_tis!AE$47</f>
        <v>0</v>
      </c>
      <c r="AF31" s="4">
        <f>+AD_tis!$BD31*AD_tis!AF31*AD_tis!AF$47</f>
        <v>1</v>
      </c>
      <c r="AG31" s="4">
        <f>+AD_tis!$BD31*AD_tis!AG31*AD_tis!AG$47</f>
        <v>1</v>
      </c>
      <c r="AH31" s="4">
        <f>+AD_tis!$BD31*AD_tis!AH31*AD_tis!AH$47</f>
        <v>1</v>
      </c>
      <c r="AI31" s="4">
        <f>+AD_tis!$BD31*AD_tis!AI31*AD_tis!AI$47</f>
        <v>1</v>
      </c>
      <c r="AJ31" s="4">
        <f>+AD_tis!$BD31*AD_tis!AJ31*AD_tis!AJ$47</f>
        <v>1</v>
      </c>
      <c r="AK31" s="4">
        <f>+AD_tis!$BD31*AD_tis!AK31*AD_tis!AK$47</f>
        <v>1</v>
      </c>
      <c r="AL31" s="4">
        <f>+AD_tis!$BD31*AD_tis!AL31*AD_tis!AL$47</f>
        <v>0</v>
      </c>
      <c r="AM31" s="13">
        <f>+AD_tis!$BD31*AD_tis!AM31*AD_tis!AM$47</f>
        <v>0</v>
      </c>
      <c r="AN31" s="4">
        <f>+AD_tis!$BD31*AD_tis!AN31*AD_tis!AN$47</f>
        <v>0</v>
      </c>
      <c r="AO31" s="4">
        <f>+AD_tis!$BD31*AD_tis!AO31*AD_tis!AO$47</f>
        <v>0</v>
      </c>
      <c r="AP31" s="4">
        <f>+AD_tis!$BD31*AD_tis!AP31*AD_tis!AP$47</f>
        <v>0</v>
      </c>
      <c r="AQ31" s="4">
        <f>+AD_tis!$BD31*AD_tis!AQ31*AD_tis!AQ$47</f>
        <v>0</v>
      </c>
      <c r="AR31" s="4">
        <f>+AD_tis!$BD31*AD_tis!AR31*AD_tis!AR$47</f>
        <v>0</v>
      </c>
      <c r="AS31" s="4">
        <f>+AD_tis!$BD31*AD_tis!AS31*AD_tis!AS$47</f>
        <v>0</v>
      </c>
      <c r="AT31" s="4">
        <f>+AD_tis!$BD31*AD_tis!AT31*AD_tis!AT$47</f>
        <v>0</v>
      </c>
      <c r="AU31" s="4">
        <f>+AD_tis!$BD31*AD_tis!AU31*AD_tis!AU$47</f>
        <v>0</v>
      </c>
      <c r="AV31" s="4">
        <f>+AD_tis!$BD31*AD_tis!AV31*AD_tis!AV$47</f>
        <v>0</v>
      </c>
      <c r="AW31" s="12">
        <f>+AD_tis!$BD31*AD_tis!AW31*AD_tis!AW$47</f>
        <v>0</v>
      </c>
      <c r="AX31" s="13">
        <f>+AD_tis!$BD31*AD_tis!AX31*AD_tis!AX$47</f>
        <v>0</v>
      </c>
      <c r="AY31" s="4">
        <f>+AD_tis!$BD31*AD_tis!AY31*AD_tis!AY$47</f>
        <v>0</v>
      </c>
      <c r="AZ31" s="4">
        <f>+AD_tis!$BD31*AD_tis!AZ31*AD_tis!AZ$47</f>
        <v>0</v>
      </c>
      <c r="BA31" s="12">
        <f>+AD_tis!$BD31*AD_tis!BA31*AD_tis!BA$47</f>
        <v>0</v>
      </c>
      <c r="BB31" s="4">
        <f>+AD_tis!$BD31*AD_tis!BB31*AD_tis!BB$47</f>
        <v>0</v>
      </c>
      <c r="BC31" s="13">
        <f>+AD_tis!$BD31*AD_tis!BC31*AD_tis!BC$47</f>
        <v>0</v>
      </c>
    </row>
    <row r="32" spans="1:55" ht="18.75" customHeight="1" x14ac:dyDescent="0.25">
      <c r="A32" s="5" t="s">
        <v>83</v>
      </c>
      <c r="B32" s="12">
        <f>+AD_tis!$BD32*AD_tis!B32*AD_tis!B$47</f>
        <v>0</v>
      </c>
      <c r="C32" s="4">
        <f>+AD_tis!$BD32*AD_tis!C32*AD_tis!C$47</f>
        <v>0</v>
      </c>
      <c r="D32" s="4">
        <f>+AD_tis!$BD32*AD_tis!D32*AD_tis!D$47</f>
        <v>0</v>
      </c>
      <c r="E32" s="4">
        <f>+AD_tis!$BD32*AD_tis!E32*AD_tis!E$47</f>
        <v>0</v>
      </c>
      <c r="F32" s="4">
        <f>+AD_tis!$BD32*AD_tis!F32*AD_tis!F$47</f>
        <v>0</v>
      </c>
      <c r="G32" s="4">
        <f>+AD_tis!$BD32*AD_tis!G32*AD_tis!G$47</f>
        <v>0</v>
      </c>
      <c r="H32" s="4">
        <f>+AD_tis!$BD32*AD_tis!H32*AD_tis!H$47</f>
        <v>0</v>
      </c>
      <c r="I32" s="4">
        <f>+AD_tis!$BD32*AD_tis!I32*AD_tis!I$47</f>
        <v>0</v>
      </c>
      <c r="J32" s="4">
        <f>+AD_tis!$BD32*AD_tis!J32*AD_tis!J$47</f>
        <v>0</v>
      </c>
      <c r="K32" s="4">
        <f>+AD_tis!$BD32*AD_tis!K32*AD_tis!K$47</f>
        <v>0</v>
      </c>
      <c r="L32" s="4">
        <f>+AD_tis!$BD32*AD_tis!L32*AD_tis!L$47</f>
        <v>0</v>
      </c>
      <c r="M32" s="4">
        <f>+AD_tis!$BD32*AD_tis!M32*AD_tis!M$47</f>
        <v>0</v>
      </c>
      <c r="N32" s="4">
        <f>+AD_tis!$BD32*AD_tis!N32*AD_tis!N$47</f>
        <v>0</v>
      </c>
      <c r="O32" s="4">
        <f>+AD_tis!$BD32*AD_tis!O32*AD_tis!O$47</f>
        <v>0</v>
      </c>
      <c r="P32" s="4">
        <f>+AD_tis!$BD32*AD_tis!P32*AD_tis!P$47</f>
        <v>0</v>
      </c>
      <c r="Q32" s="4">
        <f>+AD_tis!$BD32*AD_tis!Q32*AD_tis!Q$47</f>
        <v>0</v>
      </c>
      <c r="R32" s="13">
        <f>+AD_tis!$BD32*AD_tis!R32*AD_tis!R$47</f>
        <v>0</v>
      </c>
      <c r="S32" s="4">
        <f>+AD_tis!$BD32*AD_tis!S32*AD_tis!S$47</f>
        <v>0</v>
      </c>
      <c r="T32" s="4">
        <f>+AD_tis!$BD32*AD_tis!T32*AD_tis!T$47</f>
        <v>0</v>
      </c>
      <c r="U32" s="4">
        <f>+AD_tis!$BD32*AD_tis!U32*AD_tis!U$47</f>
        <v>0</v>
      </c>
      <c r="V32" s="4">
        <f>+AD_tis!$BD32*AD_tis!V32*AD_tis!V$47</f>
        <v>0</v>
      </c>
      <c r="W32" s="4">
        <f>+AD_tis!$BD32*AD_tis!W32*AD_tis!W$47</f>
        <v>0</v>
      </c>
      <c r="X32" s="4">
        <f>+AD_tis!$BD32*AD_tis!X32*AD_tis!X$47</f>
        <v>0</v>
      </c>
      <c r="Y32" s="4">
        <f>+AD_tis!$BD32*AD_tis!Y32*AD_tis!Y$47</f>
        <v>0</v>
      </c>
      <c r="Z32" s="4">
        <f>+AD_tis!$BD32*AD_tis!Z32*AD_tis!Z$47</f>
        <v>0</v>
      </c>
      <c r="AA32" s="4">
        <f>+AD_tis!$BD32*AD_tis!AA32*AD_tis!AA$47</f>
        <v>0</v>
      </c>
      <c r="AB32" s="4">
        <f>+AD_tis!$BD32*AD_tis!AB32*AD_tis!AB$47</f>
        <v>0</v>
      </c>
      <c r="AC32" s="12">
        <f>+AD_tis!$BD32*AD_tis!AC32*AD_tis!AC$47</f>
        <v>1</v>
      </c>
      <c r="AD32" s="4">
        <f>+AD_tis!$BD32*AD_tis!AD32*AD_tis!AD$47</f>
        <v>0</v>
      </c>
      <c r="AE32" s="4">
        <f>+AD_tis!$BD32*AD_tis!AE32*AD_tis!AE$47</f>
        <v>1</v>
      </c>
      <c r="AF32" s="4">
        <f>+AD_tis!$BD32*AD_tis!AF32*AD_tis!AF$47</f>
        <v>1</v>
      </c>
      <c r="AG32" s="4">
        <f>+AD_tis!$BD32*AD_tis!AG32*AD_tis!AG$47</f>
        <v>1</v>
      </c>
      <c r="AH32" s="4">
        <f>+AD_tis!$BD32*AD_tis!AH32*AD_tis!AH$47</f>
        <v>1</v>
      </c>
      <c r="AI32" s="4">
        <f>+AD_tis!$BD32*AD_tis!AI32*AD_tis!AI$47</f>
        <v>1</v>
      </c>
      <c r="AJ32" s="4">
        <f>+AD_tis!$BD32*AD_tis!AJ32*AD_tis!AJ$47</f>
        <v>1</v>
      </c>
      <c r="AK32" s="4">
        <f>+AD_tis!$BD32*AD_tis!AK32*AD_tis!AK$47</f>
        <v>1</v>
      </c>
      <c r="AL32" s="4">
        <f>+AD_tis!$BD32*AD_tis!AL32*AD_tis!AL$47</f>
        <v>0</v>
      </c>
      <c r="AM32" s="13">
        <f>+AD_tis!$BD32*AD_tis!AM32*AD_tis!AM$47</f>
        <v>0</v>
      </c>
      <c r="AN32" s="4">
        <f>+AD_tis!$BD32*AD_tis!AN32*AD_tis!AN$47</f>
        <v>0</v>
      </c>
      <c r="AO32" s="4">
        <f>+AD_tis!$BD32*AD_tis!AO32*AD_tis!AO$47</f>
        <v>0</v>
      </c>
      <c r="AP32" s="4">
        <f>+AD_tis!$BD32*AD_tis!AP32*AD_tis!AP$47</f>
        <v>0</v>
      </c>
      <c r="AQ32" s="4">
        <f>+AD_tis!$BD32*AD_tis!AQ32*AD_tis!AQ$47</f>
        <v>0</v>
      </c>
      <c r="AR32" s="4">
        <f>+AD_tis!$BD32*AD_tis!AR32*AD_tis!AR$47</f>
        <v>0</v>
      </c>
      <c r="AS32" s="4">
        <f>+AD_tis!$BD32*AD_tis!AS32*AD_tis!AS$47</f>
        <v>0</v>
      </c>
      <c r="AT32" s="4">
        <f>+AD_tis!$BD32*AD_tis!AT32*AD_tis!AT$47</f>
        <v>0</v>
      </c>
      <c r="AU32" s="4">
        <f>+AD_tis!$BD32*AD_tis!AU32*AD_tis!AU$47</f>
        <v>0</v>
      </c>
      <c r="AV32" s="4">
        <f>+AD_tis!$BD32*AD_tis!AV32*AD_tis!AV$47</f>
        <v>0</v>
      </c>
      <c r="AW32" s="12">
        <f>+AD_tis!$BD32*AD_tis!AW32*AD_tis!AW$47</f>
        <v>0</v>
      </c>
      <c r="AX32" s="13">
        <f>+AD_tis!$BD32*AD_tis!AX32*AD_tis!AX$47</f>
        <v>0</v>
      </c>
      <c r="AY32" s="4">
        <f>+AD_tis!$BD32*AD_tis!AY32*AD_tis!AY$47</f>
        <v>0</v>
      </c>
      <c r="AZ32" s="4">
        <f>+AD_tis!$BD32*AD_tis!AZ32*AD_tis!AZ$47</f>
        <v>0</v>
      </c>
      <c r="BA32" s="12">
        <f>+AD_tis!$BD32*AD_tis!BA32*AD_tis!BA$47</f>
        <v>0</v>
      </c>
      <c r="BB32" s="4">
        <f>+AD_tis!$BD32*AD_tis!BB32*AD_tis!BB$47</f>
        <v>0</v>
      </c>
      <c r="BC32" s="13">
        <f>+AD_tis!$BD32*AD_tis!BC32*AD_tis!BC$47</f>
        <v>0</v>
      </c>
    </row>
    <row r="33" spans="1:55" ht="18.75" customHeight="1" x14ac:dyDescent="0.25">
      <c r="A33" s="5" t="s">
        <v>84</v>
      </c>
      <c r="B33" s="12">
        <f>+AD_tis!$BD33*AD_tis!B33*AD_tis!B$47</f>
        <v>0</v>
      </c>
      <c r="C33" s="4">
        <f>+AD_tis!$BD33*AD_tis!C33*AD_tis!C$47</f>
        <v>0</v>
      </c>
      <c r="D33" s="4">
        <f>+AD_tis!$BD33*AD_tis!D33*AD_tis!D$47</f>
        <v>0</v>
      </c>
      <c r="E33" s="4">
        <f>+AD_tis!$BD33*AD_tis!E33*AD_tis!E$47</f>
        <v>0</v>
      </c>
      <c r="F33" s="4">
        <f>+AD_tis!$BD33*AD_tis!F33*AD_tis!F$47</f>
        <v>0</v>
      </c>
      <c r="G33" s="4">
        <f>+AD_tis!$BD33*AD_tis!G33*AD_tis!G$47</f>
        <v>0</v>
      </c>
      <c r="H33" s="4">
        <f>+AD_tis!$BD33*AD_tis!H33*AD_tis!H$47</f>
        <v>0</v>
      </c>
      <c r="I33" s="4">
        <f>+AD_tis!$BD33*AD_tis!I33*AD_tis!I$47</f>
        <v>0</v>
      </c>
      <c r="J33" s="4">
        <f>+AD_tis!$BD33*AD_tis!J33*AD_tis!J$47</f>
        <v>0</v>
      </c>
      <c r="K33" s="4">
        <f>+AD_tis!$BD33*AD_tis!K33*AD_tis!K$47</f>
        <v>0</v>
      </c>
      <c r="L33" s="4">
        <f>+AD_tis!$BD33*AD_tis!L33*AD_tis!L$47</f>
        <v>0</v>
      </c>
      <c r="M33" s="4">
        <f>+AD_tis!$BD33*AD_tis!M33*AD_tis!M$47</f>
        <v>0</v>
      </c>
      <c r="N33" s="4">
        <f>+AD_tis!$BD33*AD_tis!N33*AD_tis!N$47</f>
        <v>0</v>
      </c>
      <c r="O33" s="4">
        <f>+AD_tis!$BD33*AD_tis!O33*AD_tis!O$47</f>
        <v>0</v>
      </c>
      <c r="P33" s="4">
        <f>+AD_tis!$BD33*AD_tis!P33*AD_tis!P$47</f>
        <v>0</v>
      </c>
      <c r="Q33" s="4">
        <f>+AD_tis!$BD33*AD_tis!Q33*AD_tis!Q$47</f>
        <v>0</v>
      </c>
      <c r="R33" s="13">
        <f>+AD_tis!$BD33*AD_tis!R33*AD_tis!R$47</f>
        <v>0</v>
      </c>
      <c r="S33" s="4">
        <f>+AD_tis!$BD33*AD_tis!S33*AD_tis!S$47</f>
        <v>0</v>
      </c>
      <c r="T33" s="4">
        <f>+AD_tis!$BD33*AD_tis!T33*AD_tis!T$47</f>
        <v>0</v>
      </c>
      <c r="U33" s="4">
        <f>+AD_tis!$BD33*AD_tis!U33*AD_tis!U$47</f>
        <v>0</v>
      </c>
      <c r="V33" s="4">
        <f>+AD_tis!$BD33*AD_tis!V33*AD_tis!V$47</f>
        <v>0</v>
      </c>
      <c r="W33" s="4">
        <f>+AD_tis!$BD33*AD_tis!W33*AD_tis!W$47</f>
        <v>0</v>
      </c>
      <c r="X33" s="4">
        <f>+AD_tis!$BD33*AD_tis!X33*AD_tis!X$47</f>
        <v>0</v>
      </c>
      <c r="Y33" s="4">
        <f>+AD_tis!$BD33*AD_tis!Y33*AD_tis!Y$47</f>
        <v>0</v>
      </c>
      <c r="Z33" s="4">
        <f>+AD_tis!$BD33*AD_tis!Z33*AD_tis!Z$47</f>
        <v>0</v>
      </c>
      <c r="AA33" s="4">
        <f>+AD_tis!$BD33*AD_tis!AA33*AD_tis!AA$47</f>
        <v>0</v>
      </c>
      <c r="AB33" s="4">
        <f>+AD_tis!$BD33*AD_tis!AB33*AD_tis!AB$47</f>
        <v>0</v>
      </c>
      <c r="AC33" s="12">
        <f>+AD_tis!$BD33*AD_tis!AC33*AD_tis!AC$47</f>
        <v>1</v>
      </c>
      <c r="AD33" s="4">
        <f>+AD_tis!$BD33*AD_tis!AD33*AD_tis!AD$47</f>
        <v>0</v>
      </c>
      <c r="AE33" s="4">
        <f>+AD_tis!$BD33*AD_tis!AE33*AD_tis!AE$47</f>
        <v>0</v>
      </c>
      <c r="AF33" s="4">
        <f>+AD_tis!$BD33*AD_tis!AF33*AD_tis!AF$47</f>
        <v>1</v>
      </c>
      <c r="AG33" s="4">
        <f>+AD_tis!$BD33*AD_tis!AG33*AD_tis!AG$47</f>
        <v>1</v>
      </c>
      <c r="AH33" s="4">
        <f>+AD_tis!$BD33*AD_tis!AH33*AD_tis!AH$47</f>
        <v>1</v>
      </c>
      <c r="AI33" s="4">
        <f>+AD_tis!$BD33*AD_tis!AI33*AD_tis!AI$47</f>
        <v>1</v>
      </c>
      <c r="AJ33" s="4">
        <f>+AD_tis!$BD33*AD_tis!AJ33*AD_tis!AJ$47</f>
        <v>1</v>
      </c>
      <c r="AK33" s="4">
        <f>+AD_tis!$BD33*AD_tis!AK33*AD_tis!AK$47</f>
        <v>1</v>
      </c>
      <c r="AL33" s="4">
        <f>+AD_tis!$BD33*AD_tis!AL33*AD_tis!AL$47</f>
        <v>0</v>
      </c>
      <c r="AM33" s="13">
        <f>+AD_tis!$BD33*AD_tis!AM33*AD_tis!AM$47</f>
        <v>0</v>
      </c>
      <c r="AN33" s="4">
        <f>+AD_tis!$BD33*AD_tis!AN33*AD_tis!AN$47</f>
        <v>0</v>
      </c>
      <c r="AO33" s="4">
        <f>+AD_tis!$BD33*AD_tis!AO33*AD_tis!AO$47</f>
        <v>0</v>
      </c>
      <c r="AP33" s="4">
        <f>+AD_tis!$BD33*AD_tis!AP33*AD_tis!AP$47</f>
        <v>0</v>
      </c>
      <c r="AQ33" s="4">
        <f>+AD_tis!$BD33*AD_tis!AQ33*AD_tis!AQ$47</f>
        <v>0</v>
      </c>
      <c r="AR33" s="4">
        <f>+AD_tis!$BD33*AD_tis!AR33*AD_tis!AR$47</f>
        <v>0</v>
      </c>
      <c r="AS33" s="4">
        <f>+AD_tis!$BD33*AD_tis!AS33*AD_tis!AS$47</f>
        <v>0</v>
      </c>
      <c r="AT33" s="4">
        <f>+AD_tis!$BD33*AD_tis!AT33*AD_tis!AT$47</f>
        <v>0</v>
      </c>
      <c r="AU33" s="4">
        <f>+AD_tis!$BD33*AD_tis!AU33*AD_tis!AU$47</f>
        <v>0</v>
      </c>
      <c r="AV33" s="4">
        <f>+AD_tis!$BD33*AD_tis!AV33*AD_tis!AV$47</f>
        <v>0</v>
      </c>
      <c r="AW33" s="12">
        <f>+AD_tis!$BD33*AD_tis!AW33*AD_tis!AW$47</f>
        <v>0</v>
      </c>
      <c r="AX33" s="13">
        <f>+AD_tis!$BD33*AD_tis!AX33*AD_tis!AX$47</f>
        <v>0</v>
      </c>
      <c r="AY33" s="4">
        <f>+AD_tis!$BD33*AD_tis!AY33*AD_tis!AY$47</f>
        <v>0</v>
      </c>
      <c r="AZ33" s="4">
        <f>+AD_tis!$BD33*AD_tis!AZ33*AD_tis!AZ$47</f>
        <v>0</v>
      </c>
      <c r="BA33" s="12">
        <f>+AD_tis!$BD33*AD_tis!BA33*AD_tis!BA$47</f>
        <v>0</v>
      </c>
      <c r="BB33" s="4">
        <f>+AD_tis!$BD33*AD_tis!BB33*AD_tis!BB$47</f>
        <v>0</v>
      </c>
      <c r="BC33" s="13">
        <f>+AD_tis!$BD33*AD_tis!BC33*AD_tis!BC$47</f>
        <v>0</v>
      </c>
    </row>
    <row r="34" spans="1:55" ht="18.75" customHeight="1" x14ac:dyDescent="0.25">
      <c r="A34" s="5" t="s">
        <v>85</v>
      </c>
      <c r="B34" s="12">
        <f>+AD_tis!$BD34*AD_tis!B34*AD_tis!B$47</f>
        <v>0</v>
      </c>
      <c r="C34" s="4">
        <f>+AD_tis!$BD34*AD_tis!C34*AD_tis!C$47</f>
        <v>0</v>
      </c>
      <c r="D34" s="4">
        <f>+AD_tis!$BD34*AD_tis!D34*AD_tis!D$47</f>
        <v>0</v>
      </c>
      <c r="E34" s="4">
        <f>+AD_tis!$BD34*AD_tis!E34*AD_tis!E$47</f>
        <v>0</v>
      </c>
      <c r="F34" s="4">
        <f>+AD_tis!$BD34*AD_tis!F34*AD_tis!F$47</f>
        <v>0</v>
      </c>
      <c r="G34" s="4">
        <f>+AD_tis!$BD34*AD_tis!G34*AD_tis!G$47</f>
        <v>0</v>
      </c>
      <c r="H34" s="4">
        <f>+AD_tis!$BD34*AD_tis!H34*AD_tis!H$47</f>
        <v>0</v>
      </c>
      <c r="I34" s="4">
        <f>+AD_tis!$BD34*AD_tis!I34*AD_tis!I$47</f>
        <v>0</v>
      </c>
      <c r="J34" s="4">
        <f>+AD_tis!$BD34*AD_tis!J34*AD_tis!J$47</f>
        <v>0</v>
      </c>
      <c r="K34" s="4">
        <f>+AD_tis!$BD34*AD_tis!K34*AD_tis!K$47</f>
        <v>0</v>
      </c>
      <c r="L34" s="4">
        <f>+AD_tis!$BD34*AD_tis!L34*AD_tis!L$47</f>
        <v>0</v>
      </c>
      <c r="M34" s="4">
        <f>+AD_tis!$BD34*AD_tis!M34*AD_tis!M$47</f>
        <v>0</v>
      </c>
      <c r="N34" s="4">
        <f>+AD_tis!$BD34*AD_tis!N34*AD_tis!N$47</f>
        <v>0</v>
      </c>
      <c r="O34" s="4">
        <f>+AD_tis!$BD34*AD_tis!O34*AD_tis!O$47</f>
        <v>0</v>
      </c>
      <c r="P34" s="4">
        <f>+AD_tis!$BD34*AD_tis!P34*AD_tis!P$47</f>
        <v>0</v>
      </c>
      <c r="Q34" s="4">
        <f>+AD_tis!$BD34*AD_tis!Q34*AD_tis!Q$47</f>
        <v>0</v>
      </c>
      <c r="R34" s="13">
        <f>+AD_tis!$BD34*AD_tis!R34*AD_tis!R$47</f>
        <v>0</v>
      </c>
      <c r="S34" s="4">
        <f>+AD_tis!$BD34*AD_tis!S34*AD_tis!S$47</f>
        <v>0</v>
      </c>
      <c r="T34" s="4">
        <f>+AD_tis!$BD34*AD_tis!T34*AD_tis!T$47</f>
        <v>0</v>
      </c>
      <c r="U34" s="4">
        <f>+AD_tis!$BD34*AD_tis!U34*AD_tis!U$47</f>
        <v>1</v>
      </c>
      <c r="V34" s="4">
        <f>+AD_tis!$BD34*AD_tis!V34*AD_tis!V$47</f>
        <v>0</v>
      </c>
      <c r="W34" s="4">
        <f>+AD_tis!$BD34*AD_tis!W34*AD_tis!W$47</f>
        <v>0</v>
      </c>
      <c r="X34" s="4">
        <f>+AD_tis!$BD34*AD_tis!X34*AD_tis!X$47</f>
        <v>0</v>
      </c>
      <c r="Y34" s="4">
        <f>+AD_tis!$BD34*AD_tis!Y34*AD_tis!Y$47</f>
        <v>0</v>
      </c>
      <c r="Z34" s="4">
        <f>+AD_tis!$BD34*AD_tis!Z34*AD_tis!Z$47</f>
        <v>1</v>
      </c>
      <c r="AA34" s="4">
        <f>+AD_tis!$BD34*AD_tis!AA34*AD_tis!AA$47</f>
        <v>1</v>
      </c>
      <c r="AB34" s="4">
        <f>+AD_tis!$BD34*AD_tis!AB34*AD_tis!AB$47</f>
        <v>0</v>
      </c>
      <c r="AC34" s="12">
        <f>+AD_tis!$BD34*AD_tis!AC34*AD_tis!AC$47</f>
        <v>1</v>
      </c>
      <c r="AD34" s="4">
        <f>+AD_tis!$BD34*AD_tis!AD34*AD_tis!AD$47</f>
        <v>0</v>
      </c>
      <c r="AE34" s="4">
        <f>+AD_tis!$BD34*AD_tis!AE34*AD_tis!AE$47</f>
        <v>1</v>
      </c>
      <c r="AF34" s="4">
        <f>+AD_tis!$BD34*AD_tis!AF34*AD_tis!AF$47</f>
        <v>1</v>
      </c>
      <c r="AG34" s="4">
        <f>+AD_tis!$BD34*AD_tis!AG34*AD_tis!AG$47</f>
        <v>1</v>
      </c>
      <c r="AH34" s="4">
        <f>+AD_tis!$BD34*AD_tis!AH34*AD_tis!AH$47</f>
        <v>1</v>
      </c>
      <c r="AI34" s="4">
        <f>+AD_tis!$BD34*AD_tis!AI34*AD_tis!AI$47</f>
        <v>1</v>
      </c>
      <c r="AJ34" s="4">
        <f>+AD_tis!$BD34*AD_tis!AJ34*AD_tis!AJ$47</f>
        <v>0</v>
      </c>
      <c r="AK34" s="4">
        <f>+AD_tis!$BD34*AD_tis!AK34*AD_tis!AK$47</f>
        <v>1</v>
      </c>
      <c r="AL34" s="4">
        <f>+AD_tis!$BD34*AD_tis!AL34*AD_tis!AL$47</f>
        <v>0</v>
      </c>
      <c r="AM34" s="13">
        <f>+AD_tis!$BD34*AD_tis!AM34*AD_tis!AM$47</f>
        <v>0</v>
      </c>
      <c r="AN34" s="4">
        <f>+AD_tis!$BD34*AD_tis!AN34*AD_tis!AN$47</f>
        <v>0</v>
      </c>
      <c r="AO34" s="4">
        <f>+AD_tis!$BD34*AD_tis!AO34*AD_tis!AO$47</f>
        <v>0</v>
      </c>
      <c r="AP34" s="4">
        <f>+AD_tis!$BD34*AD_tis!AP34*AD_tis!AP$47</f>
        <v>0</v>
      </c>
      <c r="AQ34" s="4">
        <f>+AD_tis!$BD34*AD_tis!AQ34*AD_tis!AQ$47</f>
        <v>0</v>
      </c>
      <c r="AR34" s="4">
        <f>+AD_tis!$BD34*AD_tis!AR34*AD_tis!AR$47</f>
        <v>0</v>
      </c>
      <c r="AS34" s="4">
        <f>+AD_tis!$BD34*AD_tis!AS34*AD_tis!AS$47</f>
        <v>0</v>
      </c>
      <c r="AT34" s="4">
        <f>+AD_tis!$BD34*AD_tis!AT34*AD_tis!AT$47</f>
        <v>0</v>
      </c>
      <c r="AU34" s="4">
        <f>+AD_tis!$BD34*AD_tis!AU34*AD_tis!AU$47</f>
        <v>0</v>
      </c>
      <c r="AV34" s="4">
        <f>+AD_tis!$BD34*AD_tis!AV34*AD_tis!AV$47</f>
        <v>0</v>
      </c>
      <c r="AW34" s="12">
        <f>+AD_tis!$BD34*AD_tis!AW34*AD_tis!AW$47</f>
        <v>0</v>
      </c>
      <c r="AX34" s="13">
        <f>+AD_tis!$BD34*AD_tis!AX34*AD_tis!AX$47</f>
        <v>0</v>
      </c>
      <c r="AY34" s="4">
        <f>+AD_tis!$BD34*AD_tis!AY34*AD_tis!AY$47</f>
        <v>0</v>
      </c>
      <c r="AZ34" s="4">
        <f>+AD_tis!$BD34*AD_tis!AZ34*AD_tis!AZ$47</f>
        <v>0</v>
      </c>
      <c r="BA34" s="12">
        <f>+AD_tis!$BD34*AD_tis!BA34*AD_tis!BA$47</f>
        <v>0</v>
      </c>
      <c r="BB34" s="4">
        <f>+AD_tis!$BD34*AD_tis!BB34*AD_tis!BB$47</f>
        <v>0</v>
      </c>
      <c r="BC34" s="13">
        <f>+AD_tis!$BD34*AD_tis!BC34*AD_tis!BC$47</f>
        <v>0</v>
      </c>
    </row>
    <row r="35" spans="1:55" ht="18.75" customHeight="1" x14ac:dyDescent="0.25">
      <c r="A35" s="5" t="s">
        <v>86</v>
      </c>
      <c r="B35" s="12">
        <f>+AD_tis!$BD35*AD_tis!B35*AD_tis!B$47</f>
        <v>0</v>
      </c>
      <c r="C35" s="4">
        <f>+AD_tis!$BD35*AD_tis!C35*AD_tis!C$47</f>
        <v>0</v>
      </c>
      <c r="D35" s="4">
        <f>+AD_tis!$BD35*AD_tis!D35*AD_tis!D$47</f>
        <v>0</v>
      </c>
      <c r="E35" s="4">
        <f>+AD_tis!$BD35*AD_tis!E35*AD_tis!E$47</f>
        <v>0</v>
      </c>
      <c r="F35" s="4">
        <f>+AD_tis!$BD35*AD_tis!F35*AD_tis!F$47</f>
        <v>0</v>
      </c>
      <c r="G35" s="4">
        <f>+AD_tis!$BD35*AD_tis!G35*AD_tis!G$47</f>
        <v>0</v>
      </c>
      <c r="H35" s="4">
        <f>+AD_tis!$BD35*AD_tis!H35*AD_tis!H$47</f>
        <v>0</v>
      </c>
      <c r="I35" s="4">
        <f>+AD_tis!$BD35*AD_tis!I35*AD_tis!I$47</f>
        <v>0</v>
      </c>
      <c r="J35" s="4">
        <f>+AD_tis!$BD35*AD_tis!J35*AD_tis!J$47</f>
        <v>0</v>
      </c>
      <c r="K35" s="4">
        <f>+AD_tis!$BD35*AD_tis!K35*AD_tis!K$47</f>
        <v>0</v>
      </c>
      <c r="L35" s="4">
        <f>+AD_tis!$BD35*AD_tis!L35*AD_tis!L$47</f>
        <v>0</v>
      </c>
      <c r="M35" s="4">
        <f>+AD_tis!$BD35*AD_tis!M35*AD_tis!M$47</f>
        <v>0</v>
      </c>
      <c r="N35" s="4">
        <f>+AD_tis!$BD35*AD_tis!N35*AD_tis!N$47</f>
        <v>0</v>
      </c>
      <c r="O35" s="4">
        <f>+AD_tis!$BD35*AD_tis!O35*AD_tis!O$47</f>
        <v>0</v>
      </c>
      <c r="P35" s="4">
        <f>+AD_tis!$BD35*AD_tis!P35*AD_tis!P$47</f>
        <v>0</v>
      </c>
      <c r="Q35" s="4">
        <f>+AD_tis!$BD35*AD_tis!Q35*AD_tis!Q$47</f>
        <v>0</v>
      </c>
      <c r="R35" s="13">
        <f>+AD_tis!$BD35*AD_tis!R35*AD_tis!R$47</f>
        <v>0</v>
      </c>
      <c r="S35" s="4">
        <f>+AD_tis!$BD35*AD_tis!S35*AD_tis!S$47</f>
        <v>0</v>
      </c>
      <c r="T35" s="4">
        <f>+AD_tis!$BD35*AD_tis!T35*AD_tis!T$47</f>
        <v>0</v>
      </c>
      <c r="U35" s="4">
        <f>+AD_tis!$BD35*AD_tis!U35*AD_tis!U$47</f>
        <v>0</v>
      </c>
      <c r="V35" s="4">
        <f>+AD_tis!$BD35*AD_tis!V35*AD_tis!V$47</f>
        <v>0</v>
      </c>
      <c r="W35" s="4">
        <f>+AD_tis!$BD35*AD_tis!W35*AD_tis!W$47</f>
        <v>0</v>
      </c>
      <c r="X35" s="4">
        <f>+AD_tis!$BD35*AD_tis!X35*AD_tis!X$47</f>
        <v>0</v>
      </c>
      <c r="Y35" s="4">
        <f>+AD_tis!$BD35*AD_tis!Y35*AD_tis!Y$47</f>
        <v>0</v>
      </c>
      <c r="Z35" s="4">
        <f>+AD_tis!$BD35*AD_tis!Z35*AD_tis!Z$47</f>
        <v>0</v>
      </c>
      <c r="AA35" s="4">
        <f>+AD_tis!$BD35*AD_tis!AA35*AD_tis!AA$47</f>
        <v>1</v>
      </c>
      <c r="AB35" s="4">
        <f>+AD_tis!$BD35*AD_tis!AB35*AD_tis!AB$47</f>
        <v>0</v>
      </c>
      <c r="AC35" s="12">
        <f>+AD_tis!$BD35*AD_tis!AC35*AD_tis!AC$47</f>
        <v>0</v>
      </c>
      <c r="AD35" s="4">
        <f>+AD_tis!$BD35*AD_tis!AD35*AD_tis!AD$47</f>
        <v>0</v>
      </c>
      <c r="AE35" s="4">
        <f>+AD_tis!$BD35*AD_tis!AE35*AD_tis!AE$47</f>
        <v>0</v>
      </c>
      <c r="AF35" s="4">
        <f>+AD_tis!$BD35*AD_tis!AF35*AD_tis!AF$47</f>
        <v>0</v>
      </c>
      <c r="AG35" s="4">
        <f>+AD_tis!$BD35*AD_tis!AG35*AD_tis!AG$47</f>
        <v>1</v>
      </c>
      <c r="AH35" s="4">
        <f>+AD_tis!$BD35*AD_tis!AH35*AD_tis!AH$47</f>
        <v>0</v>
      </c>
      <c r="AI35" s="4">
        <f>+AD_tis!$BD35*AD_tis!AI35*AD_tis!AI$47</f>
        <v>0</v>
      </c>
      <c r="AJ35" s="4">
        <f>+AD_tis!$BD35*AD_tis!AJ35*AD_tis!AJ$47</f>
        <v>0</v>
      </c>
      <c r="AK35" s="4">
        <f>+AD_tis!$BD35*AD_tis!AK35*AD_tis!AK$47</f>
        <v>0</v>
      </c>
      <c r="AL35" s="4">
        <f>+AD_tis!$BD35*AD_tis!AL35*AD_tis!AL$47</f>
        <v>0</v>
      </c>
      <c r="AM35" s="13">
        <f>+AD_tis!$BD35*AD_tis!AM35*AD_tis!AM$47</f>
        <v>0</v>
      </c>
      <c r="AN35" s="4">
        <f>+AD_tis!$BD35*AD_tis!AN35*AD_tis!AN$47</f>
        <v>0</v>
      </c>
      <c r="AO35" s="4">
        <f>+AD_tis!$BD35*AD_tis!AO35*AD_tis!AO$47</f>
        <v>0</v>
      </c>
      <c r="AP35" s="4">
        <f>+AD_tis!$BD35*AD_tis!AP35*AD_tis!AP$47</f>
        <v>0</v>
      </c>
      <c r="AQ35" s="4">
        <f>+AD_tis!$BD35*AD_tis!AQ35*AD_tis!AQ$47</f>
        <v>0</v>
      </c>
      <c r="AR35" s="4">
        <f>+AD_tis!$BD35*AD_tis!AR35*AD_tis!AR$47</f>
        <v>0</v>
      </c>
      <c r="AS35" s="4">
        <f>+AD_tis!$BD35*AD_tis!AS35*AD_tis!AS$47</f>
        <v>0</v>
      </c>
      <c r="AT35" s="4">
        <f>+AD_tis!$BD35*AD_tis!AT35*AD_tis!AT$47</f>
        <v>0</v>
      </c>
      <c r="AU35" s="4">
        <f>+AD_tis!$BD35*AD_tis!AU35*AD_tis!AU$47</f>
        <v>0</v>
      </c>
      <c r="AV35" s="4">
        <f>+AD_tis!$BD35*AD_tis!AV35*AD_tis!AV$47</f>
        <v>0</v>
      </c>
      <c r="AW35" s="12">
        <f>+AD_tis!$BD35*AD_tis!AW35*AD_tis!AW$47</f>
        <v>0</v>
      </c>
      <c r="AX35" s="13">
        <f>+AD_tis!$BD35*AD_tis!AX35*AD_tis!AX$47</f>
        <v>0</v>
      </c>
      <c r="AY35" s="4">
        <f>+AD_tis!$BD35*AD_tis!AY35*AD_tis!AY$47</f>
        <v>0</v>
      </c>
      <c r="AZ35" s="4">
        <f>+AD_tis!$BD35*AD_tis!AZ35*AD_tis!AZ$47</f>
        <v>0</v>
      </c>
      <c r="BA35" s="12">
        <f>+AD_tis!$BD35*AD_tis!BA35*AD_tis!BA$47</f>
        <v>0</v>
      </c>
      <c r="BB35" s="4">
        <f>+AD_tis!$BD35*AD_tis!BB35*AD_tis!BB$47</f>
        <v>0</v>
      </c>
      <c r="BC35" s="13">
        <f>+AD_tis!$BD35*AD_tis!BC35*AD_tis!BC$47</f>
        <v>0</v>
      </c>
    </row>
    <row r="36" spans="1:55" ht="18.75" customHeight="1" x14ac:dyDescent="0.25">
      <c r="A36" s="5" t="s">
        <v>87</v>
      </c>
      <c r="B36" s="12">
        <f>+AD_tis!$BD36*AD_tis!B36*AD_tis!B$47</f>
        <v>0</v>
      </c>
      <c r="C36" s="4">
        <f>+AD_tis!$BD36*AD_tis!C36*AD_tis!C$47</f>
        <v>0</v>
      </c>
      <c r="D36" s="4">
        <f>+AD_tis!$BD36*AD_tis!D36*AD_tis!D$47</f>
        <v>0</v>
      </c>
      <c r="E36" s="4">
        <f>+AD_tis!$BD36*AD_tis!E36*AD_tis!E$47</f>
        <v>0</v>
      </c>
      <c r="F36" s="4">
        <f>+AD_tis!$BD36*AD_tis!F36*AD_tis!F$47</f>
        <v>0</v>
      </c>
      <c r="G36" s="4">
        <f>+AD_tis!$BD36*AD_tis!G36*AD_tis!G$47</f>
        <v>0</v>
      </c>
      <c r="H36" s="4">
        <f>+AD_tis!$BD36*AD_tis!H36*AD_tis!H$47</f>
        <v>0</v>
      </c>
      <c r="I36" s="4">
        <f>+AD_tis!$BD36*AD_tis!I36*AD_tis!I$47</f>
        <v>0</v>
      </c>
      <c r="J36" s="4">
        <f>+AD_tis!$BD36*AD_tis!J36*AD_tis!J$47</f>
        <v>0</v>
      </c>
      <c r="K36" s="4">
        <f>+AD_tis!$BD36*AD_tis!K36*AD_tis!K$47</f>
        <v>0</v>
      </c>
      <c r="L36" s="4">
        <f>+AD_tis!$BD36*AD_tis!L36*AD_tis!L$47</f>
        <v>0</v>
      </c>
      <c r="M36" s="4">
        <f>+AD_tis!$BD36*AD_tis!M36*AD_tis!M$47</f>
        <v>0</v>
      </c>
      <c r="N36" s="4">
        <f>+AD_tis!$BD36*AD_tis!N36*AD_tis!N$47</f>
        <v>0</v>
      </c>
      <c r="O36" s="4">
        <f>+AD_tis!$BD36*AD_tis!O36*AD_tis!O$47</f>
        <v>0</v>
      </c>
      <c r="P36" s="4">
        <f>+AD_tis!$BD36*AD_tis!P36*AD_tis!P$47</f>
        <v>0</v>
      </c>
      <c r="Q36" s="4">
        <f>+AD_tis!$BD36*AD_tis!Q36*AD_tis!Q$47</f>
        <v>0</v>
      </c>
      <c r="R36" s="13">
        <f>+AD_tis!$BD36*AD_tis!R36*AD_tis!R$47</f>
        <v>0</v>
      </c>
      <c r="S36" s="4">
        <f>+AD_tis!$BD36*AD_tis!S36*AD_tis!S$47</f>
        <v>0</v>
      </c>
      <c r="T36" s="4">
        <f>+AD_tis!$BD36*AD_tis!T36*AD_tis!T$47</f>
        <v>0</v>
      </c>
      <c r="U36" s="4">
        <f>+AD_tis!$BD36*AD_tis!U36*AD_tis!U$47</f>
        <v>0</v>
      </c>
      <c r="V36" s="4">
        <f>+AD_tis!$BD36*AD_tis!V36*AD_tis!V$47</f>
        <v>0</v>
      </c>
      <c r="W36" s="4">
        <f>+AD_tis!$BD36*AD_tis!W36*AD_tis!W$47</f>
        <v>0</v>
      </c>
      <c r="X36" s="4">
        <f>+AD_tis!$BD36*AD_tis!X36*AD_tis!X$47</f>
        <v>0</v>
      </c>
      <c r="Y36" s="4">
        <f>+AD_tis!$BD36*AD_tis!Y36*AD_tis!Y$47</f>
        <v>0</v>
      </c>
      <c r="Z36" s="4">
        <f>+AD_tis!$BD36*AD_tis!Z36*AD_tis!Z$47</f>
        <v>0</v>
      </c>
      <c r="AA36" s="4">
        <f>+AD_tis!$BD36*AD_tis!AA36*AD_tis!AA$47</f>
        <v>0</v>
      </c>
      <c r="AB36" s="4">
        <f>+AD_tis!$BD36*AD_tis!AB36*AD_tis!AB$47</f>
        <v>0</v>
      </c>
      <c r="AC36" s="12">
        <f>+AD_tis!$BD36*AD_tis!AC36*AD_tis!AC$47</f>
        <v>0</v>
      </c>
      <c r="AD36" s="4">
        <f>+AD_tis!$BD36*AD_tis!AD36*AD_tis!AD$47</f>
        <v>0</v>
      </c>
      <c r="AE36" s="4">
        <f>+AD_tis!$BD36*AD_tis!AE36*AD_tis!AE$47</f>
        <v>0</v>
      </c>
      <c r="AF36" s="4">
        <f>+AD_tis!$BD36*AD_tis!AF36*AD_tis!AF$47</f>
        <v>0</v>
      </c>
      <c r="AG36" s="4">
        <f>+AD_tis!$BD36*AD_tis!AG36*AD_tis!AG$47</f>
        <v>0</v>
      </c>
      <c r="AH36" s="4">
        <f>+AD_tis!$BD36*AD_tis!AH36*AD_tis!AH$47</f>
        <v>0</v>
      </c>
      <c r="AI36" s="4">
        <f>+AD_tis!$BD36*AD_tis!AI36*AD_tis!AI$47</f>
        <v>0</v>
      </c>
      <c r="AJ36" s="4">
        <f>+AD_tis!$BD36*AD_tis!AJ36*AD_tis!AJ$47</f>
        <v>0</v>
      </c>
      <c r="AK36" s="4">
        <f>+AD_tis!$BD36*AD_tis!AK36*AD_tis!AK$47</f>
        <v>0</v>
      </c>
      <c r="AL36" s="4">
        <f>+AD_tis!$BD36*AD_tis!AL36*AD_tis!AL$47</f>
        <v>0</v>
      </c>
      <c r="AM36" s="13">
        <f>+AD_tis!$BD36*AD_tis!AM36*AD_tis!AM$47</f>
        <v>0</v>
      </c>
      <c r="AN36" s="4">
        <f>+AD_tis!$BD36*AD_tis!AN36*AD_tis!AN$47</f>
        <v>0</v>
      </c>
      <c r="AO36" s="4">
        <f>+AD_tis!$BD36*AD_tis!AO36*AD_tis!AO$47</f>
        <v>0</v>
      </c>
      <c r="AP36" s="4">
        <f>+AD_tis!$BD36*AD_tis!AP36*AD_tis!AP$47</f>
        <v>0</v>
      </c>
      <c r="AQ36" s="4">
        <f>+AD_tis!$BD36*AD_tis!AQ36*AD_tis!AQ$47</f>
        <v>0</v>
      </c>
      <c r="AR36" s="4">
        <f>+AD_tis!$BD36*AD_tis!AR36*AD_tis!AR$47</f>
        <v>0</v>
      </c>
      <c r="AS36" s="4">
        <f>+AD_tis!$BD36*AD_tis!AS36*AD_tis!AS$47</f>
        <v>0</v>
      </c>
      <c r="AT36" s="4">
        <f>+AD_tis!$BD36*AD_tis!AT36*AD_tis!AT$47</f>
        <v>0</v>
      </c>
      <c r="AU36" s="4">
        <f>+AD_tis!$BD36*AD_tis!AU36*AD_tis!AU$47</f>
        <v>0</v>
      </c>
      <c r="AV36" s="4">
        <f>+AD_tis!$BD36*AD_tis!AV36*AD_tis!AV$47</f>
        <v>0</v>
      </c>
      <c r="AW36" s="12">
        <f>+AD_tis!$BD36*AD_tis!AW36*AD_tis!AW$47</f>
        <v>0</v>
      </c>
      <c r="AX36" s="13">
        <f>+AD_tis!$BD36*AD_tis!AX36*AD_tis!AX$47</f>
        <v>0</v>
      </c>
      <c r="AY36" s="4">
        <f>+AD_tis!$BD36*AD_tis!AY36*AD_tis!AY$47</f>
        <v>1</v>
      </c>
      <c r="AZ36" s="4">
        <f>+AD_tis!$BD36*AD_tis!AZ36*AD_tis!AZ$47</f>
        <v>0</v>
      </c>
      <c r="BA36" s="12">
        <f>+AD_tis!$BD36*AD_tis!BA36*AD_tis!BA$47</f>
        <v>0</v>
      </c>
      <c r="BB36" s="4">
        <f>+AD_tis!$BD36*AD_tis!BB36*AD_tis!BB$47</f>
        <v>0</v>
      </c>
      <c r="BC36" s="13">
        <f>+AD_tis!$BD36*AD_tis!BC36*AD_tis!BC$47</f>
        <v>0</v>
      </c>
    </row>
    <row r="37" spans="1:55" ht="18.75" customHeight="1" x14ac:dyDescent="0.25">
      <c r="A37" s="5" t="s">
        <v>88</v>
      </c>
      <c r="B37" s="12">
        <f>+AD_tis!$BD37*AD_tis!B37*AD_tis!B$47</f>
        <v>0</v>
      </c>
      <c r="C37" s="4">
        <f>+AD_tis!$BD37*AD_tis!C37*AD_tis!C$47</f>
        <v>0</v>
      </c>
      <c r="D37" s="4">
        <f>+AD_tis!$BD37*AD_tis!D37*AD_tis!D$47</f>
        <v>0</v>
      </c>
      <c r="E37" s="4">
        <f>+AD_tis!$BD37*AD_tis!E37*AD_tis!E$47</f>
        <v>0</v>
      </c>
      <c r="F37" s="4">
        <f>+AD_tis!$BD37*AD_tis!F37*AD_tis!F$47</f>
        <v>0</v>
      </c>
      <c r="G37" s="4">
        <f>+AD_tis!$BD37*AD_tis!G37*AD_tis!G$47</f>
        <v>0</v>
      </c>
      <c r="H37" s="4">
        <f>+AD_tis!$BD37*AD_tis!H37*AD_tis!H$47</f>
        <v>0</v>
      </c>
      <c r="I37" s="4">
        <f>+AD_tis!$BD37*AD_tis!I37*AD_tis!I$47</f>
        <v>0</v>
      </c>
      <c r="J37" s="4">
        <f>+AD_tis!$BD37*AD_tis!J37*AD_tis!J$47</f>
        <v>0</v>
      </c>
      <c r="K37" s="4">
        <f>+AD_tis!$BD37*AD_tis!K37*AD_tis!K$47</f>
        <v>0</v>
      </c>
      <c r="L37" s="4">
        <f>+AD_tis!$BD37*AD_tis!L37*AD_tis!L$47</f>
        <v>1</v>
      </c>
      <c r="M37" s="4">
        <f>+AD_tis!$BD37*AD_tis!M37*AD_tis!M$47</f>
        <v>1</v>
      </c>
      <c r="N37" s="4">
        <f>+AD_tis!$BD37*AD_tis!N37*AD_tis!N$47</f>
        <v>1</v>
      </c>
      <c r="O37" s="4">
        <f>+AD_tis!$BD37*AD_tis!O37*AD_tis!O$47</f>
        <v>0</v>
      </c>
      <c r="P37" s="4">
        <f>+AD_tis!$BD37*AD_tis!P37*AD_tis!P$47</f>
        <v>0</v>
      </c>
      <c r="Q37" s="4">
        <f>+AD_tis!$BD37*AD_tis!Q37*AD_tis!Q$47</f>
        <v>0</v>
      </c>
      <c r="R37" s="13">
        <f>+AD_tis!$BD37*AD_tis!R37*AD_tis!R$47</f>
        <v>0</v>
      </c>
      <c r="S37" s="4">
        <f>+AD_tis!$BD37*AD_tis!S37*AD_tis!S$47</f>
        <v>0</v>
      </c>
      <c r="T37" s="4">
        <f>+AD_tis!$BD37*AD_tis!T37*AD_tis!T$47</f>
        <v>0</v>
      </c>
      <c r="U37" s="4">
        <f>+AD_tis!$BD37*AD_tis!U37*AD_tis!U$47</f>
        <v>0</v>
      </c>
      <c r="V37" s="4">
        <f>+AD_tis!$BD37*AD_tis!V37*AD_tis!V$47</f>
        <v>0</v>
      </c>
      <c r="W37" s="4">
        <f>+AD_tis!$BD37*AD_tis!W37*AD_tis!W$47</f>
        <v>0</v>
      </c>
      <c r="X37" s="4">
        <f>+AD_tis!$BD37*AD_tis!X37*AD_tis!X$47</f>
        <v>0</v>
      </c>
      <c r="Y37" s="4">
        <f>+AD_tis!$BD37*AD_tis!Y37*AD_tis!Y$47</f>
        <v>0</v>
      </c>
      <c r="Z37" s="4">
        <f>+AD_tis!$BD37*AD_tis!Z37*AD_tis!Z$47</f>
        <v>0</v>
      </c>
      <c r="AA37" s="4">
        <f>+AD_tis!$BD37*AD_tis!AA37*AD_tis!AA$47</f>
        <v>0</v>
      </c>
      <c r="AB37" s="4">
        <f>+AD_tis!$BD37*AD_tis!AB37*AD_tis!AB$47</f>
        <v>0</v>
      </c>
      <c r="AC37" s="12">
        <f>+AD_tis!$BD37*AD_tis!AC37*AD_tis!AC$47</f>
        <v>0</v>
      </c>
      <c r="AD37" s="4">
        <f>+AD_tis!$BD37*AD_tis!AD37*AD_tis!AD$47</f>
        <v>0</v>
      </c>
      <c r="AE37" s="4">
        <f>+AD_tis!$BD37*AD_tis!AE37*AD_tis!AE$47</f>
        <v>0</v>
      </c>
      <c r="AF37" s="4">
        <f>+AD_tis!$BD37*AD_tis!AF37*AD_tis!AF$47</f>
        <v>0</v>
      </c>
      <c r="AG37" s="4">
        <f>+AD_tis!$BD37*AD_tis!AG37*AD_tis!AG$47</f>
        <v>0</v>
      </c>
      <c r="AH37" s="4">
        <f>+AD_tis!$BD37*AD_tis!AH37*AD_tis!AH$47</f>
        <v>0</v>
      </c>
      <c r="AI37" s="4">
        <f>+AD_tis!$BD37*AD_tis!AI37*AD_tis!AI$47</f>
        <v>0</v>
      </c>
      <c r="AJ37" s="4">
        <f>+AD_tis!$BD37*AD_tis!AJ37*AD_tis!AJ$47</f>
        <v>0</v>
      </c>
      <c r="AK37" s="4">
        <f>+AD_tis!$BD37*AD_tis!AK37*AD_tis!AK$47</f>
        <v>0</v>
      </c>
      <c r="AL37" s="4">
        <f>+AD_tis!$BD37*AD_tis!AL37*AD_tis!AL$47</f>
        <v>0</v>
      </c>
      <c r="AM37" s="13">
        <f>+AD_tis!$BD37*AD_tis!AM37*AD_tis!AM$47</f>
        <v>0</v>
      </c>
      <c r="AN37" s="4">
        <f>+AD_tis!$BD37*AD_tis!AN37*AD_tis!AN$47</f>
        <v>0</v>
      </c>
      <c r="AO37" s="4">
        <f>+AD_tis!$BD37*AD_tis!AO37*AD_tis!AO$47</f>
        <v>0</v>
      </c>
      <c r="AP37" s="4">
        <f>+AD_tis!$BD37*AD_tis!AP37*AD_tis!AP$47</f>
        <v>1</v>
      </c>
      <c r="AQ37" s="4">
        <f>+AD_tis!$BD37*AD_tis!AQ37*AD_tis!AQ$47</f>
        <v>0</v>
      </c>
      <c r="AR37" s="4">
        <f>+AD_tis!$BD37*AD_tis!AR37*AD_tis!AR$47</f>
        <v>0</v>
      </c>
      <c r="AS37" s="4">
        <f>+AD_tis!$BD37*AD_tis!AS37*AD_tis!AS$47</f>
        <v>0</v>
      </c>
      <c r="AT37" s="4">
        <f>+AD_tis!$BD37*AD_tis!AT37*AD_tis!AT$47</f>
        <v>0</v>
      </c>
      <c r="AU37" s="4">
        <f>+AD_tis!$BD37*AD_tis!AU37*AD_tis!AU$47</f>
        <v>0</v>
      </c>
      <c r="AV37" s="4">
        <f>+AD_tis!$BD37*AD_tis!AV37*AD_tis!AV$47</f>
        <v>0</v>
      </c>
      <c r="AW37" s="12">
        <f>+AD_tis!$BD37*AD_tis!AW37*AD_tis!AW$47</f>
        <v>0</v>
      </c>
      <c r="AX37" s="13">
        <f>+AD_tis!$BD37*AD_tis!AX37*AD_tis!AX$47</f>
        <v>0</v>
      </c>
      <c r="AY37" s="4">
        <f>+AD_tis!$BD37*AD_tis!AY37*AD_tis!AY$47</f>
        <v>0</v>
      </c>
      <c r="AZ37" s="4">
        <f>+AD_tis!$BD37*AD_tis!AZ37*AD_tis!AZ$47</f>
        <v>0</v>
      </c>
      <c r="BA37" s="12">
        <f>+AD_tis!$BD37*AD_tis!BA37*AD_tis!BA$47</f>
        <v>0</v>
      </c>
      <c r="BB37" s="4">
        <f>+AD_tis!$BD37*AD_tis!BB37*AD_tis!BB$47</f>
        <v>0</v>
      </c>
      <c r="BC37" s="13">
        <f>+AD_tis!$BD37*AD_tis!BC37*AD_tis!BC$47</f>
        <v>0</v>
      </c>
    </row>
    <row r="38" spans="1:55" ht="18.75" customHeight="1" x14ac:dyDescent="0.25">
      <c r="A38" s="5" t="s">
        <v>89</v>
      </c>
      <c r="B38" s="12">
        <f>+AD_tis!$BD38*AD_tis!B38*AD_tis!B$47</f>
        <v>0</v>
      </c>
      <c r="C38" s="4">
        <f>+AD_tis!$BD38*AD_tis!C38*AD_tis!C$47</f>
        <v>0</v>
      </c>
      <c r="D38" s="4">
        <f>+AD_tis!$BD38*AD_tis!D38*AD_tis!D$47</f>
        <v>0</v>
      </c>
      <c r="E38" s="4">
        <f>+AD_tis!$BD38*AD_tis!E38*AD_tis!E$47</f>
        <v>0</v>
      </c>
      <c r="F38" s="4">
        <f>+AD_tis!$BD38*AD_tis!F38*AD_tis!F$47</f>
        <v>0</v>
      </c>
      <c r="G38" s="4">
        <f>+AD_tis!$BD38*AD_tis!G38*AD_tis!G$47</f>
        <v>0</v>
      </c>
      <c r="H38" s="4">
        <f>+AD_tis!$BD38*AD_tis!H38*AD_tis!H$47</f>
        <v>0</v>
      </c>
      <c r="I38" s="4">
        <f>+AD_tis!$BD38*AD_tis!I38*AD_tis!I$47</f>
        <v>0</v>
      </c>
      <c r="J38" s="4">
        <f>+AD_tis!$BD38*AD_tis!J38*AD_tis!J$47</f>
        <v>0</v>
      </c>
      <c r="K38" s="4">
        <f>+AD_tis!$BD38*AD_tis!K38*AD_tis!K$47</f>
        <v>0</v>
      </c>
      <c r="L38" s="4">
        <f>+AD_tis!$BD38*AD_tis!L38*AD_tis!L$47</f>
        <v>0</v>
      </c>
      <c r="M38" s="4">
        <f>+AD_tis!$BD38*AD_tis!M38*AD_tis!M$47</f>
        <v>0</v>
      </c>
      <c r="N38" s="4">
        <f>+AD_tis!$BD38*AD_tis!N38*AD_tis!N$47</f>
        <v>0</v>
      </c>
      <c r="O38" s="4">
        <f>+AD_tis!$BD38*AD_tis!O38*AD_tis!O$47</f>
        <v>0</v>
      </c>
      <c r="P38" s="4">
        <f>+AD_tis!$BD38*AD_tis!P38*AD_tis!P$47</f>
        <v>0</v>
      </c>
      <c r="Q38" s="4">
        <f>+AD_tis!$BD38*AD_tis!Q38*AD_tis!Q$47</f>
        <v>0</v>
      </c>
      <c r="R38" s="13">
        <f>+AD_tis!$BD38*AD_tis!R38*AD_tis!R$47</f>
        <v>0</v>
      </c>
      <c r="S38" s="4">
        <f>+AD_tis!$BD38*AD_tis!S38*AD_tis!S$47</f>
        <v>0</v>
      </c>
      <c r="T38" s="4">
        <f>+AD_tis!$BD38*AD_tis!T38*AD_tis!T$47</f>
        <v>0</v>
      </c>
      <c r="U38" s="4">
        <f>+AD_tis!$BD38*AD_tis!U38*AD_tis!U$47</f>
        <v>0</v>
      </c>
      <c r="V38" s="4">
        <f>+AD_tis!$BD38*AD_tis!V38*AD_tis!V$47</f>
        <v>0</v>
      </c>
      <c r="W38" s="4">
        <f>+AD_tis!$BD38*AD_tis!W38*AD_tis!W$47</f>
        <v>0</v>
      </c>
      <c r="X38" s="4">
        <f>+AD_tis!$BD38*AD_tis!X38*AD_tis!X$47</f>
        <v>0</v>
      </c>
      <c r="Y38" s="4">
        <f>+AD_tis!$BD38*AD_tis!Y38*AD_tis!Y$47</f>
        <v>0</v>
      </c>
      <c r="Z38" s="4">
        <f>+AD_tis!$BD38*AD_tis!Z38*AD_tis!Z$47</f>
        <v>0</v>
      </c>
      <c r="AA38" s="4">
        <f>+AD_tis!$BD38*AD_tis!AA38*AD_tis!AA$47</f>
        <v>0</v>
      </c>
      <c r="AB38" s="4">
        <f>+AD_tis!$BD38*AD_tis!AB38*AD_tis!AB$47</f>
        <v>0</v>
      </c>
      <c r="AC38" s="12">
        <f>+AD_tis!$BD38*AD_tis!AC38*AD_tis!AC$47</f>
        <v>0</v>
      </c>
      <c r="AD38" s="4">
        <f>+AD_tis!$BD38*AD_tis!AD38*AD_tis!AD$47</f>
        <v>0</v>
      </c>
      <c r="AE38" s="4">
        <f>+AD_tis!$BD38*AD_tis!AE38*AD_tis!AE$47</f>
        <v>0</v>
      </c>
      <c r="AF38" s="4">
        <f>+AD_tis!$BD38*AD_tis!AF38*AD_tis!AF$47</f>
        <v>0</v>
      </c>
      <c r="AG38" s="4">
        <f>+AD_tis!$BD38*AD_tis!AG38*AD_tis!AG$47</f>
        <v>0</v>
      </c>
      <c r="AH38" s="4">
        <f>+AD_tis!$BD38*AD_tis!AH38*AD_tis!AH$47</f>
        <v>0</v>
      </c>
      <c r="AI38" s="4">
        <f>+AD_tis!$BD38*AD_tis!AI38*AD_tis!AI$47</f>
        <v>0</v>
      </c>
      <c r="AJ38" s="4">
        <f>+AD_tis!$BD38*AD_tis!AJ38*AD_tis!AJ$47</f>
        <v>0</v>
      </c>
      <c r="AK38" s="4">
        <f>+AD_tis!$BD38*AD_tis!AK38*AD_tis!AK$47</f>
        <v>0</v>
      </c>
      <c r="AL38" s="4">
        <f>+AD_tis!$BD38*AD_tis!AL38*AD_tis!AL$47</f>
        <v>0</v>
      </c>
      <c r="AM38" s="13">
        <f>+AD_tis!$BD38*AD_tis!AM38*AD_tis!AM$47</f>
        <v>0</v>
      </c>
      <c r="AN38" s="4">
        <f>+AD_tis!$BD38*AD_tis!AN38*AD_tis!AN$47</f>
        <v>0</v>
      </c>
      <c r="AO38" s="4">
        <f>+AD_tis!$BD38*AD_tis!AO38*AD_tis!AO$47</f>
        <v>0</v>
      </c>
      <c r="AP38" s="4">
        <f>+AD_tis!$BD38*AD_tis!AP38*AD_tis!AP$47</f>
        <v>0</v>
      </c>
      <c r="AQ38" s="4">
        <f>+AD_tis!$BD38*AD_tis!AQ38*AD_tis!AQ$47</f>
        <v>0</v>
      </c>
      <c r="AR38" s="4">
        <f>+AD_tis!$BD38*AD_tis!AR38*AD_tis!AR$47</f>
        <v>0</v>
      </c>
      <c r="AS38" s="4">
        <f>+AD_tis!$BD38*AD_tis!AS38*AD_tis!AS$47</f>
        <v>0</v>
      </c>
      <c r="AT38" s="4">
        <f>+AD_tis!$BD38*AD_tis!AT38*AD_tis!AT$47</f>
        <v>0</v>
      </c>
      <c r="AU38" s="4">
        <f>+AD_tis!$BD38*AD_tis!AU38*AD_tis!AU$47</f>
        <v>0</v>
      </c>
      <c r="AV38" s="4">
        <f>+AD_tis!$BD38*AD_tis!AV38*AD_tis!AV$47</f>
        <v>0</v>
      </c>
      <c r="AW38" s="12">
        <f>+AD_tis!$BD38*AD_tis!AW38*AD_tis!AW$47</f>
        <v>0</v>
      </c>
      <c r="AX38" s="13">
        <f>+AD_tis!$BD38*AD_tis!AX38*AD_tis!AX$47</f>
        <v>0</v>
      </c>
      <c r="AY38" s="4">
        <f>+AD_tis!$BD38*AD_tis!AY38*AD_tis!AY$47</f>
        <v>0</v>
      </c>
      <c r="AZ38" s="4">
        <f>+AD_tis!$BD38*AD_tis!AZ38*AD_tis!AZ$47</f>
        <v>0</v>
      </c>
      <c r="BA38" s="12">
        <f>+AD_tis!$BD38*AD_tis!BA38*AD_tis!BA$47</f>
        <v>0</v>
      </c>
      <c r="BB38" s="4">
        <f>+AD_tis!$BD38*AD_tis!BB38*AD_tis!BB$47</f>
        <v>0</v>
      </c>
      <c r="BC38" s="13">
        <f>+AD_tis!$BD38*AD_tis!BC38*AD_tis!BC$47</f>
        <v>0</v>
      </c>
    </row>
    <row r="39" spans="1:55" ht="18.75" customHeight="1" x14ac:dyDescent="0.25">
      <c r="A39" s="5" t="s">
        <v>90</v>
      </c>
      <c r="B39" s="12">
        <f>+AD_tis!$BD39*AD_tis!B39*AD_tis!B$47</f>
        <v>0</v>
      </c>
      <c r="C39" s="4">
        <f>+AD_tis!$BD39*AD_tis!C39*AD_tis!C$47</f>
        <v>0</v>
      </c>
      <c r="D39" s="4">
        <f>+AD_tis!$BD39*AD_tis!D39*AD_tis!D$47</f>
        <v>0</v>
      </c>
      <c r="E39" s="4">
        <f>+AD_tis!$BD39*AD_tis!E39*AD_tis!E$47</f>
        <v>0</v>
      </c>
      <c r="F39" s="4">
        <f>+AD_tis!$BD39*AD_tis!F39*AD_tis!F$47</f>
        <v>0</v>
      </c>
      <c r="G39" s="4">
        <f>+AD_tis!$BD39*AD_tis!G39*AD_tis!G$47</f>
        <v>0</v>
      </c>
      <c r="H39" s="4">
        <f>+AD_tis!$BD39*AD_tis!H39*AD_tis!H$47</f>
        <v>0</v>
      </c>
      <c r="I39" s="4">
        <f>+AD_tis!$BD39*AD_tis!I39*AD_tis!I$47</f>
        <v>0</v>
      </c>
      <c r="J39" s="4">
        <f>+AD_tis!$BD39*AD_tis!J39*AD_tis!J$47</f>
        <v>0</v>
      </c>
      <c r="K39" s="4">
        <f>+AD_tis!$BD39*AD_tis!K39*AD_tis!K$47</f>
        <v>0</v>
      </c>
      <c r="L39" s="4">
        <f>+AD_tis!$BD39*AD_tis!L39*AD_tis!L$47</f>
        <v>0</v>
      </c>
      <c r="M39" s="4">
        <f>+AD_tis!$BD39*AD_tis!M39*AD_tis!M$47</f>
        <v>0</v>
      </c>
      <c r="N39" s="4">
        <f>+AD_tis!$BD39*AD_tis!N39*AD_tis!N$47</f>
        <v>0</v>
      </c>
      <c r="O39" s="4">
        <f>+AD_tis!$BD39*AD_tis!O39*AD_tis!O$47</f>
        <v>0</v>
      </c>
      <c r="P39" s="4">
        <f>+AD_tis!$BD39*AD_tis!P39*AD_tis!P$47</f>
        <v>0</v>
      </c>
      <c r="Q39" s="4">
        <f>+AD_tis!$BD39*AD_tis!Q39*AD_tis!Q$47</f>
        <v>0</v>
      </c>
      <c r="R39" s="13">
        <f>+AD_tis!$BD39*AD_tis!R39*AD_tis!R$47</f>
        <v>0</v>
      </c>
      <c r="S39" s="4">
        <f>+AD_tis!$BD39*AD_tis!S39*AD_tis!S$47</f>
        <v>0</v>
      </c>
      <c r="T39" s="4">
        <f>+AD_tis!$BD39*AD_tis!T39*AD_tis!T$47</f>
        <v>0</v>
      </c>
      <c r="U39" s="4">
        <f>+AD_tis!$BD39*AD_tis!U39*AD_tis!U$47</f>
        <v>0</v>
      </c>
      <c r="V39" s="4">
        <f>+AD_tis!$BD39*AD_tis!V39*AD_tis!V$47</f>
        <v>0</v>
      </c>
      <c r="W39" s="4">
        <f>+AD_tis!$BD39*AD_tis!W39*AD_tis!W$47</f>
        <v>0</v>
      </c>
      <c r="X39" s="4">
        <f>+AD_tis!$BD39*AD_tis!X39*AD_tis!X$47</f>
        <v>0</v>
      </c>
      <c r="Y39" s="4">
        <f>+AD_tis!$BD39*AD_tis!Y39*AD_tis!Y$47</f>
        <v>0</v>
      </c>
      <c r="Z39" s="4">
        <f>+AD_tis!$BD39*AD_tis!Z39*AD_tis!Z$47</f>
        <v>0</v>
      </c>
      <c r="AA39" s="4">
        <f>+AD_tis!$BD39*AD_tis!AA39*AD_tis!AA$47</f>
        <v>0</v>
      </c>
      <c r="AB39" s="4">
        <f>+AD_tis!$BD39*AD_tis!AB39*AD_tis!AB$47</f>
        <v>0</v>
      </c>
      <c r="AC39" s="12">
        <f>+AD_tis!$BD39*AD_tis!AC39*AD_tis!AC$47</f>
        <v>0</v>
      </c>
      <c r="AD39" s="4">
        <f>+AD_tis!$BD39*AD_tis!AD39*AD_tis!AD$47</f>
        <v>0</v>
      </c>
      <c r="AE39" s="4">
        <f>+AD_tis!$BD39*AD_tis!AE39*AD_tis!AE$47</f>
        <v>0</v>
      </c>
      <c r="AF39" s="4">
        <f>+AD_tis!$BD39*AD_tis!AF39*AD_tis!AF$47</f>
        <v>0</v>
      </c>
      <c r="AG39" s="4">
        <f>+AD_tis!$BD39*AD_tis!AG39*AD_tis!AG$47</f>
        <v>0</v>
      </c>
      <c r="AH39" s="4">
        <f>+AD_tis!$BD39*AD_tis!AH39*AD_tis!AH$47</f>
        <v>0</v>
      </c>
      <c r="AI39" s="4">
        <f>+AD_tis!$BD39*AD_tis!AI39*AD_tis!AI$47</f>
        <v>0</v>
      </c>
      <c r="AJ39" s="4">
        <f>+AD_tis!$BD39*AD_tis!AJ39*AD_tis!AJ$47</f>
        <v>0</v>
      </c>
      <c r="AK39" s="4">
        <f>+AD_tis!$BD39*AD_tis!AK39*AD_tis!AK$47</f>
        <v>0</v>
      </c>
      <c r="AL39" s="4">
        <f>+AD_tis!$BD39*AD_tis!AL39*AD_tis!AL$47</f>
        <v>0</v>
      </c>
      <c r="AM39" s="13">
        <f>+AD_tis!$BD39*AD_tis!AM39*AD_tis!AM$47</f>
        <v>0</v>
      </c>
      <c r="AN39" s="4">
        <f>+AD_tis!$BD39*AD_tis!AN39*AD_tis!AN$47</f>
        <v>0</v>
      </c>
      <c r="AO39" s="4">
        <f>+AD_tis!$BD39*AD_tis!AO39*AD_tis!AO$47</f>
        <v>0</v>
      </c>
      <c r="AP39" s="4">
        <f>+AD_tis!$BD39*AD_tis!AP39*AD_tis!AP$47</f>
        <v>0</v>
      </c>
      <c r="AQ39" s="4">
        <f>+AD_tis!$BD39*AD_tis!AQ39*AD_tis!AQ$47</f>
        <v>0</v>
      </c>
      <c r="AR39" s="4">
        <f>+AD_tis!$BD39*AD_tis!AR39*AD_tis!AR$47</f>
        <v>0</v>
      </c>
      <c r="AS39" s="4">
        <f>+AD_tis!$BD39*AD_tis!AS39*AD_tis!AS$47</f>
        <v>0</v>
      </c>
      <c r="AT39" s="4">
        <f>+AD_tis!$BD39*AD_tis!AT39*AD_tis!AT$47</f>
        <v>0</v>
      </c>
      <c r="AU39" s="4">
        <f>+AD_tis!$BD39*AD_tis!AU39*AD_tis!AU$47</f>
        <v>0</v>
      </c>
      <c r="AV39" s="4">
        <f>+AD_tis!$BD39*AD_tis!AV39*AD_tis!AV$47</f>
        <v>0</v>
      </c>
      <c r="AW39" s="12">
        <f>+AD_tis!$BD39*AD_tis!AW39*AD_tis!AW$47</f>
        <v>0</v>
      </c>
      <c r="AX39" s="13">
        <f>+AD_tis!$BD39*AD_tis!AX39*AD_tis!AX$47</f>
        <v>0</v>
      </c>
      <c r="AY39" s="4">
        <f>+AD_tis!$BD39*AD_tis!AY39*AD_tis!AY$47</f>
        <v>0</v>
      </c>
      <c r="AZ39" s="4">
        <f>+AD_tis!$BD39*AD_tis!AZ39*AD_tis!AZ$47</f>
        <v>0</v>
      </c>
      <c r="BA39" s="12">
        <f>+AD_tis!$BD39*AD_tis!BA39*AD_tis!BA$47</f>
        <v>0</v>
      </c>
      <c r="BB39" s="4">
        <f>+AD_tis!$BD39*AD_tis!BB39*AD_tis!BB$47</f>
        <v>0</v>
      </c>
      <c r="BC39" s="13">
        <f>+AD_tis!$BD39*AD_tis!BC39*AD_tis!BC$47</f>
        <v>0</v>
      </c>
    </row>
    <row r="40" spans="1:55" ht="18.75" customHeight="1" x14ac:dyDescent="0.25">
      <c r="A40" s="5" t="s">
        <v>91</v>
      </c>
      <c r="B40" s="12">
        <f>+AD_tis!$BD40*AD_tis!B40*AD_tis!B$47</f>
        <v>0</v>
      </c>
      <c r="C40" s="4">
        <f>+AD_tis!$BD40*AD_tis!C40*AD_tis!C$47</f>
        <v>0</v>
      </c>
      <c r="D40" s="4">
        <f>+AD_tis!$BD40*AD_tis!D40*AD_tis!D$47</f>
        <v>1</v>
      </c>
      <c r="E40" s="4">
        <f>+AD_tis!$BD40*AD_tis!E40*AD_tis!E$47</f>
        <v>0</v>
      </c>
      <c r="F40" s="4">
        <f>+AD_tis!$BD40*AD_tis!F40*AD_tis!F$47</f>
        <v>0</v>
      </c>
      <c r="G40" s="4">
        <f>+AD_tis!$BD40*AD_tis!G40*AD_tis!G$47</f>
        <v>0</v>
      </c>
      <c r="H40" s="4">
        <f>+AD_tis!$BD40*AD_tis!H40*AD_tis!H$47</f>
        <v>0</v>
      </c>
      <c r="I40" s="4">
        <f>+AD_tis!$BD40*AD_tis!I40*AD_tis!I$47</f>
        <v>0</v>
      </c>
      <c r="J40" s="4">
        <f>+AD_tis!$BD40*AD_tis!J40*AD_tis!J$47</f>
        <v>1</v>
      </c>
      <c r="K40" s="4">
        <f>+AD_tis!$BD40*AD_tis!K40*AD_tis!K$47</f>
        <v>0</v>
      </c>
      <c r="L40" s="4">
        <f>+AD_tis!$BD40*AD_tis!L40*AD_tis!L$47</f>
        <v>1</v>
      </c>
      <c r="M40" s="4">
        <f>+AD_tis!$BD40*AD_tis!M40*AD_tis!M$47</f>
        <v>1</v>
      </c>
      <c r="N40" s="4">
        <f>+AD_tis!$BD40*AD_tis!N40*AD_tis!N$47</f>
        <v>1</v>
      </c>
      <c r="O40" s="4">
        <f>+AD_tis!$BD40*AD_tis!O40*AD_tis!O$47</f>
        <v>0</v>
      </c>
      <c r="P40" s="4">
        <f>+AD_tis!$BD40*AD_tis!P40*AD_tis!P$47</f>
        <v>0</v>
      </c>
      <c r="Q40" s="4">
        <f>+AD_tis!$BD40*AD_tis!Q40*AD_tis!Q$47</f>
        <v>0</v>
      </c>
      <c r="R40" s="13">
        <f>+AD_tis!$BD40*AD_tis!R40*AD_tis!R$47</f>
        <v>1</v>
      </c>
      <c r="S40" s="4">
        <f>+AD_tis!$BD40*AD_tis!S40*AD_tis!S$47</f>
        <v>0</v>
      </c>
      <c r="T40" s="4">
        <f>+AD_tis!$BD40*AD_tis!T40*AD_tis!T$47</f>
        <v>0</v>
      </c>
      <c r="U40" s="4">
        <f>+AD_tis!$BD40*AD_tis!U40*AD_tis!U$47</f>
        <v>0</v>
      </c>
      <c r="V40" s="4">
        <f>+AD_tis!$BD40*AD_tis!V40*AD_tis!V$47</f>
        <v>0</v>
      </c>
      <c r="W40" s="4">
        <f>+AD_tis!$BD40*AD_tis!W40*AD_tis!W$47</f>
        <v>0</v>
      </c>
      <c r="X40" s="4">
        <f>+AD_tis!$BD40*AD_tis!X40*AD_tis!X$47</f>
        <v>0</v>
      </c>
      <c r="Y40" s="4">
        <f>+AD_tis!$BD40*AD_tis!Y40*AD_tis!Y$47</f>
        <v>0</v>
      </c>
      <c r="Z40" s="4">
        <f>+AD_tis!$BD40*AD_tis!Z40*AD_tis!Z$47</f>
        <v>0</v>
      </c>
      <c r="AA40" s="4">
        <f>+AD_tis!$BD40*AD_tis!AA40*AD_tis!AA$47</f>
        <v>0</v>
      </c>
      <c r="AB40" s="4">
        <f>+AD_tis!$BD40*AD_tis!AB40*AD_tis!AB$47</f>
        <v>0</v>
      </c>
      <c r="AC40" s="12">
        <f>+AD_tis!$BD40*AD_tis!AC40*AD_tis!AC$47</f>
        <v>0</v>
      </c>
      <c r="AD40" s="4">
        <f>+AD_tis!$BD40*AD_tis!AD40*AD_tis!AD$47</f>
        <v>0</v>
      </c>
      <c r="AE40" s="4">
        <f>+AD_tis!$BD40*AD_tis!AE40*AD_tis!AE$47</f>
        <v>0</v>
      </c>
      <c r="AF40" s="4">
        <f>+AD_tis!$BD40*AD_tis!AF40*AD_tis!AF$47</f>
        <v>0</v>
      </c>
      <c r="AG40" s="4">
        <f>+AD_tis!$BD40*AD_tis!AG40*AD_tis!AG$47</f>
        <v>0</v>
      </c>
      <c r="AH40" s="4">
        <f>+AD_tis!$BD40*AD_tis!AH40*AD_tis!AH$47</f>
        <v>0</v>
      </c>
      <c r="AI40" s="4">
        <f>+AD_tis!$BD40*AD_tis!AI40*AD_tis!AI$47</f>
        <v>0</v>
      </c>
      <c r="AJ40" s="4">
        <f>+AD_tis!$BD40*AD_tis!AJ40*AD_tis!AJ$47</f>
        <v>0</v>
      </c>
      <c r="AK40" s="4">
        <f>+AD_tis!$BD40*AD_tis!AK40*AD_tis!AK$47</f>
        <v>0</v>
      </c>
      <c r="AL40" s="4">
        <f>+AD_tis!$BD40*AD_tis!AL40*AD_tis!AL$47</f>
        <v>0</v>
      </c>
      <c r="AM40" s="13">
        <f>+AD_tis!$BD40*AD_tis!AM40*AD_tis!AM$47</f>
        <v>0</v>
      </c>
      <c r="AN40" s="4">
        <f>+AD_tis!$BD40*AD_tis!AN40*AD_tis!AN$47</f>
        <v>1</v>
      </c>
      <c r="AO40" s="4">
        <f>+AD_tis!$BD40*AD_tis!AO40*AD_tis!AO$47</f>
        <v>0</v>
      </c>
      <c r="AP40" s="4">
        <f>+AD_tis!$BD40*AD_tis!AP40*AD_tis!AP$47</f>
        <v>0</v>
      </c>
      <c r="AQ40" s="4">
        <f>+AD_tis!$BD40*AD_tis!AQ40*AD_tis!AQ$47</f>
        <v>1</v>
      </c>
      <c r="AR40" s="4">
        <f>+AD_tis!$BD40*AD_tis!AR40*AD_tis!AR$47</f>
        <v>0</v>
      </c>
      <c r="AS40" s="4">
        <f>+AD_tis!$BD40*AD_tis!AS40*AD_tis!AS$47</f>
        <v>0</v>
      </c>
      <c r="AT40" s="4">
        <f>+AD_tis!$BD40*AD_tis!AT40*AD_tis!AT$47</f>
        <v>0</v>
      </c>
      <c r="AU40" s="4">
        <f>+AD_tis!$BD40*AD_tis!AU40*AD_tis!AU$47</f>
        <v>0</v>
      </c>
      <c r="AV40" s="4">
        <f>+AD_tis!$BD40*AD_tis!AV40*AD_tis!AV$47</f>
        <v>0</v>
      </c>
      <c r="AW40" s="12">
        <f>+AD_tis!$BD40*AD_tis!AW40*AD_tis!AW$47</f>
        <v>0</v>
      </c>
      <c r="AX40" s="13">
        <f>+AD_tis!$BD40*AD_tis!AX40*AD_tis!AX$47</f>
        <v>0</v>
      </c>
      <c r="AY40" s="4">
        <f>+AD_tis!$BD40*AD_tis!AY40*AD_tis!AY$47</f>
        <v>0</v>
      </c>
      <c r="AZ40" s="4">
        <f>+AD_tis!$BD40*AD_tis!AZ40*AD_tis!AZ$47</f>
        <v>1</v>
      </c>
      <c r="BA40" s="12">
        <f>+AD_tis!$BD40*AD_tis!BA40*AD_tis!BA$47</f>
        <v>0</v>
      </c>
      <c r="BB40" s="4">
        <f>+AD_tis!$BD40*AD_tis!BB40*AD_tis!BB$47</f>
        <v>0</v>
      </c>
      <c r="BC40" s="13">
        <f>+AD_tis!$BD40*AD_tis!BC40*AD_tis!BC$47</f>
        <v>0</v>
      </c>
    </row>
    <row r="41" spans="1:55" ht="18.75" customHeight="1" x14ac:dyDescent="0.25">
      <c r="A41" s="5" t="s">
        <v>92</v>
      </c>
      <c r="B41" s="12">
        <f>+AD_tis!$BD41*AD_tis!B41*AD_tis!B$47</f>
        <v>0</v>
      </c>
      <c r="C41" s="4">
        <f>+AD_tis!$BD41*AD_tis!C41*AD_tis!C$47</f>
        <v>0</v>
      </c>
      <c r="D41" s="4">
        <f>+AD_tis!$BD41*AD_tis!D41*AD_tis!D$47</f>
        <v>0</v>
      </c>
      <c r="E41" s="4">
        <f>+AD_tis!$BD41*AD_tis!E41*AD_tis!E$47</f>
        <v>0</v>
      </c>
      <c r="F41" s="4">
        <f>+AD_tis!$BD41*AD_tis!F41*AD_tis!F$47</f>
        <v>0</v>
      </c>
      <c r="G41" s="4">
        <f>+AD_tis!$BD41*AD_tis!G41*AD_tis!G$47</f>
        <v>0</v>
      </c>
      <c r="H41" s="4">
        <f>+AD_tis!$BD41*AD_tis!H41*AD_tis!H$47</f>
        <v>0</v>
      </c>
      <c r="I41" s="4">
        <f>+AD_tis!$BD41*AD_tis!I41*AD_tis!I$47</f>
        <v>0</v>
      </c>
      <c r="J41" s="4">
        <f>+AD_tis!$BD41*AD_tis!J41*AD_tis!J$47</f>
        <v>0</v>
      </c>
      <c r="K41" s="4">
        <f>+AD_tis!$BD41*AD_tis!K41*AD_tis!K$47</f>
        <v>0</v>
      </c>
      <c r="L41" s="4">
        <f>+AD_tis!$BD41*AD_tis!L41*AD_tis!L$47</f>
        <v>0</v>
      </c>
      <c r="M41" s="4">
        <f>+AD_tis!$BD41*AD_tis!M41*AD_tis!M$47</f>
        <v>0</v>
      </c>
      <c r="N41" s="4">
        <f>+AD_tis!$BD41*AD_tis!N41*AD_tis!N$47</f>
        <v>0</v>
      </c>
      <c r="O41" s="4">
        <f>+AD_tis!$BD41*AD_tis!O41*AD_tis!O$47</f>
        <v>0</v>
      </c>
      <c r="P41" s="4">
        <f>+AD_tis!$BD41*AD_tis!P41*AD_tis!P$47</f>
        <v>0</v>
      </c>
      <c r="Q41" s="4">
        <f>+AD_tis!$BD41*AD_tis!Q41*AD_tis!Q$47</f>
        <v>0</v>
      </c>
      <c r="R41" s="13">
        <f>+AD_tis!$BD41*AD_tis!R41*AD_tis!R$47</f>
        <v>0</v>
      </c>
      <c r="S41" s="4">
        <f>+AD_tis!$BD41*AD_tis!S41*AD_tis!S$47</f>
        <v>0</v>
      </c>
      <c r="T41" s="4">
        <f>+AD_tis!$BD41*AD_tis!T41*AD_tis!T$47</f>
        <v>0</v>
      </c>
      <c r="U41" s="4">
        <f>+AD_tis!$BD41*AD_tis!U41*AD_tis!U$47</f>
        <v>1</v>
      </c>
      <c r="V41" s="4">
        <f>+AD_tis!$BD41*AD_tis!V41*AD_tis!V$47</f>
        <v>0</v>
      </c>
      <c r="W41" s="4">
        <f>+AD_tis!$BD41*AD_tis!W41*AD_tis!W$47</f>
        <v>0</v>
      </c>
      <c r="X41" s="4">
        <f>+AD_tis!$BD41*AD_tis!X41*AD_tis!X$47</f>
        <v>0</v>
      </c>
      <c r="Y41" s="4">
        <f>+AD_tis!$BD41*AD_tis!Y41*AD_tis!Y$47</f>
        <v>0</v>
      </c>
      <c r="Z41" s="4">
        <f>+AD_tis!$BD41*AD_tis!Z41*AD_tis!Z$47</f>
        <v>1</v>
      </c>
      <c r="AA41" s="4">
        <f>+AD_tis!$BD41*AD_tis!AA41*AD_tis!AA$47</f>
        <v>1</v>
      </c>
      <c r="AB41" s="4">
        <f>+AD_tis!$BD41*AD_tis!AB41*AD_tis!AB$47</f>
        <v>0</v>
      </c>
      <c r="AC41" s="12">
        <f>+AD_tis!$BD41*AD_tis!AC41*AD_tis!AC$47</f>
        <v>0</v>
      </c>
      <c r="AD41" s="4">
        <f>+AD_tis!$BD41*AD_tis!AD41*AD_tis!AD$47</f>
        <v>0</v>
      </c>
      <c r="AE41" s="4">
        <f>+AD_tis!$BD41*AD_tis!AE41*AD_tis!AE$47</f>
        <v>0</v>
      </c>
      <c r="AF41" s="4">
        <f>+AD_tis!$BD41*AD_tis!AF41*AD_tis!AF$47</f>
        <v>0</v>
      </c>
      <c r="AG41" s="4">
        <f>+AD_tis!$BD41*AD_tis!AG41*AD_tis!AG$47</f>
        <v>0</v>
      </c>
      <c r="AH41" s="4">
        <f>+AD_tis!$BD41*AD_tis!AH41*AD_tis!AH$47</f>
        <v>0</v>
      </c>
      <c r="AI41" s="4">
        <f>+AD_tis!$BD41*AD_tis!AI41*AD_tis!AI$47</f>
        <v>0</v>
      </c>
      <c r="AJ41" s="4">
        <f>+AD_tis!$BD41*AD_tis!AJ41*AD_tis!AJ$47</f>
        <v>0</v>
      </c>
      <c r="AK41" s="4">
        <f>+AD_tis!$BD41*AD_tis!AK41*AD_tis!AK$47</f>
        <v>0</v>
      </c>
      <c r="AL41" s="4">
        <f>+AD_tis!$BD41*AD_tis!AL41*AD_tis!AL$47</f>
        <v>0</v>
      </c>
      <c r="AM41" s="13">
        <f>+AD_tis!$BD41*AD_tis!AM41*AD_tis!AM$47</f>
        <v>0</v>
      </c>
      <c r="AN41" s="4">
        <f>+AD_tis!$BD41*AD_tis!AN41*AD_tis!AN$47</f>
        <v>0</v>
      </c>
      <c r="AO41" s="4">
        <f>+AD_tis!$BD41*AD_tis!AO41*AD_tis!AO$47</f>
        <v>0</v>
      </c>
      <c r="AP41" s="4">
        <f>+AD_tis!$BD41*AD_tis!AP41*AD_tis!AP$47</f>
        <v>0</v>
      </c>
      <c r="AQ41" s="4">
        <f>+AD_tis!$BD41*AD_tis!AQ41*AD_tis!AQ$47</f>
        <v>0</v>
      </c>
      <c r="AR41" s="4">
        <f>+AD_tis!$BD41*AD_tis!AR41*AD_tis!AR$47</f>
        <v>0</v>
      </c>
      <c r="AS41" s="4">
        <f>+AD_tis!$BD41*AD_tis!AS41*AD_tis!AS$47</f>
        <v>0</v>
      </c>
      <c r="AT41" s="4">
        <f>+AD_tis!$BD41*AD_tis!AT41*AD_tis!AT$47</f>
        <v>0</v>
      </c>
      <c r="AU41" s="4">
        <f>+AD_tis!$BD41*AD_tis!AU41*AD_tis!AU$47</f>
        <v>0</v>
      </c>
      <c r="AV41" s="4">
        <f>+AD_tis!$BD41*AD_tis!AV41*AD_tis!AV$47</f>
        <v>0</v>
      </c>
      <c r="AW41" s="12">
        <f>+AD_tis!$BD41*AD_tis!AW41*AD_tis!AW$47</f>
        <v>0</v>
      </c>
      <c r="AX41" s="13">
        <f>+AD_tis!$BD41*AD_tis!AX41*AD_tis!AX$47</f>
        <v>0</v>
      </c>
      <c r="AY41" s="4">
        <f>+AD_tis!$BD41*AD_tis!AY41*AD_tis!AY$47</f>
        <v>0</v>
      </c>
      <c r="AZ41" s="4">
        <f>+AD_tis!$BD41*AD_tis!AZ41*AD_tis!AZ$47</f>
        <v>0</v>
      </c>
      <c r="BA41" s="12">
        <f>+AD_tis!$BD41*AD_tis!BA41*AD_tis!BA$47</f>
        <v>0</v>
      </c>
      <c r="BB41" s="4">
        <f>+AD_tis!$BD41*AD_tis!BB41*AD_tis!BB$47</f>
        <v>0</v>
      </c>
      <c r="BC41" s="13">
        <f>+AD_tis!$BD41*AD_tis!BC41*AD_tis!BC$47</f>
        <v>0</v>
      </c>
    </row>
    <row r="42" spans="1:55" ht="18.75" customHeight="1" x14ac:dyDescent="0.25">
      <c r="A42" s="5" t="s">
        <v>93</v>
      </c>
      <c r="B42" s="12">
        <f>+AD_tis!$BD42*AD_tis!B42*AD_tis!B$47</f>
        <v>0</v>
      </c>
      <c r="C42" s="4">
        <f>+AD_tis!$BD42*AD_tis!C42*AD_tis!C$47</f>
        <v>0</v>
      </c>
      <c r="D42" s="4">
        <f>+AD_tis!$BD42*AD_tis!D42*AD_tis!D$47</f>
        <v>0</v>
      </c>
      <c r="E42" s="4">
        <f>+AD_tis!$BD42*AD_tis!E42*AD_tis!E$47</f>
        <v>0</v>
      </c>
      <c r="F42" s="4">
        <f>+AD_tis!$BD42*AD_tis!F42*AD_tis!F$47</f>
        <v>0</v>
      </c>
      <c r="G42" s="4">
        <f>+AD_tis!$BD42*AD_tis!G42*AD_tis!G$47</f>
        <v>0</v>
      </c>
      <c r="H42" s="4">
        <f>+AD_tis!$BD42*AD_tis!H42*AD_tis!H$47</f>
        <v>0</v>
      </c>
      <c r="I42" s="4">
        <f>+AD_tis!$BD42*AD_tis!I42*AD_tis!I$47</f>
        <v>0</v>
      </c>
      <c r="J42" s="4">
        <f>+AD_tis!$BD42*AD_tis!J42*AD_tis!J$47</f>
        <v>0</v>
      </c>
      <c r="K42" s="4">
        <f>+AD_tis!$BD42*AD_tis!K42*AD_tis!K$47</f>
        <v>0</v>
      </c>
      <c r="L42" s="4">
        <f>+AD_tis!$BD42*AD_tis!L42*AD_tis!L$47</f>
        <v>0</v>
      </c>
      <c r="M42" s="4">
        <f>+AD_tis!$BD42*AD_tis!M42*AD_tis!M$47</f>
        <v>0</v>
      </c>
      <c r="N42" s="4">
        <f>+AD_tis!$BD42*AD_tis!N42*AD_tis!N$47</f>
        <v>0</v>
      </c>
      <c r="O42" s="4">
        <f>+AD_tis!$BD42*AD_tis!O42*AD_tis!O$47</f>
        <v>0</v>
      </c>
      <c r="P42" s="4">
        <f>+AD_tis!$BD42*AD_tis!P42*AD_tis!P$47</f>
        <v>0</v>
      </c>
      <c r="Q42" s="4">
        <f>+AD_tis!$BD42*AD_tis!Q42*AD_tis!Q$47</f>
        <v>0</v>
      </c>
      <c r="R42" s="13">
        <f>+AD_tis!$BD42*AD_tis!R42*AD_tis!R$47</f>
        <v>0</v>
      </c>
      <c r="S42" s="4">
        <f>+AD_tis!$BD42*AD_tis!S42*AD_tis!S$47</f>
        <v>0</v>
      </c>
      <c r="T42" s="4">
        <f>+AD_tis!$BD42*AD_tis!T42*AD_tis!T$47</f>
        <v>0</v>
      </c>
      <c r="U42" s="4">
        <f>+AD_tis!$BD42*AD_tis!U42*AD_tis!U$47</f>
        <v>0</v>
      </c>
      <c r="V42" s="4">
        <f>+AD_tis!$BD42*AD_tis!V42*AD_tis!V$47</f>
        <v>0</v>
      </c>
      <c r="W42" s="4">
        <f>+AD_tis!$BD42*AD_tis!W42*AD_tis!W$47</f>
        <v>0</v>
      </c>
      <c r="X42" s="4">
        <f>+AD_tis!$BD42*AD_tis!X42*AD_tis!X$47</f>
        <v>0</v>
      </c>
      <c r="Y42" s="4">
        <f>+AD_tis!$BD42*AD_tis!Y42*AD_tis!Y$47</f>
        <v>0</v>
      </c>
      <c r="Z42" s="4">
        <f>+AD_tis!$BD42*AD_tis!Z42*AD_tis!Z$47</f>
        <v>0</v>
      </c>
      <c r="AA42" s="4">
        <f>+AD_tis!$BD42*AD_tis!AA42*AD_tis!AA$47</f>
        <v>0</v>
      </c>
      <c r="AB42" s="4">
        <f>+AD_tis!$BD42*AD_tis!AB42*AD_tis!AB$47</f>
        <v>0</v>
      </c>
      <c r="AC42" s="12">
        <f>+AD_tis!$BD42*AD_tis!AC42*AD_tis!AC$47</f>
        <v>0</v>
      </c>
      <c r="AD42" s="4">
        <f>+AD_tis!$BD42*AD_tis!AD42*AD_tis!AD$47</f>
        <v>0</v>
      </c>
      <c r="AE42" s="4">
        <f>+AD_tis!$BD42*AD_tis!AE42*AD_tis!AE$47</f>
        <v>0</v>
      </c>
      <c r="AF42" s="4">
        <f>+AD_tis!$BD42*AD_tis!AF42*AD_tis!AF$47</f>
        <v>0</v>
      </c>
      <c r="AG42" s="4">
        <f>+AD_tis!$BD42*AD_tis!AG42*AD_tis!AG$47</f>
        <v>0</v>
      </c>
      <c r="AH42" s="4">
        <f>+AD_tis!$BD42*AD_tis!AH42*AD_tis!AH$47</f>
        <v>0</v>
      </c>
      <c r="AI42" s="4">
        <f>+AD_tis!$BD42*AD_tis!AI42*AD_tis!AI$47</f>
        <v>0</v>
      </c>
      <c r="AJ42" s="4">
        <f>+AD_tis!$BD42*AD_tis!AJ42*AD_tis!AJ$47</f>
        <v>0</v>
      </c>
      <c r="AK42" s="4">
        <f>+AD_tis!$BD42*AD_tis!AK42*AD_tis!AK$47</f>
        <v>0</v>
      </c>
      <c r="AL42" s="4">
        <f>+AD_tis!$BD42*AD_tis!AL42*AD_tis!AL$47</f>
        <v>0</v>
      </c>
      <c r="AM42" s="13">
        <f>+AD_tis!$BD42*AD_tis!AM42*AD_tis!AM$47</f>
        <v>0</v>
      </c>
      <c r="AN42" s="4">
        <f>+AD_tis!$BD42*AD_tis!AN42*AD_tis!AN$47</f>
        <v>0</v>
      </c>
      <c r="AO42" s="4">
        <f>+AD_tis!$BD42*AD_tis!AO42*AD_tis!AO$47</f>
        <v>0</v>
      </c>
      <c r="AP42" s="4">
        <f>+AD_tis!$BD42*AD_tis!AP42*AD_tis!AP$47</f>
        <v>0</v>
      </c>
      <c r="AQ42" s="4">
        <f>+AD_tis!$BD42*AD_tis!AQ42*AD_tis!AQ$47</f>
        <v>0</v>
      </c>
      <c r="AR42" s="4">
        <f>+AD_tis!$BD42*AD_tis!AR42*AD_tis!AR$47</f>
        <v>0</v>
      </c>
      <c r="AS42" s="4">
        <f>+AD_tis!$BD42*AD_tis!AS42*AD_tis!AS$47</f>
        <v>0</v>
      </c>
      <c r="AT42" s="4">
        <f>+AD_tis!$BD42*AD_tis!AT42*AD_tis!AT$47</f>
        <v>0</v>
      </c>
      <c r="AU42" s="4">
        <f>+AD_tis!$BD42*AD_tis!AU42*AD_tis!AU$47</f>
        <v>0</v>
      </c>
      <c r="AV42" s="4">
        <f>+AD_tis!$BD42*AD_tis!AV42*AD_tis!AV$47</f>
        <v>0</v>
      </c>
      <c r="AW42" s="12">
        <f>+AD_tis!$BD42*AD_tis!AW42*AD_tis!AW$47</f>
        <v>0</v>
      </c>
      <c r="AX42" s="13">
        <f>+AD_tis!$BD42*AD_tis!AX42*AD_tis!AX$47</f>
        <v>0</v>
      </c>
      <c r="AY42" s="4">
        <f>+AD_tis!$BD42*AD_tis!AY42*AD_tis!AY$47</f>
        <v>0</v>
      </c>
      <c r="AZ42" s="4">
        <f>+AD_tis!$BD42*AD_tis!AZ42*AD_tis!AZ$47</f>
        <v>0</v>
      </c>
      <c r="BA42" s="12">
        <f>+AD_tis!$BD42*AD_tis!BA42*AD_tis!BA$47</f>
        <v>0</v>
      </c>
      <c r="BB42" s="4">
        <f>+AD_tis!$BD42*AD_tis!BB42*AD_tis!BB$47</f>
        <v>0</v>
      </c>
      <c r="BC42" s="13">
        <f>+AD_tis!$BD42*AD_tis!BC42*AD_tis!BC$47</f>
        <v>0</v>
      </c>
    </row>
    <row r="43" spans="1:55" ht="18.75" customHeight="1" x14ac:dyDescent="0.25">
      <c r="A43" s="5" t="s">
        <v>94</v>
      </c>
      <c r="B43" s="12">
        <f>+AD_tis!$BD43*AD_tis!B43*AD_tis!B$47</f>
        <v>0</v>
      </c>
      <c r="C43" s="4">
        <f>+AD_tis!$BD43*AD_tis!C43*AD_tis!C$47</f>
        <v>0</v>
      </c>
      <c r="D43" s="4">
        <f>+AD_tis!$BD43*AD_tis!D43*AD_tis!D$47</f>
        <v>0</v>
      </c>
      <c r="E43" s="4">
        <f>+AD_tis!$BD43*AD_tis!E43*AD_tis!E$47</f>
        <v>0</v>
      </c>
      <c r="F43" s="4">
        <f>+AD_tis!$BD43*AD_tis!F43*AD_tis!F$47</f>
        <v>0</v>
      </c>
      <c r="G43" s="4">
        <f>+AD_tis!$BD43*AD_tis!G43*AD_tis!G$47</f>
        <v>0</v>
      </c>
      <c r="H43" s="4">
        <f>+AD_tis!$BD43*AD_tis!H43*AD_tis!H$47</f>
        <v>0</v>
      </c>
      <c r="I43" s="4">
        <f>+AD_tis!$BD43*AD_tis!I43*AD_tis!I$47</f>
        <v>0</v>
      </c>
      <c r="J43" s="4">
        <f>+AD_tis!$BD43*AD_tis!J43*AD_tis!J$47</f>
        <v>0</v>
      </c>
      <c r="K43" s="4">
        <f>+AD_tis!$BD43*AD_tis!K43*AD_tis!K$47</f>
        <v>0</v>
      </c>
      <c r="L43" s="4">
        <f>+AD_tis!$BD43*AD_tis!L43*AD_tis!L$47</f>
        <v>0</v>
      </c>
      <c r="M43" s="4">
        <f>+AD_tis!$BD43*AD_tis!M43*AD_tis!M$47</f>
        <v>0</v>
      </c>
      <c r="N43" s="4">
        <f>+AD_tis!$BD43*AD_tis!N43*AD_tis!N$47</f>
        <v>0</v>
      </c>
      <c r="O43" s="4">
        <f>+AD_tis!$BD43*AD_tis!O43*AD_tis!O$47</f>
        <v>0</v>
      </c>
      <c r="P43" s="4">
        <f>+AD_tis!$BD43*AD_tis!P43*AD_tis!P$47</f>
        <v>0</v>
      </c>
      <c r="Q43" s="4">
        <f>+AD_tis!$BD43*AD_tis!Q43*AD_tis!Q$47</f>
        <v>0</v>
      </c>
      <c r="R43" s="13">
        <f>+AD_tis!$BD43*AD_tis!R43*AD_tis!R$47</f>
        <v>0</v>
      </c>
      <c r="S43" s="4">
        <f>+AD_tis!$BD43*AD_tis!S43*AD_tis!S$47</f>
        <v>0</v>
      </c>
      <c r="T43" s="4">
        <f>+AD_tis!$BD43*AD_tis!T43*AD_tis!T$47</f>
        <v>0</v>
      </c>
      <c r="U43" s="4">
        <f>+AD_tis!$BD43*AD_tis!U43*AD_tis!U$47</f>
        <v>0</v>
      </c>
      <c r="V43" s="4">
        <f>+AD_tis!$BD43*AD_tis!V43*AD_tis!V$47</f>
        <v>0</v>
      </c>
      <c r="W43" s="4">
        <f>+AD_tis!$BD43*AD_tis!W43*AD_tis!W$47</f>
        <v>0</v>
      </c>
      <c r="X43" s="4">
        <f>+AD_tis!$BD43*AD_tis!X43*AD_tis!X$47</f>
        <v>0</v>
      </c>
      <c r="Y43" s="4">
        <f>+AD_tis!$BD43*AD_tis!Y43*AD_tis!Y$47</f>
        <v>0</v>
      </c>
      <c r="Z43" s="4">
        <f>+AD_tis!$BD43*AD_tis!Z43*AD_tis!Z$47</f>
        <v>0</v>
      </c>
      <c r="AA43" s="4">
        <f>+AD_tis!$BD43*AD_tis!AA43*AD_tis!AA$47</f>
        <v>1</v>
      </c>
      <c r="AB43" s="4">
        <f>+AD_tis!$BD43*AD_tis!AB43*AD_tis!AB$47</f>
        <v>0</v>
      </c>
      <c r="AC43" s="12">
        <f>+AD_tis!$BD43*AD_tis!AC43*AD_tis!AC$47</f>
        <v>0</v>
      </c>
      <c r="AD43" s="4">
        <f>+AD_tis!$BD43*AD_tis!AD43*AD_tis!AD$47</f>
        <v>0</v>
      </c>
      <c r="AE43" s="4">
        <f>+AD_tis!$BD43*AD_tis!AE43*AD_tis!AE$47</f>
        <v>0</v>
      </c>
      <c r="AF43" s="4">
        <f>+AD_tis!$BD43*AD_tis!AF43*AD_tis!AF$47</f>
        <v>0</v>
      </c>
      <c r="AG43" s="4">
        <f>+AD_tis!$BD43*AD_tis!AG43*AD_tis!AG$47</f>
        <v>1</v>
      </c>
      <c r="AH43" s="4">
        <f>+AD_tis!$BD43*AD_tis!AH43*AD_tis!AH$47</f>
        <v>0</v>
      </c>
      <c r="AI43" s="4">
        <f>+AD_tis!$BD43*AD_tis!AI43*AD_tis!AI$47</f>
        <v>0</v>
      </c>
      <c r="AJ43" s="4">
        <f>+AD_tis!$BD43*AD_tis!AJ43*AD_tis!AJ$47</f>
        <v>0</v>
      </c>
      <c r="AK43" s="4">
        <f>+AD_tis!$BD43*AD_tis!AK43*AD_tis!AK$47</f>
        <v>0</v>
      </c>
      <c r="AL43" s="4">
        <f>+AD_tis!$BD43*AD_tis!AL43*AD_tis!AL$47</f>
        <v>0</v>
      </c>
      <c r="AM43" s="13">
        <f>+AD_tis!$BD43*AD_tis!AM43*AD_tis!AM$47</f>
        <v>0</v>
      </c>
      <c r="AN43" s="4">
        <f>+AD_tis!$BD43*AD_tis!AN43*AD_tis!AN$47</f>
        <v>0</v>
      </c>
      <c r="AO43" s="4">
        <f>+AD_tis!$BD43*AD_tis!AO43*AD_tis!AO$47</f>
        <v>0</v>
      </c>
      <c r="AP43" s="4">
        <f>+AD_tis!$BD43*AD_tis!AP43*AD_tis!AP$47</f>
        <v>0</v>
      </c>
      <c r="AQ43" s="4">
        <f>+AD_tis!$BD43*AD_tis!AQ43*AD_tis!AQ$47</f>
        <v>0</v>
      </c>
      <c r="AR43" s="4">
        <f>+AD_tis!$BD43*AD_tis!AR43*AD_tis!AR$47</f>
        <v>0</v>
      </c>
      <c r="AS43" s="4">
        <f>+AD_tis!$BD43*AD_tis!AS43*AD_tis!AS$47</f>
        <v>0</v>
      </c>
      <c r="AT43" s="4">
        <f>+AD_tis!$BD43*AD_tis!AT43*AD_tis!AT$47</f>
        <v>0</v>
      </c>
      <c r="AU43" s="4">
        <f>+AD_tis!$BD43*AD_tis!AU43*AD_tis!AU$47</f>
        <v>0</v>
      </c>
      <c r="AV43" s="4">
        <f>+AD_tis!$BD43*AD_tis!AV43*AD_tis!AV$47</f>
        <v>0</v>
      </c>
      <c r="AW43" s="12">
        <f>+AD_tis!$BD43*AD_tis!AW43*AD_tis!AW$47</f>
        <v>0</v>
      </c>
      <c r="AX43" s="13">
        <f>+AD_tis!$BD43*AD_tis!AX43*AD_tis!AX$47</f>
        <v>0</v>
      </c>
      <c r="AY43" s="4">
        <f>+AD_tis!$BD43*AD_tis!AY43*AD_tis!AY$47</f>
        <v>0</v>
      </c>
      <c r="AZ43" s="4">
        <f>+AD_tis!$BD43*AD_tis!AZ43*AD_tis!AZ$47</f>
        <v>0</v>
      </c>
      <c r="BA43" s="12">
        <f>+AD_tis!$BD43*AD_tis!BA43*AD_tis!BA$47</f>
        <v>0</v>
      </c>
      <c r="BB43" s="4">
        <f>+AD_tis!$BD43*AD_tis!BB43*AD_tis!BB$47</f>
        <v>0</v>
      </c>
      <c r="BC43" s="13">
        <f>+AD_tis!$BD43*AD_tis!BC43*AD_tis!BC$47</f>
        <v>0</v>
      </c>
    </row>
    <row r="44" spans="1:55" ht="18.75" customHeight="1" x14ac:dyDescent="0.25">
      <c r="A44" s="5" t="s">
        <v>95</v>
      </c>
      <c r="B44" s="12">
        <f>+AD_tis!$BD44*AD_tis!B44*AD_tis!B$47</f>
        <v>0</v>
      </c>
      <c r="C44" s="4">
        <f>+AD_tis!$BD44*AD_tis!C44*AD_tis!C$47</f>
        <v>0</v>
      </c>
      <c r="D44" s="4">
        <f>+AD_tis!$BD44*AD_tis!D44*AD_tis!D$47</f>
        <v>0</v>
      </c>
      <c r="E44" s="4">
        <f>+AD_tis!$BD44*AD_tis!E44*AD_tis!E$47</f>
        <v>0</v>
      </c>
      <c r="F44" s="4">
        <f>+AD_tis!$BD44*AD_tis!F44*AD_tis!F$47</f>
        <v>0</v>
      </c>
      <c r="G44" s="4">
        <f>+AD_tis!$BD44*AD_tis!G44*AD_tis!G$47</f>
        <v>0</v>
      </c>
      <c r="H44" s="4">
        <f>+AD_tis!$BD44*AD_tis!H44*AD_tis!H$47</f>
        <v>0</v>
      </c>
      <c r="I44" s="4">
        <f>+AD_tis!$BD44*AD_tis!I44*AD_tis!I$47</f>
        <v>0</v>
      </c>
      <c r="J44" s="4">
        <f>+AD_tis!$BD44*AD_tis!J44*AD_tis!J$47</f>
        <v>0</v>
      </c>
      <c r="K44" s="4">
        <f>+AD_tis!$BD44*AD_tis!K44*AD_tis!K$47</f>
        <v>0</v>
      </c>
      <c r="L44" s="4">
        <f>+AD_tis!$BD44*AD_tis!L44*AD_tis!L$47</f>
        <v>0</v>
      </c>
      <c r="M44" s="4">
        <f>+AD_tis!$BD44*AD_tis!M44*AD_tis!M$47</f>
        <v>0</v>
      </c>
      <c r="N44" s="4">
        <f>+AD_tis!$BD44*AD_tis!N44*AD_tis!N$47</f>
        <v>0</v>
      </c>
      <c r="O44" s="4">
        <f>+AD_tis!$BD44*AD_tis!O44*AD_tis!O$47</f>
        <v>0</v>
      </c>
      <c r="P44" s="4">
        <f>+AD_tis!$BD44*AD_tis!P44*AD_tis!P$47</f>
        <v>0</v>
      </c>
      <c r="Q44" s="4">
        <f>+AD_tis!$BD44*AD_tis!Q44*AD_tis!Q$47</f>
        <v>0</v>
      </c>
      <c r="R44" s="13">
        <f>+AD_tis!$BD44*AD_tis!R44*AD_tis!R$47</f>
        <v>0</v>
      </c>
      <c r="S44" s="4">
        <f>+AD_tis!$BD44*AD_tis!S44*AD_tis!S$47</f>
        <v>0</v>
      </c>
      <c r="T44" s="4">
        <f>+AD_tis!$BD44*AD_tis!T44*AD_tis!T$47</f>
        <v>0</v>
      </c>
      <c r="U44" s="4">
        <f>+AD_tis!$BD44*AD_tis!U44*AD_tis!U$47</f>
        <v>0</v>
      </c>
      <c r="V44" s="4">
        <f>+AD_tis!$BD44*AD_tis!V44*AD_tis!V$47</f>
        <v>0</v>
      </c>
      <c r="W44" s="4">
        <f>+AD_tis!$BD44*AD_tis!W44*AD_tis!W$47</f>
        <v>0</v>
      </c>
      <c r="X44" s="4">
        <f>+AD_tis!$BD44*AD_tis!X44*AD_tis!X$47</f>
        <v>0</v>
      </c>
      <c r="Y44" s="4">
        <f>+AD_tis!$BD44*AD_tis!Y44*AD_tis!Y$47</f>
        <v>0</v>
      </c>
      <c r="Z44" s="4">
        <f>+AD_tis!$BD44*AD_tis!Z44*AD_tis!Z$47</f>
        <v>0</v>
      </c>
      <c r="AA44" s="4">
        <f>+AD_tis!$BD44*AD_tis!AA44*AD_tis!AA$47</f>
        <v>1</v>
      </c>
      <c r="AB44" s="4">
        <f>+AD_tis!$BD44*AD_tis!AB44*AD_tis!AB$47</f>
        <v>0</v>
      </c>
      <c r="AC44" s="12">
        <f>+AD_tis!$BD44*AD_tis!AC44*AD_tis!AC$47</f>
        <v>0</v>
      </c>
      <c r="AD44" s="4">
        <f>+AD_tis!$BD44*AD_tis!AD44*AD_tis!AD$47</f>
        <v>0</v>
      </c>
      <c r="AE44" s="4">
        <f>+AD_tis!$BD44*AD_tis!AE44*AD_tis!AE$47</f>
        <v>0</v>
      </c>
      <c r="AF44" s="4">
        <f>+AD_tis!$BD44*AD_tis!AF44*AD_tis!AF$47</f>
        <v>0</v>
      </c>
      <c r="AG44" s="4">
        <f>+AD_tis!$BD44*AD_tis!AG44*AD_tis!AG$47</f>
        <v>1</v>
      </c>
      <c r="AH44" s="4">
        <f>+AD_tis!$BD44*AD_tis!AH44*AD_tis!AH$47</f>
        <v>0</v>
      </c>
      <c r="AI44" s="4">
        <f>+AD_tis!$BD44*AD_tis!AI44*AD_tis!AI$47</f>
        <v>0</v>
      </c>
      <c r="AJ44" s="4">
        <f>+AD_tis!$BD44*AD_tis!AJ44*AD_tis!AJ$47</f>
        <v>0</v>
      </c>
      <c r="AK44" s="4">
        <f>+AD_tis!$BD44*AD_tis!AK44*AD_tis!AK$47</f>
        <v>0</v>
      </c>
      <c r="AL44" s="4">
        <f>+AD_tis!$BD44*AD_tis!AL44*AD_tis!AL$47</f>
        <v>0</v>
      </c>
      <c r="AM44" s="13">
        <f>+AD_tis!$BD44*AD_tis!AM44*AD_tis!AM$47</f>
        <v>0</v>
      </c>
      <c r="AN44" s="4">
        <f>+AD_tis!$BD44*AD_tis!AN44*AD_tis!AN$47</f>
        <v>0</v>
      </c>
      <c r="AO44" s="4">
        <f>+AD_tis!$BD44*AD_tis!AO44*AD_tis!AO$47</f>
        <v>0</v>
      </c>
      <c r="AP44" s="4">
        <f>+AD_tis!$BD44*AD_tis!AP44*AD_tis!AP$47</f>
        <v>0</v>
      </c>
      <c r="AQ44" s="4">
        <f>+AD_tis!$BD44*AD_tis!AQ44*AD_tis!AQ$47</f>
        <v>0</v>
      </c>
      <c r="AR44" s="4">
        <f>+AD_tis!$BD44*AD_tis!AR44*AD_tis!AR$47</f>
        <v>0</v>
      </c>
      <c r="AS44" s="4">
        <f>+AD_tis!$BD44*AD_tis!AS44*AD_tis!AS$47</f>
        <v>0</v>
      </c>
      <c r="AT44" s="4">
        <f>+AD_tis!$BD44*AD_tis!AT44*AD_tis!AT$47</f>
        <v>0</v>
      </c>
      <c r="AU44" s="4">
        <f>+AD_tis!$BD44*AD_tis!AU44*AD_tis!AU$47</f>
        <v>0</v>
      </c>
      <c r="AV44" s="4">
        <f>+AD_tis!$BD44*AD_tis!AV44*AD_tis!AV$47</f>
        <v>0</v>
      </c>
      <c r="AW44" s="12">
        <f>+AD_tis!$BD44*AD_tis!AW44*AD_tis!AW$47</f>
        <v>0</v>
      </c>
      <c r="AX44" s="13">
        <f>+AD_tis!$BD44*AD_tis!AX44*AD_tis!AX$47</f>
        <v>0</v>
      </c>
      <c r="AY44" s="4">
        <f>+AD_tis!$BD44*AD_tis!AY44*AD_tis!AY$47</f>
        <v>0</v>
      </c>
      <c r="AZ44" s="4">
        <f>+AD_tis!$BD44*AD_tis!AZ44*AD_tis!AZ$47</f>
        <v>0</v>
      </c>
      <c r="BA44" s="12">
        <f>+AD_tis!$BD44*AD_tis!BA44*AD_tis!BA$47</f>
        <v>0</v>
      </c>
      <c r="BB44" s="4">
        <f>+AD_tis!$BD44*AD_tis!BB44*AD_tis!BB$47</f>
        <v>0</v>
      </c>
      <c r="BC44" s="13">
        <f>+AD_tis!$BD44*AD_tis!BC44*AD_tis!BC$47</f>
        <v>0</v>
      </c>
    </row>
    <row r="45" spans="1:55" ht="18.75" customHeight="1" x14ac:dyDescent="0.25">
      <c r="A45" s="5" t="s">
        <v>96</v>
      </c>
      <c r="B45" s="12">
        <f>+AD_tis!$BD45*AD_tis!B45*AD_tis!B$47</f>
        <v>0</v>
      </c>
      <c r="C45" s="4">
        <f>+AD_tis!$BD45*AD_tis!C45*AD_tis!C$47</f>
        <v>0</v>
      </c>
      <c r="D45" s="4">
        <f>+AD_tis!$BD45*AD_tis!D45*AD_tis!D$47</f>
        <v>1</v>
      </c>
      <c r="E45" s="4">
        <f>+AD_tis!$BD45*AD_tis!E45*AD_tis!E$47</f>
        <v>0</v>
      </c>
      <c r="F45" s="4">
        <f>+AD_tis!$BD45*AD_tis!F45*AD_tis!F$47</f>
        <v>0</v>
      </c>
      <c r="G45" s="4">
        <f>+AD_tis!$BD45*AD_tis!G45*AD_tis!G$47</f>
        <v>0</v>
      </c>
      <c r="H45" s="4">
        <f>+AD_tis!$BD45*AD_tis!H45*AD_tis!H$47</f>
        <v>0</v>
      </c>
      <c r="I45" s="4">
        <f>+AD_tis!$BD45*AD_tis!I45*AD_tis!I$47</f>
        <v>0</v>
      </c>
      <c r="J45" s="4">
        <f>+AD_tis!$BD45*AD_tis!J45*AD_tis!J$47</f>
        <v>1</v>
      </c>
      <c r="K45" s="4">
        <f>+AD_tis!$BD45*AD_tis!K45*AD_tis!K$47</f>
        <v>0</v>
      </c>
      <c r="L45" s="4">
        <f>+AD_tis!$BD45*AD_tis!L45*AD_tis!L$47</f>
        <v>1</v>
      </c>
      <c r="M45" s="4">
        <f>+AD_tis!$BD45*AD_tis!M45*AD_tis!M$47</f>
        <v>1</v>
      </c>
      <c r="N45" s="4">
        <f>+AD_tis!$BD45*AD_tis!N45*AD_tis!N$47</f>
        <v>1</v>
      </c>
      <c r="O45" s="4">
        <f>+AD_tis!$BD45*AD_tis!O45*AD_tis!O$47</f>
        <v>0</v>
      </c>
      <c r="P45" s="4">
        <f>+AD_tis!$BD45*AD_tis!P45*AD_tis!P$47</f>
        <v>0</v>
      </c>
      <c r="Q45" s="4">
        <f>+AD_tis!$BD45*AD_tis!Q45*AD_tis!Q$47</f>
        <v>0</v>
      </c>
      <c r="R45" s="13">
        <f>+AD_tis!$BD45*AD_tis!R45*AD_tis!R$47</f>
        <v>1</v>
      </c>
      <c r="S45" s="4">
        <f>+AD_tis!$BD45*AD_tis!S45*AD_tis!S$47</f>
        <v>0</v>
      </c>
      <c r="T45" s="4">
        <f>+AD_tis!$BD45*AD_tis!T45*AD_tis!T$47</f>
        <v>0</v>
      </c>
      <c r="U45" s="4">
        <f>+AD_tis!$BD45*AD_tis!U45*AD_tis!U$47</f>
        <v>0</v>
      </c>
      <c r="V45" s="4">
        <f>+AD_tis!$BD45*AD_tis!V45*AD_tis!V$47</f>
        <v>0</v>
      </c>
      <c r="W45" s="4">
        <f>+AD_tis!$BD45*AD_tis!W45*AD_tis!W$47</f>
        <v>0</v>
      </c>
      <c r="X45" s="4">
        <f>+AD_tis!$BD45*AD_tis!X45*AD_tis!X$47</f>
        <v>0</v>
      </c>
      <c r="Y45" s="4">
        <f>+AD_tis!$BD45*AD_tis!Y45*AD_tis!Y$47</f>
        <v>0</v>
      </c>
      <c r="Z45" s="4">
        <f>+AD_tis!$BD45*AD_tis!Z45*AD_tis!Z$47</f>
        <v>0</v>
      </c>
      <c r="AA45" s="4">
        <f>+AD_tis!$BD45*AD_tis!AA45*AD_tis!AA$47</f>
        <v>0</v>
      </c>
      <c r="AB45" s="4">
        <f>+AD_tis!$BD45*AD_tis!AB45*AD_tis!AB$47</f>
        <v>0</v>
      </c>
      <c r="AC45" s="12">
        <f>+AD_tis!$BD45*AD_tis!AC45*AD_tis!AC$47</f>
        <v>0</v>
      </c>
      <c r="AD45" s="4">
        <f>+AD_tis!$BD45*AD_tis!AD45*AD_tis!AD$47</f>
        <v>0</v>
      </c>
      <c r="AE45" s="4">
        <f>+AD_tis!$BD45*AD_tis!AE45*AD_tis!AE$47</f>
        <v>0</v>
      </c>
      <c r="AF45" s="4">
        <f>+AD_tis!$BD45*AD_tis!AF45*AD_tis!AF$47</f>
        <v>0</v>
      </c>
      <c r="AG45" s="4">
        <f>+AD_tis!$BD45*AD_tis!AG45*AD_tis!AG$47</f>
        <v>0</v>
      </c>
      <c r="AH45" s="4">
        <f>+AD_tis!$BD45*AD_tis!AH45*AD_tis!AH$47</f>
        <v>0</v>
      </c>
      <c r="AI45" s="4">
        <f>+AD_tis!$BD45*AD_tis!AI45*AD_tis!AI$47</f>
        <v>0</v>
      </c>
      <c r="AJ45" s="4">
        <f>+AD_tis!$BD45*AD_tis!AJ45*AD_tis!AJ$47</f>
        <v>0</v>
      </c>
      <c r="AK45" s="4">
        <f>+AD_tis!$BD45*AD_tis!AK45*AD_tis!AK$47</f>
        <v>0</v>
      </c>
      <c r="AL45" s="4">
        <f>+AD_tis!$BD45*AD_tis!AL45*AD_tis!AL$47</f>
        <v>0</v>
      </c>
      <c r="AM45" s="13">
        <f>+AD_tis!$BD45*AD_tis!AM45*AD_tis!AM$47</f>
        <v>0</v>
      </c>
      <c r="AN45" s="4">
        <f>+AD_tis!$BD45*AD_tis!AN45*AD_tis!AN$47</f>
        <v>1</v>
      </c>
      <c r="AO45" s="4">
        <f>+AD_tis!$BD45*AD_tis!AO45*AD_tis!AO$47</f>
        <v>0</v>
      </c>
      <c r="AP45" s="4">
        <f>+AD_tis!$BD45*AD_tis!AP45*AD_tis!AP$47</f>
        <v>0</v>
      </c>
      <c r="AQ45" s="4">
        <f>+AD_tis!$BD45*AD_tis!AQ45*AD_tis!AQ$47</f>
        <v>1</v>
      </c>
      <c r="AR45" s="4">
        <f>+AD_tis!$BD45*AD_tis!AR45*AD_tis!AR$47</f>
        <v>0</v>
      </c>
      <c r="AS45" s="4">
        <f>+AD_tis!$BD45*AD_tis!AS45*AD_tis!AS$47</f>
        <v>0</v>
      </c>
      <c r="AT45" s="4">
        <f>+AD_tis!$BD45*AD_tis!AT45*AD_tis!AT$47</f>
        <v>0</v>
      </c>
      <c r="AU45" s="4">
        <f>+AD_tis!$BD45*AD_tis!AU45*AD_tis!AU$47</f>
        <v>0</v>
      </c>
      <c r="AV45" s="4">
        <f>+AD_tis!$BD45*AD_tis!AV45*AD_tis!AV$47</f>
        <v>0</v>
      </c>
      <c r="AW45" s="12">
        <f>+AD_tis!$BD45*AD_tis!AW45*AD_tis!AW$47</f>
        <v>0</v>
      </c>
      <c r="AX45" s="13">
        <f>+AD_tis!$BD45*AD_tis!AX45*AD_tis!AX$47</f>
        <v>0</v>
      </c>
      <c r="AY45" s="4">
        <f>+AD_tis!$BD45*AD_tis!AY45*AD_tis!AY$47</f>
        <v>0</v>
      </c>
      <c r="AZ45" s="4">
        <f>+AD_tis!$BD45*AD_tis!AZ45*AD_tis!AZ$47</f>
        <v>1</v>
      </c>
      <c r="BA45" s="12">
        <f>+AD_tis!$BD45*AD_tis!BA45*AD_tis!BA$47</f>
        <v>0</v>
      </c>
      <c r="BB45" s="4">
        <f>+AD_tis!$BD45*AD_tis!BB45*AD_tis!BB$47</f>
        <v>0</v>
      </c>
      <c r="BC45" s="13">
        <f>+AD_tis!$BD45*AD_tis!BC45*AD_tis!BC$47</f>
        <v>0</v>
      </c>
    </row>
    <row r="46" spans="1:55" ht="18.75" customHeight="1" x14ac:dyDescent="0.25">
      <c r="A46" s="6" t="s">
        <v>97</v>
      </c>
      <c r="B46" s="12">
        <f>+AD_tis!$BD46*AD_tis!B46*AD_tis!B$47</f>
        <v>0</v>
      </c>
      <c r="C46" s="4">
        <f>+AD_tis!$BD46*AD_tis!C46*AD_tis!C$47</f>
        <v>0</v>
      </c>
      <c r="D46" s="4">
        <f>+AD_tis!$BD46*AD_tis!D46*AD_tis!D$47</f>
        <v>0</v>
      </c>
      <c r="E46" s="4">
        <f>+AD_tis!$BD46*AD_tis!E46*AD_tis!E$47</f>
        <v>0</v>
      </c>
      <c r="F46" s="4">
        <f>+AD_tis!$BD46*AD_tis!F46*AD_tis!F$47</f>
        <v>0</v>
      </c>
      <c r="G46" s="4">
        <f>+AD_tis!$BD46*AD_tis!G46*AD_tis!G$47</f>
        <v>0</v>
      </c>
      <c r="H46" s="4">
        <f>+AD_tis!$BD46*AD_tis!H46*AD_tis!H$47</f>
        <v>0</v>
      </c>
      <c r="I46" s="4">
        <f>+AD_tis!$BD46*AD_tis!I46*AD_tis!I$47</f>
        <v>0</v>
      </c>
      <c r="J46" s="4">
        <f>+AD_tis!$BD46*AD_tis!J46*AD_tis!J$47</f>
        <v>0</v>
      </c>
      <c r="K46" s="4">
        <f>+AD_tis!$BD46*AD_tis!K46*AD_tis!K$47</f>
        <v>0</v>
      </c>
      <c r="L46" s="4">
        <f>+AD_tis!$BD46*AD_tis!L46*AD_tis!L$47</f>
        <v>0</v>
      </c>
      <c r="M46" s="4">
        <f>+AD_tis!$BD46*AD_tis!M46*AD_tis!M$47</f>
        <v>0</v>
      </c>
      <c r="N46" s="4">
        <f>+AD_tis!$BD46*AD_tis!N46*AD_tis!N$47</f>
        <v>0</v>
      </c>
      <c r="O46" s="4">
        <f>+AD_tis!$BD46*AD_tis!O46*AD_tis!O$47</f>
        <v>0</v>
      </c>
      <c r="P46" s="4">
        <f>+AD_tis!$BD46*AD_tis!P46*AD_tis!P$47</f>
        <v>0</v>
      </c>
      <c r="Q46" s="4">
        <f>+AD_tis!$BD46*AD_tis!Q46*AD_tis!Q$47</f>
        <v>0</v>
      </c>
      <c r="R46" s="13">
        <f>+AD_tis!$BD46*AD_tis!R46*AD_tis!R$47</f>
        <v>0</v>
      </c>
      <c r="S46" s="4">
        <f>+AD_tis!$BD46*AD_tis!S46*AD_tis!S$47</f>
        <v>0</v>
      </c>
      <c r="T46" s="4">
        <f>+AD_tis!$BD46*AD_tis!T46*AD_tis!T$47</f>
        <v>0</v>
      </c>
      <c r="U46" s="4">
        <f>+AD_tis!$BD46*AD_tis!U46*AD_tis!U$47</f>
        <v>0</v>
      </c>
      <c r="V46" s="4">
        <f>+AD_tis!$BD46*AD_tis!V46*AD_tis!V$47</f>
        <v>0</v>
      </c>
      <c r="W46" s="4">
        <f>+AD_tis!$BD46*AD_tis!W46*AD_tis!W$47</f>
        <v>0</v>
      </c>
      <c r="X46" s="4">
        <f>+AD_tis!$BD46*AD_tis!X46*AD_tis!X$47</f>
        <v>0</v>
      </c>
      <c r="Y46" s="4">
        <f>+AD_tis!$BD46*AD_tis!Y46*AD_tis!Y$47</f>
        <v>0</v>
      </c>
      <c r="Z46" s="4">
        <f>+AD_tis!$BD46*AD_tis!Z46*AD_tis!Z$47</f>
        <v>0</v>
      </c>
      <c r="AA46" s="4">
        <f>+AD_tis!$BD46*AD_tis!AA46*AD_tis!AA$47</f>
        <v>1</v>
      </c>
      <c r="AB46" s="4">
        <f>+AD_tis!$BD46*AD_tis!AB46*AD_tis!AB$47</f>
        <v>0</v>
      </c>
      <c r="AC46" s="12">
        <f>+AD_tis!$BD46*AD_tis!AC46*AD_tis!AC$47</f>
        <v>0</v>
      </c>
      <c r="AD46" s="4">
        <f>+AD_tis!$BD46*AD_tis!AD46*AD_tis!AD$47</f>
        <v>0</v>
      </c>
      <c r="AE46" s="4">
        <f>+AD_tis!$BD46*AD_tis!AE46*AD_tis!AE$47</f>
        <v>0</v>
      </c>
      <c r="AF46" s="4">
        <f>+AD_tis!$BD46*AD_tis!AF46*AD_tis!AF$47</f>
        <v>0</v>
      </c>
      <c r="AG46" s="4">
        <f>+AD_tis!$BD46*AD_tis!AG46*AD_tis!AG$47</f>
        <v>1</v>
      </c>
      <c r="AH46" s="4">
        <f>+AD_tis!$BD46*AD_tis!AH46*AD_tis!AH$47</f>
        <v>0</v>
      </c>
      <c r="AI46" s="4">
        <f>+AD_tis!$BD46*AD_tis!AI46*AD_tis!AI$47</f>
        <v>0</v>
      </c>
      <c r="AJ46" s="4">
        <f>+AD_tis!$BD46*AD_tis!AJ46*AD_tis!AJ$47</f>
        <v>0</v>
      </c>
      <c r="AK46" s="4">
        <f>+AD_tis!$BD46*AD_tis!AK46*AD_tis!AK$47</f>
        <v>0</v>
      </c>
      <c r="AL46" s="4">
        <f>+AD_tis!$BD46*AD_tis!AL46*AD_tis!AL$47</f>
        <v>0</v>
      </c>
      <c r="AM46" s="13">
        <f>+AD_tis!$BD46*AD_tis!AM46*AD_tis!AM$47</f>
        <v>0</v>
      </c>
      <c r="AN46" s="4">
        <f>+AD_tis!$BD46*AD_tis!AN46*AD_tis!AN$47</f>
        <v>0</v>
      </c>
      <c r="AO46" s="4">
        <f>+AD_tis!$BD46*AD_tis!AO46*AD_tis!AO$47</f>
        <v>0</v>
      </c>
      <c r="AP46" s="4">
        <f>+AD_tis!$BD46*AD_tis!AP46*AD_tis!AP$47</f>
        <v>0</v>
      </c>
      <c r="AQ46" s="4">
        <f>+AD_tis!$BD46*AD_tis!AQ46*AD_tis!AQ$47</f>
        <v>0</v>
      </c>
      <c r="AR46" s="4">
        <f>+AD_tis!$BD46*AD_tis!AR46*AD_tis!AR$47</f>
        <v>0</v>
      </c>
      <c r="AS46" s="4">
        <f>+AD_tis!$BD46*AD_tis!AS46*AD_tis!AS$47</f>
        <v>0</v>
      </c>
      <c r="AT46" s="4">
        <f>+AD_tis!$BD46*AD_tis!AT46*AD_tis!AT$47</f>
        <v>0</v>
      </c>
      <c r="AU46" s="4">
        <f>+AD_tis!$BD46*AD_tis!AU46*AD_tis!AU$47</f>
        <v>0</v>
      </c>
      <c r="AV46" s="4">
        <f>+AD_tis!$BD46*AD_tis!AV46*AD_tis!AV$47</f>
        <v>0</v>
      </c>
      <c r="AW46" s="12">
        <f>+AD_tis!$BD46*AD_tis!AW46*AD_tis!AW$47</f>
        <v>0</v>
      </c>
      <c r="AX46" s="13">
        <f>+AD_tis!$BD46*AD_tis!AX46*AD_tis!AX$47</f>
        <v>0</v>
      </c>
      <c r="AY46" s="4">
        <f>+AD_tis!$BD46*AD_tis!AY46*AD_tis!AY$47</f>
        <v>0</v>
      </c>
      <c r="AZ46" s="4">
        <f>+AD_tis!$BD46*AD_tis!AZ46*AD_tis!AZ$47</f>
        <v>0</v>
      </c>
      <c r="BA46" s="12">
        <f>+AD_tis!$BD46*AD_tis!BA46*AD_tis!BA$47</f>
        <v>0</v>
      </c>
      <c r="BB46" s="4">
        <f>+AD_tis!$BD46*AD_tis!BB46*AD_tis!BB$47</f>
        <v>0</v>
      </c>
      <c r="BC46" s="13">
        <f>+AD_tis!$BD46*AD_tis!BC46*AD_tis!BC$47</f>
        <v>0</v>
      </c>
    </row>
  </sheetData>
  <conditionalFormatting sqref="B2:BC46">
    <cfRule type="cellIs" dxfId="16" priority="1" operator="equal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</cols>
  <sheetData>
    <row r="1" spans="1:55" ht="18.7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8.75" customHeight="1" x14ac:dyDescent="0.25">
      <c r="A2" s="3" t="str">
        <f>"T"&amp;_xlfn.SEQUENCE(36,1,1,1)</f>
        <v>T1</v>
      </c>
      <c r="B2" s="9">
        <f>+AD_tis!B2*AD_tis!B$48*AD_tis!$BE2</f>
        <v>0</v>
      </c>
      <c r="C2" s="10">
        <f>+AD_tis!C2*AD_tis!C$48*AD_tis!$BE2</f>
        <v>0</v>
      </c>
      <c r="D2" s="10">
        <f>+AD_tis!D2*AD_tis!D$48*AD_tis!$BE2</f>
        <v>0</v>
      </c>
      <c r="E2" s="10">
        <f>+AD_tis!E2*AD_tis!E$48*AD_tis!$BE2</f>
        <v>0</v>
      </c>
      <c r="F2" s="10">
        <f>+AD_tis!F2*AD_tis!F$48*AD_tis!$BE2</f>
        <v>0</v>
      </c>
      <c r="G2" s="10">
        <f>+AD_tis!G2*AD_tis!G$48*AD_tis!$BE2</f>
        <v>0</v>
      </c>
      <c r="H2" s="10">
        <f>+AD_tis!H2*AD_tis!H$48*AD_tis!$BE2</f>
        <v>0</v>
      </c>
      <c r="I2" s="10">
        <f>+AD_tis!I2*AD_tis!I$48*AD_tis!$BE2</f>
        <v>0</v>
      </c>
      <c r="J2" s="10">
        <f>+AD_tis!J2*AD_tis!J$48*AD_tis!$BE2</f>
        <v>0</v>
      </c>
      <c r="K2" s="10">
        <f>+AD_tis!K2*AD_tis!K$48*AD_tis!$BE2</f>
        <v>0</v>
      </c>
      <c r="L2" s="10">
        <f>+AD_tis!L2*AD_tis!L$48*AD_tis!$BE2</f>
        <v>0</v>
      </c>
      <c r="M2" s="10">
        <f>+AD_tis!M2*AD_tis!M$48*AD_tis!$BE2</f>
        <v>1</v>
      </c>
      <c r="N2" s="10">
        <f>+AD_tis!N2*AD_tis!N$48*AD_tis!$BE2</f>
        <v>0</v>
      </c>
      <c r="O2" s="10">
        <f>+AD_tis!O2*AD_tis!O$48*AD_tis!$BE2</f>
        <v>0</v>
      </c>
      <c r="P2" s="10">
        <f>+AD_tis!P2*AD_tis!P$48*AD_tis!$BE2</f>
        <v>0</v>
      </c>
      <c r="Q2" s="10">
        <f>+AD_tis!Q2*AD_tis!Q$48*AD_tis!$BE2</f>
        <v>0</v>
      </c>
      <c r="R2" s="11">
        <f>+AD_tis!R2*AD_tis!R$48*AD_tis!$BE2</f>
        <v>0</v>
      </c>
      <c r="S2" s="10">
        <f>+AD_tis!S2*AD_tis!S$48*AD_tis!$BE2</f>
        <v>0</v>
      </c>
      <c r="T2" s="10">
        <f>+AD_tis!T2*AD_tis!T$48*AD_tis!$BE2</f>
        <v>0</v>
      </c>
      <c r="U2" s="10">
        <f>+AD_tis!U2*AD_tis!U$48*AD_tis!$BE2</f>
        <v>0</v>
      </c>
      <c r="V2" s="10">
        <f>+AD_tis!V2*AD_tis!V$48*AD_tis!$BE2</f>
        <v>0</v>
      </c>
      <c r="W2" s="10">
        <f>+AD_tis!W2*AD_tis!W$48*AD_tis!$BE2</f>
        <v>0</v>
      </c>
      <c r="X2" s="10">
        <f>+AD_tis!X2*AD_tis!X$48*AD_tis!$BE2</f>
        <v>0</v>
      </c>
      <c r="Y2" s="10">
        <f>+AD_tis!Y2*AD_tis!Y$48*AD_tis!$BE2</f>
        <v>0</v>
      </c>
      <c r="Z2" s="10">
        <f>+AD_tis!Z2*AD_tis!Z$48*AD_tis!$BE2</f>
        <v>0</v>
      </c>
      <c r="AA2" s="10">
        <f>+AD_tis!AA2*AD_tis!AA$48*AD_tis!$BE2</f>
        <v>0</v>
      </c>
      <c r="AB2" s="10">
        <f>+AD_tis!AB2*AD_tis!AB$48*AD_tis!$BE2</f>
        <v>0</v>
      </c>
      <c r="AC2" s="9">
        <f>+AD_tis!AC2*AD_tis!AC$48*AD_tis!$BE2</f>
        <v>0</v>
      </c>
      <c r="AD2" s="10">
        <f>+AD_tis!AD2*AD_tis!AD$48*AD_tis!$BE2</f>
        <v>0</v>
      </c>
      <c r="AE2" s="10">
        <f>+AD_tis!AE2*AD_tis!AE$48*AD_tis!$BE2</f>
        <v>0</v>
      </c>
      <c r="AF2" s="10">
        <f>+AD_tis!AF2*AD_tis!AF$48*AD_tis!$BE2</f>
        <v>0</v>
      </c>
      <c r="AG2" s="10">
        <f>+AD_tis!AG2*AD_tis!AG$48*AD_tis!$BE2</f>
        <v>0</v>
      </c>
      <c r="AH2" s="10">
        <f>+AD_tis!AH2*AD_tis!AH$48*AD_tis!$BE2</f>
        <v>0</v>
      </c>
      <c r="AI2" s="10">
        <f>+AD_tis!AI2*AD_tis!AI$48*AD_tis!$BE2</f>
        <v>0</v>
      </c>
      <c r="AJ2" s="10">
        <f>+AD_tis!AJ2*AD_tis!AJ$48*AD_tis!$BE2</f>
        <v>0</v>
      </c>
      <c r="AK2" s="10">
        <f>+AD_tis!AK2*AD_tis!AK$48*AD_tis!$BE2</f>
        <v>0</v>
      </c>
      <c r="AL2" s="10">
        <f>+AD_tis!AL2*AD_tis!AL$48*AD_tis!$BE2</f>
        <v>0</v>
      </c>
      <c r="AM2" s="11">
        <f>+AD_tis!AM2*AD_tis!AM$48*AD_tis!$BE2</f>
        <v>0</v>
      </c>
      <c r="AN2" s="10">
        <f>+AD_tis!AN2*AD_tis!AN$48*AD_tis!$BE2</f>
        <v>0</v>
      </c>
      <c r="AO2" s="10">
        <f>+AD_tis!AO2*AD_tis!AO$48*AD_tis!$BE2</f>
        <v>0</v>
      </c>
      <c r="AP2" s="10">
        <f>+AD_tis!AP2*AD_tis!AP$48*AD_tis!$BE2</f>
        <v>0</v>
      </c>
      <c r="AQ2" s="10">
        <f>+AD_tis!AQ2*AD_tis!AQ$48*AD_tis!$BE2</f>
        <v>0</v>
      </c>
      <c r="AR2" s="10">
        <f>+AD_tis!AR2*AD_tis!AR$48*AD_tis!$BE2</f>
        <v>0</v>
      </c>
      <c r="AS2" s="10">
        <f>+AD_tis!AS2*AD_tis!AS$48*AD_tis!$BE2</f>
        <v>0</v>
      </c>
      <c r="AT2" s="10">
        <f>+AD_tis!AT2*AD_tis!AT$48*AD_tis!$BE2</f>
        <v>0</v>
      </c>
      <c r="AU2" s="10">
        <f>+AD_tis!AU2*AD_tis!AU$48*AD_tis!$BE2</f>
        <v>0</v>
      </c>
      <c r="AV2" s="10">
        <f>+AD_tis!AV2*AD_tis!AV$48*AD_tis!$BE2</f>
        <v>0</v>
      </c>
      <c r="AW2" s="9">
        <f>+AD_tis!AW2*AD_tis!AW$48*AD_tis!$BE2</f>
        <v>0</v>
      </c>
      <c r="AX2" s="11">
        <f>+AD_tis!AX2*AD_tis!AX$48*AD_tis!$BE2</f>
        <v>0</v>
      </c>
      <c r="AY2" s="10">
        <f>+AD_tis!AY2*AD_tis!AY$48*AD_tis!$BE2</f>
        <v>0</v>
      </c>
      <c r="AZ2" s="10">
        <f>+AD_tis!AZ2*AD_tis!AZ$48*AD_tis!$BE2</f>
        <v>0</v>
      </c>
      <c r="BA2" s="9">
        <f>+AD_tis!BA2*AD_tis!BA$48*AD_tis!$BE2</f>
        <v>0</v>
      </c>
      <c r="BB2" s="10">
        <f>+AD_tis!BB2*AD_tis!BB$48*AD_tis!$BE2</f>
        <v>0</v>
      </c>
      <c r="BC2" s="11">
        <f>+AD_tis!BC2*AD_tis!BC$48*AD_tis!$BE2</f>
        <v>0</v>
      </c>
    </row>
    <row r="3" spans="1:55" ht="18.75" customHeight="1" x14ac:dyDescent="0.25">
      <c r="A3" s="5" t="s">
        <v>54</v>
      </c>
      <c r="B3" s="12">
        <f>+AD_tis!B3*AD_tis!B$48*AD_tis!$BE3</f>
        <v>0</v>
      </c>
      <c r="C3" s="4">
        <f>+AD_tis!C3*AD_tis!C$48*AD_tis!$BE3</f>
        <v>0</v>
      </c>
      <c r="D3" s="4">
        <f>+AD_tis!D3*AD_tis!D$48*AD_tis!$BE3</f>
        <v>0</v>
      </c>
      <c r="E3" s="4">
        <f>+AD_tis!E3*AD_tis!E$48*AD_tis!$BE3</f>
        <v>0</v>
      </c>
      <c r="F3" s="4">
        <f>+AD_tis!F3*AD_tis!F$48*AD_tis!$BE3</f>
        <v>0</v>
      </c>
      <c r="G3" s="4">
        <f>+AD_tis!G3*AD_tis!G$48*AD_tis!$BE3</f>
        <v>1</v>
      </c>
      <c r="H3" s="4">
        <f>+AD_tis!H3*AD_tis!H$48*AD_tis!$BE3</f>
        <v>0</v>
      </c>
      <c r="I3" s="4">
        <f>+AD_tis!I3*AD_tis!I$48*AD_tis!$BE3</f>
        <v>0</v>
      </c>
      <c r="J3" s="4">
        <f>+AD_tis!J3*AD_tis!J$48*AD_tis!$BE3</f>
        <v>0</v>
      </c>
      <c r="K3" s="4">
        <f>+AD_tis!K3*AD_tis!K$48*AD_tis!$BE3</f>
        <v>0</v>
      </c>
      <c r="L3" s="4">
        <f>+AD_tis!L3*AD_tis!L$48*AD_tis!$BE3</f>
        <v>0</v>
      </c>
      <c r="M3" s="4">
        <f>+AD_tis!M3*AD_tis!M$48*AD_tis!$BE3</f>
        <v>1</v>
      </c>
      <c r="N3" s="4">
        <f>+AD_tis!N3*AD_tis!N$48*AD_tis!$BE3</f>
        <v>0</v>
      </c>
      <c r="O3" s="4">
        <f>+AD_tis!O3*AD_tis!O$48*AD_tis!$BE3</f>
        <v>0</v>
      </c>
      <c r="P3" s="4">
        <f>+AD_tis!P3*AD_tis!P$48*AD_tis!$BE3</f>
        <v>0</v>
      </c>
      <c r="Q3" s="4">
        <f>+AD_tis!Q3*AD_tis!Q$48*AD_tis!$BE3</f>
        <v>1</v>
      </c>
      <c r="R3" s="13">
        <f>+AD_tis!R3*AD_tis!R$48*AD_tis!$BE3</f>
        <v>0</v>
      </c>
      <c r="S3" s="4">
        <f>+AD_tis!S3*AD_tis!S$48*AD_tis!$BE3</f>
        <v>0</v>
      </c>
      <c r="T3" s="4">
        <f>+AD_tis!T3*AD_tis!T$48*AD_tis!$BE3</f>
        <v>0</v>
      </c>
      <c r="U3" s="4">
        <f>+AD_tis!U3*AD_tis!U$48*AD_tis!$BE3</f>
        <v>0</v>
      </c>
      <c r="V3" s="4">
        <f>+AD_tis!V3*AD_tis!V$48*AD_tis!$BE3</f>
        <v>0</v>
      </c>
      <c r="W3" s="4">
        <f>+AD_tis!W3*AD_tis!W$48*AD_tis!$BE3</f>
        <v>0</v>
      </c>
      <c r="X3" s="4">
        <f>+AD_tis!X3*AD_tis!X$48*AD_tis!$BE3</f>
        <v>0</v>
      </c>
      <c r="Y3" s="4">
        <f>+AD_tis!Y3*AD_tis!Y$48*AD_tis!$BE3</f>
        <v>0</v>
      </c>
      <c r="Z3" s="4">
        <f>+AD_tis!Z3*AD_tis!Z$48*AD_tis!$BE3</f>
        <v>0</v>
      </c>
      <c r="AA3" s="4">
        <f>+AD_tis!AA3*AD_tis!AA$48*AD_tis!$BE3</f>
        <v>0</v>
      </c>
      <c r="AB3" s="4">
        <f>+AD_tis!AB3*AD_tis!AB$48*AD_tis!$BE3</f>
        <v>0</v>
      </c>
      <c r="AC3" s="12">
        <f>+AD_tis!AC3*AD_tis!AC$48*AD_tis!$BE3</f>
        <v>0</v>
      </c>
      <c r="AD3" s="4">
        <f>+AD_tis!AD3*AD_tis!AD$48*AD_tis!$BE3</f>
        <v>0</v>
      </c>
      <c r="AE3" s="4">
        <f>+AD_tis!AE3*AD_tis!AE$48*AD_tis!$BE3</f>
        <v>0</v>
      </c>
      <c r="AF3" s="4">
        <f>+AD_tis!AF3*AD_tis!AF$48*AD_tis!$BE3</f>
        <v>0</v>
      </c>
      <c r="AG3" s="4">
        <f>+AD_tis!AG3*AD_tis!AG$48*AD_tis!$BE3</f>
        <v>0</v>
      </c>
      <c r="AH3" s="4">
        <f>+AD_tis!AH3*AD_tis!AH$48*AD_tis!$BE3</f>
        <v>0</v>
      </c>
      <c r="AI3" s="4">
        <f>+AD_tis!AI3*AD_tis!AI$48*AD_tis!$BE3</f>
        <v>0</v>
      </c>
      <c r="AJ3" s="4">
        <f>+AD_tis!AJ3*AD_tis!AJ$48*AD_tis!$BE3</f>
        <v>0</v>
      </c>
      <c r="AK3" s="4">
        <f>+AD_tis!AK3*AD_tis!AK$48*AD_tis!$BE3</f>
        <v>0</v>
      </c>
      <c r="AL3" s="4">
        <f>+AD_tis!AL3*AD_tis!AL$48*AD_tis!$BE3</f>
        <v>0</v>
      </c>
      <c r="AM3" s="13">
        <f>+AD_tis!AM3*AD_tis!AM$48*AD_tis!$BE3</f>
        <v>0</v>
      </c>
      <c r="AN3" s="4">
        <f>+AD_tis!AN3*AD_tis!AN$48*AD_tis!$BE3</f>
        <v>0</v>
      </c>
      <c r="AO3" s="4">
        <f>+AD_tis!AO3*AD_tis!AO$48*AD_tis!$BE3</f>
        <v>0</v>
      </c>
      <c r="AP3" s="4">
        <f>+AD_tis!AP3*AD_tis!AP$48*AD_tis!$BE3</f>
        <v>0</v>
      </c>
      <c r="AQ3" s="4">
        <f>+AD_tis!AQ3*AD_tis!AQ$48*AD_tis!$BE3</f>
        <v>0</v>
      </c>
      <c r="AR3" s="4">
        <f>+AD_tis!AR3*AD_tis!AR$48*AD_tis!$BE3</f>
        <v>0</v>
      </c>
      <c r="AS3" s="4">
        <f>+AD_tis!AS3*AD_tis!AS$48*AD_tis!$BE3</f>
        <v>0</v>
      </c>
      <c r="AT3" s="4">
        <f>+AD_tis!AT3*AD_tis!AT$48*AD_tis!$BE3</f>
        <v>0</v>
      </c>
      <c r="AU3" s="4">
        <f>+AD_tis!AU3*AD_tis!AU$48*AD_tis!$BE3</f>
        <v>0</v>
      </c>
      <c r="AV3" s="4">
        <f>+AD_tis!AV3*AD_tis!AV$48*AD_tis!$BE3</f>
        <v>0</v>
      </c>
      <c r="AW3" s="12">
        <f>+AD_tis!AW3*AD_tis!AW$48*AD_tis!$BE3</f>
        <v>0</v>
      </c>
      <c r="AX3" s="13">
        <f>+AD_tis!AX3*AD_tis!AX$48*AD_tis!$BE3</f>
        <v>0</v>
      </c>
      <c r="AY3" s="4">
        <f>+AD_tis!AY3*AD_tis!AY$48*AD_tis!$BE3</f>
        <v>0</v>
      </c>
      <c r="AZ3" s="4">
        <f>+AD_tis!AZ3*AD_tis!AZ$48*AD_tis!$BE3</f>
        <v>0</v>
      </c>
      <c r="BA3" s="12">
        <f>+AD_tis!BA3*AD_tis!BA$48*AD_tis!$BE3</f>
        <v>0</v>
      </c>
      <c r="BB3" s="4">
        <f>+AD_tis!BB3*AD_tis!BB$48*AD_tis!$BE3</f>
        <v>0</v>
      </c>
      <c r="BC3" s="13">
        <f>+AD_tis!BC3*AD_tis!BC$48*AD_tis!$BE3</f>
        <v>0</v>
      </c>
    </row>
    <row r="4" spans="1:55" ht="18.75" customHeight="1" x14ac:dyDescent="0.25">
      <c r="A4" s="5" t="s">
        <v>55</v>
      </c>
      <c r="B4" s="12">
        <f>+AD_tis!B4*AD_tis!B$48*AD_tis!$BE4</f>
        <v>0</v>
      </c>
      <c r="C4" s="4">
        <f>+AD_tis!C4*AD_tis!C$48*AD_tis!$BE4</f>
        <v>0</v>
      </c>
      <c r="D4" s="4">
        <f>+AD_tis!D4*AD_tis!D$48*AD_tis!$BE4</f>
        <v>0</v>
      </c>
      <c r="E4" s="4">
        <f>+AD_tis!E4*AD_tis!E$48*AD_tis!$BE4</f>
        <v>0</v>
      </c>
      <c r="F4" s="4">
        <f>+AD_tis!F4*AD_tis!F$48*AD_tis!$BE4</f>
        <v>0</v>
      </c>
      <c r="G4" s="4">
        <f>+AD_tis!G4*AD_tis!G$48*AD_tis!$BE4</f>
        <v>1</v>
      </c>
      <c r="H4" s="4">
        <f>+AD_tis!H4*AD_tis!H$48*AD_tis!$BE4</f>
        <v>0</v>
      </c>
      <c r="I4" s="4">
        <f>+AD_tis!I4*AD_tis!I$48*AD_tis!$BE4</f>
        <v>0</v>
      </c>
      <c r="J4" s="4">
        <f>+AD_tis!J4*AD_tis!J$48*AD_tis!$BE4</f>
        <v>0</v>
      </c>
      <c r="K4" s="4">
        <f>+AD_tis!K4*AD_tis!K$48*AD_tis!$BE4</f>
        <v>0</v>
      </c>
      <c r="L4" s="4">
        <f>+AD_tis!L4*AD_tis!L$48*AD_tis!$BE4</f>
        <v>0</v>
      </c>
      <c r="M4" s="4">
        <f>+AD_tis!M4*AD_tis!M$48*AD_tis!$BE4</f>
        <v>1</v>
      </c>
      <c r="N4" s="4">
        <f>+AD_tis!N4*AD_tis!N$48*AD_tis!$BE4</f>
        <v>0</v>
      </c>
      <c r="O4" s="4">
        <f>+AD_tis!O4*AD_tis!O$48*AD_tis!$BE4</f>
        <v>0</v>
      </c>
      <c r="P4" s="4">
        <f>+AD_tis!P4*AD_tis!P$48*AD_tis!$BE4</f>
        <v>0</v>
      </c>
      <c r="Q4" s="4">
        <f>+AD_tis!Q4*AD_tis!Q$48*AD_tis!$BE4</f>
        <v>1</v>
      </c>
      <c r="R4" s="13">
        <f>+AD_tis!R4*AD_tis!R$48*AD_tis!$BE4</f>
        <v>0</v>
      </c>
      <c r="S4" s="4">
        <f>+AD_tis!S4*AD_tis!S$48*AD_tis!$BE4</f>
        <v>0</v>
      </c>
      <c r="T4" s="4">
        <f>+AD_tis!T4*AD_tis!T$48*AD_tis!$BE4</f>
        <v>0</v>
      </c>
      <c r="U4" s="4">
        <f>+AD_tis!U4*AD_tis!U$48*AD_tis!$BE4</f>
        <v>0</v>
      </c>
      <c r="V4" s="4">
        <f>+AD_tis!V4*AD_tis!V$48*AD_tis!$BE4</f>
        <v>0</v>
      </c>
      <c r="W4" s="4">
        <f>+AD_tis!W4*AD_tis!W$48*AD_tis!$BE4</f>
        <v>0</v>
      </c>
      <c r="X4" s="4">
        <f>+AD_tis!X4*AD_tis!X$48*AD_tis!$BE4</f>
        <v>0</v>
      </c>
      <c r="Y4" s="4">
        <f>+AD_tis!Y4*AD_tis!Y$48*AD_tis!$BE4</f>
        <v>0</v>
      </c>
      <c r="Z4" s="4">
        <f>+AD_tis!Z4*AD_tis!Z$48*AD_tis!$BE4</f>
        <v>0</v>
      </c>
      <c r="AA4" s="4">
        <f>+AD_tis!AA4*AD_tis!AA$48*AD_tis!$BE4</f>
        <v>0</v>
      </c>
      <c r="AB4" s="4">
        <f>+AD_tis!AB4*AD_tis!AB$48*AD_tis!$BE4</f>
        <v>0</v>
      </c>
      <c r="AC4" s="12">
        <f>+AD_tis!AC4*AD_tis!AC$48*AD_tis!$BE4</f>
        <v>0</v>
      </c>
      <c r="AD4" s="4">
        <f>+AD_tis!AD4*AD_tis!AD$48*AD_tis!$BE4</f>
        <v>0</v>
      </c>
      <c r="AE4" s="4">
        <f>+AD_tis!AE4*AD_tis!AE$48*AD_tis!$BE4</f>
        <v>0</v>
      </c>
      <c r="AF4" s="4">
        <f>+AD_tis!AF4*AD_tis!AF$48*AD_tis!$BE4</f>
        <v>0</v>
      </c>
      <c r="AG4" s="4">
        <f>+AD_tis!AG4*AD_tis!AG$48*AD_tis!$BE4</f>
        <v>0</v>
      </c>
      <c r="AH4" s="4">
        <f>+AD_tis!AH4*AD_tis!AH$48*AD_tis!$BE4</f>
        <v>0</v>
      </c>
      <c r="AI4" s="4">
        <f>+AD_tis!AI4*AD_tis!AI$48*AD_tis!$BE4</f>
        <v>0</v>
      </c>
      <c r="AJ4" s="4">
        <f>+AD_tis!AJ4*AD_tis!AJ$48*AD_tis!$BE4</f>
        <v>0</v>
      </c>
      <c r="AK4" s="4">
        <f>+AD_tis!AK4*AD_tis!AK$48*AD_tis!$BE4</f>
        <v>0</v>
      </c>
      <c r="AL4" s="4">
        <f>+AD_tis!AL4*AD_tis!AL$48*AD_tis!$BE4</f>
        <v>0</v>
      </c>
      <c r="AM4" s="13">
        <f>+AD_tis!AM4*AD_tis!AM$48*AD_tis!$BE4</f>
        <v>0</v>
      </c>
      <c r="AN4" s="4">
        <f>+AD_tis!AN4*AD_tis!AN$48*AD_tis!$BE4</f>
        <v>0</v>
      </c>
      <c r="AO4" s="4">
        <f>+AD_tis!AO4*AD_tis!AO$48*AD_tis!$BE4</f>
        <v>0</v>
      </c>
      <c r="AP4" s="4">
        <f>+AD_tis!AP4*AD_tis!AP$48*AD_tis!$BE4</f>
        <v>0</v>
      </c>
      <c r="AQ4" s="4">
        <f>+AD_tis!AQ4*AD_tis!AQ$48*AD_tis!$BE4</f>
        <v>0</v>
      </c>
      <c r="AR4" s="4">
        <f>+AD_tis!AR4*AD_tis!AR$48*AD_tis!$BE4</f>
        <v>0</v>
      </c>
      <c r="AS4" s="4">
        <f>+AD_tis!AS4*AD_tis!AS$48*AD_tis!$BE4</f>
        <v>0</v>
      </c>
      <c r="AT4" s="4">
        <f>+AD_tis!AT4*AD_tis!AT$48*AD_tis!$BE4</f>
        <v>0</v>
      </c>
      <c r="AU4" s="4">
        <f>+AD_tis!AU4*AD_tis!AU$48*AD_tis!$BE4</f>
        <v>0</v>
      </c>
      <c r="AV4" s="4">
        <f>+AD_tis!AV4*AD_tis!AV$48*AD_tis!$BE4</f>
        <v>0</v>
      </c>
      <c r="AW4" s="12">
        <f>+AD_tis!AW4*AD_tis!AW$48*AD_tis!$BE4</f>
        <v>0</v>
      </c>
      <c r="AX4" s="13">
        <f>+AD_tis!AX4*AD_tis!AX$48*AD_tis!$BE4</f>
        <v>0</v>
      </c>
      <c r="AY4" s="4">
        <f>+AD_tis!AY4*AD_tis!AY$48*AD_tis!$BE4</f>
        <v>0</v>
      </c>
      <c r="AZ4" s="4">
        <f>+AD_tis!AZ4*AD_tis!AZ$48*AD_tis!$BE4</f>
        <v>0</v>
      </c>
      <c r="BA4" s="12">
        <f>+AD_tis!BA4*AD_tis!BA$48*AD_tis!$BE4</f>
        <v>0</v>
      </c>
      <c r="BB4" s="4">
        <f>+AD_tis!BB4*AD_tis!BB$48*AD_tis!$BE4</f>
        <v>0</v>
      </c>
      <c r="BC4" s="13">
        <f>+AD_tis!BC4*AD_tis!BC$48*AD_tis!$BE4</f>
        <v>0</v>
      </c>
    </row>
    <row r="5" spans="1:55" ht="18.75" customHeight="1" x14ac:dyDescent="0.25">
      <c r="A5" s="5" t="s">
        <v>56</v>
      </c>
      <c r="B5" s="12">
        <f>+AD_tis!B5*AD_tis!B$48*AD_tis!$BE5</f>
        <v>0</v>
      </c>
      <c r="C5" s="4">
        <f>+AD_tis!C5*AD_tis!C$48*AD_tis!$BE5</f>
        <v>0</v>
      </c>
      <c r="D5" s="4">
        <f>+AD_tis!D5*AD_tis!D$48*AD_tis!$BE5</f>
        <v>0</v>
      </c>
      <c r="E5" s="4">
        <f>+AD_tis!E5*AD_tis!E$48*AD_tis!$BE5</f>
        <v>0</v>
      </c>
      <c r="F5" s="4">
        <f>+AD_tis!F5*AD_tis!F$48*AD_tis!$BE5</f>
        <v>0</v>
      </c>
      <c r="G5" s="4">
        <f>+AD_tis!G5*AD_tis!G$48*AD_tis!$BE5</f>
        <v>1</v>
      </c>
      <c r="H5" s="4">
        <f>+AD_tis!H5*AD_tis!H$48*AD_tis!$BE5</f>
        <v>0</v>
      </c>
      <c r="I5" s="4">
        <f>+AD_tis!I5*AD_tis!I$48*AD_tis!$BE5</f>
        <v>0</v>
      </c>
      <c r="J5" s="4">
        <f>+AD_tis!J5*AD_tis!J$48*AD_tis!$BE5</f>
        <v>0</v>
      </c>
      <c r="K5" s="4">
        <f>+AD_tis!K5*AD_tis!K$48*AD_tis!$BE5</f>
        <v>0</v>
      </c>
      <c r="L5" s="4">
        <f>+AD_tis!L5*AD_tis!L$48*AD_tis!$BE5</f>
        <v>0</v>
      </c>
      <c r="M5" s="4">
        <f>+AD_tis!M5*AD_tis!M$48*AD_tis!$BE5</f>
        <v>1</v>
      </c>
      <c r="N5" s="4">
        <f>+AD_tis!N5*AD_tis!N$48*AD_tis!$BE5</f>
        <v>0</v>
      </c>
      <c r="O5" s="4">
        <f>+AD_tis!O5*AD_tis!O$48*AD_tis!$BE5</f>
        <v>0</v>
      </c>
      <c r="P5" s="4">
        <f>+AD_tis!P5*AD_tis!P$48*AD_tis!$BE5</f>
        <v>0</v>
      </c>
      <c r="Q5" s="4">
        <f>+AD_tis!Q5*AD_tis!Q$48*AD_tis!$BE5</f>
        <v>1</v>
      </c>
      <c r="R5" s="13">
        <f>+AD_tis!R5*AD_tis!R$48*AD_tis!$BE5</f>
        <v>0</v>
      </c>
      <c r="S5" s="4">
        <f>+AD_tis!S5*AD_tis!S$48*AD_tis!$BE5</f>
        <v>0</v>
      </c>
      <c r="T5" s="4">
        <f>+AD_tis!T5*AD_tis!T$48*AD_tis!$BE5</f>
        <v>0</v>
      </c>
      <c r="U5" s="4">
        <f>+AD_tis!U5*AD_tis!U$48*AD_tis!$BE5</f>
        <v>0</v>
      </c>
      <c r="V5" s="4">
        <f>+AD_tis!V5*AD_tis!V$48*AD_tis!$BE5</f>
        <v>0</v>
      </c>
      <c r="W5" s="4">
        <f>+AD_tis!W5*AD_tis!W$48*AD_tis!$BE5</f>
        <v>0</v>
      </c>
      <c r="X5" s="4">
        <f>+AD_tis!X5*AD_tis!X$48*AD_tis!$BE5</f>
        <v>0</v>
      </c>
      <c r="Y5" s="4">
        <f>+AD_tis!Y5*AD_tis!Y$48*AD_tis!$BE5</f>
        <v>0</v>
      </c>
      <c r="Z5" s="4">
        <f>+AD_tis!Z5*AD_tis!Z$48*AD_tis!$BE5</f>
        <v>0</v>
      </c>
      <c r="AA5" s="4">
        <f>+AD_tis!AA5*AD_tis!AA$48*AD_tis!$BE5</f>
        <v>0</v>
      </c>
      <c r="AB5" s="4">
        <f>+AD_tis!AB5*AD_tis!AB$48*AD_tis!$BE5</f>
        <v>0</v>
      </c>
      <c r="AC5" s="12">
        <f>+AD_tis!AC5*AD_tis!AC$48*AD_tis!$BE5</f>
        <v>0</v>
      </c>
      <c r="AD5" s="4">
        <f>+AD_tis!AD5*AD_tis!AD$48*AD_tis!$BE5</f>
        <v>0</v>
      </c>
      <c r="AE5" s="4">
        <f>+AD_tis!AE5*AD_tis!AE$48*AD_tis!$BE5</f>
        <v>0</v>
      </c>
      <c r="AF5" s="4">
        <f>+AD_tis!AF5*AD_tis!AF$48*AD_tis!$BE5</f>
        <v>0</v>
      </c>
      <c r="AG5" s="4">
        <f>+AD_tis!AG5*AD_tis!AG$48*AD_tis!$BE5</f>
        <v>0</v>
      </c>
      <c r="AH5" s="4">
        <f>+AD_tis!AH5*AD_tis!AH$48*AD_tis!$BE5</f>
        <v>0</v>
      </c>
      <c r="AI5" s="4">
        <f>+AD_tis!AI5*AD_tis!AI$48*AD_tis!$BE5</f>
        <v>0</v>
      </c>
      <c r="AJ5" s="4">
        <f>+AD_tis!AJ5*AD_tis!AJ$48*AD_tis!$BE5</f>
        <v>0</v>
      </c>
      <c r="AK5" s="4">
        <f>+AD_tis!AK5*AD_tis!AK$48*AD_tis!$BE5</f>
        <v>0</v>
      </c>
      <c r="AL5" s="4">
        <f>+AD_tis!AL5*AD_tis!AL$48*AD_tis!$BE5</f>
        <v>0</v>
      </c>
      <c r="AM5" s="13">
        <f>+AD_tis!AM5*AD_tis!AM$48*AD_tis!$BE5</f>
        <v>0</v>
      </c>
      <c r="AN5" s="4">
        <f>+AD_tis!AN5*AD_tis!AN$48*AD_tis!$BE5</f>
        <v>0</v>
      </c>
      <c r="AO5" s="4">
        <f>+AD_tis!AO5*AD_tis!AO$48*AD_tis!$BE5</f>
        <v>0</v>
      </c>
      <c r="AP5" s="4">
        <f>+AD_tis!AP5*AD_tis!AP$48*AD_tis!$BE5</f>
        <v>0</v>
      </c>
      <c r="AQ5" s="4">
        <f>+AD_tis!AQ5*AD_tis!AQ$48*AD_tis!$BE5</f>
        <v>0</v>
      </c>
      <c r="AR5" s="4">
        <f>+AD_tis!AR5*AD_tis!AR$48*AD_tis!$BE5</f>
        <v>0</v>
      </c>
      <c r="AS5" s="4">
        <f>+AD_tis!AS5*AD_tis!AS$48*AD_tis!$BE5</f>
        <v>0</v>
      </c>
      <c r="AT5" s="4">
        <f>+AD_tis!AT5*AD_tis!AT$48*AD_tis!$BE5</f>
        <v>0</v>
      </c>
      <c r="AU5" s="4">
        <f>+AD_tis!AU5*AD_tis!AU$48*AD_tis!$BE5</f>
        <v>0</v>
      </c>
      <c r="AV5" s="4">
        <f>+AD_tis!AV5*AD_tis!AV$48*AD_tis!$BE5</f>
        <v>0</v>
      </c>
      <c r="AW5" s="12">
        <f>+AD_tis!AW5*AD_tis!AW$48*AD_tis!$BE5</f>
        <v>0</v>
      </c>
      <c r="AX5" s="13">
        <f>+AD_tis!AX5*AD_tis!AX$48*AD_tis!$BE5</f>
        <v>0</v>
      </c>
      <c r="AY5" s="4">
        <f>+AD_tis!AY5*AD_tis!AY$48*AD_tis!$BE5</f>
        <v>0</v>
      </c>
      <c r="AZ5" s="4">
        <f>+AD_tis!AZ5*AD_tis!AZ$48*AD_tis!$BE5</f>
        <v>0</v>
      </c>
      <c r="BA5" s="12">
        <f>+AD_tis!BA5*AD_tis!BA$48*AD_tis!$BE5</f>
        <v>0</v>
      </c>
      <c r="BB5" s="4">
        <f>+AD_tis!BB5*AD_tis!BB$48*AD_tis!$BE5</f>
        <v>0</v>
      </c>
      <c r="BC5" s="13">
        <f>+AD_tis!BC5*AD_tis!BC$48*AD_tis!$BE5</f>
        <v>0</v>
      </c>
    </row>
    <row r="6" spans="1:55" ht="18.75" customHeight="1" x14ac:dyDescent="0.25">
      <c r="A6" s="5" t="s">
        <v>57</v>
      </c>
      <c r="B6" s="12">
        <f>+AD_tis!B6*AD_tis!B$48*AD_tis!$BE6</f>
        <v>0</v>
      </c>
      <c r="C6" s="4">
        <f>+AD_tis!C6*AD_tis!C$48*AD_tis!$BE6</f>
        <v>0</v>
      </c>
      <c r="D6" s="4">
        <f>+AD_tis!D6*AD_tis!D$48*AD_tis!$BE6</f>
        <v>0</v>
      </c>
      <c r="E6" s="4">
        <f>+AD_tis!E6*AD_tis!E$48*AD_tis!$BE6</f>
        <v>0</v>
      </c>
      <c r="F6" s="4">
        <f>+AD_tis!F6*AD_tis!F$48*AD_tis!$BE6</f>
        <v>0</v>
      </c>
      <c r="G6" s="4">
        <f>+AD_tis!G6*AD_tis!G$48*AD_tis!$BE6</f>
        <v>1</v>
      </c>
      <c r="H6" s="4">
        <f>+AD_tis!H6*AD_tis!H$48*AD_tis!$BE6</f>
        <v>0</v>
      </c>
      <c r="I6" s="4">
        <f>+AD_tis!I6*AD_tis!I$48*AD_tis!$BE6</f>
        <v>0</v>
      </c>
      <c r="J6" s="4">
        <f>+AD_tis!J6*AD_tis!J$48*AD_tis!$BE6</f>
        <v>0</v>
      </c>
      <c r="K6" s="4">
        <f>+AD_tis!K6*AD_tis!K$48*AD_tis!$BE6</f>
        <v>0</v>
      </c>
      <c r="L6" s="4">
        <f>+AD_tis!L6*AD_tis!L$48*AD_tis!$BE6</f>
        <v>0</v>
      </c>
      <c r="M6" s="4">
        <f>+AD_tis!M6*AD_tis!M$48*AD_tis!$BE6</f>
        <v>1</v>
      </c>
      <c r="N6" s="4">
        <f>+AD_tis!N6*AD_tis!N$48*AD_tis!$BE6</f>
        <v>0</v>
      </c>
      <c r="O6" s="4">
        <f>+AD_tis!O6*AD_tis!O$48*AD_tis!$BE6</f>
        <v>0</v>
      </c>
      <c r="P6" s="4">
        <f>+AD_tis!P6*AD_tis!P$48*AD_tis!$BE6</f>
        <v>0</v>
      </c>
      <c r="Q6" s="4">
        <f>+AD_tis!Q6*AD_tis!Q$48*AD_tis!$BE6</f>
        <v>0</v>
      </c>
      <c r="R6" s="13">
        <f>+AD_tis!R6*AD_tis!R$48*AD_tis!$BE6</f>
        <v>0</v>
      </c>
      <c r="S6" s="4">
        <f>+AD_tis!S6*AD_tis!S$48*AD_tis!$BE6</f>
        <v>0</v>
      </c>
      <c r="T6" s="4">
        <f>+AD_tis!T6*AD_tis!T$48*AD_tis!$BE6</f>
        <v>0</v>
      </c>
      <c r="U6" s="4">
        <f>+AD_tis!U6*AD_tis!U$48*AD_tis!$BE6</f>
        <v>0</v>
      </c>
      <c r="V6" s="4">
        <f>+AD_tis!V6*AD_tis!V$48*AD_tis!$BE6</f>
        <v>0</v>
      </c>
      <c r="W6" s="4">
        <f>+AD_tis!W6*AD_tis!W$48*AD_tis!$BE6</f>
        <v>0</v>
      </c>
      <c r="X6" s="4">
        <f>+AD_tis!X6*AD_tis!X$48*AD_tis!$BE6</f>
        <v>0</v>
      </c>
      <c r="Y6" s="4">
        <f>+AD_tis!Y6*AD_tis!Y$48*AD_tis!$BE6</f>
        <v>0</v>
      </c>
      <c r="Z6" s="4">
        <f>+AD_tis!Z6*AD_tis!Z$48*AD_tis!$BE6</f>
        <v>0</v>
      </c>
      <c r="AA6" s="4">
        <f>+AD_tis!AA6*AD_tis!AA$48*AD_tis!$BE6</f>
        <v>0</v>
      </c>
      <c r="AB6" s="4">
        <f>+AD_tis!AB6*AD_tis!AB$48*AD_tis!$BE6</f>
        <v>0</v>
      </c>
      <c r="AC6" s="12">
        <f>+AD_tis!AC6*AD_tis!AC$48*AD_tis!$BE6</f>
        <v>0</v>
      </c>
      <c r="AD6" s="4">
        <f>+AD_tis!AD6*AD_tis!AD$48*AD_tis!$BE6</f>
        <v>0</v>
      </c>
      <c r="AE6" s="4">
        <f>+AD_tis!AE6*AD_tis!AE$48*AD_tis!$BE6</f>
        <v>0</v>
      </c>
      <c r="AF6" s="4">
        <f>+AD_tis!AF6*AD_tis!AF$48*AD_tis!$BE6</f>
        <v>0</v>
      </c>
      <c r="AG6" s="4">
        <f>+AD_tis!AG6*AD_tis!AG$48*AD_tis!$BE6</f>
        <v>0</v>
      </c>
      <c r="AH6" s="4">
        <f>+AD_tis!AH6*AD_tis!AH$48*AD_tis!$BE6</f>
        <v>0</v>
      </c>
      <c r="AI6" s="4">
        <f>+AD_tis!AI6*AD_tis!AI$48*AD_tis!$BE6</f>
        <v>0</v>
      </c>
      <c r="AJ6" s="4">
        <f>+AD_tis!AJ6*AD_tis!AJ$48*AD_tis!$BE6</f>
        <v>0</v>
      </c>
      <c r="AK6" s="4">
        <f>+AD_tis!AK6*AD_tis!AK$48*AD_tis!$BE6</f>
        <v>0</v>
      </c>
      <c r="AL6" s="4">
        <f>+AD_tis!AL6*AD_tis!AL$48*AD_tis!$BE6</f>
        <v>0</v>
      </c>
      <c r="AM6" s="13">
        <f>+AD_tis!AM6*AD_tis!AM$48*AD_tis!$BE6</f>
        <v>0</v>
      </c>
      <c r="AN6" s="4">
        <f>+AD_tis!AN6*AD_tis!AN$48*AD_tis!$BE6</f>
        <v>0</v>
      </c>
      <c r="AO6" s="4">
        <f>+AD_tis!AO6*AD_tis!AO$48*AD_tis!$BE6</f>
        <v>0</v>
      </c>
      <c r="AP6" s="4">
        <f>+AD_tis!AP6*AD_tis!AP$48*AD_tis!$BE6</f>
        <v>0</v>
      </c>
      <c r="AQ6" s="4">
        <f>+AD_tis!AQ6*AD_tis!AQ$48*AD_tis!$BE6</f>
        <v>0</v>
      </c>
      <c r="AR6" s="4">
        <f>+AD_tis!AR6*AD_tis!AR$48*AD_tis!$BE6</f>
        <v>0</v>
      </c>
      <c r="AS6" s="4">
        <f>+AD_tis!AS6*AD_tis!AS$48*AD_tis!$BE6</f>
        <v>0</v>
      </c>
      <c r="AT6" s="4">
        <f>+AD_tis!AT6*AD_tis!AT$48*AD_tis!$BE6</f>
        <v>0</v>
      </c>
      <c r="AU6" s="4">
        <f>+AD_tis!AU6*AD_tis!AU$48*AD_tis!$BE6</f>
        <v>0</v>
      </c>
      <c r="AV6" s="4">
        <f>+AD_tis!AV6*AD_tis!AV$48*AD_tis!$BE6</f>
        <v>0</v>
      </c>
      <c r="AW6" s="12">
        <f>+AD_tis!AW6*AD_tis!AW$48*AD_tis!$BE6</f>
        <v>0</v>
      </c>
      <c r="AX6" s="13">
        <f>+AD_tis!AX6*AD_tis!AX$48*AD_tis!$BE6</f>
        <v>0</v>
      </c>
      <c r="AY6" s="4">
        <f>+AD_tis!AY6*AD_tis!AY$48*AD_tis!$BE6</f>
        <v>0</v>
      </c>
      <c r="AZ6" s="4">
        <f>+AD_tis!AZ6*AD_tis!AZ$48*AD_tis!$BE6</f>
        <v>0</v>
      </c>
      <c r="BA6" s="12">
        <f>+AD_tis!BA6*AD_tis!BA$48*AD_tis!$BE6</f>
        <v>0</v>
      </c>
      <c r="BB6" s="4">
        <f>+AD_tis!BB6*AD_tis!BB$48*AD_tis!$BE6</f>
        <v>0</v>
      </c>
      <c r="BC6" s="13">
        <f>+AD_tis!BC6*AD_tis!BC$48*AD_tis!$BE6</f>
        <v>0</v>
      </c>
    </row>
    <row r="7" spans="1:55" ht="18.75" customHeight="1" x14ac:dyDescent="0.25">
      <c r="A7" s="5" t="s">
        <v>58</v>
      </c>
      <c r="B7" s="12">
        <f>+AD_tis!B7*AD_tis!B$48*AD_tis!$BE7</f>
        <v>0</v>
      </c>
      <c r="C7" s="4">
        <f>+AD_tis!C7*AD_tis!C$48*AD_tis!$BE7</f>
        <v>0</v>
      </c>
      <c r="D7" s="4">
        <f>+AD_tis!D7*AD_tis!D$48*AD_tis!$BE7</f>
        <v>0</v>
      </c>
      <c r="E7" s="4">
        <f>+AD_tis!E7*AD_tis!E$48*AD_tis!$BE7</f>
        <v>0</v>
      </c>
      <c r="F7" s="4">
        <f>+AD_tis!F7*AD_tis!F$48*AD_tis!$BE7</f>
        <v>0</v>
      </c>
      <c r="G7" s="4">
        <f>+AD_tis!G7*AD_tis!G$48*AD_tis!$BE7</f>
        <v>1</v>
      </c>
      <c r="H7" s="4">
        <f>+AD_tis!H7*AD_tis!H$48*AD_tis!$BE7</f>
        <v>0</v>
      </c>
      <c r="I7" s="4">
        <f>+AD_tis!I7*AD_tis!I$48*AD_tis!$BE7</f>
        <v>0</v>
      </c>
      <c r="J7" s="4">
        <f>+AD_tis!J7*AD_tis!J$48*AD_tis!$BE7</f>
        <v>0</v>
      </c>
      <c r="K7" s="4">
        <f>+AD_tis!K7*AD_tis!K$48*AD_tis!$BE7</f>
        <v>0</v>
      </c>
      <c r="L7" s="4">
        <f>+AD_tis!L7*AD_tis!L$48*AD_tis!$BE7</f>
        <v>0</v>
      </c>
      <c r="M7" s="4">
        <f>+AD_tis!M7*AD_tis!M$48*AD_tis!$BE7</f>
        <v>1</v>
      </c>
      <c r="N7" s="4">
        <f>+AD_tis!N7*AD_tis!N$48*AD_tis!$BE7</f>
        <v>0</v>
      </c>
      <c r="O7" s="4">
        <f>+AD_tis!O7*AD_tis!O$48*AD_tis!$BE7</f>
        <v>0</v>
      </c>
      <c r="P7" s="4">
        <f>+AD_tis!P7*AD_tis!P$48*AD_tis!$BE7</f>
        <v>0</v>
      </c>
      <c r="Q7" s="4">
        <f>+AD_tis!Q7*AD_tis!Q$48*AD_tis!$BE7</f>
        <v>1</v>
      </c>
      <c r="R7" s="13">
        <f>+AD_tis!R7*AD_tis!R$48*AD_tis!$BE7</f>
        <v>0</v>
      </c>
      <c r="S7" s="4">
        <f>+AD_tis!S7*AD_tis!S$48*AD_tis!$BE7</f>
        <v>0</v>
      </c>
      <c r="T7" s="4">
        <f>+AD_tis!T7*AD_tis!T$48*AD_tis!$BE7</f>
        <v>0</v>
      </c>
      <c r="U7" s="4">
        <f>+AD_tis!U7*AD_tis!U$48*AD_tis!$BE7</f>
        <v>0</v>
      </c>
      <c r="V7" s="4">
        <f>+AD_tis!V7*AD_tis!V$48*AD_tis!$BE7</f>
        <v>0</v>
      </c>
      <c r="W7" s="4">
        <f>+AD_tis!W7*AD_tis!W$48*AD_tis!$BE7</f>
        <v>0</v>
      </c>
      <c r="X7" s="4">
        <f>+AD_tis!X7*AD_tis!X$48*AD_tis!$BE7</f>
        <v>0</v>
      </c>
      <c r="Y7" s="4">
        <f>+AD_tis!Y7*AD_tis!Y$48*AD_tis!$BE7</f>
        <v>0</v>
      </c>
      <c r="Z7" s="4">
        <f>+AD_tis!Z7*AD_tis!Z$48*AD_tis!$BE7</f>
        <v>0</v>
      </c>
      <c r="AA7" s="4">
        <f>+AD_tis!AA7*AD_tis!AA$48*AD_tis!$BE7</f>
        <v>0</v>
      </c>
      <c r="AB7" s="4">
        <f>+AD_tis!AB7*AD_tis!AB$48*AD_tis!$BE7</f>
        <v>0</v>
      </c>
      <c r="AC7" s="12">
        <f>+AD_tis!AC7*AD_tis!AC$48*AD_tis!$BE7</f>
        <v>0</v>
      </c>
      <c r="AD7" s="4">
        <f>+AD_tis!AD7*AD_tis!AD$48*AD_tis!$BE7</f>
        <v>0</v>
      </c>
      <c r="AE7" s="4">
        <f>+AD_tis!AE7*AD_tis!AE$48*AD_tis!$BE7</f>
        <v>0</v>
      </c>
      <c r="AF7" s="4">
        <f>+AD_tis!AF7*AD_tis!AF$48*AD_tis!$BE7</f>
        <v>0</v>
      </c>
      <c r="AG7" s="4">
        <f>+AD_tis!AG7*AD_tis!AG$48*AD_tis!$BE7</f>
        <v>0</v>
      </c>
      <c r="AH7" s="4">
        <f>+AD_tis!AH7*AD_tis!AH$48*AD_tis!$BE7</f>
        <v>0</v>
      </c>
      <c r="AI7" s="4">
        <f>+AD_tis!AI7*AD_tis!AI$48*AD_tis!$BE7</f>
        <v>0</v>
      </c>
      <c r="AJ7" s="4">
        <f>+AD_tis!AJ7*AD_tis!AJ$48*AD_tis!$BE7</f>
        <v>0</v>
      </c>
      <c r="AK7" s="4">
        <f>+AD_tis!AK7*AD_tis!AK$48*AD_tis!$BE7</f>
        <v>0</v>
      </c>
      <c r="AL7" s="4">
        <f>+AD_tis!AL7*AD_tis!AL$48*AD_tis!$BE7</f>
        <v>0</v>
      </c>
      <c r="AM7" s="13">
        <f>+AD_tis!AM7*AD_tis!AM$48*AD_tis!$BE7</f>
        <v>0</v>
      </c>
      <c r="AN7" s="4">
        <f>+AD_tis!AN7*AD_tis!AN$48*AD_tis!$BE7</f>
        <v>0</v>
      </c>
      <c r="AO7" s="4">
        <f>+AD_tis!AO7*AD_tis!AO$48*AD_tis!$BE7</f>
        <v>0</v>
      </c>
      <c r="AP7" s="4">
        <f>+AD_tis!AP7*AD_tis!AP$48*AD_tis!$BE7</f>
        <v>0</v>
      </c>
      <c r="AQ7" s="4">
        <f>+AD_tis!AQ7*AD_tis!AQ$48*AD_tis!$BE7</f>
        <v>0</v>
      </c>
      <c r="AR7" s="4">
        <f>+AD_tis!AR7*AD_tis!AR$48*AD_tis!$BE7</f>
        <v>0</v>
      </c>
      <c r="AS7" s="4">
        <f>+AD_tis!AS7*AD_tis!AS$48*AD_tis!$BE7</f>
        <v>0</v>
      </c>
      <c r="AT7" s="4">
        <f>+AD_tis!AT7*AD_tis!AT$48*AD_tis!$BE7</f>
        <v>0</v>
      </c>
      <c r="AU7" s="4">
        <f>+AD_tis!AU7*AD_tis!AU$48*AD_tis!$BE7</f>
        <v>0</v>
      </c>
      <c r="AV7" s="4">
        <f>+AD_tis!AV7*AD_tis!AV$48*AD_tis!$BE7</f>
        <v>0</v>
      </c>
      <c r="AW7" s="12">
        <f>+AD_tis!AW7*AD_tis!AW$48*AD_tis!$BE7</f>
        <v>0</v>
      </c>
      <c r="AX7" s="13">
        <f>+AD_tis!AX7*AD_tis!AX$48*AD_tis!$BE7</f>
        <v>0</v>
      </c>
      <c r="AY7" s="4">
        <f>+AD_tis!AY7*AD_tis!AY$48*AD_tis!$BE7</f>
        <v>0</v>
      </c>
      <c r="AZ7" s="4">
        <f>+AD_tis!AZ7*AD_tis!AZ$48*AD_tis!$BE7</f>
        <v>0</v>
      </c>
      <c r="BA7" s="12">
        <f>+AD_tis!BA7*AD_tis!BA$48*AD_tis!$BE7</f>
        <v>0</v>
      </c>
      <c r="BB7" s="4">
        <f>+AD_tis!BB7*AD_tis!BB$48*AD_tis!$BE7</f>
        <v>0</v>
      </c>
      <c r="BC7" s="13">
        <f>+AD_tis!BC7*AD_tis!BC$48*AD_tis!$BE7</f>
        <v>0</v>
      </c>
    </row>
    <row r="8" spans="1:55" ht="18.75" customHeight="1" x14ac:dyDescent="0.25">
      <c r="A8" s="5" t="s">
        <v>59</v>
      </c>
      <c r="B8" s="12">
        <f>+AD_tis!B8*AD_tis!B$48*AD_tis!$BE8</f>
        <v>0</v>
      </c>
      <c r="C8" s="4">
        <f>+AD_tis!C8*AD_tis!C$48*AD_tis!$BE8</f>
        <v>0</v>
      </c>
      <c r="D8" s="4">
        <f>+AD_tis!D8*AD_tis!D$48*AD_tis!$BE8</f>
        <v>0</v>
      </c>
      <c r="E8" s="4">
        <f>+AD_tis!E8*AD_tis!E$48*AD_tis!$BE8</f>
        <v>0</v>
      </c>
      <c r="F8" s="4">
        <f>+AD_tis!F8*AD_tis!F$48*AD_tis!$BE8</f>
        <v>0</v>
      </c>
      <c r="G8" s="4">
        <f>+AD_tis!G8*AD_tis!G$48*AD_tis!$BE8</f>
        <v>1</v>
      </c>
      <c r="H8" s="4">
        <f>+AD_tis!H8*AD_tis!H$48*AD_tis!$BE8</f>
        <v>0</v>
      </c>
      <c r="I8" s="4">
        <f>+AD_tis!I8*AD_tis!I$48*AD_tis!$BE8</f>
        <v>0</v>
      </c>
      <c r="J8" s="4">
        <f>+AD_tis!J8*AD_tis!J$48*AD_tis!$BE8</f>
        <v>0</v>
      </c>
      <c r="K8" s="4">
        <f>+AD_tis!K8*AD_tis!K$48*AD_tis!$BE8</f>
        <v>0</v>
      </c>
      <c r="L8" s="4">
        <f>+AD_tis!L8*AD_tis!L$48*AD_tis!$BE8</f>
        <v>0</v>
      </c>
      <c r="M8" s="4">
        <f>+AD_tis!M8*AD_tis!M$48*AD_tis!$BE8</f>
        <v>1</v>
      </c>
      <c r="N8" s="4">
        <f>+AD_tis!N8*AD_tis!N$48*AD_tis!$BE8</f>
        <v>0</v>
      </c>
      <c r="O8" s="4">
        <f>+AD_tis!O8*AD_tis!O$48*AD_tis!$BE8</f>
        <v>0</v>
      </c>
      <c r="P8" s="4">
        <f>+AD_tis!P8*AD_tis!P$48*AD_tis!$BE8</f>
        <v>0</v>
      </c>
      <c r="Q8" s="4">
        <f>+AD_tis!Q8*AD_tis!Q$48*AD_tis!$BE8</f>
        <v>1</v>
      </c>
      <c r="R8" s="13">
        <f>+AD_tis!R8*AD_tis!R$48*AD_tis!$BE8</f>
        <v>0</v>
      </c>
      <c r="S8" s="4">
        <f>+AD_tis!S8*AD_tis!S$48*AD_tis!$BE8</f>
        <v>0</v>
      </c>
      <c r="T8" s="4">
        <f>+AD_tis!T8*AD_tis!T$48*AD_tis!$BE8</f>
        <v>0</v>
      </c>
      <c r="U8" s="4">
        <f>+AD_tis!U8*AD_tis!U$48*AD_tis!$BE8</f>
        <v>0</v>
      </c>
      <c r="V8" s="4">
        <f>+AD_tis!V8*AD_tis!V$48*AD_tis!$BE8</f>
        <v>0</v>
      </c>
      <c r="W8" s="4">
        <f>+AD_tis!W8*AD_tis!W$48*AD_tis!$BE8</f>
        <v>0</v>
      </c>
      <c r="X8" s="4">
        <f>+AD_tis!X8*AD_tis!X$48*AD_tis!$BE8</f>
        <v>0</v>
      </c>
      <c r="Y8" s="4">
        <f>+AD_tis!Y8*AD_tis!Y$48*AD_tis!$BE8</f>
        <v>0</v>
      </c>
      <c r="Z8" s="4">
        <f>+AD_tis!Z8*AD_tis!Z$48*AD_tis!$BE8</f>
        <v>0</v>
      </c>
      <c r="AA8" s="4">
        <f>+AD_tis!AA8*AD_tis!AA$48*AD_tis!$BE8</f>
        <v>0</v>
      </c>
      <c r="AB8" s="4">
        <f>+AD_tis!AB8*AD_tis!AB$48*AD_tis!$BE8</f>
        <v>0</v>
      </c>
      <c r="AC8" s="12">
        <f>+AD_tis!AC8*AD_tis!AC$48*AD_tis!$BE8</f>
        <v>0</v>
      </c>
      <c r="AD8" s="4">
        <f>+AD_tis!AD8*AD_tis!AD$48*AD_tis!$BE8</f>
        <v>0</v>
      </c>
      <c r="AE8" s="4">
        <f>+AD_tis!AE8*AD_tis!AE$48*AD_tis!$BE8</f>
        <v>0</v>
      </c>
      <c r="AF8" s="4">
        <f>+AD_tis!AF8*AD_tis!AF$48*AD_tis!$BE8</f>
        <v>0</v>
      </c>
      <c r="AG8" s="4">
        <f>+AD_tis!AG8*AD_tis!AG$48*AD_tis!$BE8</f>
        <v>0</v>
      </c>
      <c r="AH8" s="4">
        <f>+AD_tis!AH8*AD_tis!AH$48*AD_tis!$BE8</f>
        <v>0</v>
      </c>
      <c r="AI8" s="4">
        <f>+AD_tis!AI8*AD_tis!AI$48*AD_tis!$BE8</f>
        <v>0</v>
      </c>
      <c r="AJ8" s="4">
        <f>+AD_tis!AJ8*AD_tis!AJ$48*AD_tis!$BE8</f>
        <v>0</v>
      </c>
      <c r="AK8" s="4">
        <f>+AD_tis!AK8*AD_tis!AK$48*AD_tis!$BE8</f>
        <v>0</v>
      </c>
      <c r="AL8" s="4">
        <f>+AD_tis!AL8*AD_tis!AL$48*AD_tis!$BE8</f>
        <v>0</v>
      </c>
      <c r="AM8" s="13">
        <f>+AD_tis!AM8*AD_tis!AM$48*AD_tis!$BE8</f>
        <v>0</v>
      </c>
      <c r="AN8" s="4">
        <f>+AD_tis!AN8*AD_tis!AN$48*AD_tis!$BE8</f>
        <v>0</v>
      </c>
      <c r="AO8" s="4">
        <f>+AD_tis!AO8*AD_tis!AO$48*AD_tis!$BE8</f>
        <v>0</v>
      </c>
      <c r="AP8" s="4">
        <f>+AD_tis!AP8*AD_tis!AP$48*AD_tis!$BE8</f>
        <v>0</v>
      </c>
      <c r="AQ8" s="4">
        <f>+AD_tis!AQ8*AD_tis!AQ$48*AD_tis!$BE8</f>
        <v>0</v>
      </c>
      <c r="AR8" s="4">
        <f>+AD_tis!AR8*AD_tis!AR$48*AD_tis!$BE8</f>
        <v>0</v>
      </c>
      <c r="AS8" s="4">
        <f>+AD_tis!AS8*AD_tis!AS$48*AD_tis!$BE8</f>
        <v>0</v>
      </c>
      <c r="AT8" s="4">
        <f>+AD_tis!AT8*AD_tis!AT$48*AD_tis!$BE8</f>
        <v>0</v>
      </c>
      <c r="AU8" s="4">
        <f>+AD_tis!AU8*AD_tis!AU$48*AD_tis!$BE8</f>
        <v>0</v>
      </c>
      <c r="AV8" s="4">
        <f>+AD_tis!AV8*AD_tis!AV$48*AD_tis!$BE8</f>
        <v>0</v>
      </c>
      <c r="AW8" s="12">
        <f>+AD_tis!AW8*AD_tis!AW$48*AD_tis!$BE8</f>
        <v>0</v>
      </c>
      <c r="AX8" s="13">
        <f>+AD_tis!AX8*AD_tis!AX$48*AD_tis!$BE8</f>
        <v>0</v>
      </c>
      <c r="AY8" s="4">
        <f>+AD_tis!AY8*AD_tis!AY$48*AD_tis!$BE8</f>
        <v>0</v>
      </c>
      <c r="AZ8" s="4">
        <f>+AD_tis!AZ8*AD_tis!AZ$48*AD_tis!$BE8</f>
        <v>0</v>
      </c>
      <c r="BA8" s="12">
        <f>+AD_tis!BA8*AD_tis!BA$48*AD_tis!$BE8</f>
        <v>0</v>
      </c>
      <c r="BB8" s="4">
        <f>+AD_tis!BB8*AD_tis!BB$48*AD_tis!$BE8</f>
        <v>0</v>
      </c>
      <c r="BC8" s="13">
        <f>+AD_tis!BC8*AD_tis!BC$48*AD_tis!$BE8</f>
        <v>0</v>
      </c>
    </row>
    <row r="9" spans="1:55" ht="18.75" customHeight="1" x14ac:dyDescent="0.25">
      <c r="A9" s="5" t="s">
        <v>60</v>
      </c>
      <c r="B9" s="12">
        <f>+AD_tis!B9*AD_tis!B$48*AD_tis!$BE9</f>
        <v>0</v>
      </c>
      <c r="C9" s="4">
        <f>+AD_tis!C9*AD_tis!C$48*AD_tis!$BE9</f>
        <v>0</v>
      </c>
      <c r="D9" s="4">
        <f>+AD_tis!D9*AD_tis!D$48*AD_tis!$BE9</f>
        <v>0</v>
      </c>
      <c r="E9" s="4">
        <f>+AD_tis!E9*AD_tis!E$48*AD_tis!$BE9</f>
        <v>0</v>
      </c>
      <c r="F9" s="4">
        <f>+AD_tis!F9*AD_tis!F$48*AD_tis!$BE9</f>
        <v>0</v>
      </c>
      <c r="G9" s="4">
        <f>+AD_tis!G9*AD_tis!G$48*AD_tis!$BE9</f>
        <v>1</v>
      </c>
      <c r="H9" s="4">
        <f>+AD_tis!H9*AD_tis!H$48*AD_tis!$BE9</f>
        <v>0</v>
      </c>
      <c r="I9" s="4">
        <f>+AD_tis!I9*AD_tis!I$48*AD_tis!$BE9</f>
        <v>0</v>
      </c>
      <c r="J9" s="4">
        <f>+AD_tis!J9*AD_tis!J$48*AD_tis!$BE9</f>
        <v>0</v>
      </c>
      <c r="K9" s="4">
        <f>+AD_tis!K9*AD_tis!K$48*AD_tis!$BE9</f>
        <v>0</v>
      </c>
      <c r="L9" s="4">
        <f>+AD_tis!L9*AD_tis!L$48*AD_tis!$BE9</f>
        <v>0</v>
      </c>
      <c r="M9" s="4">
        <f>+AD_tis!M9*AD_tis!M$48*AD_tis!$BE9</f>
        <v>1</v>
      </c>
      <c r="N9" s="4">
        <f>+AD_tis!N9*AD_tis!N$48*AD_tis!$BE9</f>
        <v>0</v>
      </c>
      <c r="O9" s="4">
        <f>+AD_tis!O9*AD_tis!O$48*AD_tis!$BE9</f>
        <v>0</v>
      </c>
      <c r="P9" s="4">
        <f>+AD_tis!P9*AD_tis!P$48*AD_tis!$BE9</f>
        <v>0</v>
      </c>
      <c r="Q9" s="4">
        <f>+AD_tis!Q9*AD_tis!Q$48*AD_tis!$BE9</f>
        <v>1</v>
      </c>
      <c r="R9" s="13">
        <f>+AD_tis!R9*AD_tis!R$48*AD_tis!$BE9</f>
        <v>0</v>
      </c>
      <c r="S9" s="4">
        <f>+AD_tis!S9*AD_tis!S$48*AD_tis!$BE9</f>
        <v>0</v>
      </c>
      <c r="T9" s="4">
        <f>+AD_tis!T9*AD_tis!T$48*AD_tis!$BE9</f>
        <v>0</v>
      </c>
      <c r="U9" s="4">
        <f>+AD_tis!U9*AD_tis!U$48*AD_tis!$BE9</f>
        <v>0</v>
      </c>
      <c r="V9" s="4">
        <f>+AD_tis!V9*AD_tis!V$48*AD_tis!$BE9</f>
        <v>0</v>
      </c>
      <c r="W9" s="4">
        <f>+AD_tis!W9*AD_tis!W$48*AD_tis!$BE9</f>
        <v>0</v>
      </c>
      <c r="X9" s="4">
        <f>+AD_tis!X9*AD_tis!X$48*AD_tis!$BE9</f>
        <v>0</v>
      </c>
      <c r="Y9" s="4">
        <f>+AD_tis!Y9*AD_tis!Y$48*AD_tis!$BE9</f>
        <v>0</v>
      </c>
      <c r="Z9" s="4">
        <f>+AD_tis!Z9*AD_tis!Z$48*AD_tis!$BE9</f>
        <v>0</v>
      </c>
      <c r="AA9" s="4">
        <f>+AD_tis!AA9*AD_tis!AA$48*AD_tis!$BE9</f>
        <v>0</v>
      </c>
      <c r="AB9" s="4">
        <f>+AD_tis!AB9*AD_tis!AB$48*AD_tis!$BE9</f>
        <v>0</v>
      </c>
      <c r="AC9" s="12">
        <f>+AD_tis!AC9*AD_tis!AC$48*AD_tis!$BE9</f>
        <v>0</v>
      </c>
      <c r="AD9" s="4">
        <f>+AD_tis!AD9*AD_tis!AD$48*AD_tis!$BE9</f>
        <v>0</v>
      </c>
      <c r="AE9" s="4">
        <f>+AD_tis!AE9*AD_tis!AE$48*AD_tis!$BE9</f>
        <v>0</v>
      </c>
      <c r="AF9" s="4">
        <f>+AD_tis!AF9*AD_tis!AF$48*AD_tis!$BE9</f>
        <v>0</v>
      </c>
      <c r="AG9" s="4">
        <f>+AD_tis!AG9*AD_tis!AG$48*AD_tis!$BE9</f>
        <v>0</v>
      </c>
      <c r="AH9" s="4">
        <f>+AD_tis!AH9*AD_tis!AH$48*AD_tis!$BE9</f>
        <v>0</v>
      </c>
      <c r="AI9" s="4">
        <f>+AD_tis!AI9*AD_tis!AI$48*AD_tis!$BE9</f>
        <v>0</v>
      </c>
      <c r="AJ9" s="4">
        <f>+AD_tis!AJ9*AD_tis!AJ$48*AD_tis!$BE9</f>
        <v>0</v>
      </c>
      <c r="AK9" s="4">
        <f>+AD_tis!AK9*AD_tis!AK$48*AD_tis!$BE9</f>
        <v>0</v>
      </c>
      <c r="AL9" s="4">
        <f>+AD_tis!AL9*AD_tis!AL$48*AD_tis!$BE9</f>
        <v>0</v>
      </c>
      <c r="AM9" s="13">
        <f>+AD_tis!AM9*AD_tis!AM$48*AD_tis!$BE9</f>
        <v>0</v>
      </c>
      <c r="AN9" s="4">
        <f>+AD_tis!AN9*AD_tis!AN$48*AD_tis!$BE9</f>
        <v>0</v>
      </c>
      <c r="AO9" s="4">
        <f>+AD_tis!AO9*AD_tis!AO$48*AD_tis!$BE9</f>
        <v>0</v>
      </c>
      <c r="AP9" s="4">
        <f>+AD_tis!AP9*AD_tis!AP$48*AD_tis!$BE9</f>
        <v>0</v>
      </c>
      <c r="AQ9" s="4">
        <f>+AD_tis!AQ9*AD_tis!AQ$48*AD_tis!$BE9</f>
        <v>0</v>
      </c>
      <c r="AR9" s="4">
        <f>+AD_tis!AR9*AD_tis!AR$48*AD_tis!$BE9</f>
        <v>0</v>
      </c>
      <c r="AS9" s="4">
        <f>+AD_tis!AS9*AD_tis!AS$48*AD_tis!$BE9</f>
        <v>0</v>
      </c>
      <c r="AT9" s="4">
        <f>+AD_tis!AT9*AD_tis!AT$48*AD_tis!$BE9</f>
        <v>0</v>
      </c>
      <c r="AU9" s="4">
        <f>+AD_tis!AU9*AD_tis!AU$48*AD_tis!$BE9</f>
        <v>0</v>
      </c>
      <c r="AV9" s="4">
        <f>+AD_tis!AV9*AD_tis!AV$48*AD_tis!$BE9</f>
        <v>0</v>
      </c>
      <c r="AW9" s="12">
        <f>+AD_tis!AW9*AD_tis!AW$48*AD_tis!$BE9</f>
        <v>0</v>
      </c>
      <c r="AX9" s="13">
        <f>+AD_tis!AX9*AD_tis!AX$48*AD_tis!$BE9</f>
        <v>0</v>
      </c>
      <c r="AY9" s="4">
        <f>+AD_tis!AY9*AD_tis!AY$48*AD_tis!$BE9</f>
        <v>0</v>
      </c>
      <c r="AZ9" s="4">
        <f>+AD_tis!AZ9*AD_tis!AZ$48*AD_tis!$BE9</f>
        <v>0</v>
      </c>
      <c r="BA9" s="12">
        <f>+AD_tis!BA9*AD_tis!BA$48*AD_tis!$BE9</f>
        <v>0</v>
      </c>
      <c r="BB9" s="4">
        <f>+AD_tis!BB9*AD_tis!BB$48*AD_tis!$BE9</f>
        <v>0</v>
      </c>
      <c r="BC9" s="13">
        <f>+AD_tis!BC9*AD_tis!BC$48*AD_tis!$BE9</f>
        <v>0</v>
      </c>
    </row>
    <row r="10" spans="1:55" ht="18.75" customHeight="1" x14ac:dyDescent="0.25">
      <c r="A10" s="5" t="s">
        <v>61</v>
      </c>
      <c r="B10" s="12">
        <f>+AD_tis!B10*AD_tis!B$48*AD_tis!$BE10</f>
        <v>0</v>
      </c>
      <c r="C10" s="4">
        <f>+AD_tis!C10*AD_tis!C$48*AD_tis!$BE10</f>
        <v>0</v>
      </c>
      <c r="D10" s="4">
        <f>+AD_tis!D10*AD_tis!D$48*AD_tis!$BE10</f>
        <v>0</v>
      </c>
      <c r="E10" s="4">
        <f>+AD_tis!E10*AD_tis!E$48*AD_tis!$BE10</f>
        <v>0</v>
      </c>
      <c r="F10" s="4">
        <f>+AD_tis!F10*AD_tis!F$48*AD_tis!$BE10</f>
        <v>0</v>
      </c>
      <c r="G10" s="4">
        <f>+AD_tis!G10*AD_tis!G$48*AD_tis!$BE10</f>
        <v>1</v>
      </c>
      <c r="H10" s="4">
        <f>+AD_tis!H10*AD_tis!H$48*AD_tis!$BE10</f>
        <v>0</v>
      </c>
      <c r="I10" s="4">
        <f>+AD_tis!I10*AD_tis!I$48*AD_tis!$BE10</f>
        <v>0</v>
      </c>
      <c r="J10" s="4">
        <f>+AD_tis!J10*AD_tis!J$48*AD_tis!$BE10</f>
        <v>0</v>
      </c>
      <c r="K10" s="4">
        <f>+AD_tis!K10*AD_tis!K$48*AD_tis!$BE10</f>
        <v>0</v>
      </c>
      <c r="L10" s="4">
        <f>+AD_tis!L10*AD_tis!L$48*AD_tis!$BE10</f>
        <v>0</v>
      </c>
      <c r="M10" s="4">
        <f>+AD_tis!M10*AD_tis!M$48*AD_tis!$BE10</f>
        <v>1</v>
      </c>
      <c r="N10" s="4">
        <f>+AD_tis!N10*AD_tis!N$48*AD_tis!$BE10</f>
        <v>0</v>
      </c>
      <c r="O10" s="4">
        <f>+AD_tis!O10*AD_tis!O$48*AD_tis!$BE10</f>
        <v>0</v>
      </c>
      <c r="P10" s="4">
        <f>+AD_tis!P10*AD_tis!P$48*AD_tis!$BE10</f>
        <v>0</v>
      </c>
      <c r="Q10" s="4">
        <f>+AD_tis!Q10*AD_tis!Q$48*AD_tis!$BE10</f>
        <v>0</v>
      </c>
      <c r="R10" s="13">
        <f>+AD_tis!R10*AD_tis!R$48*AD_tis!$BE10</f>
        <v>0</v>
      </c>
      <c r="S10" s="4">
        <f>+AD_tis!S10*AD_tis!S$48*AD_tis!$BE10</f>
        <v>0</v>
      </c>
      <c r="T10" s="4">
        <f>+AD_tis!T10*AD_tis!T$48*AD_tis!$BE10</f>
        <v>0</v>
      </c>
      <c r="U10" s="4">
        <f>+AD_tis!U10*AD_tis!U$48*AD_tis!$BE10</f>
        <v>0</v>
      </c>
      <c r="V10" s="4">
        <f>+AD_tis!V10*AD_tis!V$48*AD_tis!$BE10</f>
        <v>0</v>
      </c>
      <c r="W10" s="4">
        <f>+AD_tis!W10*AD_tis!W$48*AD_tis!$BE10</f>
        <v>0</v>
      </c>
      <c r="X10" s="4">
        <f>+AD_tis!X10*AD_tis!X$48*AD_tis!$BE10</f>
        <v>0</v>
      </c>
      <c r="Y10" s="4">
        <f>+AD_tis!Y10*AD_tis!Y$48*AD_tis!$BE10</f>
        <v>0</v>
      </c>
      <c r="Z10" s="4">
        <f>+AD_tis!Z10*AD_tis!Z$48*AD_tis!$BE10</f>
        <v>0</v>
      </c>
      <c r="AA10" s="4">
        <f>+AD_tis!AA10*AD_tis!AA$48*AD_tis!$BE10</f>
        <v>0</v>
      </c>
      <c r="AB10" s="4">
        <f>+AD_tis!AB10*AD_tis!AB$48*AD_tis!$BE10</f>
        <v>0</v>
      </c>
      <c r="AC10" s="12">
        <f>+AD_tis!AC10*AD_tis!AC$48*AD_tis!$BE10</f>
        <v>0</v>
      </c>
      <c r="AD10" s="4">
        <f>+AD_tis!AD10*AD_tis!AD$48*AD_tis!$BE10</f>
        <v>0</v>
      </c>
      <c r="AE10" s="4">
        <f>+AD_tis!AE10*AD_tis!AE$48*AD_tis!$BE10</f>
        <v>0</v>
      </c>
      <c r="AF10" s="4">
        <f>+AD_tis!AF10*AD_tis!AF$48*AD_tis!$BE10</f>
        <v>0</v>
      </c>
      <c r="AG10" s="4">
        <f>+AD_tis!AG10*AD_tis!AG$48*AD_tis!$BE10</f>
        <v>0</v>
      </c>
      <c r="AH10" s="4">
        <f>+AD_tis!AH10*AD_tis!AH$48*AD_tis!$BE10</f>
        <v>0</v>
      </c>
      <c r="AI10" s="4">
        <f>+AD_tis!AI10*AD_tis!AI$48*AD_tis!$BE10</f>
        <v>0</v>
      </c>
      <c r="AJ10" s="4">
        <f>+AD_tis!AJ10*AD_tis!AJ$48*AD_tis!$BE10</f>
        <v>0</v>
      </c>
      <c r="AK10" s="4">
        <f>+AD_tis!AK10*AD_tis!AK$48*AD_tis!$BE10</f>
        <v>0</v>
      </c>
      <c r="AL10" s="4">
        <f>+AD_tis!AL10*AD_tis!AL$48*AD_tis!$BE10</f>
        <v>0</v>
      </c>
      <c r="AM10" s="13">
        <f>+AD_tis!AM10*AD_tis!AM$48*AD_tis!$BE10</f>
        <v>0</v>
      </c>
      <c r="AN10" s="4">
        <f>+AD_tis!AN10*AD_tis!AN$48*AD_tis!$BE10</f>
        <v>0</v>
      </c>
      <c r="AO10" s="4">
        <f>+AD_tis!AO10*AD_tis!AO$48*AD_tis!$BE10</f>
        <v>0</v>
      </c>
      <c r="AP10" s="4">
        <f>+AD_tis!AP10*AD_tis!AP$48*AD_tis!$BE10</f>
        <v>0</v>
      </c>
      <c r="AQ10" s="4">
        <f>+AD_tis!AQ10*AD_tis!AQ$48*AD_tis!$BE10</f>
        <v>0</v>
      </c>
      <c r="AR10" s="4">
        <f>+AD_tis!AR10*AD_tis!AR$48*AD_tis!$BE10</f>
        <v>0</v>
      </c>
      <c r="AS10" s="4">
        <f>+AD_tis!AS10*AD_tis!AS$48*AD_tis!$BE10</f>
        <v>0</v>
      </c>
      <c r="AT10" s="4">
        <f>+AD_tis!AT10*AD_tis!AT$48*AD_tis!$BE10</f>
        <v>0</v>
      </c>
      <c r="AU10" s="4">
        <f>+AD_tis!AU10*AD_tis!AU$48*AD_tis!$BE10</f>
        <v>0</v>
      </c>
      <c r="AV10" s="4">
        <f>+AD_tis!AV10*AD_tis!AV$48*AD_tis!$BE10</f>
        <v>0</v>
      </c>
      <c r="AW10" s="12">
        <f>+AD_tis!AW10*AD_tis!AW$48*AD_tis!$BE10</f>
        <v>0</v>
      </c>
      <c r="AX10" s="13">
        <f>+AD_tis!AX10*AD_tis!AX$48*AD_tis!$BE10</f>
        <v>0</v>
      </c>
      <c r="AY10" s="4">
        <f>+AD_tis!AY10*AD_tis!AY$48*AD_tis!$BE10</f>
        <v>0</v>
      </c>
      <c r="AZ10" s="4">
        <f>+AD_tis!AZ10*AD_tis!AZ$48*AD_tis!$BE10</f>
        <v>0</v>
      </c>
      <c r="BA10" s="12">
        <f>+AD_tis!BA10*AD_tis!BA$48*AD_tis!$BE10</f>
        <v>0</v>
      </c>
      <c r="BB10" s="4">
        <f>+AD_tis!BB10*AD_tis!BB$48*AD_tis!$BE10</f>
        <v>0</v>
      </c>
      <c r="BC10" s="13">
        <f>+AD_tis!BC10*AD_tis!BC$48*AD_tis!$BE10</f>
        <v>0</v>
      </c>
    </row>
    <row r="11" spans="1:55" ht="18.75" customHeight="1" x14ac:dyDescent="0.25">
      <c r="A11" s="5" t="s">
        <v>62</v>
      </c>
      <c r="B11" s="12">
        <f>+AD_tis!B11*AD_tis!B$48*AD_tis!$BE11</f>
        <v>0</v>
      </c>
      <c r="C11" s="4">
        <f>+AD_tis!C11*AD_tis!C$48*AD_tis!$BE11</f>
        <v>0</v>
      </c>
      <c r="D11" s="4">
        <f>+AD_tis!D11*AD_tis!D$48*AD_tis!$BE11</f>
        <v>0</v>
      </c>
      <c r="E11" s="4">
        <f>+AD_tis!E11*AD_tis!E$48*AD_tis!$BE11</f>
        <v>0</v>
      </c>
      <c r="F11" s="4">
        <f>+AD_tis!F11*AD_tis!F$48*AD_tis!$BE11</f>
        <v>1</v>
      </c>
      <c r="G11" s="4">
        <f>+AD_tis!G11*AD_tis!G$48*AD_tis!$BE11</f>
        <v>1</v>
      </c>
      <c r="H11" s="4">
        <f>+AD_tis!H11*AD_tis!H$48*AD_tis!$BE11</f>
        <v>0</v>
      </c>
      <c r="I11" s="4">
        <f>+AD_tis!I11*AD_tis!I$48*AD_tis!$BE11</f>
        <v>0</v>
      </c>
      <c r="J11" s="4">
        <f>+AD_tis!J11*AD_tis!J$48*AD_tis!$BE11</f>
        <v>0</v>
      </c>
      <c r="K11" s="4">
        <f>+AD_tis!K11*AD_tis!K$48*AD_tis!$BE11</f>
        <v>0</v>
      </c>
      <c r="L11" s="4">
        <f>+AD_tis!L11*AD_tis!L$48*AD_tis!$BE11</f>
        <v>0</v>
      </c>
      <c r="M11" s="4">
        <f>+AD_tis!M11*AD_tis!M$48*AD_tis!$BE11</f>
        <v>1</v>
      </c>
      <c r="N11" s="4">
        <f>+AD_tis!N11*AD_tis!N$48*AD_tis!$BE11</f>
        <v>0</v>
      </c>
      <c r="O11" s="4">
        <f>+AD_tis!O11*AD_tis!O$48*AD_tis!$BE11</f>
        <v>0</v>
      </c>
      <c r="P11" s="4">
        <f>+AD_tis!P11*AD_tis!P$48*AD_tis!$BE11</f>
        <v>0</v>
      </c>
      <c r="Q11" s="4">
        <f>+AD_tis!Q11*AD_tis!Q$48*AD_tis!$BE11</f>
        <v>0</v>
      </c>
      <c r="R11" s="13">
        <f>+AD_tis!R11*AD_tis!R$48*AD_tis!$BE11</f>
        <v>0</v>
      </c>
      <c r="S11" s="4">
        <f>+AD_tis!S11*AD_tis!S$48*AD_tis!$BE11</f>
        <v>0</v>
      </c>
      <c r="T11" s="4">
        <f>+AD_tis!T11*AD_tis!T$48*AD_tis!$BE11</f>
        <v>0</v>
      </c>
      <c r="U11" s="4">
        <f>+AD_tis!U11*AD_tis!U$48*AD_tis!$BE11</f>
        <v>0</v>
      </c>
      <c r="V11" s="4">
        <f>+AD_tis!V11*AD_tis!V$48*AD_tis!$BE11</f>
        <v>0</v>
      </c>
      <c r="W11" s="4">
        <f>+AD_tis!W11*AD_tis!W$48*AD_tis!$BE11</f>
        <v>0</v>
      </c>
      <c r="X11" s="4">
        <f>+AD_tis!X11*AD_tis!X$48*AD_tis!$BE11</f>
        <v>0</v>
      </c>
      <c r="Y11" s="4">
        <f>+AD_tis!Y11*AD_tis!Y$48*AD_tis!$BE11</f>
        <v>0</v>
      </c>
      <c r="Z11" s="4">
        <f>+AD_tis!Z11*AD_tis!Z$48*AD_tis!$BE11</f>
        <v>0</v>
      </c>
      <c r="AA11" s="4">
        <f>+AD_tis!AA11*AD_tis!AA$48*AD_tis!$BE11</f>
        <v>0</v>
      </c>
      <c r="AB11" s="4">
        <f>+AD_tis!AB11*AD_tis!AB$48*AD_tis!$BE11</f>
        <v>0</v>
      </c>
      <c r="AC11" s="12">
        <f>+AD_tis!AC11*AD_tis!AC$48*AD_tis!$BE11</f>
        <v>0</v>
      </c>
      <c r="AD11" s="4">
        <f>+AD_tis!AD11*AD_tis!AD$48*AD_tis!$BE11</f>
        <v>0</v>
      </c>
      <c r="AE11" s="4">
        <f>+AD_tis!AE11*AD_tis!AE$48*AD_tis!$BE11</f>
        <v>0</v>
      </c>
      <c r="AF11" s="4">
        <f>+AD_tis!AF11*AD_tis!AF$48*AD_tis!$BE11</f>
        <v>0</v>
      </c>
      <c r="AG11" s="4">
        <f>+AD_tis!AG11*AD_tis!AG$48*AD_tis!$BE11</f>
        <v>0</v>
      </c>
      <c r="AH11" s="4">
        <f>+AD_tis!AH11*AD_tis!AH$48*AD_tis!$BE11</f>
        <v>0</v>
      </c>
      <c r="AI11" s="4">
        <f>+AD_tis!AI11*AD_tis!AI$48*AD_tis!$BE11</f>
        <v>0</v>
      </c>
      <c r="AJ11" s="4">
        <f>+AD_tis!AJ11*AD_tis!AJ$48*AD_tis!$BE11</f>
        <v>0</v>
      </c>
      <c r="AK11" s="4">
        <f>+AD_tis!AK11*AD_tis!AK$48*AD_tis!$BE11</f>
        <v>0</v>
      </c>
      <c r="AL11" s="4">
        <f>+AD_tis!AL11*AD_tis!AL$48*AD_tis!$BE11</f>
        <v>0</v>
      </c>
      <c r="AM11" s="13">
        <f>+AD_tis!AM11*AD_tis!AM$48*AD_tis!$BE11</f>
        <v>0</v>
      </c>
      <c r="AN11" s="4">
        <f>+AD_tis!AN11*AD_tis!AN$48*AD_tis!$BE11</f>
        <v>0</v>
      </c>
      <c r="AO11" s="4">
        <f>+AD_tis!AO11*AD_tis!AO$48*AD_tis!$BE11</f>
        <v>0</v>
      </c>
      <c r="AP11" s="4">
        <f>+AD_tis!AP11*AD_tis!AP$48*AD_tis!$BE11</f>
        <v>0</v>
      </c>
      <c r="AQ11" s="4">
        <f>+AD_tis!AQ11*AD_tis!AQ$48*AD_tis!$BE11</f>
        <v>0</v>
      </c>
      <c r="AR11" s="4">
        <f>+AD_tis!AR11*AD_tis!AR$48*AD_tis!$BE11</f>
        <v>0</v>
      </c>
      <c r="AS11" s="4">
        <f>+AD_tis!AS11*AD_tis!AS$48*AD_tis!$BE11</f>
        <v>0</v>
      </c>
      <c r="AT11" s="4">
        <f>+AD_tis!AT11*AD_tis!AT$48*AD_tis!$BE11</f>
        <v>0</v>
      </c>
      <c r="AU11" s="4">
        <f>+AD_tis!AU11*AD_tis!AU$48*AD_tis!$BE11</f>
        <v>0</v>
      </c>
      <c r="AV11" s="4">
        <f>+AD_tis!AV11*AD_tis!AV$48*AD_tis!$BE11</f>
        <v>0</v>
      </c>
      <c r="AW11" s="12">
        <f>+AD_tis!AW11*AD_tis!AW$48*AD_tis!$BE11</f>
        <v>0</v>
      </c>
      <c r="AX11" s="13">
        <f>+AD_tis!AX11*AD_tis!AX$48*AD_tis!$BE11</f>
        <v>0</v>
      </c>
      <c r="AY11" s="4">
        <f>+AD_tis!AY11*AD_tis!AY$48*AD_tis!$BE11</f>
        <v>0</v>
      </c>
      <c r="AZ11" s="4">
        <f>+AD_tis!AZ11*AD_tis!AZ$48*AD_tis!$BE11</f>
        <v>0</v>
      </c>
      <c r="BA11" s="12">
        <f>+AD_tis!BA11*AD_tis!BA$48*AD_tis!$BE11</f>
        <v>0</v>
      </c>
      <c r="BB11" s="4">
        <f>+AD_tis!BB11*AD_tis!BB$48*AD_tis!$BE11</f>
        <v>0</v>
      </c>
      <c r="BC11" s="13">
        <f>+AD_tis!BC11*AD_tis!BC$48*AD_tis!$BE11</f>
        <v>0</v>
      </c>
    </row>
    <row r="12" spans="1:55" ht="18.75" customHeight="1" x14ac:dyDescent="0.25">
      <c r="A12" s="5" t="s">
        <v>63</v>
      </c>
      <c r="B12" s="12">
        <f>+AD_tis!B12*AD_tis!B$48*AD_tis!$BE12</f>
        <v>0</v>
      </c>
      <c r="C12" s="4">
        <f>+AD_tis!C12*AD_tis!C$48*AD_tis!$BE12</f>
        <v>0</v>
      </c>
      <c r="D12" s="4">
        <f>+AD_tis!D12*AD_tis!D$48*AD_tis!$BE12</f>
        <v>0</v>
      </c>
      <c r="E12" s="4">
        <f>+AD_tis!E12*AD_tis!E$48*AD_tis!$BE12</f>
        <v>0</v>
      </c>
      <c r="F12" s="4">
        <f>+AD_tis!F12*AD_tis!F$48*AD_tis!$BE12</f>
        <v>0</v>
      </c>
      <c r="G12" s="4">
        <f>+AD_tis!G12*AD_tis!G$48*AD_tis!$BE12</f>
        <v>1</v>
      </c>
      <c r="H12" s="4">
        <f>+AD_tis!H12*AD_tis!H$48*AD_tis!$BE12</f>
        <v>0</v>
      </c>
      <c r="I12" s="4">
        <f>+AD_tis!I12*AD_tis!I$48*AD_tis!$BE12</f>
        <v>0</v>
      </c>
      <c r="J12" s="4">
        <f>+AD_tis!J12*AD_tis!J$48*AD_tis!$BE12</f>
        <v>0</v>
      </c>
      <c r="K12" s="4">
        <f>+AD_tis!K12*AD_tis!K$48*AD_tis!$BE12</f>
        <v>0</v>
      </c>
      <c r="L12" s="4">
        <f>+AD_tis!L12*AD_tis!L$48*AD_tis!$BE12</f>
        <v>0</v>
      </c>
      <c r="M12" s="4">
        <f>+AD_tis!M12*AD_tis!M$48*AD_tis!$BE12</f>
        <v>1</v>
      </c>
      <c r="N12" s="4">
        <f>+AD_tis!N12*AD_tis!N$48*AD_tis!$BE12</f>
        <v>0</v>
      </c>
      <c r="O12" s="4">
        <f>+AD_tis!O12*AD_tis!O$48*AD_tis!$BE12</f>
        <v>0</v>
      </c>
      <c r="P12" s="4">
        <f>+AD_tis!P12*AD_tis!P$48*AD_tis!$BE12</f>
        <v>0</v>
      </c>
      <c r="Q12" s="4">
        <f>+AD_tis!Q12*AD_tis!Q$48*AD_tis!$BE12</f>
        <v>0</v>
      </c>
      <c r="R12" s="13">
        <f>+AD_tis!R12*AD_tis!R$48*AD_tis!$BE12</f>
        <v>0</v>
      </c>
      <c r="S12" s="4">
        <f>+AD_tis!S12*AD_tis!S$48*AD_tis!$BE12</f>
        <v>0</v>
      </c>
      <c r="T12" s="4">
        <f>+AD_tis!T12*AD_tis!T$48*AD_tis!$BE12</f>
        <v>0</v>
      </c>
      <c r="U12" s="4">
        <f>+AD_tis!U12*AD_tis!U$48*AD_tis!$BE12</f>
        <v>0</v>
      </c>
      <c r="V12" s="4">
        <f>+AD_tis!V12*AD_tis!V$48*AD_tis!$BE12</f>
        <v>0</v>
      </c>
      <c r="W12" s="4">
        <f>+AD_tis!W12*AD_tis!W$48*AD_tis!$BE12</f>
        <v>0</v>
      </c>
      <c r="X12" s="4">
        <f>+AD_tis!X12*AD_tis!X$48*AD_tis!$BE12</f>
        <v>0</v>
      </c>
      <c r="Y12" s="4">
        <f>+AD_tis!Y12*AD_tis!Y$48*AD_tis!$BE12</f>
        <v>0</v>
      </c>
      <c r="Z12" s="4">
        <f>+AD_tis!Z12*AD_tis!Z$48*AD_tis!$BE12</f>
        <v>0</v>
      </c>
      <c r="AA12" s="4">
        <f>+AD_tis!AA12*AD_tis!AA$48*AD_tis!$BE12</f>
        <v>0</v>
      </c>
      <c r="AB12" s="4">
        <f>+AD_tis!AB12*AD_tis!AB$48*AD_tis!$BE12</f>
        <v>0</v>
      </c>
      <c r="AC12" s="12">
        <f>+AD_tis!AC12*AD_tis!AC$48*AD_tis!$BE12</f>
        <v>0</v>
      </c>
      <c r="AD12" s="4">
        <f>+AD_tis!AD12*AD_tis!AD$48*AD_tis!$BE12</f>
        <v>0</v>
      </c>
      <c r="AE12" s="4">
        <f>+AD_tis!AE12*AD_tis!AE$48*AD_tis!$BE12</f>
        <v>0</v>
      </c>
      <c r="AF12" s="4">
        <f>+AD_tis!AF12*AD_tis!AF$48*AD_tis!$BE12</f>
        <v>0</v>
      </c>
      <c r="AG12" s="4">
        <f>+AD_tis!AG12*AD_tis!AG$48*AD_tis!$BE12</f>
        <v>0</v>
      </c>
      <c r="AH12" s="4">
        <f>+AD_tis!AH12*AD_tis!AH$48*AD_tis!$BE12</f>
        <v>0</v>
      </c>
      <c r="AI12" s="4">
        <f>+AD_tis!AI12*AD_tis!AI$48*AD_tis!$BE12</f>
        <v>0</v>
      </c>
      <c r="AJ12" s="4">
        <f>+AD_tis!AJ12*AD_tis!AJ$48*AD_tis!$BE12</f>
        <v>0</v>
      </c>
      <c r="AK12" s="4">
        <f>+AD_tis!AK12*AD_tis!AK$48*AD_tis!$BE12</f>
        <v>0</v>
      </c>
      <c r="AL12" s="4">
        <f>+AD_tis!AL12*AD_tis!AL$48*AD_tis!$BE12</f>
        <v>0</v>
      </c>
      <c r="AM12" s="13">
        <f>+AD_tis!AM12*AD_tis!AM$48*AD_tis!$BE12</f>
        <v>0</v>
      </c>
      <c r="AN12" s="4">
        <f>+AD_tis!AN12*AD_tis!AN$48*AD_tis!$BE12</f>
        <v>0</v>
      </c>
      <c r="AO12" s="4">
        <f>+AD_tis!AO12*AD_tis!AO$48*AD_tis!$BE12</f>
        <v>0</v>
      </c>
      <c r="AP12" s="4">
        <f>+AD_tis!AP12*AD_tis!AP$48*AD_tis!$BE12</f>
        <v>0</v>
      </c>
      <c r="AQ12" s="4">
        <f>+AD_tis!AQ12*AD_tis!AQ$48*AD_tis!$BE12</f>
        <v>0</v>
      </c>
      <c r="AR12" s="4">
        <f>+AD_tis!AR12*AD_tis!AR$48*AD_tis!$BE12</f>
        <v>0</v>
      </c>
      <c r="AS12" s="4">
        <f>+AD_tis!AS12*AD_tis!AS$48*AD_tis!$BE12</f>
        <v>0</v>
      </c>
      <c r="AT12" s="4">
        <f>+AD_tis!AT12*AD_tis!AT$48*AD_tis!$BE12</f>
        <v>0</v>
      </c>
      <c r="AU12" s="4">
        <f>+AD_tis!AU12*AD_tis!AU$48*AD_tis!$BE12</f>
        <v>0</v>
      </c>
      <c r="AV12" s="4">
        <f>+AD_tis!AV12*AD_tis!AV$48*AD_tis!$BE12</f>
        <v>0</v>
      </c>
      <c r="AW12" s="12">
        <f>+AD_tis!AW12*AD_tis!AW$48*AD_tis!$BE12</f>
        <v>0</v>
      </c>
      <c r="AX12" s="13">
        <f>+AD_tis!AX12*AD_tis!AX$48*AD_tis!$BE12</f>
        <v>0</v>
      </c>
      <c r="AY12" s="4">
        <f>+AD_tis!AY12*AD_tis!AY$48*AD_tis!$BE12</f>
        <v>0</v>
      </c>
      <c r="AZ12" s="4">
        <f>+AD_tis!AZ12*AD_tis!AZ$48*AD_tis!$BE12</f>
        <v>0</v>
      </c>
      <c r="BA12" s="12">
        <f>+AD_tis!BA12*AD_tis!BA$48*AD_tis!$BE12</f>
        <v>0</v>
      </c>
      <c r="BB12" s="4">
        <f>+AD_tis!BB12*AD_tis!BB$48*AD_tis!$BE12</f>
        <v>0</v>
      </c>
      <c r="BC12" s="13">
        <f>+AD_tis!BC12*AD_tis!BC$48*AD_tis!$BE12</f>
        <v>0</v>
      </c>
    </row>
    <row r="13" spans="1:55" ht="18.75" customHeight="1" x14ac:dyDescent="0.25">
      <c r="A13" s="5" t="s">
        <v>64</v>
      </c>
      <c r="B13" s="12">
        <f>+AD_tis!B13*AD_tis!B$48*AD_tis!$BE13</f>
        <v>0</v>
      </c>
      <c r="C13" s="4">
        <f>+AD_tis!C13*AD_tis!C$48*AD_tis!$BE13</f>
        <v>0</v>
      </c>
      <c r="D13" s="4">
        <f>+AD_tis!D13*AD_tis!D$48*AD_tis!$BE13</f>
        <v>0</v>
      </c>
      <c r="E13" s="4">
        <f>+AD_tis!E13*AD_tis!E$48*AD_tis!$BE13</f>
        <v>0</v>
      </c>
      <c r="F13" s="4">
        <f>+AD_tis!F13*AD_tis!F$48*AD_tis!$BE13</f>
        <v>1</v>
      </c>
      <c r="G13" s="4">
        <f>+AD_tis!G13*AD_tis!G$48*AD_tis!$BE13</f>
        <v>1</v>
      </c>
      <c r="H13" s="4">
        <f>+AD_tis!H13*AD_tis!H$48*AD_tis!$BE13</f>
        <v>0</v>
      </c>
      <c r="I13" s="4">
        <f>+AD_tis!I13*AD_tis!I$48*AD_tis!$BE13</f>
        <v>0</v>
      </c>
      <c r="J13" s="4">
        <f>+AD_tis!J13*AD_tis!J$48*AD_tis!$BE13</f>
        <v>0</v>
      </c>
      <c r="K13" s="4">
        <f>+AD_tis!K13*AD_tis!K$48*AD_tis!$BE13</f>
        <v>0</v>
      </c>
      <c r="L13" s="4">
        <f>+AD_tis!L13*AD_tis!L$48*AD_tis!$BE13</f>
        <v>0</v>
      </c>
      <c r="M13" s="4">
        <f>+AD_tis!M13*AD_tis!M$48*AD_tis!$BE13</f>
        <v>1</v>
      </c>
      <c r="N13" s="4">
        <f>+AD_tis!N13*AD_tis!N$48*AD_tis!$BE13</f>
        <v>0</v>
      </c>
      <c r="O13" s="4">
        <f>+AD_tis!O13*AD_tis!O$48*AD_tis!$BE13</f>
        <v>0</v>
      </c>
      <c r="P13" s="4">
        <f>+AD_tis!P13*AD_tis!P$48*AD_tis!$BE13</f>
        <v>0</v>
      </c>
      <c r="Q13" s="4">
        <f>+AD_tis!Q13*AD_tis!Q$48*AD_tis!$BE13</f>
        <v>0</v>
      </c>
      <c r="R13" s="13">
        <f>+AD_tis!R13*AD_tis!R$48*AD_tis!$BE13</f>
        <v>0</v>
      </c>
      <c r="S13" s="4">
        <f>+AD_tis!S13*AD_tis!S$48*AD_tis!$BE13</f>
        <v>0</v>
      </c>
      <c r="T13" s="4">
        <f>+AD_tis!T13*AD_tis!T$48*AD_tis!$BE13</f>
        <v>0</v>
      </c>
      <c r="U13" s="4">
        <f>+AD_tis!U13*AD_tis!U$48*AD_tis!$BE13</f>
        <v>0</v>
      </c>
      <c r="V13" s="4">
        <f>+AD_tis!V13*AD_tis!V$48*AD_tis!$BE13</f>
        <v>0</v>
      </c>
      <c r="W13" s="4">
        <f>+AD_tis!W13*AD_tis!W$48*AD_tis!$BE13</f>
        <v>0</v>
      </c>
      <c r="X13" s="4">
        <f>+AD_tis!X13*AD_tis!X$48*AD_tis!$BE13</f>
        <v>0</v>
      </c>
      <c r="Y13" s="4">
        <f>+AD_tis!Y13*AD_tis!Y$48*AD_tis!$BE13</f>
        <v>0</v>
      </c>
      <c r="Z13" s="4">
        <f>+AD_tis!Z13*AD_tis!Z$48*AD_tis!$BE13</f>
        <v>0</v>
      </c>
      <c r="AA13" s="4">
        <f>+AD_tis!AA13*AD_tis!AA$48*AD_tis!$BE13</f>
        <v>0</v>
      </c>
      <c r="AB13" s="4">
        <f>+AD_tis!AB13*AD_tis!AB$48*AD_tis!$BE13</f>
        <v>0</v>
      </c>
      <c r="AC13" s="12">
        <f>+AD_tis!AC13*AD_tis!AC$48*AD_tis!$BE13</f>
        <v>0</v>
      </c>
      <c r="AD13" s="4">
        <f>+AD_tis!AD13*AD_tis!AD$48*AD_tis!$BE13</f>
        <v>0</v>
      </c>
      <c r="AE13" s="4">
        <f>+AD_tis!AE13*AD_tis!AE$48*AD_tis!$BE13</f>
        <v>0</v>
      </c>
      <c r="AF13" s="4">
        <f>+AD_tis!AF13*AD_tis!AF$48*AD_tis!$BE13</f>
        <v>0</v>
      </c>
      <c r="AG13" s="4">
        <f>+AD_tis!AG13*AD_tis!AG$48*AD_tis!$BE13</f>
        <v>0</v>
      </c>
      <c r="AH13" s="4">
        <f>+AD_tis!AH13*AD_tis!AH$48*AD_tis!$BE13</f>
        <v>0</v>
      </c>
      <c r="AI13" s="4">
        <f>+AD_tis!AI13*AD_tis!AI$48*AD_tis!$BE13</f>
        <v>0</v>
      </c>
      <c r="AJ13" s="4">
        <f>+AD_tis!AJ13*AD_tis!AJ$48*AD_tis!$BE13</f>
        <v>0</v>
      </c>
      <c r="AK13" s="4">
        <f>+AD_tis!AK13*AD_tis!AK$48*AD_tis!$BE13</f>
        <v>0</v>
      </c>
      <c r="AL13" s="4">
        <f>+AD_tis!AL13*AD_tis!AL$48*AD_tis!$BE13</f>
        <v>0</v>
      </c>
      <c r="AM13" s="13">
        <f>+AD_tis!AM13*AD_tis!AM$48*AD_tis!$BE13</f>
        <v>0</v>
      </c>
      <c r="AN13" s="4">
        <f>+AD_tis!AN13*AD_tis!AN$48*AD_tis!$BE13</f>
        <v>0</v>
      </c>
      <c r="AO13" s="4">
        <f>+AD_tis!AO13*AD_tis!AO$48*AD_tis!$BE13</f>
        <v>0</v>
      </c>
      <c r="AP13" s="4">
        <f>+AD_tis!AP13*AD_tis!AP$48*AD_tis!$BE13</f>
        <v>0</v>
      </c>
      <c r="AQ13" s="4">
        <f>+AD_tis!AQ13*AD_tis!AQ$48*AD_tis!$BE13</f>
        <v>0</v>
      </c>
      <c r="AR13" s="4">
        <f>+AD_tis!AR13*AD_tis!AR$48*AD_tis!$BE13</f>
        <v>0</v>
      </c>
      <c r="AS13" s="4">
        <f>+AD_tis!AS13*AD_tis!AS$48*AD_tis!$BE13</f>
        <v>0</v>
      </c>
      <c r="AT13" s="4">
        <f>+AD_tis!AT13*AD_tis!AT$48*AD_tis!$BE13</f>
        <v>0</v>
      </c>
      <c r="AU13" s="4">
        <f>+AD_tis!AU13*AD_tis!AU$48*AD_tis!$BE13</f>
        <v>0</v>
      </c>
      <c r="AV13" s="4">
        <f>+AD_tis!AV13*AD_tis!AV$48*AD_tis!$BE13</f>
        <v>0</v>
      </c>
      <c r="AW13" s="12">
        <f>+AD_tis!AW13*AD_tis!AW$48*AD_tis!$BE13</f>
        <v>0</v>
      </c>
      <c r="AX13" s="13">
        <f>+AD_tis!AX13*AD_tis!AX$48*AD_tis!$BE13</f>
        <v>0</v>
      </c>
      <c r="AY13" s="4">
        <f>+AD_tis!AY13*AD_tis!AY$48*AD_tis!$BE13</f>
        <v>0</v>
      </c>
      <c r="AZ13" s="4">
        <f>+AD_tis!AZ13*AD_tis!AZ$48*AD_tis!$BE13</f>
        <v>0</v>
      </c>
      <c r="BA13" s="12">
        <f>+AD_tis!BA13*AD_tis!BA$48*AD_tis!$BE13</f>
        <v>0</v>
      </c>
      <c r="BB13" s="4">
        <f>+AD_tis!BB13*AD_tis!BB$48*AD_tis!$BE13</f>
        <v>0</v>
      </c>
      <c r="BC13" s="13">
        <f>+AD_tis!BC13*AD_tis!BC$48*AD_tis!$BE13</f>
        <v>0</v>
      </c>
    </row>
    <row r="14" spans="1:55" ht="18.75" customHeight="1" x14ac:dyDescent="0.25">
      <c r="A14" s="5" t="s">
        <v>65</v>
      </c>
      <c r="B14" s="12">
        <f>+AD_tis!B14*AD_tis!B$48*AD_tis!$BE14</f>
        <v>0</v>
      </c>
      <c r="C14" s="4">
        <f>+AD_tis!C14*AD_tis!C$48*AD_tis!$BE14</f>
        <v>0</v>
      </c>
      <c r="D14" s="4">
        <f>+AD_tis!D14*AD_tis!D$48*AD_tis!$BE14</f>
        <v>0</v>
      </c>
      <c r="E14" s="4">
        <f>+AD_tis!E14*AD_tis!E$48*AD_tis!$BE14</f>
        <v>0</v>
      </c>
      <c r="F14" s="4">
        <f>+AD_tis!F14*AD_tis!F$48*AD_tis!$BE14</f>
        <v>0</v>
      </c>
      <c r="G14" s="4">
        <f>+AD_tis!G14*AD_tis!G$48*AD_tis!$BE14</f>
        <v>0</v>
      </c>
      <c r="H14" s="4">
        <f>+AD_tis!H14*AD_tis!H$48*AD_tis!$BE14</f>
        <v>0</v>
      </c>
      <c r="I14" s="4">
        <f>+AD_tis!I14*AD_tis!I$48*AD_tis!$BE14</f>
        <v>0</v>
      </c>
      <c r="J14" s="4">
        <f>+AD_tis!J14*AD_tis!J$48*AD_tis!$BE14</f>
        <v>0</v>
      </c>
      <c r="K14" s="4">
        <f>+AD_tis!K14*AD_tis!K$48*AD_tis!$BE14</f>
        <v>0</v>
      </c>
      <c r="L14" s="4">
        <f>+AD_tis!L14*AD_tis!L$48*AD_tis!$BE14</f>
        <v>0</v>
      </c>
      <c r="M14" s="4">
        <f>+AD_tis!M14*AD_tis!M$48*AD_tis!$BE14</f>
        <v>0</v>
      </c>
      <c r="N14" s="4">
        <f>+AD_tis!N14*AD_tis!N$48*AD_tis!$BE14</f>
        <v>0</v>
      </c>
      <c r="O14" s="4">
        <f>+AD_tis!O14*AD_tis!O$48*AD_tis!$BE14</f>
        <v>0</v>
      </c>
      <c r="P14" s="4">
        <f>+AD_tis!P14*AD_tis!P$48*AD_tis!$BE14</f>
        <v>0</v>
      </c>
      <c r="Q14" s="4">
        <f>+AD_tis!Q14*AD_tis!Q$48*AD_tis!$BE14</f>
        <v>0</v>
      </c>
      <c r="R14" s="13">
        <f>+AD_tis!R14*AD_tis!R$48*AD_tis!$BE14</f>
        <v>0</v>
      </c>
      <c r="S14" s="4">
        <f>+AD_tis!S14*AD_tis!S$48*AD_tis!$BE14</f>
        <v>0</v>
      </c>
      <c r="T14" s="4">
        <f>+AD_tis!T14*AD_tis!T$48*AD_tis!$BE14</f>
        <v>0</v>
      </c>
      <c r="U14" s="4">
        <f>+AD_tis!U14*AD_tis!U$48*AD_tis!$BE14</f>
        <v>0</v>
      </c>
      <c r="V14" s="4">
        <f>+AD_tis!V14*AD_tis!V$48*AD_tis!$BE14</f>
        <v>0</v>
      </c>
      <c r="W14" s="4">
        <f>+AD_tis!W14*AD_tis!W$48*AD_tis!$BE14</f>
        <v>0</v>
      </c>
      <c r="X14" s="4">
        <f>+AD_tis!X14*AD_tis!X$48*AD_tis!$BE14</f>
        <v>0</v>
      </c>
      <c r="Y14" s="4">
        <f>+AD_tis!Y14*AD_tis!Y$48*AD_tis!$BE14</f>
        <v>0</v>
      </c>
      <c r="Z14" s="4">
        <f>+AD_tis!Z14*AD_tis!Z$48*AD_tis!$BE14</f>
        <v>0</v>
      </c>
      <c r="AA14" s="4">
        <f>+AD_tis!AA14*AD_tis!AA$48*AD_tis!$BE14</f>
        <v>0</v>
      </c>
      <c r="AB14" s="4">
        <f>+AD_tis!AB14*AD_tis!AB$48*AD_tis!$BE14</f>
        <v>0</v>
      </c>
      <c r="AC14" s="12">
        <f>+AD_tis!AC14*AD_tis!AC$48*AD_tis!$BE14</f>
        <v>0</v>
      </c>
      <c r="AD14" s="4">
        <f>+AD_tis!AD14*AD_tis!AD$48*AD_tis!$BE14</f>
        <v>0</v>
      </c>
      <c r="AE14" s="4">
        <f>+AD_tis!AE14*AD_tis!AE$48*AD_tis!$BE14</f>
        <v>0</v>
      </c>
      <c r="AF14" s="4">
        <f>+AD_tis!AF14*AD_tis!AF$48*AD_tis!$BE14</f>
        <v>0</v>
      </c>
      <c r="AG14" s="4">
        <f>+AD_tis!AG14*AD_tis!AG$48*AD_tis!$BE14</f>
        <v>0</v>
      </c>
      <c r="AH14" s="4">
        <f>+AD_tis!AH14*AD_tis!AH$48*AD_tis!$BE14</f>
        <v>0</v>
      </c>
      <c r="AI14" s="4">
        <f>+AD_tis!AI14*AD_tis!AI$48*AD_tis!$BE14</f>
        <v>0</v>
      </c>
      <c r="AJ14" s="4">
        <f>+AD_tis!AJ14*AD_tis!AJ$48*AD_tis!$BE14</f>
        <v>0</v>
      </c>
      <c r="AK14" s="4">
        <f>+AD_tis!AK14*AD_tis!AK$48*AD_tis!$BE14</f>
        <v>0</v>
      </c>
      <c r="AL14" s="4">
        <f>+AD_tis!AL14*AD_tis!AL$48*AD_tis!$BE14</f>
        <v>0</v>
      </c>
      <c r="AM14" s="13">
        <f>+AD_tis!AM14*AD_tis!AM$48*AD_tis!$BE14</f>
        <v>0</v>
      </c>
      <c r="AN14" s="4">
        <f>+AD_tis!AN14*AD_tis!AN$48*AD_tis!$BE14</f>
        <v>0</v>
      </c>
      <c r="AO14" s="4">
        <f>+AD_tis!AO14*AD_tis!AO$48*AD_tis!$BE14</f>
        <v>0</v>
      </c>
      <c r="AP14" s="4">
        <f>+AD_tis!AP14*AD_tis!AP$48*AD_tis!$BE14</f>
        <v>0</v>
      </c>
      <c r="AQ14" s="4">
        <f>+AD_tis!AQ14*AD_tis!AQ$48*AD_tis!$BE14</f>
        <v>0</v>
      </c>
      <c r="AR14" s="4">
        <f>+AD_tis!AR14*AD_tis!AR$48*AD_tis!$BE14</f>
        <v>0</v>
      </c>
      <c r="AS14" s="4">
        <f>+AD_tis!AS14*AD_tis!AS$48*AD_tis!$BE14</f>
        <v>0</v>
      </c>
      <c r="AT14" s="4">
        <f>+AD_tis!AT14*AD_tis!AT$48*AD_tis!$BE14</f>
        <v>0</v>
      </c>
      <c r="AU14" s="4">
        <f>+AD_tis!AU14*AD_tis!AU$48*AD_tis!$BE14</f>
        <v>0</v>
      </c>
      <c r="AV14" s="4">
        <f>+AD_tis!AV14*AD_tis!AV$48*AD_tis!$BE14</f>
        <v>0</v>
      </c>
      <c r="AW14" s="12">
        <f>+AD_tis!AW14*AD_tis!AW$48*AD_tis!$BE14</f>
        <v>0</v>
      </c>
      <c r="AX14" s="13">
        <f>+AD_tis!AX14*AD_tis!AX$48*AD_tis!$BE14</f>
        <v>0</v>
      </c>
      <c r="AY14" s="4">
        <f>+AD_tis!AY14*AD_tis!AY$48*AD_tis!$BE14</f>
        <v>0</v>
      </c>
      <c r="AZ14" s="4">
        <f>+AD_tis!AZ14*AD_tis!AZ$48*AD_tis!$BE14</f>
        <v>0</v>
      </c>
      <c r="BA14" s="12">
        <f>+AD_tis!BA14*AD_tis!BA$48*AD_tis!$BE14</f>
        <v>0</v>
      </c>
      <c r="BB14" s="4">
        <f>+AD_tis!BB14*AD_tis!BB$48*AD_tis!$BE14</f>
        <v>0</v>
      </c>
      <c r="BC14" s="13">
        <f>+AD_tis!BC14*AD_tis!BC$48*AD_tis!$BE14</f>
        <v>0</v>
      </c>
    </row>
    <row r="15" spans="1:55" ht="18.75" customHeight="1" x14ac:dyDescent="0.25">
      <c r="A15" s="5" t="s">
        <v>66</v>
      </c>
      <c r="B15" s="12">
        <f>+AD_tis!B15*AD_tis!B$48*AD_tis!$BE15</f>
        <v>0</v>
      </c>
      <c r="C15" s="4">
        <f>+AD_tis!C15*AD_tis!C$48*AD_tis!$BE15</f>
        <v>0</v>
      </c>
      <c r="D15" s="4">
        <f>+AD_tis!D15*AD_tis!D$48*AD_tis!$BE15</f>
        <v>0</v>
      </c>
      <c r="E15" s="4">
        <f>+AD_tis!E15*AD_tis!E$48*AD_tis!$BE15</f>
        <v>0</v>
      </c>
      <c r="F15" s="4">
        <f>+AD_tis!F15*AD_tis!F$48*AD_tis!$BE15</f>
        <v>0</v>
      </c>
      <c r="G15" s="4">
        <f>+AD_tis!G15*AD_tis!G$48*AD_tis!$BE15</f>
        <v>0</v>
      </c>
      <c r="H15" s="4">
        <f>+AD_tis!H15*AD_tis!H$48*AD_tis!$BE15</f>
        <v>0</v>
      </c>
      <c r="I15" s="4">
        <f>+AD_tis!I15*AD_tis!I$48*AD_tis!$BE15</f>
        <v>0</v>
      </c>
      <c r="J15" s="4">
        <f>+AD_tis!J15*AD_tis!J$48*AD_tis!$BE15</f>
        <v>0</v>
      </c>
      <c r="K15" s="4">
        <f>+AD_tis!K15*AD_tis!K$48*AD_tis!$BE15</f>
        <v>0</v>
      </c>
      <c r="L15" s="4">
        <f>+AD_tis!L15*AD_tis!L$48*AD_tis!$BE15</f>
        <v>0</v>
      </c>
      <c r="M15" s="4">
        <f>+AD_tis!M15*AD_tis!M$48*AD_tis!$BE15</f>
        <v>0</v>
      </c>
      <c r="N15" s="4">
        <f>+AD_tis!N15*AD_tis!N$48*AD_tis!$BE15</f>
        <v>0</v>
      </c>
      <c r="O15" s="4">
        <f>+AD_tis!O15*AD_tis!O$48*AD_tis!$BE15</f>
        <v>0</v>
      </c>
      <c r="P15" s="4">
        <f>+AD_tis!P15*AD_tis!P$48*AD_tis!$BE15</f>
        <v>0</v>
      </c>
      <c r="Q15" s="4">
        <f>+AD_tis!Q15*AD_tis!Q$48*AD_tis!$BE15</f>
        <v>0</v>
      </c>
      <c r="R15" s="13">
        <f>+AD_tis!R15*AD_tis!R$48*AD_tis!$BE15</f>
        <v>0</v>
      </c>
      <c r="S15" s="4">
        <f>+AD_tis!S15*AD_tis!S$48*AD_tis!$BE15</f>
        <v>0</v>
      </c>
      <c r="T15" s="4">
        <f>+AD_tis!T15*AD_tis!T$48*AD_tis!$BE15</f>
        <v>0</v>
      </c>
      <c r="U15" s="4">
        <f>+AD_tis!U15*AD_tis!U$48*AD_tis!$BE15</f>
        <v>0</v>
      </c>
      <c r="V15" s="4">
        <f>+AD_tis!V15*AD_tis!V$48*AD_tis!$BE15</f>
        <v>0</v>
      </c>
      <c r="W15" s="4">
        <f>+AD_tis!W15*AD_tis!W$48*AD_tis!$BE15</f>
        <v>0</v>
      </c>
      <c r="X15" s="4">
        <f>+AD_tis!X15*AD_tis!X$48*AD_tis!$BE15</f>
        <v>0</v>
      </c>
      <c r="Y15" s="4">
        <f>+AD_tis!Y15*AD_tis!Y$48*AD_tis!$BE15</f>
        <v>0</v>
      </c>
      <c r="Z15" s="4">
        <f>+AD_tis!Z15*AD_tis!Z$48*AD_tis!$BE15</f>
        <v>0</v>
      </c>
      <c r="AA15" s="4">
        <f>+AD_tis!AA15*AD_tis!AA$48*AD_tis!$BE15</f>
        <v>0</v>
      </c>
      <c r="AB15" s="4">
        <f>+AD_tis!AB15*AD_tis!AB$48*AD_tis!$BE15</f>
        <v>0</v>
      </c>
      <c r="AC15" s="12">
        <f>+AD_tis!AC15*AD_tis!AC$48*AD_tis!$BE15</f>
        <v>0</v>
      </c>
      <c r="AD15" s="4">
        <f>+AD_tis!AD15*AD_tis!AD$48*AD_tis!$BE15</f>
        <v>0</v>
      </c>
      <c r="AE15" s="4">
        <f>+AD_tis!AE15*AD_tis!AE$48*AD_tis!$BE15</f>
        <v>0</v>
      </c>
      <c r="AF15" s="4">
        <f>+AD_tis!AF15*AD_tis!AF$48*AD_tis!$BE15</f>
        <v>0</v>
      </c>
      <c r="AG15" s="4">
        <f>+AD_tis!AG15*AD_tis!AG$48*AD_tis!$BE15</f>
        <v>0</v>
      </c>
      <c r="AH15" s="4">
        <f>+AD_tis!AH15*AD_tis!AH$48*AD_tis!$BE15</f>
        <v>0</v>
      </c>
      <c r="AI15" s="4">
        <f>+AD_tis!AI15*AD_tis!AI$48*AD_tis!$BE15</f>
        <v>0</v>
      </c>
      <c r="AJ15" s="4">
        <f>+AD_tis!AJ15*AD_tis!AJ$48*AD_tis!$BE15</f>
        <v>0</v>
      </c>
      <c r="AK15" s="4">
        <f>+AD_tis!AK15*AD_tis!AK$48*AD_tis!$BE15</f>
        <v>0</v>
      </c>
      <c r="AL15" s="4">
        <f>+AD_tis!AL15*AD_tis!AL$48*AD_tis!$BE15</f>
        <v>0</v>
      </c>
      <c r="AM15" s="13">
        <f>+AD_tis!AM15*AD_tis!AM$48*AD_tis!$BE15</f>
        <v>0</v>
      </c>
      <c r="AN15" s="4">
        <f>+AD_tis!AN15*AD_tis!AN$48*AD_tis!$BE15</f>
        <v>0</v>
      </c>
      <c r="AO15" s="4">
        <f>+AD_tis!AO15*AD_tis!AO$48*AD_tis!$BE15</f>
        <v>0</v>
      </c>
      <c r="AP15" s="4">
        <f>+AD_tis!AP15*AD_tis!AP$48*AD_tis!$BE15</f>
        <v>0</v>
      </c>
      <c r="AQ15" s="4">
        <f>+AD_tis!AQ15*AD_tis!AQ$48*AD_tis!$BE15</f>
        <v>0</v>
      </c>
      <c r="AR15" s="4">
        <f>+AD_tis!AR15*AD_tis!AR$48*AD_tis!$BE15</f>
        <v>0</v>
      </c>
      <c r="AS15" s="4">
        <f>+AD_tis!AS15*AD_tis!AS$48*AD_tis!$BE15</f>
        <v>0</v>
      </c>
      <c r="AT15" s="4">
        <f>+AD_tis!AT15*AD_tis!AT$48*AD_tis!$BE15</f>
        <v>0</v>
      </c>
      <c r="AU15" s="4">
        <f>+AD_tis!AU15*AD_tis!AU$48*AD_tis!$BE15</f>
        <v>0</v>
      </c>
      <c r="AV15" s="4">
        <f>+AD_tis!AV15*AD_tis!AV$48*AD_tis!$BE15</f>
        <v>0</v>
      </c>
      <c r="AW15" s="12">
        <f>+AD_tis!AW15*AD_tis!AW$48*AD_tis!$BE15</f>
        <v>0</v>
      </c>
      <c r="AX15" s="13">
        <f>+AD_tis!AX15*AD_tis!AX$48*AD_tis!$BE15</f>
        <v>0</v>
      </c>
      <c r="AY15" s="4">
        <f>+AD_tis!AY15*AD_tis!AY$48*AD_tis!$BE15</f>
        <v>0</v>
      </c>
      <c r="AZ15" s="4">
        <f>+AD_tis!AZ15*AD_tis!AZ$48*AD_tis!$BE15</f>
        <v>0</v>
      </c>
      <c r="BA15" s="12">
        <f>+AD_tis!BA15*AD_tis!BA$48*AD_tis!$BE15</f>
        <v>0</v>
      </c>
      <c r="BB15" s="4">
        <f>+AD_tis!BB15*AD_tis!BB$48*AD_tis!$BE15</f>
        <v>0</v>
      </c>
      <c r="BC15" s="13">
        <f>+AD_tis!BC15*AD_tis!BC$48*AD_tis!$BE15</f>
        <v>0</v>
      </c>
    </row>
    <row r="16" spans="1:55" ht="18.75" customHeight="1" x14ac:dyDescent="0.25">
      <c r="A16" s="5" t="s">
        <v>67</v>
      </c>
      <c r="B16" s="12">
        <f>+AD_tis!B16*AD_tis!B$48*AD_tis!$BE16</f>
        <v>0</v>
      </c>
      <c r="C16" s="4">
        <f>+AD_tis!C16*AD_tis!C$48*AD_tis!$BE16</f>
        <v>0</v>
      </c>
      <c r="D16" s="4">
        <f>+AD_tis!D16*AD_tis!D$48*AD_tis!$BE16</f>
        <v>0</v>
      </c>
      <c r="E16" s="4">
        <f>+AD_tis!E16*AD_tis!E$48*AD_tis!$BE16</f>
        <v>0</v>
      </c>
      <c r="F16" s="4">
        <f>+AD_tis!F16*AD_tis!F$48*AD_tis!$BE16</f>
        <v>0</v>
      </c>
      <c r="G16" s="4">
        <f>+AD_tis!G16*AD_tis!G$48*AD_tis!$BE16</f>
        <v>1</v>
      </c>
      <c r="H16" s="4">
        <f>+AD_tis!H16*AD_tis!H$48*AD_tis!$BE16</f>
        <v>0</v>
      </c>
      <c r="I16" s="4">
        <f>+AD_tis!I16*AD_tis!I$48*AD_tis!$BE16</f>
        <v>0</v>
      </c>
      <c r="J16" s="4">
        <f>+AD_tis!J16*AD_tis!J$48*AD_tis!$BE16</f>
        <v>0</v>
      </c>
      <c r="K16" s="4">
        <f>+AD_tis!K16*AD_tis!K$48*AD_tis!$BE16</f>
        <v>0</v>
      </c>
      <c r="L16" s="4">
        <f>+AD_tis!L16*AD_tis!L$48*AD_tis!$BE16</f>
        <v>0</v>
      </c>
      <c r="M16" s="4">
        <f>+AD_tis!M16*AD_tis!M$48*AD_tis!$BE16</f>
        <v>1</v>
      </c>
      <c r="N16" s="4">
        <f>+AD_tis!N16*AD_tis!N$48*AD_tis!$BE16</f>
        <v>0</v>
      </c>
      <c r="O16" s="4">
        <f>+AD_tis!O16*AD_tis!O$48*AD_tis!$BE16</f>
        <v>0</v>
      </c>
      <c r="P16" s="4">
        <f>+AD_tis!P16*AD_tis!P$48*AD_tis!$BE16</f>
        <v>0</v>
      </c>
      <c r="Q16" s="4">
        <f>+AD_tis!Q16*AD_tis!Q$48*AD_tis!$BE16</f>
        <v>1</v>
      </c>
      <c r="R16" s="13">
        <f>+AD_tis!R16*AD_tis!R$48*AD_tis!$BE16</f>
        <v>0</v>
      </c>
      <c r="S16" s="4">
        <f>+AD_tis!S16*AD_tis!S$48*AD_tis!$BE16</f>
        <v>0</v>
      </c>
      <c r="T16" s="4">
        <f>+AD_tis!T16*AD_tis!T$48*AD_tis!$BE16</f>
        <v>0</v>
      </c>
      <c r="U16" s="4">
        <f>+AD_tis!U16*AD_tis!U$48*AD_tis!$BE16</f>
        <v>0</v>
      </c>
      <c r="V16" s="4">
        <f>+AD_tis!V16*AD_tis!V$48*AD_tis!$BE16</f>
        <v>0</v>
      </c>
      <c r="W16" s="4">
        <f>+AD_tis!W16*AD_tis!W$48*AD_tis!$BE16</f>
        <v>0</v>
      </c>
      <c r="X16" s="4">
        <f>+AD_tis!X16*AD_tis!X$48*AD_tis!$BE16</f>
        <v>0</v>
      </c>
      <c r="Y16" s="4">
        <f>+AD_tis!Y16*AD_tis!Y$48*AD_tis!$BE16</f>
        <v>0</v>
      </c>
      <c r="Z16" s="4">
        <f>+AD_tis!Z16*AD_tis!Z$48*AD_tis!$BE16</f>
        <v>0</v>
      </c>
      <c r="AA16" s="4">
        <f>+AD_tis!AA16*AD_tis!AA$48*AD_tis!$BE16</f>
        <v>0</v>
      </c>
      <c r="AB16" s="4">
        <f>+AD_tis!AB16*AD_tis!AB$48*AD_tis!$BE16</f>
        <v>0</v>
      </c>
      <c r="AC16" s="12">
        <f>+AD_tis!AC16*AD_tis!AC$48*AD_tis!$BE16</f>
        <v>0</v>
      </c>
      <c r="AD16" s="4">
        <f>+AD_tis!AD16*AD_tis!AD$48*AD_tis!$BE16</f>
        <v>0</v>
      </c>
      <c r="AE16" s="4">
        <f>+AD_tis!AE16*AD_tis!AE$48*AD_tis!$BE16</f>
        <v>0</v>
      </c>
      <c r="AF16" s="4">
        <f>+AD_tis!AF16*AD_tis!AF$48*AD_tis!$BE16</f>
        <v>0</v>
      </c>
      <c r="AG16" s="4">
        <f>+AD_tis!AG16*AD_tis!AG$48*AD_tis!$BE16</f>
        <v>0</v>
      </c>
      <c r="AH16" s="4">
        <f>+AD_tis!AH16*AD_tis!AH$48*AD_tis!$BE16</f>
        <v>0</v>
      </c>
      <c r="AI16" s="4">
        <f>+AD_tis!AI16*AD_tis!AI$48*AD_tis!$BE16</f>
        <v>0</v>
      </c>
      <c r="AJ16" s="4">
        <f>+AD_tis!AJ16*AD_tis!AJ$48*AD_tis!$BE16</f>
        <v>0</v>
      </c>
      <c r="AK16" s="4">
        <f>+AD_tis!AK16*AD_tis!AK$48*AD_tis!$BE16</f>
        <v>0</v>
      </c>
      <c r="AL16" s="4">
        <f>+AD_tis!AL16*AD_tis!AL$48*AD_tis!$BE16</f>
        <v>0</v>
      </c>
      <c r="AM16" s="13">
        <f>+AD_tis!AM16*AD_tis!AM$48*AD_tis!$BE16</f>
        <v>0</v>
      </c>
      <c r="AN16" s="4">
        <f>+AD_tis!AN16*AD_tis!AN$48*AD_tis!$BE16</f>
        <v>0</v>
      </c>
      <c r="AO16" s="4">
        <f>+AD_tis!AO16*AD_tis!AO$48*AD_tis!$BE16</f>
        <v>0</v>
      </c>
      <c r="AP16" s="4">
        <f>+AD_tis!AP16*AD_tis!AP$48*AD_tis!$BE16</f>
        <v>0</v>
      </c>
      <c r="AQ16" s="4">
        <f>+AD_tis!AQ16*AD_tis!AQ$48*AD_tis!$BE16</f>
        <v>0</v>
      </c>
      <c r="AR16" s="4">
        <f>+AD_tis!AR16*AD_tis!AR$48*AD_tis!$BE16</f>
        <v>0</v>
      </c>
      <c r="AS16" s="4">
        <f>+AD_tis!AS16*AD_tis!AS$48*AD_tis!$BE16</f>
        <v>0</v>
      </c>
      <c r="AT16" s="4">
        <f>+AD_tis!AT16*AD_tis!AT$48*AD_tis!$BE16</f>
        <v>0</v>
      </c>
      <c r="AU16" s="4">
        <f>+AD_tis!AU16*AD_tis!AU$48*AD_tis!$BE16</f>
        <v>0</v>
      </c>
      <c r="AV16" s="4">
        <f>+AD_tis!AV16*AD_tis!AV$48*AD_tis!$BE16</f>
        <v>0</v>
      </c>
      <c r="AW16" s="12">
        <f>+AD_tis!AW16*AD_tis!AW$48*AD_tis!$BE16</f>
        <v>0</v>
      </c>
      <c r="AX16" s="13">
        <f>+AD_tis!AX16*AD_tis!AX$48*AD_tis!$BE16</f>
        <v>0</v>
      </c>
      <c r="AY16" s="4">
        <f>+AD_tis!AY16*AD_tis!AY$48*AD_tis!$BE16</f>
        <v>0</v>
      </c>
      <c r="AZ16" s="4">
        <f>+AD_tis!AZ16*AD_tis!AZ$48*AD_tis!$BE16</f>
        <v>0</v>
      </c>
      <c r="BA16" s="12">
        <f>+AD_tis!BA16*AD_tis!BA$48*AD_tis!$BE16</f>
        <v>0</v>
      </c>
      <c r="BB16" s="4">
        <f>+AD_tis!BB16*AD_tis!BB$48*AD_tis!$BE16</f>
        <v>0</v>
      </c>
      <c r="BC16" s="13">
        <f>+AD_tis!BC16*AD_tis!BC$48*AD_tis!$BE16</f>
        <v>0</v>
      </c>
    </row>
    <row r="17" spans="1:55" ht="18.75" customHeight="1" x14ac:dyDescent="0.25">
      <c r="A17" s="5" t="s">
        <v>68</v>
      </c>
      <c r="B17" s="12">
        <f>+AD_tis!B17*AD_tis!B$48*AD_tis!$BE17</f>
        <v>0</v>
      </c>
      <c r="C17" s="4">
        <f>+AD_tis!C17*AD_tis!C$48*AD_tis!$BE17</f>
        <v>0</v>
      </c>
      <c r="D17" s="4">
        <f>+AD_tis!D17*AD_tis!D$48*AD_tis!$BE17</f>
        <v>0</v>
      </c>
      <c r="E17" s="4">
        <f>+AD_tis!E17*AD_tis!E$48*AD_tis!$BE17</f>
        <v>0</v>
      </c>
      <c r="F17" s="4">
        <f>+AD_tis!F17*AD_tis!F$48*AD_tis!$BE17</f>
        <v>0</v>
      </c>
      <c r="G17" s="4">
        <f>+AD_tis!G17*AD_tis!G$48*AD_tis!$BE17</f>
        <v>0</v>
      </c>
      <c r="H17" s="4">
        <f>+AD_tis!H17*AD_tis!H$48*AD_tis!$BE17</f>
        <v>0</v>
      </c>
      <c r="I17" s="4">
        <f>+AD_tis!I17*AD_tis!I$48*AD_tis!$BE17</f>
        <v>0</v>
      </c>
      <c r="J17" s="4">
        <f>+AD_tis!J17*AD_tis!J$48*AD_tis!$BE17</f>
        <v>0</v>
      </c>
      <c r="K17" s="4">
        <f>+AD_tis!K17*AD_tis!K$48*AD_tis!$BE17</f>
        <v>0</v>
      </c>
      <c r="L17" s="4">
        <f>+AD_tis!L17*AD_tis!L$48*AD_tis!$BE17</f>
        <v>0</v>
      </c>
      <c r="M17" s="4">
        <f>+AD_tis!M17*AD_tis!M$48*AD_tis!$BE17</f>
        <v>0</v>
      </c>
      <c r="N17" s="4">
        <f>+AD_tis!N17*AD_tis!N$48*AD_tis!$BE17</f>
        <v>0</v>
      </c>
      <c r="O17" s="4">
        <f>+AD_tis!O17*AD_tis!O$48*AD_tis!$BE17</f>
        <v>0</v>
      </c>
      <c r="P17" s="4">
        <f>+AD_tis!P17*AD_tis!P$48*AD_tis!$BE17</f>
        <v>0</v>
      </c>
      <c r="Q17" s="4">
        <f>+AD_tis!Q17*AD_tis!Q$48*AD_tis!$BE17</f>
        <v>0</v>
      </c>
      <c r="R17" s="13">
        <f>+AD_tis!R17*AD_tis!R$48*AD_tis!$BE17</f>
        <v>0</v>
      </c>
      <c r="S17" s="4">
        <f>+AD_tis!S17*AD_tis!S$48*AD_tis!$BE17</f>
        <v>0</v>
      </c>
      <c r="T17" s="4">
        <f>+AD_tis!T17*AD_tis!T$48*AD_tis!$BE17</f>
        <v>0</v>
      </c>
      <c r="U17" s="4">
        <f>+AD_tis!U17*AD_tis!U$48*AD_tis!$BE17</f>
        <v>0</v>
      </c>
      <c r="V17" s="4">
        <f>+AD_tis!V17*AD_tis!V$48*AD_tis!$BE17</f>
        <v>0</v>
      </c>
      <c r="W17" s="4">
        <f>+AD_tis!W17*AD_tis!W$48*AD_tis!$BE17</f>
        <v>0</v>
      </c>
      <c r="X17" s="4">
        <f>+AD_tis!X17*AD_tis!X$48*AD_tis!$BE17</f>
        <v>0</v>
      </c>
      <c r="Y17" s="4">
        <f>+AD_tis!Y17*AD_tis!Y$48*AD_tis!$BE17</f>
        <v>0</v>
      </c>
      <c r="Z17" s="4">
        <f>+AD_tis!Z17*AD_tis!Z$48*AD_tis!$BE17</f>
        <v>0</v>
      </c>
      <c r="AA17" s="4">
        <f>+AD_tis!AA17*AD_tis!AA$48*AD_tis!$BE17</f>
        <v>0</v>
      </c>
      <c r="AB17" s="4">
        <f>+AD_tis!AB17*AD_tis!AB$48*AD_tis!$BE17</f>
        <v>0</v>
      </c>
      <c r="AC17" s="12">
        <f>+AD_tis!AC17*AD_tis!AC$48*AD_tis!$BE17</f>
        <v>0</v>
      </c>
      <c r="AD17" s="4">
        <f>+AD_tis!AD17*AD_tis!AD$48*AD_tis!$BE17</f>
        <v>0</v>
      </c>
      <c r="AE17" s="4">
        <f>+AD_tis!AE17*AD_tis!AE$48*AD_tis!$BE17</f>
        <v>0</v>
      </c>
      <c r="AF17" s="4">
        <f>+AD_tis!AF17*AD_tis!AF$48*AD_tis!$BE17</f>
        <v>0</v>
      </c>
      <c r="AG17" s="4">
        <f>+AD_tis!AG17*AD_tis!AG$48*AD_tis!$BE17</f>
        <v>0</v>
      </c>
      <c r="AH17" s="4">
        <f>+AD_tis!AH17*AD_tis!AH$48*AD_tis!$BE17</f>
        <v>0</v>
      </c>
      <c r="AI17" s="4">
        <f>+AD_tis!AI17*AD_tis!AI$48*AD_tis!$BE17</f>
        <v>0</v>
      </c>
      <c r="AJ17" s="4">
        <f>+AD_tis!AJ17*AD_tis!AJ$48*AD_tis!$BE17</f>
        <v>0</v>
      </c>
      <c r="AK17" s="4">
        <f>+AD_tis!AK17*AD_tis!AK$48*AD_tis!$BE17</f>
        <v>0</v>
      </c>
      <c r="AL17" s="4">
        <f>+AD_tis!AL17*AD_tis!AL$48*AD_tis!$BE17</f>
        <v>0</v>
      </c>
      <c r="AM17" s="13">
        <f>+AD_tis!AM17*AD_tis!AM$48*AD_tis!$BE17</f>
        <v>0</v>
      </c>
      <c r="AN17" s="4">
        <f>+AD_tis!AN17*AD_tis!AN$48*AD_tis!$BE17</f>
        <v>0</v>
      </c>
      <c r="AO17" s="4">
        <f>+AD_tis!AO17*AD_tis!AO$48*AD_tis!$BE17</f>
        <v>0</v>
      </c>
      <c r="AP17" s="4">
        <f>+AD_tis!AP17*AD_tis!AP$48*AD_tis!$BE17</f>
        <v>0</v>
      </c>
      <c r="AQ17" s="4">
        <f>+AD_tis!AQ17*AD_tis!AQ$48*AD_tis!$BE17</f>
        <v>0</v>
      </c>
      <c r="AR17" s="4">
        <f>+AD_tis!AR17*AD_tis!AR$48*AD_tis!$BE17</f>
        <v>0</v>
      </c>
      <c r="AS17" s="4">
        <f>+AD_tis!AS17*AD_tis!AS$48*AD_tis!$BE17</f>
        <v>0</v>
      </c>
      <c r="AT17" s="4">
        <f>+AD_tis!AT17*AD_tis!AT$48*AD_tis!$BE17</f>
        <v>0</v>
      </c>
      <c r="AU17" s="4">
        <f>+AD_tis!AU17*AD_tis!AU$48*AD_tis!$BE17</f>
        <v>0</v>
      </c>
      <c r="AV17" s="4">
        <f>+AD_tis!AV17*AD_tis!AV$48*AD_tis!$BE17</f>
        <v>0</v>
      </c>
      <c r="AW17" s="12">
        <f>+AD_tis!AW17*AD_tis!AW$48*AD_tis!$BE17</f>
        <v>0</v>
      </c>
      <c r="AX17" s="13">
        <f>+AD_tis!AX17*AD_tis!AX$48*AD_tis!$BE17</f>
        <v>0</v>
      </c>
      <c r="AY17" s="4">
        <f>+AD_tis!AY17*AD_tis!AY$48*AD_tis!$BE17</f>
        <v>0</v>
      </c>
      <c r="AZ17" s="4">
        <f>+AD_tis!AZ17*AD_tis!AZ$48*AD_tis!$BE17</f>
        <v>0</v>
      </c>
      <c r="BA17" s="12">
        <f>+AD_tis!BA17*AD_tis!BA$48*AD_tis!$BE17</f>
        <v>0</v>
      </c>
      <c r="BB17" s="4">
        <f>+AD_tis!BB17*AD_tis!BB$48*AD_tis!$BE17</f>
        <v>0</v>
      </c>
      <c r="BC17" s="13">
        <f>+AD_tis!BC17*AD_tis!BC$48*AD_tis!$BE17</f>
        <v>0</v>
      </c>
    </row>
    <row r="18" spans="1:55" ht="18.75" customHeight="1" x14ac:dyDescent="0.25">
      <c r="A18" s="5" t="s">
        <v>69</v>
      </c>
      <c r="B18" s="12">
        <f>+AD_tis!B18*AD_tis!B$48*AD_tis!$BE18</f>
        <v>0</v>
      </c>
      <c r="C18" s="4">
        <f>+AD_tis!C18*AD_tis!C$48*AD_tis!$BE18</f>
        <v>0</v>
      </c>
      <c r="D18" s="4">
        <f>+AD_tis!D18*AD_tis!D$48*AD_tis!$BE18</f>
        <v>0</v>
      </c>
      <c r="E18" s="4">
        <f>+AD_tis!E18*AD_tis!E$48*AD_tis!$BE18</f>
        <v>0</v>
      </c>
      <c r="F18" s="4">
        <f>+AD_tis!F18*AD_tis!F$48*AD_tis!$BE18</f>
        <v>0</v>
      </c>
      <c r="G18" s="4">
        <f>+AD_tis!G18*AD_tis!G$48*AD_tis!$BE18</f>
        <v>0</v>
      </c>
      <c r="H18" s="4">
        <f>+AD_tis!H18*AD_tis!H$48*AD_tis!$BE18</f>
        <v>0</v>
      </c>
      <c r="I18" s="4">
        <f>+AD_tis!I18*AD_tis!I$48*AD_tis!$BE18</f>
        <v>0</v>
      </c>
      <c r="J18" s="4">
        <f>+AD_tis!J18*AD_tis!J$48*AD_tis!$BE18</f>
        <v>0</v>
      </c>
      <c r="K18" s="4">
        <f>+AD_tis!K18*AD_tis!K$48*AD_tis!$BE18</f>
        <v>0</v>
      </c>
      <c r="L18" s="4">
        <f>+AD_tis!L18*AD_tis!L$48*AD_tis!$BE18</f>
        <v>0</v>
      </c>
      <c r="M18" s="4">
        <f>+AD_tis!M18*AD_tis!M$48*AD_tis!$BE18</f>
        <v>0</v>
      </c>
      <c r="N18" s="4">
        <f>+AD_tis!N18*AD_tis!N$48*AD_tis!$BE18</f>
        <v>0</v>
      </c>
      <c r="O18" s="4">
        <f>+AD_tis!O18*AD_tis!O$48*AD_tis!$BE18</f>
        <v>0</v>
      </c>
      <c r="P18" s="4">
        <f>+AD_tis!P18*AD_tis!P$48*AD_tis!$BE18</f>
        <v>0</v>
      </c>
      <c r="Q18" s="4">
        <f>+AD_tis!Q18*AD_tis!Q$48*AD_tis!$BE18</f>
        <v>0</v>
      </c>
      <c r="R18" s="13">
        <f>+AD_tis!R18*AD_tis!R$48*AD_tis!$BE18</f>
        <v>0</v>
      </c>
      <c r="S18" s="4">
        <f>+AD_tis!S18*AD_tis!S$48*AD_tis!$BE18</f>
        <v>0</v>
      </c>
      <c r="T18" s="4">
        <f>+AD_tis!T18*AD_tis!T$48*AD_tis!$BE18</f>
        <v>0</v>
      </c>
      <c r="U18" s="4">
        <f>+AD_tis!U18*AD_tis!U$48*AD_tis!$BE18</f>
        <v>0</v>
      </c>
      <c r="V18" s="4">
        <f>+AD_tis!V18*AD_tis!V$48*AD_tis!$BE18</f>
        <v>0</v>
      </c>
      <c r="W18" s="4">
        <f>+AD_tis!W18*AD_tis!W$48*AD_tis!$BE18</f>
        <v>0</v>
      </c>
      <c r="X18" s="4">
        <f>+AD_tis!X18*AD_tis!X$48*AD_tis!$BE18</f>
        <v>0</v>
      </c>
      <c r="Y18" s="4">
        <f>+AD_tis!Y18*AD_tis!Y$48*AD_tis!$BE18</f>
        <v>0</v>
      </c>
      <c r="Z18" s="4">
        <f>+AD_tis!Z18*AD_tis!Z$48*AD_tis!$BE18</f>
        <v>0</v>
      </c>
      <c r="AA18" s="4">
        <f>+AD_tis!AA18*AD_tis!AA$48*AD_tis!$BE18</f>
        <v>0</v>
      </c>
      <c r="AB18" s="4">
        <f>+AD_tis!AB18*AD_tis!AB$48*AD_tis!$BE18</f>
        <v>0</v>
      </c>
      <c r="AC18" s="12">
        <f>+AD_tis!AC18*AD_tis!AC$48*AD_tis!$BE18</f>
        <v>0</v>
      </c>
      <c r="AD18" s="4">
        <f>+AD_tis!AD18*AD_tis!AD$48*AD_tis!$BE18</f>
        <v>0</v>
      </c>
      <c r="AE18" s="4">
        <f>+AD_tis!AE18*AD_tis!AE$48*AD_tis!$BE18</f>
        <v>0</v>
      </c>
      <c r="AF18" s="4">
        <f>+AD_tis!AF18*AD_tis!AF$48*AD_tis!$BE18</f>
        <v>0</v>
      </c>
      <c r="AG18" s="4">
        <f>+AD_tis!AG18*AD_tis!AG$48*AD_tis!$BE18</f>
        <v>0</v>
      </c>
      <c r="AH18" s="4">
        <f>+AD_tis!AH18*AD_tis!AH$48*AD_tis!$BE18</f>
        <v>0</v>
      </c>
      <c r="AI18" s="4">
        <f>+AD_tis!AI18*AD_tis!AI$48*AD_tis!$BE18</f>
        <v>0</v>
      </c>
      <c r="AJ18" s="4">
        <f>+AD_tis!AJ18*AD_tis!AJ$48*AD_tis!$BE18</f>
        <v>0</v>
      </c>
      <c r="AK18" s="4">
        <f>+AD_tis!AK18*AD_tis!AK$48*AD_tis!$BE18</f>
        <v>0</v>
      </c>
      <c r="AL18" s="4">
        <f>+AD_tis!AL18*AD_tis!AL$48*AD_tis!$BE18</f>
        <v>0</v>
      </c>
      <c r="AM18" s="13">
        <f>+AD_tis!AM18*AD_tis!AM$48*AD_tis!$BE18</f>
        <v>0</v>
      </c>
      <c r="AN18" s="4">
        <f>+AD_tis!AN18*AD_tis!AN$48*AD_tis!$BE18</f>
        <v>0</v>
      </c>
      <c r="AO18" s="4">
        <f>+AD_tis!AO18*AD_tis!AO$48*AD_tis!$BE18</f>
        <v>0</v>
      </c>
      <c r="AP18" s="4">
        <f>+AD_tis!AP18*AD_tis!AP$48*AD_tis!$BE18</f>
        <v>0</v>
      </c>
      <c r="AQ18" s="4">
        <f>+AD_tis!AQ18*AD_tis!AQ$48*AD_tis!$BE18</f>
        <v>0</v>
      </c>
      <c r="AR18" s="4">
        <f>+AD_tis!AR18*AD_tis!AR$48*AD_tis!$BE18</f>
        <v>0</v>
      </c>
      <c r="AS18" s="4">
        <f>+AD_tis!AS18*AD_tis!AS$48*AD_tis!$BE18</f>
        <v>0</v>
      </c>
      <c r="AT18" s="4">
        <f>+AD_tis!AT18*AD_tis!AT$48*AD_tis!$BE18</f>
        <v>0</v>
      </c>
      <c r="AU18" s="4">
        <f>+AD_tis!AU18*AD_tis!AU$48*AD_tis!$BE18</f>
        <v>0</v>
      </c>
      <c r="AV18" s="4">
        <f>+AD_tis!AV18*AD_tis!AV$48*AD_tis!$BE18</f>
        <v>0</v>
      </c>
      <c r="AW18" s="12">
        <f>+AD_tis!AW18*AD_tis!AW$48*AD_tis!$BE18</f>
        <v>0</v>
      </c>
      <c r="AX18" s="13">
        <f>+AD_tis!AX18*AD_tis!AX$48*AD_tis!$BE18</f>
        <v>0</v>
      </c>
      <c r="AY18" s="4">
        <f>+AD_tis!AY18*AD_tis!AY$48*AD_tis!$BE18</f>
        <v>0</v>
      </c>
      <c r="AZ18" s="4">
        <f>+AD_tis!AZ18*AD_tis!AZ$48*AD_tis!$BE18</f>
        <v>0</v>
      </c>
      <c r="BA18" s="12">
        <f>+AD_tis!BA18*AD_tis!BA$48*AD_tis!$BE18</f>
        <v>0</v>
      </c>
      <c r="BB18" s="4">
        <f>+AD_tis!BB18*AD_tis!BB$48*AD_tis!$BE18</f>
        <v>0</v>
      </c>
      <c r="BC18" s="13">
        <f>+AD_tis!BC18*AD_tis!BC$48*AD_tis!$BE18</f>
        <v>0</v>
      </c>
    </row>
    <row r="19" spans="1:55" ht="18.75" customHeight="1" x14ac:dyDescent="0.25">
      <c r="A19" s="5" t="s">
        <v>70</v>
      </c>
      <c r="B19" s="12">
        <f>+AD_tis!B19*AD_tis!B$48*AD_tis!$BE19</f>
        <v>0</v>
      </c>
      <c r="C19" s="4">
        <f>+AD_tis!C19*AD_tis!C$48*AD_tis!$BE19</f>
        <v>0</v>
      </c>
      <c r="D19" s="4">
        <f>+AD_tis!D19*AD_tis!D$48*AD_tis!$BE19</f>
        <v>0</v>
      </c>
      <c r="E19" s="4">
        <f>+AD_tis!E19*AD_tis!E$48*AD_tis!$BE19</f>
        <v>0</v>
      </c>
      <c r="F19" s="4">
        <f>+AD_tis!F19*AD_tis!F$48*AD_tis!$BE19</f>
        <v>0</v>
      </c>
      <c r="G19" s="4">
        <f>+AD_tis!G19*AD_tis!G$48*AD_tis!$BE19</f>
        <v>0</v>
      </c>
      <c r="H19" s="4">
        <f>+AD_tis!H19*AD_tis!H$48*AD_tis!$BE19</f>
        <v>0</v>
      </c>
      <c r="I19" s="4">
        <f>+AD_tis!I19*AD_tis!I$48*AD_tis!$BE19</f>
        <v>0</v>
      </c>
      <c r="J19" s="4">
        <f>+AD_tis!J19*AD_tis!J$48*AD_tis!$BE19</f>
        <v>0</v>
      </c>
      <c r="K19" s="4">
        <f>+AD_tis!K19*AD_tis!K$48*AD_tis!$BE19</f>
        <v>0</v>
      </c>
      <c r="L19" s="4">
        <f>+AD_tis!L19*AD_tis!L$48*AD_tis!$BE19</f>
        <v>0</v>
      </c>
      <c r="M19" s="4">
        <f>+AD_tis!M19*AD_tis!M$48*AD_tis!$BE19</f>
        <v>0</v>
      </c>
      <c r="N19" s="4">
        <f>+AD_tis!N19*AD_tis!N$48*AD_tis!$BE19</f>
        <v>0</v>
      </c>
      <c r="O19" s="4">
        <f>+AD_tis!O19*AD_tis!O$48*AD_tis!$BE19</f>
        <v>0</v>
      </c>
      <c r="P19" s="4">
        <f>+AD_tis!P19*AD_tis!P$48*AD_tis!$BE19</f>
        <v>0</v>
      </c>
      <c r="Q19" s="4">
        <f>+AD_tis!Q19*AD_tis!Q$48*AD_tis!$BE19</f>
        <v>0</v>
      </c>
      <c r="R19" s="13">
        <f>+AD_tis!R19*AD_tis!R$48*AD_tis!$BE19</f>
        <v>0</v>
      </c>
      <c r="S19" s="4">
        <f>+AD_tis!S19*AD_tis!S$48*AD_tis!$BE19</f>
        <v>0</v>
      </c>
      <c r="T19" s="4">
        <f>+AD_tis!T19*AD_tis!T$48*AD_tis!$BE19</f>
        <v>0</v>
      </c>
      <c r="U19" s="4">
        <f>+AD_tis!U19*AD_tis!U$48*AD_tis!$BE19</f>
        <v>0</v>
      </c>
      <c r="V19" s="4">
        <f>+AD_tis!V19*AD_tis!V$48*AD_tis!$BE19</f>
        <v>0</v>
      </c>
      <c r="W19" s="4">
        <f>+AD_tis!W19*AD_tis!W$48*AD_tis!$BE19</f>
        <v>0</v>
      </c>
      <c r="X19" s="4">
        <f>+AD_tis!X19*AD_tis!X$48*AD_tis!$BE19</f>
        <v>0</v>
      </c>
      <c r="Y19" s="4">
        <f>+AD_tis!Y19*AD_tis!Y$48*AD_tis!$BE19</f>
        <v>0</v>
      </c>
      <c r="Z19" s="4">
        <f>+AD_tis!Z19*AD_tis!Z$48*AD_tis!$BE19</f>
        <v>0</v>
      </c>
      <c r="AA19" s="4">
        <f>+AD_tis!AA19*AD_tis!AA$48*AD_tis!$BE19</f>
        <v>0</v>
      </c>
      <c r="AB19" s="4">
        <f>+AD_tis!AB19*AD_tis!AB$48*AD_tis!$BE19</f>
        <v>0</v>
      </c>
      <c r="AC19" s="12">
        <f>+AD_tis!AC19*AD_tis!AC$48*AD_tis!$BE19</f>
        <v>0</v>
      </c>
      <c r="AD19" s="4">
        <f>+AD_tis!AD19*AD_tis!AD$48*AD_tis!$BE19</f>
        <v>0</v>
      </c>
      <c r="AE19" s="4">
        <f>+AD_tis!AE19*AD_tis!AE$48*AD_tis!$BE19</f>
        <v>0</v>
      </c>
      <c r="AF19" s="4">
        <f>+AD_tis!AF19*AD_tis!AF$48*AD_tis!$BE19</f>
        <v>0</v>
      </c>
      <c r="AG19" s="4">
        <f>+AD_tis!AG19*AD_tis!AG$48*AD_tis!$BE19</f>
        <v>0</v>
      </c>
      <c r="AH19" s="4">
        <f>+AD_tis!AH19*AD_tis!AH$48*AD_tis!$BE19</f>
        <v>0</v>
      </c>
      <c r="AI19" s="4">
        <f>+AD_tis!AI19*AD_tis!AI$48*AD_tis!$BE19</f>
        <v>0</v>
      </c>
      <c r="AJ19" s="4">
        <f>+AD_tis!AJ19*AD_tis!AJ$48*AD_tis!$BE19</f>
        <v>0</v>
      </c>
      <c r="AK19" s="4">
        <f>+AD_tis!AK19*AD_tis!AK$48*AD_tis!$BE19</f>
        <v>0</v>
      </c>
      <c r="AL19" s="4">
        <f>+AD_tis!AL19*AD_tis!AL$48*AD_tis!$BE19</f>
        <v>0</v>
      </c>
      <c r="AM19" s="13">
        <f>+AD_tis!AM19*AD_tis!AM$48*AD_tis!$BE19</f>
        <v>0</v>
      </c>
      <c r="AN19" s="4">
        <f>+AD_tis!AN19*AD_tis!AN$48*AD_tis!$BE19</f>
        <v>0</v>
      </c>
      <c r="AO19" s="4">
        <f>+AD_tis!AO19*AD_tis!AO$48*AD_tis!$BE19</f>
        <v>0</v>
      </c>
      <c r="AP19" s="4">
        <f>+AD_tis!AP19*AD_tis!AP$48*AD_tis!$BE19</f>
        <v>0</v>
      </c>
      <c r="AQ19" s="4">
        <f>+AD_tis!AQ19*AD_tis!AQ$48*AD_tis!$BE19</f>
        <v>0</v>
      </c>
      <c r="AR19" s="4">
        <f>+AD_tis!AR19*AD_tis!AR$48*AD_tis!$BE19</f>
        <v>0</v>
      </c>
      <c r="AS19" s="4">
        <f>+AD_tis!AS19*AD_tis!AS$48*AD_tis!$BE19</f>
        <v>0</v>
      </c>
      <c r="AT19" s="4">
        <f>+AD_tis!AT19*AD_tis!AT$48*AD_tis!$BE19</f>
        <v>0</v>
      </c>
      <c r="AU19" s="4">
        <f>+AD_tis!AU19*AD_tis!AU$48*AD_tis!$BE19</f>
        <v>0</v>
      </c>
      <c r="AV19" s="4">
        <f>+AD_tis!AV19*AD_tis!AV$48*AD_tis!$BE19</f>
        <v>0</v>
      </c>
      <c r="AW19" s="12">
        <f>+AD_tis!AW19*AD_tis!AW$48*AD_tis!$BE19</f>
        <v>0</v>
      </c>
      <c r="AX19" s="13">
        <f>+AD_tis!AX19*AD_tis!AX$48*AD_tis!$BE19</f>
        <v>0</v>
      </c>
      <c r="AY19" s="4">
        <f>+AD_tis!AY19*AD_tis!AY$48*AD_tis!$BE19</f>
        <v>0</v>
      </c>
      <c r="AZ19" s="4">
        <f>+AD_tis!AZ19*AD_tis!AZ$48*AD_tis!$BE19</f>
        <v>0</v>
      </c>
      <c r="BA19" s="12">
        <f>+AD_tis!BA19*AD_tis!BA$48*AD_tis!$BE19</f>
        <v>0</v>
      </c>
      <c r="BB19" s="4">
        <f>+AD_tis!BB19*AD_tis!BB$48*AD_tis!$BE19</f>
        <v>0</v>
      </c>
      <c r="BC19" s="13">
        <f>+AD_tis!BC19*AD_tis!BC$48*AD_tis!$BE19</f>
        <v>0</v>
      </c>
    </row>
    <row r="20" spans="1:55" ht="18.75" customHeight="1" x14ac:dyDescent="0.25">
      <c r="A20" s="5" t="s">
        <v>71</v>
      </c>
      <c r="B20" s="12">
        <f>+AD_tis!B20*AD_tis!B$48*AD_tis!$BE20</f>
        <v>0</v>
      </c>
      <c r="C20" s="4">
        <f>+AD_tis!C20*AD_tis!C$48*AD_tis!$BE20</f>
        <v>0</v>
      </c>
      <c r="D20" s="4">
        <f>+AD_tis!D20*AD_tis!D$48*AD_tis!$BE20</f>
        <v>0</v>
      </c>
      <c r="E20" s="4">
        <f>+AD_tis!E20*AD_tis!E$48*AD_tis!$BE20</f>
        <v>0</v>
      </c>
      <c r="F20" s="4">
        <f>+AD_tis!F20*AD_tis!F$48*AD_tis!$BE20</f>
        <v>0</v>
      </c>
      <c r="G20" s="4">
        <f>+AD_tis!G20*AD_tis!G$48*AD_tis!$BE20</f>
        <v>0</v>
      </c>
      <c r="H20" s="4">
        <f>+AD_tis!H20*AD_tis!H$48*AD_tis!$BE20</f>
        <v>0</v>
      </c>
      <c r="I20" s="4">
        <f>+AD_tis!I20*AD_tis!I$48*AD_tis!$BE20</f>
        <v>0</v>
      </c>
      <c r="J20" s="4">
        <f>+AD_tis!J20*AD_tis!J$48*AD_tis!$BE20</f>
        <v>0</v>
      </c>
      <c r="K20" s="4">
        <f>+AD_tis!K20*AD_tis!K$48*AD_tis!$BE20</f>
        <v>0</v>
      </c>
      <c r="L20" s="4">
        <f>+AD_tis!L20*AD_tis!L$48*AD_tis!$BE20</f>
        <v>0</v>
      </c>
      <c r="M20" s="4">
        <f>+AD_tis!M20*AD_tis!M$48*AD_tis!$BE20</f>
        <v>0</v>
      </c>
      <c r="N20" s="4">
        <f>+AD_tis!N20*AD_tis!N$48*AD_tis!$BE20</f>
        <v>0</v>
      </c>
      <c r="O20" s="4">
        <f>+AD_tis!O20*AD_tis!O$48*AD_tis!$BE20</f>
        <v>0</v>
      </c>
      <c r="P20" s="4">
        <f>+AD_tis!P20*AD_tis!P$48*AD_tis!$BE20</f>
        <v>0</v>
      </c>
      <c r="Q20" s="4">
        <f>+AD_tis!Q20*AD_tis!Q$48*AD_tis!$BE20</f>
        <v>0</v>
      </c>
      <c r="R20" s="13">
        <f>+AD_tis!R20*AD_tis!R$48*AD_tis!$BE20</f>
        <v>0</v>
      </c>
      <c r="S20" s="4">
        <f>+AD_tis!S20*AD_tis!S$48*AD_tis!$BE20</f>
        <v>0</v>
      </c>
      <c r="T20" s="4">
        <f>+AD_tis!T20*AD_tis!T$48*AD_tis!$BE20</f>
        <v>0</v>
      </c>
      <c r="U20" s="4">
        <f>+AD_tis!U20*AD_tis!U$48*AD_tis!$BE20</f>
        <v>0</v>
      </c>
      <c r="V20" s="4">
        <f>+AD_tis!V20*AD_tis!V$48*AD_tis!$BE20</f>
        <v>0</v>
      </c>
      <c r="W20" s="4">
        <f>+AD_tis!W20*AD_tis!W$48*AD_tis!$BE20</f>
        <v>0</v>
      </c>
      <c r="X20" s="4">
        <f>+AD_tis!X20*AD_tis!X$48*AD_tis!$BE20</f>
        <v>0</v>
      </c>
      <c r="Y20" s="4">
        <f>+AD_tis!Y20*AD_tis!Y$48*AD_tis!$BE20</f>
        <v>0</v>
      </c>
      <c r="Z20" s="4">
        <f>+AD_tis!Z20*AD_tis!Z$48*AD_tis!$BE20</f>
        <v>0</v>
      </c>
      <c r="AA20" s="4">
        <f>+AD_tis!AA20*AD_tis!AA$48*AD_tis!$BE20</f>
        <v>0</v>
      </c>
      <c r="AB20" s="4">
        <f>+AD_tis!AB20*AD_tis!AB$48*AD_tis!$BE20</f>
        <v>0</v>
      </c>
      <c r="AC20" s="12">
        <f>+AD_tis!AC20*AD_tis!AC$48*AD_tis!$BE20</f>
        <v>0</v>
      </c>
      <c r="AD20" s="4">
        <f>+AD_tis!AD20*AD_tis!AD$48*AD_tis!$BE20</f>
        <v>0</v>
      </c>
      <c r="AE20" s="4">
        <f>+AD_tis!AE20*AD_tis!AE$48*AD_tis!$BE20</f>
        <v>0</v>
      </c>
      <c r="AF20" s="4">
        <f>+AD_tis!AF20*AD_tis!AF$48*AD_tis!$BE20</f>
        <v>0</v>
      </c>
      <c r="AG20" s="4">
        <f>+AD_tis!AG20*AD_tis!AG$48*AD_tis!$BE20</f>
        <v>0</v>
      </c>
      <c r="AH20" s="4">
        <f>+AD_tis!AH20*AD_tis!AH$48*AD_tis!$BE20</f>
        <v>0</v>
      </c>
      <c r="AI20" s="4">
        <f>+AD_tis!AI20*AD_tis!AI$48*AD_tis!$BE20</f>
        <v>0</v>
      </c>
      <c r="AJ20" s="4">
        <f>+AD_tis!AJ20*AD_tis!AJ$48*AD_tis!$BE20</f>
        <v>0</v>
      </c>
      <c r="AK20" s="4">
        <f>+AD_tis!AK20*AD_tis!AK$48*AD_tis!$BE20</f>
        <v>0</v>
      </c>
      <c r="AL20" s="4">
        <f>+AD_tis!AL20*AD_tis!AL$48*AD_tis!$BE20</f>
        <v>0</v>
      </c>
      <c r="AM20" s="13">
        <f>+AD_tis!AM20*AD_tis!AM$48*AD_tis!$BE20</f>
        <v>0</v>
      </c>
      <c r="AN20" s="4">
        <f>+AD_tis!AN20*AD_tis!AN$48*AD_tis!$BE20</f>
        <v>0</v>
      </c>
      <c r="AO20" s="4">
        <f>+AD_tis!AO20*AD_tis!AO$48*AD_tis!$BE20</f>
        <v>0</v>
      </c>
      <c r="AP20" s="4">
        <f>+AD_tis!AP20*AD_tis!AP$48*AD_tis!$BE20</f>
        <v>0</v>
      </c>
      <c r="AQ20" s="4">
        <f>+AD_tis!AQ20*AD_tis!AQ$48*AD_tis!$BE20</f>
        <v>0</v>
      </c>
      <c r="AR20" s="4">
        <f>+AD_tis!AR20*AD_tis!AR$48*AD_tis!$BE20</f>
        <v>0</v>
      </c>
      <c r="AS20" s="4">
        <f>+AD_tis!AS20*AD_tis!AS$48*AD_tis!$BE20</f>
        <v>0</v>
      </c>
      <c r="AT20" s="4">
        <f>+AD_tis!AT20*AD_tis!AT$48*AD_tis!$BE20</f>
        <v>0</v>
      </c>
      <c r="AU20" s="4">
        <f>+AD_tis!AU20*AD_tis!AU$48*AD_tis!$BE20</f>
        <v>0</v>
      </c>
      <c r="AV20" s="4">
        <f>+AD_tis!AV20*AD_tis!AV$48*AD_tis!$BE20</f>
        <v>0</v>
      </c>
      <c r="AW20" s="12">
        <f>+AD_tis!AW20*AD_tis!AW$48*AD_tis!$BE20</f>
        <v>0</v>
      </c>
      <c r="AX20" s="13">
        <f>+AD_tis!AX20*AD_tis!AX$48*AD_tis!$BE20</f>
        <v>0</v>
      </c>
      <c r="AY20" s="4">
        <f>+AD_tis!AY20*AD_tis!AY$48*AD_tis!$BE20</f>
        <v>0</v>
      </c>
      <c r="AZ20" s="4">
        <f>+AD_tis!AZ20*AD_tis!AZ$48*AD_tis!$BE20</f>
        <v>0</v>
      </c>
      <c r="BA20" s="12">
        <f>+AD_tis!BA20*AD_tis!BA$48*AD_tis!$BE20</f>
        <v>0</v>
      </c>
      <c r="BB20" s="4">
        <f>+AD_tis!BB20*AD_tis!BB$48*AD_tis!$BE20</f>
        <v>0</v>
      </c>
      <c r="BC20" s="13">
        <f>+AD_tis!BC20*AD_tis!BC$48*AD_tis!$BE20</f>
        <v>0</v>
      </c>
    </row>
    <row r="21" spans="1:55" ht="18.75" customHeight="1" x14ac:dyDescent="0.25">
      <c r="A21" s="5" t="s">
        <v>72</v>
      </c>
      <c r="B21" s="12">
        <f>+AD_tis!B21*AD_tis!B$48*AD_tis!$BE21</f>
        <v>0</v>
      </c>
      <c r="C21" s="4">
        <f>+AD_tis!C21*AD_tis!C$48*AD_tis!$BE21</f>
        <v>0</v>
      </c>
      <c r="D21" s="4">
        <f>+AD_tis!D21*AD_tis!D$48*AD_tis!$BE21</f>
        <v>0</v>
      </c>
      <c r="E21" s="4">
        <f>+AD_tis!E21*AD_tis!E$48*AD_tis!$BE21</f>
        <v>0</v>
      </c>
      <c r="F21" s="4">
        <f>+AD_tis!F21*AD_tis!F$48*AD_tis!$BE21</f>
        <v>0</v>
      </c>
      <c r="G21" s="4">
        <f>+AD_tis!G21*AD_tis!G$48*AD_tis!$BE21</f>
        <v>0</v>
      </c>
      <c r="H21" s="4">
        <f>+AD_tis!H21*AD_tis!H$48*AD_tis!$BE21</f>
        <v>0</v>
      </c>
      <c r="I21" s="4">
        <f>+AD_tis!I21*AD_tis!I$48*AD_tis!$BE21</f>
        <v>0</v>
      </c>
      <c r="J21" s="4">
        <f>+AD_tis!J21*AD_tis!J$48*AD_tis!$BE21</f>
        <v>0</v>
      </c>
      <c r="K21" s="4">
        <f>+AD_tis!K21*AD_tis!K$48*AD_tis!$BE21</f>
        <v>0</v>
      </c>
      <c r="L21" s="4">
        <f>+AD_tis!L21*AD_tis!L$48*AD_tis!$BE21</f>
        <v>0</v>
      </c>
      <c r="M21" s="4">
        <f>+AD_tis!M21*AD_tis!M$48*AD_tis!$BE21</f>
        <v>0</v>
      </c>
      <c r="N21" s="4">
        <f>+AD_tis!N21*AD_tis!N$48*AD_tis!$BE21</f>
        <v>0</v>
      </c>
      <c r="O21" s="4">
        <f>+AD_tis!O21*AD_tis!O$48*AD_tis!$BE21</f>
        <v>0</v>
      </c>
      <c r="P21" s="4">
        <f>+AD_tis!P21*AD_tis!P$48*AD_tis!$BE21</f>
        <v>0</v>
      </c>
      <c r="Q21" s="4">
        <f>+AD_tis!Q21*AD_tis!Q$48*AD_tis!$BE21</f>
        <v>0</v>
      </c>
      <c r="R21" s="13">
        <f>+AD_tis!R21*AD_tis!R$48*AD_tis!$BE21</f>
        <v>0</v>
      </c>
      <c r="S21" s="4">
        <f>+AD_tis!S21*AD_tis!S$48*AD_tis!$BE21</f>
        <v>0</v>
      </c>
      <c r="T21" s="4">
        <f>+AD_tis!T21*AD_tis!T$48*AD_tis!$BE21</f>
        <v>1</v>
      </c>
      <c r="U21" s="4">
        <f>+AD_tis!U21*AD_tis!U$48*AD_tis!$BE21</f>
        <v>1</v>
      </c>
      <c r="V21" s="4">
        <f>+AD_tis!V21*AD_tis!V$48*AD_tis!$BE21</f>
        <v>0</v>
      </c>
      <c r="W21" s="4">
        <f>+AD_tis!W21*AD_tis!W$48*AD_tis!$BE21</f>
        <v>0</v>
      </c>
      <c r="X21" s="4">
        <f>+AD_tis!X21*AD_tis!X$48*AD_tis!$BE21</f>
        <v>1</v>
      </c>
      <c r="Y21" s="4">
        <f>+AD_tis!Y21*AD_tis!Y$48*AD_tis!$BE21</f>
        <v>0</v>
      </c>
      <c r="Z21" s="4">
        <f>+AD_tis!Z21*AD_tis!Z$48*AD_tis!$BE21</f>
        <v>0</v>
      </c>
      <c r="AA21" s="4">
        <f>+AD_tis!AA21*AD_tis!AA$48*AD_tis!$BE21</f>
        <v>0</v>
      </c>
      <c r="AB21" s="4">
        <f>+AD_tis!AB21*AD_tis!AB$48*AD_tis!$BE21</f>
        <v>1</v>
      </c>
      <c r="AC21" s="12">
        <f>+AD_tis!AC21*AD_tis!AC$48*AD_tis!$BE21</f>
        <v>0</v>
      </c>
      <c r="AD21" s="4">
        <f>+AD_tis!AD21*AD_tis!AD$48*AD_tis!$BE21</f>
        <v>0</v>
      </c>
      <c r="AE21" s="4">
        <f>+AD_tis!AE21*AD_tis!AE$48*AD_tis!$BE21</f>
        <v>0</v>
      </c>
      <c r="AF21" s="4">
        <f>+AD_tis!AF21*AD_tis!AF$48*AD_tis!$BE21</f>
        <v>0</v>
      </c>
      <c r="AG21" s="4">
        <f>+AD_tis!AG21*AD_tis!AG$48*AD_tis!$BE21</f>
        <v>0</v>
      </c>
      <c r="AH21" s="4">
        <f>+AD_tis!AH21*AD_tis!AH$48*AD_tis!$BE21</f>
        <v>0</v>
      </c>
      <c r="AI21" s="4">
        <f>+AD_tis!AI21*AD_tis!AI$48*AD_tis!$BE21</f>
        <v>0</v>
      </c>
      <c r="AJ21" s="4">
        <f>+AD_tis!AJ21*AD_tis!AJ$48*AD_tis!$BE21</f>
        <v>0</v>
      </c>
      <c r="AK21" s="4">
        <f>+AD_tis!AK21*AD_tis!AK$48*AD_tis!$BE21</f>
        <v>0</v>
      </c>
      <c r="AL21" s="4">
        <f>+AD_tis!AL21*AD_tis!AL$48*AD_tis!$BE21</f>
        <v>0</v>
      </c>
      <c r="AM21" s="13">
        <f>+AD_tis!AM21*AD_tis!AM$48*AD_tis!$BE21</f>
        <v>0</v>
      </c>
      <c r="AN21" s="4">
        <f>+AD_tis!AN21*AD_tis!AN$48*AD_tis!$BE21</f>
        <v>0</v>
      </c>
      <c r="AO21" s="4">
        <f>+AD_tis!AO21*AD_tis!AO$48*AD_tis!$BE21</f>
        <v>0</v>
      </c>
      <c r="AP21" s="4">
        <f>+AD_tis!AP21*AD_tis!AP$48*AD_tis!$BE21</f>
        <v>0</v>
      </c>
      <c r="AQ21" s="4">
        <f>+AD_tis!AQ21*AD_tis!AQ$48*AD_tis!$BE21</f>
        <v>0</v>
      </c>
      <c r="AR21" s="4">
        <f>+AD_tis!AR21*AD_tis!AR$48*AD_tis!$BE21</f>
        <v>0</v>
      </c>
      <c r="AS21" s="4">
        <f>+AD_tis!AS21*AD_tis!AS$48*AD_tis!$BE21</f>
        <v>0</v>
      </c>
      <c r="AT21" s="4">
        <f>+AD_tis!AT21*AD_tis!AT$48*AD_tis!$BE21</f>
        <v>0</v>
      </c>
      <c r="AU21" s="4">
        <f>+AD_tis!AU21*AD_tis!AU$48*AD_tis!$BE21</f>
        <v>0</v>
      </c>
      <c r="AV21" s="4">
        <f>+AD_tis!AV21*AD_tis!AV$48*AD_tis!$BE21</f>
        <v>0</v>
      </c>
      <c r="AW21" s="12">
        <f>+AD_tis!AW21*AD_tis!AW$48*AD_tis!$BE21</f>
        <v>0</v>
      </c>
      <c r="AX21" s="13">
        <f>+AD_tis!AX21*AD_tis!AX$48*AD_tis!$BE21</f>
        <v>0</v>
      </c>
      <c r="AY21" s="4">
        <f>+AD_tis!AY21*AD_tis!AY$48*AD_tis!$BE21</f>
        <v>0</v>
      </c>
      <c r="AZ21" s="4">
        <f>+AD_tis!AZ21*AD_tis!AZ$48*AD_tis!$BE21</f>
        <v>0</v>
      </c>
      <c r="BA21" s="12">
        <f>+AD_tis!BA21*AD_tis!BA$48*AD_tis!$BE21</f>
        <v>0</v>
      </c>
      <c r="BB21" s="4">
        <f>+AD_tis!BB21*AD_tis!BB$48*AD_tis!$BE21</f>
        <v>0</v>
      </c>
      <c r="BC21" s="13">
        <f>+AD_tis!BC21*AD_tis!BC$48*AD_tis!$BE21</f>
        <v>0</v>
      </c>
    </row>
    <row r="22" spans="1:55" ht="18.75" customHeight="1" x14ac:dyDescent="0.25">
      <c r="A22" s="5" t="s">
        <v>73</v>
      </c>
      <c r="B22" s="12">
        <f>+AD_tis!B22*AD_tis!B$48*AD_tis!$BE22</f>
        <v>0</v>
      </c>
      <c r="C22" s="4">
        <f>+AD_tis!C22*AD_tis!C$48*AD_tis!$BE22</f>
        <v>0</v>
      </c>
      <c r="D22" s="4">
        <f>+AD_tis!D22*AD_tis!D$48*AD_tis!$BE22</f>
        <v>0</v>
      </c>
      <c r="E22" s="4">
        <f>+AD_tis!E22*AD_tis!E$48*AD_tis!$BE22</f>
        <v>0</v>
      </c>
      <c r="F22" s="4">
        <f>+AD_tis!F22*AD_tis!F$48*AD_tis!$BE22</f>
        <v>0</v>
      </c>
      <c r="G22" s="4">
        <f>+AD_tis!G22*AD_tis!G$48*AD_tis!$BE22</f>
        <v>0</v>
      </c>
      <c r="H22" s="4">
        <f>+AD_tis!H22*AD_tis!H$48*AD_tis!$BE22</f>
        <v>0</v>
      </c>
      <c r="I22" s="4">
        <f>+AD_tis!I22*AD_tis!I$48*AD_tis!$BE22</f>
        <v>0</v>
      </c>
      <c r="J22" s="4">
        <f>+AD_tis!J22*AD_tis!J$48*AD_tis!$BE22</f>
        <v>0</v>
      </c>
      <c r="K22" s="4">
        <f>+AD_tis!K22*AD_tis!K$48*AD_tis!$BE22</f>
        <v>0</v>
      </c>
      <c r="L22" s="4">
        <f>+AD_tis!L22*AD_tis!L$48*AD_tis!$BE22</f>
        <v>0</v>
      </c>
      <c r="M22" s="4">
        <f>+AD_tis!M22*AD_tis!M$48*AD_tis!$BE22</f>
        <v>0</v>
      </c>
      <c r="N22" s="4">
        <f>+AD_tis!N22*AD_tis!N$48*AD_tis!$BE22</f>
        <v>0</v>
      </c>
      <c r="O22" s="4">
        <f>+AD_tis!O22*AD_tis!O$48*AD_tis!$BE22</f>
        <v>0</v>
      </c>
      <c r="P22" s="4">
        <f>+AD_tis!P22*AD_tis!P$48*AD_tis!$BE22</f>
        <v>0</v>
      </c>
      <c r="Q22" s="4">
        <f>+AD_tis!Q22*AD_tis!Q$48*AD_tis!$BE22</f>
        <v>0</v>
      </c>
      <c r="R22" s="13">
        <f>+AD_tis!R22*AD_tis!R$48*AD_tis!$BE22</f>
        <v>0</v>
      </c>
      <c r="S22" s="4">
        <f>+AD_tis!S22*AD_tis!S$48*AD_tis!$BE22</f>
        <v>0</v>
      </c>
      <c r="T22" s="4">
        <f>+AD_tis!T22*AD_tis!T$48*AD_tis!$BE22</f>
        <v>1</v>
      </c>
      <c r="U22" s="4">
        <f>+AD_tis!U22*AD_tis!U$48*AD_tis!$BE22</f>
        <v>1</v>
      </c>
      <c r="V22" s="4">
        <f>+AD_tis!V22*AD_tis!V$48*AD_tis!$BE22</f>
        <v>0</v>
      </c>
      <c r="W22" s="4">
        <f>+AD_tis!W22*AD_tis!W$48*AD_tis!$BE22</f>
        <v>0</v>
      </c>
      <c r="X22" s="4">
        <f>+AD_tis!X22*AD_tis!X$48*AD_tis!$BE22</f>
        <v>1</v>
      </c>
      <c r="Y22" s="4">
        <f>+AD_tis!Y22*AD_tis!Y$48*AD_tis!$BE22</f>
        <v>0</v>
      </c>
      <c r="Z22" s="4">
        <f>+AD_tis!Z22*AD_tis!Z$48*AD_tis!$BE22</f>
        <v>0</v>
      </c>
      <c r="AA22" s="4">
        <f>+AD_tis!AA22*AD_tis!AA$48*AD_tis!$BE22</f>
        <v>0</v>
      </c>
      <c r="AB22" s="4">
        <f>+AD_tis!AB22*AD_tis!AB$48*AD_tis!$BE22</f>
        <v>1</v>
      </c>
      <c r="AC22" s="12">
        <f>+AD_tis!AC22*AD_tis!AC$48*AD_tis!$BE22</f>
        <v>0</v>
      </c>
      <c r="AD22" s="4">
        <f>+AD_tis!AD22*AD_tis!AD$48*AD_tis!$BE22</f>
        <v>0</v>
      </c>
      <c r="AE22" s="4">
        <f>+AD_tis!AE22*AD_tis!AE$48*AD_tis!$BE22</f>
        <v>0</v>
      </c>
      <c r="AF22" s="4">
        <f>+AD_tis!AF22*AD_tis!AF$48*AD_tis!$BE22</f>
        <v>0</v>
      </c>
      <c r="AG22" s="4">
        <f>+AD_tis!AG22*AD_tis!AG$48*AD_tis!$BE22</f>
        <v>0</v>
      </c>
      <c r="AH22" s="4">
        <f>+AD_tis!AH22*AD_tis!AH$48*AD_tis!$BE22</f>
        <v>0</v>
      </c>
      <c r="AI22" s="4">
        <f>+AD_tis!AI22*AD_tis!AI$48*AD_tis!$BE22</f>
        <v>0</v>
      </c>
      <c r="AJ22" s="4">
        <f>+AD_tis!AJ22*AD_tis!AJ$48*AD_tis!$BE22</f>
        <v>0</v>
      </c>
      <c r="AK22" s="4">
        <f>+AD_tis!AK22*AD_tis!AK$48*AD_tis!$BE22</f>
        <v>0</v>
      </c>
      <c r="AL22" s="4">
        <f>+AD_tis!AL22*AD_tis!AL$48*AD_tis!$BE22</f>
        <v>0</v>
      </c>
      <c r="AM22" s="13">
        <f>+AD_tis!AM22*AD_tis!AM$48*AD_tis!$BE22</f>
        <v>0</v>
      </c>
      <c r="AN22" s="4">
        <f>+AD_tis!AN22*AD_tis!AN$48*AD_tis!$BE22</f>
        <v>0</v>
      </c>
      <c r="AO22" s="4">
        <f>+AD_tis!AO22*AD_tis!AO$48*AD_tis!$BE22</f>
        <v>0</v>
      </c>
      <c r="AP22" s="4">
        <f>+AD_tis!AP22*AD_tis!AP$48*AD_tis!$BE22</f>
        <v>0</v>
      </c>
      <c r="AQ22" s="4">
        <f>+AD_tis!AQ22*AD_tis!AQ$48*AD_tis!$BE22</f>
        <v>0</v>
      </c>
      <c r="AR22" s="4">
        <f>+AD_tis!AR22*AD_tis!AR$48*AD_tis!$BE22</f>
        <v>0</v>
      </c>
      <c r="AS22" s="4">
        <f>+AD_tis!AS22*AD_tis!AS$48*AD_tis!$BE22</f>
        <v>0</v>
      </c>
      <c r="AT22" s="4">
        <f>+AD_tis!AT22*AD_tis!AT$48*AD_tis!$BE22</f>
        <v>0</v>
      </c>
      <c r="AU22" s="4">
        <f>+AD_tis!AU22*AD_tis!AU$48*AD_tis!$BE22</f>
        <v>0</v>
      </c>
      <c r="AV22" s="4">
        <f>+AD_tis!AV22*AD_tis!AV$48*AD_tis!$BE22</f>
        <v>0</v>
      </c>
      <c r="AW22" s="12">
        <f>+AD_tis!AW22*AD_tis!AW$48*AD_tis!$BE22</f>
        <v>0</v>
      </c>
      <c r="AX22" s="13">
        <f>+AD_tis!AX22*AD_tis!AX$48*AD_tis!$BE22</f>
        <v>0</v>
      </c>
      <c r="AY22" s="4">
        <f>+AD_tis!AY22*AD_tis!AY$48*AD_tis!$BE22</f>
        <v>0</v>
      </c>
      <c r="AZ22" s="4">
        <f>+AD_tis!AZ22*AD_tis!AZ$48*AD_tis!$BE22</f>
        <v>0</v>
      </c>
      <c r="BA22" s="12">
        <f>+AD_tis!BA22*AD_tis!BA$48*AD_tis!$BE22</f>
        <v>0</v>
      </c>
      <c r="BB22" s="4">
        <f>+AD_tis!BB22*AD_tis!BB$48*AD_tis!$BE22</f>
        <v>0</v>
      </c>
      <c r="BC22" s="13">
        <f>+AD_tis!BC22*AD_tis!BC$48*AD_tis!$BE22</f>
        <v>0</v>
      </c>
    </row>
    <row r="23" spans="1:55" ht="18.75" customHeight="1" x14ac:dyDescent="0.25">
      <c r="A23" s="5" t="s">
        <v>74</v>
      </c>
      <c r="B23" s="12">
        <f>+AD_tis!B23*AD_tis!B$48*AD_tis!$BE23</f>
        <v>0</v>
      </c>
      <c r="C23" s="4">
        <f>+AD_tis!C23*AD_tis!C$48*AD_tis!$BE23</f>
        <v>0</v>
      </c>
      <c r="D23" s="4">
        <f>+AD_tis!D23*AD_tis!D$48*AD_tis!$BE23</f>
        <v>0</v>
      </c>
      <c r="E23" s="4">
        <f>+AD_tis!E23*AD_tis!E$48*AD_tis!$BE23</f>
        <v>0</v>
      </c>
      <c r="F23" s="4">
        <f>+AD_tis!F23*AD_tis!F$48*AD_tis!$BE23</f>
        <v>0</v>
      </c>
      <c r="G23" s="4">
        <f>+AD_tis!G23*AD_tis!G$48*AD_tis!$BE23</f>
        <v>0</v>
      </c>
      <c r="H23" s="4">
        <f>+AD_tis!H23*AD_tis!H$48*AD_tis!$BE23</f>
        <v>0</v>
      </c>
      <c r="I23" s="4">
        <f>+AD_tis!I23*AD_tis!I$48*AD_tis!$BE23</f>
        <v>0</v>
      </c>
      <c r="J23" s="4">
        <f>+AD_tis!J23*AD_tis!J$48*AD_tis!$BE23</f>
        <v>0</v>
      </c>
      <c r="K23" s="4">
        <f>+AD_tis!K23*AD_tis!K$48*AD_tis!$BE23</f>
        <v>0</v>
      </c>
      <c r="L23" s="4">
        <f>+AD_tis!L23*AD_tis!L$48*AD_tis!$BE23</f>
        <v>0</v>
      </c>
      <c r="M23" s="4">
        <f>+AD_tis!M23*AD_tis!M$48*AD_tis!$BE23</f>
        <v>0</v>
      </c>
      <c r="N23" s="4">
        <f>+AD_tis!N23*AD_tis!N$48*AD_tis!$BE23</f>
        <v>0</v>
      </c>
      <c r="O23" s="4">
        <f>+AD_tis!O23*AD_tis!O$48*AD_tis!$BE23</f>
        <v>0</v>
      </c>
      <c r="P23" s="4">
        <f>+AD_tis!P23*AD_tis!P$48*AD_tis!$BE23</f>
        <v>0</v>
      </c>
      <c r="Q23" s="4">
        <f>+AD_tis!Q23*AD_tis!Q$48*AD_tis!$BE23</f>
        <v>0</v>
      </c>
      <c r="R23" s="13">
        <f>+AD_tis!R23*AD_tis!R$48*AD_tis!$BE23</f>
        <v>0</v>
      </c>
      <c r="S23" s="4">
        <f>+AD_tis!S23*AD_tis!S$48*AD_tis!$BE23</f>
        <v>0</v>
      </c>
      <c r="T23" s="4">
        <f>+AD_tis!T23*AD_tis!T$48*AD_tis!$BE23</f>
        <v>1</v>
      </c>
      <c r="U23" s="4">
        <f>+AD_tis!U23*AD_tis!U$48*AD_tis!$BE23</f>
        <v>1</v>
      </c>
      <c r="V23" s="4">
        <f>+AD_tis!V23*AD_tis!V$48*AD_tis!$BE23</f>
        <v>1</v>
      </c>
      <c r="W23" s="4">
        <f>+AD_tis!W23*AD_tis!W$48*AD_tis!$BE23</f>
        <v>0</v>
      </c>
      <c r="X23" s="4">
        <f>+AD_tis!X23*AD_tis!X$48*AD_tis!$BE23</f>
        <v>1</v>
      </c>
      <c r="Y23" s="4">
        <f>+AD_tis!Y23*AD_tis!Y$48*AD_tis!$BE23</f>
        <v>0</v>
      </c>
      <c r="Z23" s="4">
        <f>+AD_tis!Z23*AD_tis!Z$48*AD_tis!$BE23</f>
        <v>0</v>
      </c>
      <c r="AA23" s="4">
        <f>+AD_tis!AA23*AD_tis!AA$48*AD_tis!$BE23</f>
        <v>0</v>
      </c>
      <c r="AB23" s="4">
        <f>+AD_tis!AB23*AD_tis!AB$48*AD_tis!$BE23</f>
        <v>1</v>
      </c>
      <c r="AC23" s="12">
        <f>+AD_tis!AC23*AD_tis!AC$48*AD_tis!$BE23</f>
        <v>0</v>
      </c>
      <c r="AD23" s="4">
        <f>+AD_tis!AD23*AD_tis!AD$48*AD_tis!$BE23</f>
        <v>0</v>
      </c>
      <c r="AE23" s="4">
        <f>+AD_tis!AE23*AD_tis!AE$48*AD_tis!$BE23</f>
        <v>0</v>
      </c>
      <c r="AF23" s="4">
        <f>+AD_tis!AF23*AD_tis!AF$48*AD_tis!$BE23</f>
        <v>0</v>
      </c>
      <c r="AG23" s="4">
        <f>+AD_tis!AG23*AD_tis!AG$48*AD_tis!$BE23</f>
        <v>0</v>
      </c>
      <c r="AH23" s="4">
        <f>+AD_tis!AH23*AD_tis!AH$48*AD_tis!$BE23</f>
        <v>0</v>
      </c>
      <c r="AI23" s="4">
        <f>+AD_tis!AI23*AD_tis!AI$48*AD_tis!$BE23</f>
        <v>0</v>
      </c>
      <c r="AJ23" s="4">
        <f>+AD_tis!AJ23*AD_tis!AJ$48*AD_tis!$BE23</f>
        <v>0</v>
      </c>
      <c r="AK23" s="4">
        <f>+AD_tis!AK23*AD_tis!AK$48*AD_tis!$BE23</f>
        <v>0</v>
      </c>
      <c r="AL23" s="4">
        <f>+AD_tis!AL23*AD_tis!AL$48*AD_tis!$BE23</f>
        <v>0</v>
      </c>
      <c r="AM23" s="13">
        <f>+AD_tis!AM23*AD_tis!AM$48*AD_tis!$BE23</f>
        <v>0</v>
      </c>
      <c r="AN23" s="4">
        <f>+AD_tis!AN23*AD_tis!AN$48*AD_tis!$BE23</f>
        <v>0</v>
      </c>
      <c r="AO23" s="4">
        <f>+AD_tis!AO23*AD_tis!AO$48*AD_tis!$BE23</f>
        <v>0</v>
      </c>
      <c r="AP23" s="4">
        <f>+AD_tis!AP23*AD_tis!AP$48*AD_tis!$BE23</f>
        <v>0</v>
      </c>
      <c r="AQ23" s="4">
        <f>+AD_tis!AQ23*AD_tis!AQ$48*AD_tis!$BE23</f>
        <v>0</v>
      </c>
      <c r="AR23" s="4">
        <f>+AD_tis!AR23*AD_tis!AR$48*AD_tis!$BE23</f>
        <v>0</v>
      </c>
      <c r="AS23" s="4">
        <f>+AD_tis!AS23*AD_tis!AS$48*AD_tis!$BE23</f>
        <v>0</v>
      </c>
      <c r="AT23" s="4">
        <f>+AD_tis!AT23*AD_tis!AT$48*AD_tis!$BE23</f>
        <v>0</v>
      </c>
      <c r="AU23" s="4">
        <f>+AD_tis!AU23*AD_tis!AU$48*AD_tis!$BE23</f>
        <v>0</v>
      </c>
      <c r="AV23" s="4">
        <f>+AD_tis!AV23*AD_tis!AV$48*AD_tis!$BE23</f>
        <v>0</v>
      </c>
      <c r="AW23" s="12">
        <f>+AD_tis!AW23*AD_tis!AW$48*AD_tis!$BE23</f>
        <v>0</v>
      </c>
      <c r="AX23" s="13">
        <f>+AD_tis!AX23*AD_tis!AX$48*AD_tis!$BE23</f>
        <v>0</v>
      </c>
      <c r="AY23" s="4">
        <f>+AD_tis!AY23*AD_tis!AY$48*AD_tis!$BE23</f>
        <v>0</v>
      </c>
      <c r="AZ23" s="4">
        <f>+AD_tis!AZ23*AD_tis!AZ$48*AD_tis!$BE23</f>
        <v>0</v>
      </c>
      <c r="BA23" s="12">
        <f>+AD_tis!BA23*AD_tis!BA$48*AD_tis!$BE23</f>
        <v>0</v>
      </c>
      <c r="BB23" s="4">
        <f>+AD_tis!BB23*AD_tis!BB$48*AD_tis!$BE23</f>
        <v>0</v>
      </c>
      <c r="BC23" s="13">
        <f>+AD_tis!BC23*AD_tis!BC$48*AD_tis!$BE23</f>
        <v>0</v>
      </c>
    </row>
    <row r="24" spans="1:55" ht="18.75" customHeight="1" x14ac:dyDescent="0.25">
      <c r="A24" s="5" t="s">
        <v>75</v>
      </c>
      <c r="B24" s="12">
        <f>+AD_tis!B24*AD_tis!B$48*AD_tis!$BE24</f>
        <v>0</v>
      </c>
      <c r="C24" s="4">
        <f>+AD_tis!C24*AD_tis!C$48*AD_tis!$BE24</f>
        <v>0</v>
      </c>
      <c r="D24" s="4">
        <f>+AD_tis!D24*AD_tis!D$48*AD_tis!$BE24</f>
        <v>0</v>
      </c>
      <c r="E24" s="4">
        <f>+AD_tis!E24*AD_tis!E$48*AD_tis!$BE24</f>
        <v>0</v>
      </c>
      <c r="F24" s="4">
        <f>+AD_tis!F24*AD_tis!F$48*AD_tis!$BE24</f>
        <v>0</v>
      </c>
      <c r="G24" s="4">
        <f>+AD_tis!G24*AD_tis!G$48*AD_tis!$BE24</f>
        <v>0</v>
      </c>
      <c r="H24" s="4">
        <f>+AD_tis!H24*AD_tis!H$48*AD_tis!$BE24</f>
        <v>0</v>
      </c>
      <c r="I24" s="4">
        <f>+AD_tis!I24*AD_tis!I$48*AD_tis!$BE24</f>
        <v>0</v>
      </c>
      <c r="J24" s="4">
        <f>+AD_tis!J24*AD_tis!J$48*AD_tis!$BE24</f>
        <v>0</v>
      </c>
      <c r="K24" s="4">
        <f>+AD_tis!K24*AD_tis!K$48*AD_tis!$BE24</f>
        <v>0</v>
      </c>
      <c r="L24" s="4">
        <f>+AD_tis!L24*AD_tis!L$48*AD_tis!$BE24</f>
        <v>0</v>
      </c>
      <c r="M24" s="4">
        <f>+AD_tis!M24*AD_tis!M$48*AD_tis!$BE24</f>
        <v>0</v>
      </c>
      <c r="N24" s="4">
        <f>+AD_tis!N24*AD_tis!N$48*AD_tis!$BE24</f>
        <v>0</v>
      </c>
      <c r="O24" s="4">
        <f>+AD_tis!O24*AD_tis!O$48*AD_tis!$BE24</f>
        <v>0</v>
      </c>
      <c r="P24" s="4">
        <f>+AD_tis!P24*AD_tis!P$48*AD_tis!$BE24</f>
        <v>0</v>
      </c>
      <c r="Q24" s="4">
        <f>+AD_tis!Q24*AD_tis!Q$48*AD_tis!$BE24</f>
        <v>0</v>
      </c>
      <c r="R24" s="13">
        <f>+AD_tis!R24*AD_tis!R$48*AD_tis!$BE24</f>
        <v>0</v>
      </c>
      <c r="S24" s="4">
        <f>+AD_tis!S24*AD_tis!S$48*AD_tis!$BE24</f>
        <v>0</v>
      </c>
      <c r="T24" s="4">
        <f>+AD_tis!T24*AD_tis!T$48*AD_tis!$BE24</f>
        <v>1</v>
      </c>
      <c r="U24" s="4">
        <f>+AD_tis!U24*AD_tis!U$48*AD_tis!$BE24</f>
        <v>1</v>
      </c>
      <c r="V24" s="4">
        <f>+AD_tis!V24*AD_tis!V$48*AD_tis!$BE24</f>
        <v>0</v>
      </c>
      <c r="W24" s="4">
        <f>+AD_tis!W24*AD_tis!W$48*AD_tis!$BE24</f>
        <v>0</v>
      </c>
      <c r="X24" s="4">
        <f>+AD_tis!X24*AD_tis!X$48*AD_tis!$BE24</f>
        <v>0</v>
      </c>
      <c r="Y24" s="4">
        <f>+AD_tis!Y24*AD_tis!Y$48*AD_tis!$BE24</f>
        <v>0</v>
      </c>
      <c r="Z24" s="4">
        <f>+AD_tis!Z24*AD_tis!Z$48*AD_tis!$BE24</f>
        <v>0</v>
      </c>
      <c r="AA24" s="4">
        <f>+AD_tis!AA24*AD_tis!AA$48*AD_tis!$BE24</f>
        <v>0</v>
      </c>
      <c r="AB24" s="4">
        <f>+AD_tis!AB24*AD_tis!AB$48*AD_tis!$BE24</f>
        <v>1</v>
      </c>
      <c r="AC24" s="12">
        <f>+AD_tis!AC24*AD_tis!AC$48*AD_tis!$BE24</f>
        <v>0</v>
      </c>
      <c r="AD24" s="4">
        <f>+AD_tis!AD24*AD_tis!AD$48*AD_tis!$BE24</f>
        <v>0</v>
      </c>
      <c r="AE24" s="4">
        <f>+AD_tis!AE24*AD_tis!AE$48*AD_tis!$BE24</f>
        <v>0</v>
      </c>
      <c r="AF24" s="4">
        <f>+AD_tis!AF24*AD_tis!AF$48*AD_tis!$BE24</f>
        <v>0</v>
      </c>
      <c r="AG24" s="4">
        <f>+AD_tis!AG24*AD_tis!AG$48*AD_tis!$BE24</f>
        <v>0</v>
      </c>
      <c r="AH24" s="4">
        <f>+AD_tis!AH24*AD_tis!AH$48*AD_tis!$BE24</f>
        <v>0</v>
      </c>
      <c r="AI24" s="4">
        <f>+AD_tis!AI24*AD_tis!AI$48*AD_tis!$BE24</f>
        <v>0</v>
      </c>
      <c r="AJ24" s="4">
        <f>+AD_tis!AJ24*AD_tis!AJ$48*AD_tis!$BE24</f>
        <v>0</v>
      </c>
      <c r="AK24" s="4">
        <f>+AD_tis!AK24*AD_tis!AK$48*AD_tis!$BE24</f>
        <v>0</v>
      </c>
      <c r="AL24" s="4">
        <f>+AD_tis!AL24*AD_tis!AL$48*AD_tis!$BE24</f>
        <v>0</v>
      </c>
      <c r="AM24" s="13">
        <f>+AD_tis!AM24*AD_tis!AM$48*AD_tis!$BE24</f>
        <v>0</v>
      </c>
      <c r="AN24" s="4">
        <f>+AD_tis!AN24*AD_tis!AN$48*AD_tis!$BE24</f>
        <v>0</v>
      </c>
      <c r="AO24" s="4">
        <f>+AD_tis!AO24*AD_tis!AO$48*AD_tis!$BE24</f>
        <v>0</v>
      </c>
      <c r="AP24" s="4">
        <f>+AD_tis!AP24*AD_tis!AP$48*AD_tis!$BE24</f>
        <v>0</v>
      </c>
      <c r="AQ24" s="4">
        <f>+AD_tis!AQ24*AD_tis!AQ$48*AD_tis!$BE24</f>
        <v>0</v>
      </c>
      <c r="AR24" s="4">
        <f>+AD_tis!AR24*AD_tis!AR$48*AD_tis!$BE24</f>
        <v>0</v>
      </c>
      <c r="AS24" s="4">
        <f>+AD_tis!AS24*AD_tis!AS$48*AD_tis!$BE24</f>
        <v>0</v>
      </c>
      <c r="AT24" s="4">
        <f>+AD_tis!AT24*AD_tis!AT$48*AD_tis!$BE24</f>
        <v>0</v>
      </c>
      <c r="AU24" s="4">
        <f>+AD_tis!AU24*AD_tis!AU$48*AD_tis!$BE24</f>
        <v>0</v>
      </c>
      <c r="AV24" s="4">
        <f>+AD_tis!AV24*AD_tis!AV$48*AD_tis!$BE24</f>
        <v>0</v>
      </c>
      <c r="AW24" s="12">
        <f>+AD_tis!AW24*AD_tis!AW$48*AD_tis!$BE24</f>
        <v>0</v>
      </c>
      <c r="AX24" s="13">
        <f>+AD_tis!AX24*AD_tis!AX$48*AD_tis!$BE24</f>
        <v>0</v>
      </c>
      <c r="AY24" s="4">
        <f>+AD_tis!AY24*AD_tis!AY$48*AD_tis!$BE24</f>
        <v>0</v>
      </c>
      <c r="AZ24" s="4">
        <f>+AD_tis!AZ24*AD_tis!AZ$48*AD_tis!$BE24</f>
        <v>0</v>
      </c>
      <c r="BA24" s="12">
        <f>+AD_tis!BA24*AD_tis!BA$48*AD_tis!$BE24</f>
        <v>0</v>
      </c>
      <c r="BB24" s="4">
        <f>+AD_tis!BB24*AD_tis!BB$48*AD_tis!$BE24</f>
        <v>0</v>
      </c>
      <c r="BC24" s="13">
        <f>+AD_tis!BC24*AD_tis!BC$48*AD_tis!$BE24</f>
        <v>0</v>
      </c>
    </row>
    <row r="25" spans="1:55" ht="18.75" customHeight="1" x14ac:dyDescent="0.25">
      <c r="A25" s="5" t="s">
        <v>76</v>
      </c>
      <c r="B25" s="12">
        <f>+AD_tis!B25*AD_tis!B$48*AD_tis!$BE25</f>
        <v>0</v>
      </c>
      <c r="C25" s="4">
        <f>+AD_tis!C25*AD_tis!C$48*AD_tis!$BE25</f>
        <v>0</v>
      </c>
      <c r="D25" s="4">
        <f>+AD_tis!D25*AD_tis!D$48*AD_tis!$BE25</f>
        <v>0</v>
      </c>
      <c r="E25" s="4">
        <f>+AD_tis!E25*AD_tis!E$48*AD_tis!$BE25</f>
        <v>0</v>
      </c>
      <c r="F25" s="4">
        <f>+AD_tis!F25*AD_tis!F$48*AD_tis!$BE25</f>
        <v>0</v>
      </c>
      <c r="G25" s="4">
        <f>+AD_tis!G25*AD_tis!G$48*AD_tis!$BE25</f>
        <v>0</v>
      </c>
      <c r="H25" s="4">
        <f>+AD_tis!H25*AD_tis!H$48*AD_tis!$BE25</f>
        <v>0</v>
      </c>
      <c r="I25" s="4">
        <f>+AD_tis!I25*AD_tis!I$48*AD_tis!$BE25</f>
        <v>0</v>
      </c>
      <c r="J25" s="4">
        <f>+AD_tis!J25*AD_tis!J$48*AD_tis!$BE25</f>
        <v>0</v>
      </c>
      <c r="K25" s="4">
        <f>+AD_tis!K25*AD_tis!K$48*AD_tis!$BE25</f>
        <v>0</v>
      </c>
      <c r="L25" s="4">
        <f>+AD_tis!L25*AD_tis!L$48*AD_tis!$BE25</f>
        <v>0</v>
      </c>
      <c r="M25" s="4">
        <f>+AD_tis!M25*AD_tis!M$48*AD_tis!$BE25</f>
        <v>0</v>
      </c>
      <c r="N25" s="4">
        <f>+AD_tis!N25*AD_tis!N$48*AD_tis!$BE25</f>
        <v>0</v>
      </c>
      <c r="O25" s="4">
        <f>+AD_tis!O25*AD_tis!O$48*AD_tis!$BE25</f>
        <v>0</v>
      </c>
      <c r="P25" s="4">
        <f>+AD_tis!P25*AD_tis!P$48*AD_tis!$BE25</f>
        <v>0</v>
      </c>
      <c r="Q25" s="4">
        <f>+AD_tis!Q25*AD_tis!Q$48*AD_tis!$BE25</f>
        <v>0</v>
      </c>
      <c r="R25" s="13">
        <f>+AD_tis!R25*AD_tis!R$48*AD_tis!$BE25</f>
        <v>0</v>
      </c>
      <c r="S25" s="4">
        <f>+AD_tis!S25*AD_tis!S$48*AD_tis!$BE25</f>
        <v>0</v>
      </c>
      <c r="T25" s="4">
        <f>+AD_tis!T25*AD_tis!T$48*AD_tis!$BE25</f>
        <v>1</v>
      </c>
      <c r="U25" s="4">
        <f>+AD_tis!U25*AD_tis!U$48*AD_tis!$BE25</f>
        <v>1</v>
      </c>
      <c r="V25" s="4">
        <f>+AD_tis!V25*AD_tis!V$48*AD_tis!$BE25</f>
        <v>0</v>
      </c>
      <c r="W25" s="4">
        <f>+AD_tis!W25*AD_tis!W$48*AD_tis!$BE25</f>
        <v>0</v>
      </c>
      <c r="X25" s="4">
        <f>+AD_tis!X25*AD_tis!X$48*AD_tis!$BE25</f>
        <v>0</v>
      </c>
      <c r="Y25" s="4">
        <f>+AD_tis!Y25*AD_tis!Y$48*AD_tis!$BE25</f>
        <v>0</v>
      </c>
      <c r="Z25" s="4">
        <f>+AD_tis!Z25*AD_tis!Z$48*AD_tis!$BE25</f>
        <v>0</v>
      </c>
      <c r="AA25" s="4">
        <f>+AD_tis!AA25*AD_tis!AA$48*AD_tis!$BE25</f>
        <v>0</v>
      </c>
      <c r="AB25" s="4">
        <f>+AD_tis!AB25*AD_tis!AB$48*AD_tis!$BE25</f>
        <v>1</v>
      </c>
      <c r="AC25" s="12">
        <f>+AD_tis!AC25*AD_tis!AC$48*AD_tis!$BE25</f>
        <v>0</v>
      </c>
      <c r="AD25" s="4">
        <f>+AD_tis!AD25*AD_tis!AD$48*AD_tis!$BE25</f>
        <v>0</v>
      </c>
      <c r="AE25" s="4">
        <f>+AD_tis!AE25*AD_tis!AE$48*AD_tis!$BE25</f>
        <v>0</v>
      </c>
      <c r="AF25" s="4">
        <f>+AD_tis!AF25*AD_tis!AF$48*AD_tis!$BE25</f>
        <v>0</v>
      </c>
      <c r="AG25" s="4">
        <f>+AD_tis!AG25*AD_tis!AG$48*AD_tis!$BE25</f>
        <v>0</v>
      </c>
      <c r="AH25" s="4">
        <f>+AD_tis!AH25*AD_tis!AH$48*AD_tis!$BE25</f>
        <v>0</v>
      </c>
      <c r="AI25" s="4">
        <f>+AD_tis!AI25*AD_tis!AI$48*AD_tis!$BE25</f>
        <v>0</v>
      </c>
      <c r="AJ25" s="4">
        <f>+AD_tis!AJ25*AD_tis!AJ$48*AD_tis!$BE25</f>
        <v>0</v>
      </c>
      <c r="AK25" s="4">
        <f>+AD_tis!AK25*AD_tis!AK$48*AD_tis!$BE25</f>
        <v>0</v>
      </c>
      <c r="AL25" s="4">
        <f>+AD_tis!AL25*AD_tis!AL$48*AD_tis!$BE25</f>
        <v>0</v>
      </c>
      <c r="AM25" s="13">
        <f>+AD_tis!AM25*AD_tis!AM$48*AD_tis!$BE25</f>
        <v>0</v>
      </c>
      <c r="AN25" s="4">
        <f>+AD_tis!AN25*AD_tis!AN$48*AD_tis!$BE25</f>
        <v>0</v>
      </c>
      <c r="AO25" s="4">
        <f>+AD_tis!AO25*AD_tis!AO$48*AD_tis!$BE25</f>
        <v>0</v>
      </c>
      <c r="AP25" s="4">
        <f>+AD_tis!AP25*AD_tis!AP$48*AD_tis!$BE25</f>
        <v>0</v>
      </c>
      <c r="AQ25" s="4">
        <f>+AD_tis!AQ25*AD_tis!AQ$48*AD_tis!$BE25</f>
        <v>0</v>
      </c>
      <c r="AR25" s="4">
        <f>+AD_tis!AR25*AD_tis!AR$48*AD_tis!$BE25</f>
        <v>0</v>
      </c>
      <c r="AS25" s="4">
        <f>+AD_tis!AS25*AD_tis!AS$48*AD_tis!$BE25</f>
        <v>0</v>
      </c>
      <c r="AT25" s="4">
        <f>+AD_tis!AT25*AD_tis!AT$48*AD_tis!$BE25</f>
        <v>0</v>
      </c>
      <c r="AU25" s="4">
        <f>+AD_tis!AU25*AD_tis!AU$48*AD_tis!$BE25</f>
        <v>0</v>
      </c>
      <c r="AV25" s="4">
        <f>+AD_tis!AV25*AD_tis!AV$48*AD_tis!$BE25</f>
        <v>0</v>
      </c>
      <c r="AW25" s="12">
        <f>+AD_tis!AW25*AD_tis!AW$48*AD_tis!$BE25</f>
        <v>0</v>
      </c>
      <c r="AX25" s="13">
        <f>+AD_tis!AX25*AD_tis!AX$48*AD_tis!$BE25</f>
        <v>0</v>
      </c>
      <c r="AY25" s="4">
        <f>+AD_tis!AY25*AD_tis!AY$48*AD_tis!$BE25</f>
        <v>0</v>
      </c>
      <c r="AZ25" s="4">
        <f>+AD_tis!AZ25*AD_tis!AZ$48*AD_tis!$BE25</f>
        <v>0</v>
      </c>
      <c r="BA25" s="12">
        <f>+AD_tis!BA25*AD_tis!BA$48*AD_tis!$BE25</f>
        <v>0</v>
      </c>
      <c r="BB25" s="4">
        <f>+AD_tis!BB25*AD_tis!BB$48*AD_tis!$BE25</f>
        <v>0</v>
      </c>
      <c r="BC25" s="13">
        <f>+AD_tis!BC25*AD_tis!BC$48*AD_tis!$BE25</f>
        <v>0</v>
      </c>
    </row>
    <row r="26" spans="1:55" ht="18.75" customHeight="1" x14ac:dyDescent="0.25">
      <c r="A26" s="5" t="s">
        <v>77</v>
      </c>
      <c r="B26" s="12">
        <f>+AD_tis!B26*AD_tis!B$48*AD_tis!$BE26</f>
        <v>0</v>
      </c>
      <c r="C26" s="4">
        <f>+AD_tis!C26*AD_tis!C$48*AD_tis!$BE26</f>
        <v>0</v>
      </c>
      <c r="D26" s="4">
        <f>+AD_tis!D26*AD_tis!D$48*AD_tis!$BE26</f>
        <v>0</v>
      </c>
      <c r="E26" s="4">
        <f>+AD_tis!E26*AD_tis!E$48*AD_tis!$BE26</f>
        <v>0</v>
      </c>
      <c r="F26" s="4">
        <f>+AD_tis!F26*AD_tis!F$48*AD_tis!$BE26</f>
        <v>0</v>
      </c>
      <c r="G26" s="4">
        <f>+AD_tis!G26*AD_tis!G$48*AD_tis!$BE26</f>
        <v>0</v>
      </c>
      <c r="H26" s="4">
        <f>+AD_tis!H26*AD_tis!H$48*AD_tis!$BE26</f>
        <v>0</v>
      </c>
      <c r="I26" s="4">
        <f>+AD_tis!I26*AD_tis!I$48*AD_tis!$BE26</f>
        <v>0</v>
      </c>
      <c r="J26" s="4">
        <f>+AD_tis!J26*AD_tis!J$48*AD_tis!$BE26</f>
        <v>0</v>
      </c>
      <c r="K26" s="4">
        <f>+AD_tis!K26*AD_tis!K$48*AD_tis!$BE26</f>
        <v>0</v>
      </c>
      <c r="L26" s="4">
        <f>+AD_tis!L26*AD_tis!L$48*AD_tis!$BE26</f>
        <v>0</v>
      </c>
      <c r="M26" s="4">
        <f>+AD_tis!M26*AD_tis!M$48*AD_tis!$BE26</f>
        <v>0</v>
      </c>
      <c r="N26" s="4">
        <f>+AD_tis!N26*AD_tis!N$48*AD_tis!$BE26</f>
        <v>0</v>
      </c>
      <c r="O26" s="4">
        <f>+AD_tis!O26*AD_tis!O$48*AD_tis!$BE26</f>
        <v>0</v>
      </c>
      <c r="P26" s="4">
        <f>+AD_tis!P26*AD_tis!P$48*AD_tis!$BE26</f>
        <v>0</v>
      </c>
      <c r="Q26" s="4">
        <f>+AD_tis!Q26*AD_tis!Q$48*AD_tis!$BE26</f>
        <v>0</v>
      </c>
      <c r="R26" s="13">
        <f>+AD_tis!R26*AD_tis!R$48*AD_tis!$BE26</f>
        <v>0</v>
      </c>
      <c r="S26" s="4">
        <f>+AD_tis!S26*AD_tis!S$48*AD_tis!$BE26</f>
        <v>0</v>
      </c>
      <c r="T26" s="4">
        <f>+AD_tis!T26*AD_tis!T$48*AD_tis!$BE26</f>
        <v>0</v>
      </c>
      <c r="U26" s="4">
        <f>+AD_tis!U26*AD_tis!U$48*AD_tis!$BE26</f>
        <v>1</v>
      </c>
      <c r="V26" s="4">
        <f>+AD_tis!V26*AD_tis!V$48*AD_tis!$BE26</f>
        <v>0</v>
      </c>
      <c r="W26" s="4">
        <f>+AD_tis!W26*AD_tis!W$48*AD_tis!$BE26</f>
        <v>0</v>
      </c>
      <c r="X26" s="4">
        <f>+AD_tis!X26*AD_tis!X$48*AD_tis!$BE26</f>
        <v>0</v>
      </c>
      <c r="Y26" s="4">
        <f>+AD_tis!Y26*AD_tis!Y$48*AD_tis!$BE26</f>
        <v>0</v>
      </c>
      <c r="Z26" s="4">
        <f>+AD_tis!Z26*AD_tis!Z$48*AD_tis!$BE26</f>
        <v>0</v>
      </c>
      <c r="AA26" s="4">
        <f>+AD_tis!AA26*AD_tis!AA$48*AD_tis!$BE26</f>
        <v>0</v>
      </c>
      <c r="AB26" s="4">
        <f>+AD_tis!AB26*AD_tis!AB$48*AD_tis!$BE26</f>
        <v>0</v>
      </c>
      <c r="AC26" s="12">
        <f>+AD_tis!AC26*AD_tis!AC$48*AD_tis!$BE26</f>
        <v>0</v>
      </c>
      <c r="AD26" s="4">
        <f>+AD_tis!AD26*AD_tis!AD$48*AD_tis!$BE26</f>
        <v>0</v>
      </c>
      <c r="AE26" s="4">
        <f>+AD_tis!AE26*AD_tis!AE$48*AD_tis!$BE26</f>
        <v>0</v>
      </c>
      <c r="AF26" s="4">
        <f>+AD_tis!AF26*AD_tis!AF$48*AD_tis!$BE26</f>
        <v>0</v>
      </c>
      <c r="AG26" s="4">
        <f>+AD_tis!AG26*AD_tis!AG$48*AD_tis!$BE26</f>
        <v>0</v>
      </c>
      <c r="AH26" s="4">
        <f>+AD_tis!AH26*AD_tis!AH$48*AD_tis!$BE26</f>
        <v>0</v>
      </c>
      <c r="AI26" s="4">
        <f>+AD_tis!AI26*AD_tis!AI$48*AD_tis!$BE26</f>
        <v>0</v>
      </c>
      <c r="AJ26" s="4">
        <f>+AD_tis!AJ26*AD_tis!AJ$48*AD_tis!$BE26</f>
        <v>0</v>
      </c>
      <c r="AK26" s="4">
        <f>+AD_tis!AK26*AD_tis!AK$48*AD_tis!$BE26</f>
        <v>0</v>
      </c>
      <c r="AL26" s="4">
        <f>+AD_tis!AL26*AD_tis!AL$48*AD_tis!$BE26</f>
        <v>0</v>
      </c>
      <c r="AM26" s="13">
        <f>+AD_tis!AM26*AD_tis!AM$48*AD_tis!$BE26</f>
        <v>0</v>
      </c>
      <c r="AN26" s="4">
        <f>+AD_tis!AN26*AD_tis!AN$48*AD_tis!$BE26</f>
        <v>0</v>
      </c>
      <c r="AO26" s="4">
        <f>+AD_tis!AO26*AD_tis!AO$48*AD_tis!$BE26</f>
        <v>0</v>
      </c>
      <c r="AP26" s="4">
        <f>+AD_tis!AP26*AD_tis!AP$48*AD_tis!$BE26</f>
        <v>0</v>
      </c>
      <c r="AQ26" s="4">
        <f>+AD_tis!AQ26*AD_tis!AQ$48*AD_tis!$BE26</f>
        <v>0</v>
      </c>
      <c r="AR26" s="4">
        <f>+AD_tis!AR26*AD_tis!AR$48*AD_tis!$BE26</f>
        <v>0</v>
      </c>
      <c r="AS26" s="4">
        <f>+AD_tis!AS26*AD_tis!AS$48*AD_tis!$BE26</f>
        <v>0</v>
      </c>
      <c r="AT26" s="4">
        <f>+AD_tis!AT26*AD_tis!AT$48*AD_tis!$BE26</f>
        <v>0</v>
      </c>
      <c r="AU26" s="4">
        <f>+AD_tis!AU26*AD_tis!AU$48*AD_tis!$BE26</f>
        <v>0</v>
      </c>
      <c r="AV26" s="4">
        <f>+AD_tis!AV26*AD_tis!AV$48*AD_tis!$BE26</f>
        <v>0</v>
      </c>
      <c r="AW26" s="12">
        <f>+AD_tis!AW26*AD_tis!AW$48*AD_tis!$BE26</f>
        <v>0</v>
      </c>
      <c r="AX26" s="13">
        <f>+AD_tis!AX26*AD_tis!AX$48*AD_tis!$BE26</f>
        <v>0</v>
      </c>
      <c r="AY26" s="4">
        <f>+AD_tis!AY26*AD_tis!AY$48*AD_tis!$BE26</f>
        <v>0</v>
      </c>
      <c r="AZ26" s="4">
        <f>+AD_tis!AZ26*AD_tis!AZ$48*AD_tis!$BE26</f>
        <v>0</v>
      </c>
      <c r="BA26" s="12">
        <f>+AD_tis!BA26*AD_tis!BA$48*AD_tis!$BE26</f>
        <v>0</v>
      </c>
      <c r="BB26" s="4">
        <f>+AD_tis!BB26*AD_tis!BB$48*AD_tis!$BE26</f>
        <v>0</v>
      </c>
      <c r="BC26" s="13">
        <f>+AD_tis!BC26*AD_tis!BC$48*AD_tis!$BE26</f>
        <v>0</v>
      </c>
    </row>
    <row r="27" spans="1:55" ht="18.75" customHeight="1" x14ac:dyDescent="0.25">
      <c r="A27" s="5" t="s">
        <v>78</v>
      </c>
      <c r="B27" s="12">
        <f>+AD_tis!B27*AD_tis!B$48*AD_tis!$BE27</f>
        <v>0</v>
      </c>
      <c r="C27" s="4">
        <f>+AD_tis!C27*AD_tis!C$48*AD_tis!$BE27</f>
        <v>0</v>
      </c>
      <c r="D27" s="4">
        <f>+AD_tis!D27*AD_tis!D$48*AD_tis!$BE27</f>
        <v>0</v>
      </c>
      <c r="E27" s="4">
        <f>+AD_tis!E27*AD_tis!E$48*AD_tis!$BE27</f>
        <v>0</v>
      </c>
      <c r="F27" s="4">
        <f>+AD_tis!F27*AD_tis!F$48*AD_tis!$BE27</f>
        <v>0</v>
      </c>
      <c r="G27" s="4">
        <f>+AD_tis!G27*AD_tis!G$48*AD_tis!$BE27</f>
        <v>0</v>
      </c>
      <c r="H27" s="4">
        <f>+AD_tis!H27*AD_tis!H$48*AD_tis!$BE27</f>
        <v>0</v>
      </c>
      <c r="I27" s="4">
        <f>+AD_tis!I27*AD_tis!I$48*AD_tis!$BE27</f>
        <v>0</v>
      </c>
      <c r="J27" s="4">
        <f>+AD_tis!J27*AD_tis!J$48*AD_tis!$BE27</f>
        <v>0</v>
      </c>
      <c r="K27" s="4">
        <f>+AD_tis!K27*AD_tis!K$48*AD_tis!$BE27</f>
        <v>0</v>
      </c>
      <c r="L27" s="4">
        <f>+AD_tis!L27*AD_tis!L$48*AD_tis!$BE27</f>
        <v>0</v>
      </c>
      <c r="M27" s="4">
        <f>+AD_tis!M27*AD_tis!M$48*AD_tis!$BE27</f>
        <v>0</v>
      </c>
      <c r="N27" s="4">
        <f>+AD_tis!N27*AD_tis!N$48*AD_tis!$BE27</f>
        <v>0</v>
      </c>
      <c r="O27" s="4">
        <f>+AD_tis!O27*AD_tis!O$48*AD_tis!$BE27</f>
        <v>0</v>
      </c>
      <c r="P27" s="4">
        <f>+AD_tis!P27*AD_tis!P$48*AD_tis!$BE27</f>
        <v>0</v>
      </c>
      <c r="Q27" s="4">
        <f>+AD_tis!Q27*AD_tis!Q$48*AD_tis!$BE27</f>
        <v>0</v>
      </c>
      <c r="R27" s="13">
        <f>+AD_tis!R27*AD_tis!R$48*AD_tis!$BE27</f>
        <v>0</v>
      </c>
      <c r="S27" s="4">
        <f>+AD_tis!S27*AD_tis!S$48*AD_tis!$BE27</f>
        <v>0</v>
      </c>
      <c r="T27" s="4">
        <f>+AD_tis!T27*AD_tis!T$48*AD_tis!$BE27</f>
        <v>0</v>
      </c>
      <c r="U27" s="4">
        <f>+AD_tis!U27*AD_tis!U$48*AD_tis!$BE27</f>
        <v>1</v>
      </c>
      <c r="V27" s="4">
        <f>+AD_tis!V27*AD_tis!V$48*AD_tis!$BE27</f>
        <v>0</v>
      </c>
      <c r="W27" s="4">
        <f>+AD_tis!W27*AD_tis!W$48*AD_tis!$BE27</f>
        <v>0</v>
      </c>
      <c r="X27" s="4">
        <f>+AD_tis!X27*AD_tis!X$48*AD_tis!$BE27</f>
        <v>0</v>
      </c>
      <c r="Y27" s="4">
        <f>+AD_tis!Y27*AD_tis!Y$48*AD_tis!$BE27</f>
        <v>0</v>
      </c>
      <c r="Z27" s="4">
        <f>+AD_tis!Z27*AD_tis!Z$48*AD_tis!$BE27</f>
        <v>0</v>
      </c>
      <c r="AA27" s="4">
        <f>+AD_tis!AA27*AD_tis!AA$48*AD_tis!$BE27</f>
        <v>0</v>
      </c>
      <c r="AB27" s="4">
        <f>+AD_tis!AB27*AD_tis!AB$48*AD_tis!$BE27</f>
        <v>0</v>
      </c>
      <c r="AC27" s="12">
        <f>+AD_tis!AC27*AD_tis!AC$48*AD_tis!$BE27</f>
        <v>0</v>
      </c>
      <c r="AD27" s="4">
        <f>+AD_tis!AD27*AD_tis!AD$48*AD_tis!$BE27</f>
        <v>0</v>
      </c>
      <c r="AE27" s="4">
        <f>+AD_tis!AE27*AD_tis!AE$48*AD_tis!$BE27</f>
        <v>0</v>
      </c>
      <c r="AF27" s="4">
        <f>+AD_tis!AF27*AD_tis!AF$48*AD_tis!$BE27</f>
        <v>0</v>
      </c>
      <c r="AG27" s="4">
        <f>+AD_tis!AG27*AD_tis!AG$48*AD_tis!$BE27</f>
        <v>0</v>
      </c>
      <c r="AH27" s="4">
        <f>+AD_tis!AH27*AD_tis!AH$48*AD_tis!$BE27</f>
        <v>0</v>
      </c>
      <c r="AI27" s="4">
        <f>+AD_tis!AI27*AD_tis!AI$48*AD_tis!$BE27</f>
        <v>0</v>
      </c>
      <c r="AJ27" s="4">
        <f>+AD_tis!AJ27*AD_tis!AJ$48*AD_tis!$BE27</f>
        <v>0</v>
      </c>
      <c r="AK27" s="4">
        <f>+AD_tis!AK27*AD_tis!AK$48*AD_tis!$BE27</f>
        <v>0</v>
      </c>
      <c r="AL27" s="4">
        <f>+AD_tis!AL27*AD_tis!AL$48*AD_tis!$BE27</f>
        <v>0</v>
      </c>
      <c r="AM27" s="13">
        <f>+AD_tis!AM27*AD_tis!AM$48*AD_tis!$BE27</f>
        <v>0</v>
      </c>
      <c r="AN27" s="4">
        <f>+AD_tis!AN27*AD_tis!AN$48*AD_tis!$BE27</f>
        <v>0</v>
      </c>
      <c r="AO27" s="4">
        <f>+AD_tis!AO27*AD_tis!AO$48*AD_tis!$BE27</f>
        <v>0</v>
      </c>
      <c r="AP27" s="4">
        <f>+AD_tis!AP27*AD_tis!AP$48*AD_tis!$BE27</f>
        <v>0</v>
      </c>
      <c r="AQ27" s="4">
        <f>+AD_tis!AQ27*AD_tis!AQ$48*AD_tis!$BE27</f>
        <v>0</v>
      </c>
      <c r="AR27" s="4">
        <f>+AD_tis!AR27*AD_tis!AR$48*AD_tis!$BE27</f>
        <v>0</v>
      </c>
      <c r="AS27" s="4">
        <f>+AD_tis!AS27*AD_tis!AS$48*AD_tis!$BE27</f>
        <v>0</v>
      </c>
      <c r="AT27" s="4">
        <f>+AD_tis!AT27*AD_tis!AT$48*AD_tis!$BE27</f>
        <v>0</v>
      </c>
      <c r="AU27" s="4">
        <f>+AD_tis!AU27*AD_tis!AU$48*AD_tis!$BE27</f>
        <v>0</v>
      </c>
      <c r="AV27" s="4">
        <f>+AD_tis!AV27*AD_tis!AV$48*AD_tis!$BE27</f>
        <v>0</v>
      </c>
      <c r="AW27" s="12">
        <f>+AD_tis!AW27*AD_tis!AW$48*AD_tis!$BE27</f>
        <v>0</v>
      </c>
      <c r="AX27" s="13">
        <f>+AD_tis!AX27*AD_tis!AX$48*AD_tis!$BE27</f>
        <v>0</v>
      </c>
      <c r="AY27" s="4">
        <f>+AD_tis!AY27*AD_tis!AY$48*AD_tis!$BE27</f>
        <v>0</v>
      </c>
      <c r="AZ27" s="4">
        <f>+AD_tis!AZ27*AD_tis!AZ$48*AD_tis!$BE27</f>
        <v>0</v>
      </c>
      <c r="BA27" s="12">
        <f>+AD_tis!BA27*AD_tis!BA$48*AD_tis!$BE27</f>
        <v>0</v>
      </c>
      <c r="BB27" s="4">
        <f>+AD_tis!BB27*AD_tis!BB$48*AD_tis!$BE27</f>
        <v>0</v>
      </c>
      <c r="BC27" s="13">
        <f>+AD_tis!BC27*AD_tis!BC$48*AD_tis!$BE27</f>
        <v>0</v>
      </c>
    </row>
    <row r="28" spans="1:55" ht="18.75" customHeight="1" x14ac:dyDescent="0.25">
      <c r="A28" s="5" t="s">
        <v>79</v>
      </c>
      <c r="B28" s="12">
        <f>+AD_tis!B28*AD_tis!B$48*AD_tis!$BE28</f>
        <v>0</v>
      </c>
      <c r="C28" s="4">
        <f>+AD_tis!C28*AD_tis!C$48*AD_tis!$BE28</f>
        <v>0</v>
      </c>
      <c r="D28" s="4">
        <f>+AD_tis!D28*AD_tis!D$48*AD_tis!$BE28</f>
        <v>0</v>
      </c>
      <c r="E28" s="4">
        <f>+AD_tis!E28*AD_tis!E$48*AD_tis!$BE28</f>
        <v>0</v>
      </c>
      <c r="F28" s="4">
        <f>+AD_tis!F28*AD_tis!F$48*AD_tis!$BE28</f>
        <v>0</v>
      </c>
      <c r="G28" s="4">
        <f>+AD_tis!G28*AD_tis!G$48*AD_tis!$BE28</f>
        <v>0</v>
      </c>
      <c r="H28" s="4">
        <f>+AD_tis!H28*AD_tis!H$48*AD_tis!$BE28</f>
        <v>0</v>
      </c>
      <c r="I28" s="4">
        <f>+AD_tis!I28*AD_tis!I$48*AD_tis!$BE28</f>
        <v>0</v>
      </c>
      <c r="J28" s="4">
        <f>+AD_tis!J28*AD_tis!J$48*AD_tis!$BE28</f>
        <v>0</v>
      </c>
      <c r="K28" s="4">
        <f>+AD_tis!K28*AD_tis!K$48*AD_tis!$BE28</f>
        <v>0</v>
      </c>
      <c r="L28" s="4">
        <f>+AD_tis!L28*AD_tis!L$48*AD_tis!$BE28</f>
        <v>0</v>
      </c>
      <c r="M28" s="4">
        <f>+AD_tis!M28*AD_tis!M$48*AD_tis!$BE28</f>
        <v>1</v>
      </c>
      <c r="N28" s="4">
        <f>+AD_tis!N28*AD_tis!N$48*AD_tis!$BE28</f>
        <v>0</v>
      </c>
      <c r="O28" s="4">
        <f>+AD_tis!O28*AD_tis!O$48*AD_tis!$BE28</f>
        <v>0</v>
      </c>
      <c r="P28" s="4">
        <f>+AD_tis!P28*AD_tis!P$48*AD_tis!$BE28</f>
        <v>0</v>
      </c>
      <c r="Q28" s="4">
        <f>+AD_tis!Q28*AD_tis!Q$48*AD_tis!$BE28</f>
        <v>0</v>
      </c>
      <c r="R28" s="13">
        <f>+AD_tis!R28*AD_tis!R$48*AD_tis!$BE28</f>
        <v>0</v>
      </c>
      <c r="S28" s="4">
        <f>+AD_tis!S28*AD_tis!S$48*AD_tis!$BE28</f>
        <v>0</v>
      </c>
      <c r="T28" s="4">
        <f>+AD_tis!T28*AD_tis!T$48*AD_tis!$BE28</f>
        <v>1</v>
      </c>
      <c r="U28" s="4">
        <f>+AD_tis!U28*AD_tis!U$48*AD_tis!$BE28</f>
        <v>1</v>
      </c>
      <c r="V28" s="4">
        <f>+AD_tis!V28*AD_tis!V$48*AD_tis!$BE28</f>
        <v>0</v>
      </c>
      <c r="W28" s="4">
        <f>+AD_tis!W28*AD_tis!W$48*AD_tis!$BE28</f>
        <v>0</v>
      </c>
      <c r="X28" s="4">
        <f>+AD_tis!X28*AD_tis!X$48*AD_tis!$BE28</f>
        <v>1</v>
      </c>
      <c r="Y28" s="4">
        <f>+AD_tis!Y28*AD_tis!Y$48*AD_tis!$BE28</f>
        <v>0</v>
      </c>
      <c r="Z28" s="4">
        <f>+AD_tis!Z28*AD_tis!Z$48*AD_tis!$BE28</f>
        <v>0</v>
      </c>
      <c r="AA28" s="4">
        <f>+AD_tis!AA28*AD_tis!AA$48*AD_tis!$BE28</f>
        <v>0</v>
      </c>
      <c r="AB28" s="4">
        <f>+AD_tis!AB28*AD_tis!AB$48*AD_tis!$BE28</f>
        <v>1</v>
      </c>
      <c r="AC28" s="12">
        <f>+AD_tis!AC28*AD_tis!AC$48*AD_tis!$BE28</f>
        <v>0</v>
      </c>
      <c r="AD28" s="4">
        <f>+AD_tis!AD28*AD_tis!AD$48*AD_tis!$BE28</f>
        <v>0</v>
      </c>
      <c r="AE28" s="4">
        <f>+AD_tis!AE28*AD_tis!AE$48*AD_tis!$BE28</f>
        <v>0</v>
      </c>
      <c r="AF28" s="4">
        <f>+AD_tis!AF28*AD_tis!AF$48*AD_tis!$BE28</f>
        <v>0</v>
      </c>
      <c r="AG28" s="4">
        <f>+AD_tis!AG28*AD_tis!AG$48*AD_tis!$BE28</f>
        <v>0</v>
      </c>
      <c r="AH28" s="4">
        <f>+AD_tis!AH28*AD_tis!AH$48*AD_tis!$BE28</f>
        <v>0</v>
      </c>
      <c r="AI28" s="4">
        <f>+AD_tis!AI28*AD_tis!AI$48*AD_tis!$BE28</f>
        <v>0</v>
      </c>
      <c r="AJ28" s="4">
        <f>+AD_tis!AJ28*AD_tis!AJ$48*AD_tis!$BE28</f>
        <v>0</v>
      </c>
      <c r="AK28" s="4">
        <f>+AD_tis!AK28*AD_tis!AK$48*AD_tis!$BE28</f>
        <v>0</v>
      </c>
      <c r="AL28" s="4">
        <f>+AD_tis!AL28*AD_tis!AL$48*AD_tis!$BE28</f>
        <v>0</v>
      </c>
      <c r="AM28" s="13">
        <f>+AD_tis!AM28*AD_tis!AM$48*AD_tis!$BE28</f>
        <v>0</v>
      </c>
      <c r="AN28" s="4">
        <f>+AD_tis!AN28*AD_tis!AN$48*AD_tis!$BE28</f>
        <v>0</v>
      </c>
      <c r="AO28" s="4">
        <f>+AD_tis!AO28*AD_tis!AO$48*AD_tis!$BE28</f>
        <v>0</v>
      </c>
      <c r="AP28" s="4">
        <f>+AD_tis!AP28*AD_tis!AP$48*AD_tis!$BE28</f>
        <v>0</v>
      </c>
      <c r="AQ28" s="4">
        <f>+AD_tis!AQ28*AD_tis!AQ$48*AD_tis!$BE28</f>
        <v>0</v>
      </c>
      <c r="AR28" s="4">
        <f>+AD_tis!AR28*AD_tis!AR$48*AD_tis!$BE28</f>
        <v>0</v>
      </c>
      <c r="AS28" s="4">
        <f>+AD_tis!AS28*AD_tis!AS$48*AD_tis!$BE28</f>
        <v>0</v>
      </c>
      <c r="AT28" s="4">
        <f>+AD_tis!AT28*AD_tis!AT$48*AD_tis!$BE28</f>
        <v>0</v>
      </c>
      <c r="AU28" s="4">
        <f>+AD_tis!AU28*AD_tis!AU$48*AD_tis!$BE28</f>
        <v>0</v>
      </c>
      <c r="AV28" s="4">
        <f>+AD_tis!AV28*AD_tis!AV$48*AD_tis!$BE28</f>
        <v>0</v>
      </c>
      <c r="AW28" s="12">
        <f>+AD_tis!AW28*AD_tis!AW$48*AD_tis!$BE28</f>
        <v>0</v>
      </c>
      <c r="AX28" s="13">
        <f>+AD_tis!AX28*AD_tis!AX$48*AD_tis!$BE28</f>
        <v>0</v>
      </c>
      <c r="AY28" s="4">
        <f>+AD_tis!AY28*AD_tis!AY$48*AD_tis!$BE28</f>
        <v>0</v>
      </c>
      <c r="AZ28" s="4">
        <f>+AD_tis!AZ28*AD_tis!AZ$48*AD_tis!$BE28</f>
        <v>0</v>
      </c>
      <c r="BA28" s="12">
        <f>+AD_tis!BA28*AD_tis!BA$48*AD_tis!$BE28</f>
        <v>0</v>
      </c>
      <c r="BB28" s="4">
        <f>+AD_tis!BB28*AD_tis!BB$48*AD_tis!$BE28</f>
        <v>0</v>
      </c>
      <c r="BC28" s="13">
        <f>+AD_tis!BC28*AD_tis!BC$48*AD_tis!$BE28</f>
        <v>0</v>
      </c>
    </row>
    <row r="29" spans="1:55" ht="18.75" customHeight="1" x14ac:dyDescent="0.25">
      <c r="A29" s="5" t="s">
        <v>80</v>
      </c>
      <c r="B29" s="12">
        <f>+AD_tis!B29*AD_tis!B$48*AD_tis!$BE29</f>
        <v>0</v>
      </c>
      <c r="C29" s="4">
        <f>+AD_tis!C29*AD_tis!C$48*AD_tis!$BE29</f>
        <v>0</v>
      </c>
      <c r="D29" s="4">
        <f>+AD_tis!D29*AD_tis!D$48*AD_tis!$BE29</f>
        <v>0</v>
      </c>
      <c r="E29" s="4">
        <f>+AD_tis!E29*AD_tis!E$48*AD_tis!$BE29</f>
        <v>0</v>
      </c>
      <c r="F29" s="4">
        <f>+AD_tis!F29*AD_tis!F$48*AD_tis!$BE29</f>
        <v>0</v>
      </c>
      <c r="G29" s="4">
        <f>+AD_tis!G29*AD_tis!G$48*AD_tis!$BE29</f>
        <v>1</v>
      </c>
      <c r="H29" s="4">
        <f>+AD_tis!H29*AD_tis!H$48*AD_tis!$BE29</f>
        <v>0</v>
      </c>
      <c r="I29" s="4">
        <f>+AD_tis!I29*AD_tis!I$48*AD_tis!$BE29</f>
        <v>0</v>
      </c>
      <c r="J29" s="4">
        <f>+AD_tis!J29*AD_tis!J$48*AD_tis!$BE29</f>
        <v>0</v>
      </c>
      <c r="K29" s="4">
        <f>+AD_tis!K29*AD_tis!K$48*AD_tis!$BE29</f>
        <v>0</v>
      </c>
      <c r="L29" s="4">
        <f>+AD_tis!L29*AD_tis!L$48*AD_tis!$BE29</f>
        <v>0</v>
      </c>
      <c r="M29" s="4">
        <f>+AD_tis!M29*AD_tis!M$48*AD_tis!$BE29</f>
        <v>0</v>
      </c>
      <c r="N29" s="4">
        <f>+AD_tis!N29*AD_tis!N$48*AD_tis!$BE29</f>
        <v>0</v>
      </c>
      <c r="O29" s="4">
        <f>+AD_tis!O29*AD_tis!O$48*AD_tis!$BE29</f>
        <v>0</v>
      </c>
      <c r="P29" s="4">
        <f>+AD_tis!P29*AD_tis!P$48*AD_tis!$BE29</f>
        <v>0</v>
      </c>
      <c r="Q29" s="4">
        <f>+AD_tis!Q29*AD_tis!Q$48*AD_tis!$BE29</f>
        <v>0</v>
      </c>
      <c r="R29" s="13">
        <f>+AD_tis!R29*AD_tis!R$48*AD_tis!$BE29</f>
        <v>0</v>
      </c>
      <c r="S29" s="4">
        <f>+AD_tis!S29*AD_tis!S$48*AD_tis!$BE29</f>
        <v>0</v>
      </c>
      <c r="T29" s="4">
        <f>+AD_tis!T29*AD_tis!T$48*AD_tis!$BE29</f>
        <v>0</v>
      </c>
      <c r="U29" s="4">
        <f>+AD_tis!U29*AD_tis!U$48*AD_tis!$BE29</f>
        <v>0</v>
      </c>
      <c r="V29" s="4">
        <f>+AD_tis!V29*AD_tis!V$48*AD_tis!$BE29</f>
        <v>0</v>
      </c>
      <c r="W29" s="4">
        <f>+AD_tis!W29*AD_tis!W$48*AD_tis!$BE29</f>
        <v>0</v>
      </c>
      <c r="X29" s="4">
        <f>+AD_tis!X29*AD_tis!X$48*AD_tis!$BE29</f>
        <v>0</v>
      </c>
      <c r="Y29" s="4">
        <f>+AD_tis!Y29*AD_tis!Y$48*AD_tis!$BE29</f>
        <v>0</v>
      </c>
      <c r="Z29" s="4">
        <f>+AD_tis!Z29*AD_tis!Z$48*AD_tis!$BE29</f>
        <v>0</v>
      </c>
      <c r="AA29" s="4">
        <f>+AD_tis!AA29*AD_tis!AA$48*AD_tis!$BE29</f>
        <v>0</v>
      </c>
      <c r="AB29" s="4">
        <f>+AD_tis!AB29*AD_tis!AB$48*AD_tis!$BE29</f>
        <v>0</v>
      </c>
      <c r="AC29" s="12">
        <f>+AD_tis!AC29*AD_tis!AC$48*AD_tis!$BE29</f>
        <v>0</v>
      </c>
      <c r="AD29" s="4">
        <f>+AD_tis!AD29*AD_tis!AD$48*AD_tis!$BE29</f>
        <v>0</v>
      </c>
      <c r="AE29" s="4">
        <f>+AD_tis!AE29*AD_tis!AE$48*AD_tis!$BE29</f>
        <v>0</v>
      </c>
      <c r="AF29" s="4">
        <f>+AD_tis!AF29*AD_tis!AF$48*AD_tis!$BE29</f>
        <v>0</v>
      </c>
      <c r="AG29" s="4">
        <f>+AD_tis!AG29*AD_tis!AG$48*AD_tis!$BE29</f>
        <v>0</v>
      </c>
      <c r="AH29" s="4">
        <f>+AD_tis!AH29*AD_tis!AH$48*AD_tis!$BE29</f>
        <v>0</v>
      </c>
      <c r="AI29" s="4">
        <f>+AD_tis!AI29*AD_tis!AI$48*AD_tis!$BE29</f>
        <v>0</v>
      </c>
      <c r="AJ29" s="4">
        <f>+AD_tis!AJ29*AD_tis!AJ$48*AD_tis!$BE29</f>
        <v>0</v>
      </c>
      <c r="AK29" s="4">
        <f>+AD_tis!AK29*AD_tis!AK$48*AD_tis!$BE29</f>
        <v>0</v>
      </c>
      <c r="AL29" s="4">
        <f>+AD_tis!AL29*AD_tis!AL$48*AD_tis!$BE29</f>
        <v>0</v>
      </c>
      <c r="AM29" s="13">
        <f>+AD_tis!AM29*AD_tis!AM$48*AD_tis!$BE29</f>
        <v>0</v>
      </c>
      <c r="AN29" s="4">
        <f>+AD_tis!AN29*AD_tis!AN$48*AD_tis!$BE29</f>
        <v>0</v>
      </c>
      <c r="AO29" s="4">
        <f>+AD_tis!AO29*AD_tis!AO$48*AD_tis!$BE29</f>
        <v>0</v>
      </c>
      <c r="AP29" s="4">
        <f>+AD_tis!AP29*AD_tis!AP$48*AD_tis!$BE29</f>
        <v>0</v>
      </c>
      <c r="AQ29" s="4">
        <f>+AD_tis!AQ29*AD_tis!AQ$48*AD_tis!$BE29</f>
        <v>0</v>
      </c>
      <c r="AR29" s="4">
        <f>+AD_tis!AR29*AD_tis!AR$48*AD_tis!$BE29</f>
        <v>0</v>
      </c>
      <c r="AS29" s="4">
        <f>+AD_tis!AS29*AD_tis!AS$48*AD_tis!$BE29</f>
        <v>0</v>
      </c>
      <c r="AT29" s="4">
        <f>+AD_tis!AT29*AD_tis!AT$48*AD_tis!$BE29</f>
        <v>0</v>
      </c>
      <c r="AU29" s="4">
        <f>+AD_tis!AU29*AD_tis!AU$48*AD_tis!$BE29</f>
        <v>0</v>
      </c>
      <c r="AV29" s="4">
        <f>+AD_tis!AV29*AD_tis!AV$48*AD_tis!$BE29</f>
        <v>0</v>
      </c>
      <c r="AW29" s="12">
        <f>+AD_tis!AW29*AD_tis!AW$48*AD_tis!$BE29</f>
        <v>0</v>
      </c>
      <c r="AX29" s="13">
        <f>+AD_tis!AX29*AD_tis!AX$48*AD_tis!$BE29</f>
        <v>0</v>
      </c>
      <c r="AY29" s="4">
        <f>+AD_tis!AY29*AD_tis!AY$48*AD_tis!$BE29</f>
        <v>0</v>
      </c>
      <c r="AZ29" s="4">
        <f>+AD_tis!AZ29*AD_tis!AZ$48*AD_tis!$BE29</f>
        <v>0</v>
      </c>
      <c r="BA29" s="12">
        <f>+AD_tis!BA29*AD_tis!BA$48*AD_tis!$BE29</f>
        <v>0</v>
      </c>
      <c r="BB29" s="4">
        <f>+AD_tis!BB29*AD_tis!BB$48*AD_tis!$BE29</f>
        <v>0</v>
      </c>
      <c r="BC29" s="13">
        <f>+AD_tis!BC29*AD_tis!BC$48*AD_tis!$BE29</f>
        <v>0</v>
      </c>
    </row>
    <row r="30" spans="1:55" ht="18.75" customHeight="1" x14ac:dyDescent="0.25">
      <c r="A30" s="5" t="s">
        <v>81</v>
      </c>
      <c r="B30" s="12">
        <f>+AD_tis!B30*AD_tis!B$48*AD_tis!$BE30</f>
        <v>0</v>
      </c>
      <c r="C30" s="4">
        <f>+AD_tis!C30*AD_tis!C$48*AD_tis!$BE30</f>
        <v>0</v>
      </c>
      <c r="D30" s="4">
        <f>+AD_tis!D30*AD_tis!D$48*AD_tis!$BE30</f>
        <v>0</v>
      </c>
      <c r="E30" s="4">
        <f>+AD_tis!E30*AD_tis!E$48*AD_tis!$BE30</f>
        <v>0</v>
      </c>
      <c r="F30" s="4">
        <f>+AD_tis!F30*AD_tis!F$48*AD_tis!$BE30</f>
        <v>0</v>
      </c>
      <c r="G30" s="4">
        <f>+AD_tis!G30*AD_tis!G$48*AD_tis!$BE30</f>
        <v>0</v>
      </c>
      <c r="H30" s="4">
        <f>+AD_tis!H30*AD_tis!H$48*AD_tis!$BE30</f>
        <v>0</v>
      </c>
      <c r="I30" s="4">
        <f>+AD_tis!I30*AD_tis!I$48*AD_tis!$BE30</f>
        <v>0</v>
      </c>
      <c r="J30" s="4">
        <f>+AD_tis!J30*AD_tis!J$48*AD_tis!$BE30</f>
        <v>0</v>
      </c>
      <c r="K30" s="4">
        <f>+AD_tis!K30*AD_tis!K$48*AD_tis!$BE30</f>
        <v>0</v>
      </c>
      <c r="L30" s="4">
        <f>+AD_tis!L30*AD_tis!L$48*AD_tis!$BE30</f>
        <v>0</v>
      </c>
      <c r="M30" s="4">
        <f>+AD_tis!M30*AD_tis!M$48*AD_tis!$BE30</f>
        <v>0</v>
      </c>
      <c r="N30" s="4">
        <f>+AD_tis!N30*AD_tis!N$48*AD_tis!$BE30</f>
        <v>0</v>
      </c>
      <c r="O30" s="4">
        <f>+AD_tis!O30*AD_tis!O$48*AD_tis!$BE30</f>
        <v>0</v>
      </c>
      <c r="P30" s="4">
        <f>+AD_tis!P30*AD_tis!P$48*AD_tis!$BE30</f>
        <v>0</v>
      </c>
      <c r="Q30" s="4">
        <f>+AD_tis!Q30*AD_tis!Q$48*AD_tis!$BE30</f>
        <v>0</v>
      </c>
      <c r="R30" s="13">
        <f>+AD_tis!R30*AD_tis!R$48*AD_tis!$BE30</f>
        <v>0</v>
      </c>
      <c r="S30" s="4">
        <f>+AD_tis!S30*AD_tis!S$48*AD_tis!$BE30</f>
        <v>0</v>
      </c>
      <c r="T30" s="4">
        <f>+AD_tis!T30*AD_tis!T$48*AD_tis!$BE30</f>
        <v>0</v>
      </c>
      <c r="U30" s="4">
        <f>+AD_tis!U30*AD_tis!U$48*AD_tis!$BE30</f>
        <v>0</v>
      </c>
      <c r="V30" s="4">
        <f>+AD_tis!V30*AD_tis!V$48*AD_tis!$BE30</f>
        <v>0</v>
      </c>
      <c r="W30" s="4">
        <f>+AD_tis!W30*AD_tis!W$48*AD_tis!$BE30</f>
        <v>0</v>
      </c>
      <c r="X30" s="4">
        <f>+AD_tis!X30*AD_tis!X$48*AD_tis!$BE30</f>
        <v>0</v>
      </c>
      <c r="Y30" s="4">
        <f>+AD_tis!Y30*AD_tis!Y$48*AD_tis!$BE30</f>
        <v>0</v>
      </c>
      <c r="Z30" s="4">
        <f>+AD_tis!Z30*AD_tis!Z$48*AD_tis!$BE30</f>
        <v>0</v>
      </c>
      <c r="AA30" s="4">
        <f>+AD_tis!AA30*AD_tis!AA$48*AD_tis!$BE30</f>
        <v>0</v>
      </c>
      <c r="AB30" s="4">
        <f>+AD_tis!AB30*AD_tis!AB$48*AD_tis!$BE30</f>
        <v>0</v>
      </c>
      <c r="AC30" s="12">
        <f>+AD_tis!AC30*AD_tis!AC$48*AD_tis!$BE30</f>
        <v>0</v>
      </c>
      <c r="AD30" s="4">
        <f>+AD_tis!AD30*AD_tis!AD$48*AD_tis!$BE30</f>
        <v>0</v>
      </c>
      <c r="AE30" s="4">
        <f>+AD_tis!AE30*AD_tis!AE$48*AD_tis!$BE30</f>
        <v>0</v>
      </c>
      <c r="AF30" s="4">
        <f>+AD_tis!AF30*AD_tis!AF$48*AD_tis!$BE30</f>
        <v>0</v>
      </c>
      <c r="AG30" s="4">
        <f>+AD_tis!AG30*AD_tis!AG$48*AD_tis!$BE30</f>
        <v>0</v>
      </c>
      <c r="AH30" s="4">
        <f>+AD_tis!AH30*AD_tis!AH$48*AD_tis!$BE30</f>
        <v>0</v>
      </c>
      <c r="AI30" s="4">
        <f>+AD_tis!AI30*AD_tis!AI$48*AD_tis!$BE30</f>
        <v>0</v>
      </c>
      <c r="AJ30" s="4">
        <f>+AD_tis!AJ30*AD_tis!AJ$48*AD_tis!$BE30</f>
        <v>0</v>
      </c>
      <c r="AK30" s="4">
        <f>+AD_tis!AK30*AD_tis!AK$48*AD_tis!$BE30</f>
        <v>0</v>
      </c>
      <c r="AL30" s="4">
        <f>+AD_tis!AL30*AD_tis!AL$48*AD_tis!$BE30</f>
        <v>0</v>
      </c>
      <c r="AM30" s="13">
        <f>+AD_tis!AM30*AD_tis!AM$48*AD_tis!$BE30</f>
        <v>0</v>
      </c>
      <c r="AN30" s="4">
        <f>+AD_tis!AN30*AD_tis!AN$48*AD_tis!$BE30</f>
        <v>0</v>
      </c>
      <c r="AO30" s="4">
        <f>+AD_tis!AO30*AD_tis!AO$48*AD_tis!$BE30</f>
        <v>0</v>
      </c>
      <c r="AP30" s="4">
        <f>+AD_tis!AP30*AD_tis!AP$48*AD_tis!$BE30</f>
        <v>0</v>
      </c>
      <c r="AQ30" s="4">
        <f>+AD_tis!AQ30*AD_tis!AQ$48*AD_tis!$BE30</f>
        <v>0</v>
      </c>
      <c r="AR30" s="4">
        <f>+AD_tis!AR30*AD_tis!AR$48*AD_tis!$BE30</f>
        <v>0</v>
      </c>
      <c r="AS30" s="4">
        <f>+AD_tis!AS30*AD_tis!AS$48*AD_tis!$BE30</f>
        <v>0</v>
      </c>
      <c r="AT30" s="4">
        <f>+AD_tis!AT30*AD_tis!AT$48*AD_tis!$BE30</f>
        <v>0</v>
      </c>
      <c r="AU30" s="4">
        <f>+AD_tis!AU30*AD_tis!AU$48*AD_tis!$BE30</f>
        <v>0</v>
      </c>
      <c r="AV30" s="4">
        <f>+AD_tis!AV30*AD_tis!AV$48*AD_tis!$BE30</f>
        <v>0</v>
      </c>
      <c r="AW30" s="12">
        <f>+AD_tis!AW30*AD_tis!AW$48*AD_tis!$BE30</f>
        <v>0</v>
      </c>
      <c r="AX30" s="13">
        <f>+AD_tis!AX30*AD_tis!AX$48*AD_tis!$BE30</f>
        <v>0</v>
      </c>
      <c r="AY30" s="4">
        <f>+AD_tis!AY30*AD_tis!AY$48*AD_tis!$BE30</f>
        <v>0</v>
      </c>
      <c r="AZ30" s="4">
        <f>+AD_tis!AZ30*AD_tis!AZ$48*AD_tis!$BE30</f>
        <v>0</v>
      </c>
      <c r="BA30" s="12">
        <f>+AD_tis!BA30*AD_tis!BA$48*AD_tis!$BE30</f>
        <v>0</v>
      </c>
      <c r="BB30" s="4">
        <f>+AD_tis!BB30*AD_tis!BB$48*AD_tis!$BE30</f>
        <v>0</v>
      </c>
      <c r="BC30" s="13">
        <f>+AD_tis!BC30*AD_tis!BC$48*AD_tis!$BE30</f>
        <v>0</v>
      </c>
    </row>
    <row r="31" spans="1:55" ht="18.75" customHeight="1" x14ac:dyDescent="0.25">
      <c r="A31" s="5" t="s">
        <v>82</v>
      </c>
      <c r="B31" s="12">
        <f>+AD_tis!B31*AD_tis!B$48*AD_tis!$BE31</f>
        <v>0</v>
      </c>
      <c r="C31" s="4">
        <f>+AD_tis!C31*AD_tis!C$48*AD_tis!$BE31</f>
        <v>0</v>
      </c>
      <c r="D31" s="4">
        <f>+AD_tis!D31*AD_tis!D$48*AD_tis!$BE31</f>
        <v>0</v>
      </c>
      <c r="E31" s="4">
        <f>+AD_tis!E31*AD_tis!E$48*AD_tis!$BE31</f>
        <v>0</v>
      </c>
      <c r="F31" s="4">
        <f>+AD_tis!F31*AD_tis!F$48*AD_tis!$BE31</f>
        <v>0</v>
      </c>
      <c r="G31" s="4">
        <f>+AD_tis!G31*AD_tis!G$48*AD_tis!$BE31</f>
        <v>0</v>
      </c>
      <c r="H31" s="4">
        <f>+AD_tis!H31*AD_tis!H$48*AD_tis!$BE31</f>
        <v>0</v>
      </c>
      <c r="I31" s="4">
        <f>+AD_tis!I31*AD_tis!I$48*AD_tis!$BE31</f>
        <v>0</v>
      </c>
      <c r="J31" s="4">
        <f>+AD_tis!J31*AD_tis!J$48*AD_tis!$BE31</f>
        <v>0</v>
      </c>
      <c r="K31" s="4">
        <f>+AD_tis!K31*AD_tis!K$48*AD_tis!$BE31</f>
        <v>0</v>
      </c>
      <c r="L31" s="4">
        <f>+AD_tis!L31*AD_tis!L$48*AD_tis!$BE31</f>
        <v>0</v>
      </c>
      <c r="M31" s="4">
        <f>+AD_tis!M31*AD_tis!M$48*AD_tis!$BE31</f>
        <v>0</v>
      </c>
      <c r="N31" s="4">
        <f>+AD_tis!N31*AD_tis!N$48*AD_tis!$BE31</f>
        <v>0</v>
      </c>
      <c r="O31" s="4">
        <f>+AD_tis!O31*AD_tis!O$48*AD_tis!$BE31</f>
        <v>0</v>
      </c>
      <c r="P31" s="4">
        <f>+AD_tis!P31*AD_tis!P$48*AD_tis!$BE31</f>
        <v>0</v>
      </c>
      <c r="Q31" s="4">
        <f>+AD_tis!Q31*AD_tis!Q$48*AD_tis!$BE31</f>
        <v>0</v>
      </c>
      <c r="R31" s="13">
        <f>+AD_tis!R31*AD_tis!R$48*AD_tis!$BE31</f>
        <v>0</v>
      </c>
      <c r="S31" s="4">
        <f>+AD_tis!S31*AD_tis!S$48*AD_tis!$BE31</f>
        <v>0</v>
      </c>
      <c r="T31" s="4">
        <f>+AD_tis!T31*AD_tis!T$48*AD_tis!$BE31</f>
        <v>0</v>
      </c>
      <c r="U31" s="4">
        <f>+AD_tis!U31*AD_tis!U$48*AD_tis!$BE31</f>
        <v>0</v>
      </c>
      <c r="V31" s="4">
        <f>+AD_tis!V31*AD_tis!V$48*AD_tis!$BE31</f>
        <v>0</v>
      </c>
      <c r="W31" s="4">
        <f>+AD_tis!W31*AD_tis!W$48*AD_tis!$BE31</f>
        <v>0</v>
      </c>
      <c r="X31" s="4">
        <f>+AD_tis!X31*AD_tis!X$48*AD_tis!$BE31</f>
        <v>0</v>
      </c>
      <c r="Y31" s="4">
        <f>+AD_tis!Y31*AD_tis!Y$48*AD_tis!$BE31</f>
        <v>0</v>
      </c>
      <c r="Z31" s="4">
        <f>+AD_tis!Z31*AD_tis!Z$48*AD_tis!$BE31</f>
        <v>0</v>
      </c>
      <c r="AA31" s="4">
        <f>+AD_tis!AA31*AD_tis!AA$48*AD_tis!$BE31</f>
        <v>0</v>
      </c>
      <c r="AB31" s="4">
        <f>+AD_tis!AB31*AD_tis!AB$48*AD_tis!$BE31</f>
        <v>0</v>
      </c>
      <c r="AC31" s="12">
        <f>+AD_tis!AC31*AD_tis!AC$48*AD_tis!$BE31</f>
        <v>0</v>
      </c>
      <c r="AD31" s="4">
        <f>+AD_tis!AD31*AD_tis!AD$48*AD_tis!$BE31</f>
        <v>0</v>
      </c>
      <c r="AE31" s="4">
        <f>+AD_tis!AE31*AD_tis!AE$48*AD_tis!$BE31</f>
        <v>0</v>
      </c>
      <c r="AF31" s="4">
        <f>+AD_tis!AF31*AD_tis!AF$48*AD_tis!$BE31</f>
        <v>0</v>
      </c>
      <c r="AG31" s="4">
        <f>+AD_tis!AG31*AD_tis!AG$48*AD_tis!$BE31</f>
        <v>0</v>
      </c>
      <c r="AH31" s="4">
        <f>+AD_tis!AH31*AD_tis!AH$48*AD_tis!$BE31</f>
        <v>0</v>
      </c>
      <c r="AI31" s="4">
        <f>+AD_tis!AI31*AD_tis!AI$48*AD_tis!$BE31</f>
        <v>0</v>
      </c>
      <c r="AJ31" s="4">
        <f>+AD_tis!AJ31*AD_tis!AJ$48*AD_tis!$BE31</f>
        <v>0</v>
      </c>
      <c r="AK31" s="4">
        <f>+AD_tis!AK31*AD_tis!AK$48*AD_tis!$BE31</f>
        <v>0</v>
      </c>
      <c r="AL31" s="4">
        <f>+AD_tis!AL31*AD_tis!AL$48*AD_tis!$BE31</f>
        <v>0</v>
      </c>
      <c r="AM31" s="13">
        <f>+AD_tis!AM31*AD_tis!AM$48*AD_tis!$BE31</f>
        <v>0</v>
      </c>
      <c r="AN31" s="4">
        <f>+AD_tis!AN31*AD_tis!AN$48*AD_tis!$BE31</f>
        <v>0</v>
      </c>
      <c r="AO31" s="4">
        <f>+AD_tis!AO31*AD_tis!AO$48*AD_tis!$BE31</f>
        <v>0</v>
      </c>
      <c r="AP31" s="4">
        <f>+AD_tis!AP31*AD_tis!AP$48*AD_tis!$BE31</f>
        <v>0</v>
      </c>
      <c r="AQ31" s="4">
        <f>+AD_tis!AQ31*AD_tis!AQ$48*AD_tis!$BE31</f>
        <v>0</v>
      </c>
      <c r="AR31" s="4">
        <f>+AD_tis!AR31*AD_tis!AR$48*AD_tis!$BE31</f>
        <v>0</v>
      </c>
      <c r="AS31" s="4">
        <f>+AD_tis!AS31*AD_tis!AS$48*AD_tis!$BE31</f>
        <v>0</v>
      </c>
      <c r="AT31" s="4">
        <f>+AD_tis!AT31*AD_tis!AT$48*AD_tis!$BE31</f>
        <v>0</v>
      </c>
      <c r="AU31" s="4">
        <f>+AD_tis!AU31*AD_tis!AU$48*AD_tis!$BE31</f>
        <v>0</v>
      </c>
      <c r="AV31" s="4">
        <f>+AD_tis!AV31*AD_tis!AV$48*AD_tis!$BE31</f>
        <v>0</v>
      </c>
      <c r="AW31" s="12">
        <f>+AD_tis!AW31*AD_tis!AW$48*AD_tis!$BE31</f>
        <v>0</v>
      </c>
      <c r="AX31" s="13">
        <f>+AD_tis!AX31*AD_tis!AX$48*AD_tis!$BE31</f>
        <v>0</v>
      </c>
      <c r="AY31" s="4">
        <f>+AD_tis!AY31*AD_tis!AY$48*AD_tis!$BE31</f>
        <v>0</v>
      </c>
      <c r="AZ31" s="4">
        <f>+AD_tis!AZ31*AD_tis!AZ$48*AD_tis!$BE31</f>
        <v>0</v>
      </c>
      <c r="BA31" s="12">
        <f>+AD_tis!BA31*AD_tis!BA$48*AD_tis!$BE31</f>
        <v>0</v>
      </c>
      <c r="BB31" s="4">
        <f>+AD_tis!BB31*AD_tis!BB$48*AD_tis!$BE31</f>
        <v>0</v>
      </c>
      <c r="BC31" s="13">
        <f>+AD_tis!BC31*AD_tis!BC$48*AD_tis!$BE31</f>
        <v>0</v>
      </c>
    </row>
    <row r="32" spans="1:55" ht="18.75" customHeight="1" x14ac:dyDescent="0.25">
      <c r="A32" s="5" t="s">
        <v>83</v>
      </c>
      <c r="B32" s="12">
        <f>+AD_tis!B32*AD_tis!B$48*AD_tis!$BE32</f>
        <v>0</v>
      </c>
      <c r="C32" s="4">
        <f>+AD_tis!C32*AD_tis!C$48*AD_tis!$BE32</f>
        <v>0</v>
      </c>
      <c r="D32" s="4">
        <f>+AD_tis!D32*AD_tis!D$48*AD_tis!$BE32</f>
        <v>0</v>
      </c>
      <c r="E32" s="4">
        <f>+AD_tis!E32*AD_tis!E$48*AD_tis!$BE32</f>
        <v>0</v>
      </c>
      <c r="F32" s="4">
        <f>+AD_tis!F32*AD_tis!F$48*AD_tis!$BE32</f>
        <v>0</v>
      </c>
      <c r="G32" s="4">
        <f>+AD_tis!G32*AD_tis!G$48*AD_tis!$BE32</f>
        <v>0</v>
      </c>
      <c r="H32" s="4">
        <f>+AD_tis!H32*AD_tis!H$48*AD_tis!$BE32</f>
        <v>0</v>
      </c>
      <c r="I32" s="4">
        <f>+AD_tis!I32*AD_tis!I$48*AD_tis!$BE32</f>
        <v>0</v>
      </c>
      <c r="J32" s="4">
        <f>+AD_tis!J32*AD_tis!J$48*AD_tis!$BE32</f>
        <v>0</v>
      </c>
      <c r="K32" s="4">
        <f>+AD_tis!K32*AD_tis!K$48*AD_tis!$BE32</f>
        <v>0</v>
      </c>
      <c r="L32" s="4">
        <f>+AD_tis!L32*AD_tis!L$48*AD_tis!$BE32</f>
        <v>0</v>
      </c>
      <c r="M32" s="4">
        <f>+AD_tis!M32*AD_tis!M$48*AD_tis!$BE32</f>
        <v>0</v>
      </c>
      <c r="N32" s="4">
        <f>+AD_tis!N32*AD_tis!N$48*AD_tis!$BE32</f>
        <v>0</v>
      </c>
      <c r="O32" s="4">
        <f>+AD_tis!O32*AD_tis!O$48*AD_tis!$BE32</f>
        <v>0</v>
      </c>
      <c r="P32" s="4">
        <f>+AD_tis!P32*AD_tis!P$48*AD_tis!$BE32</f>
        <v>0</v>
      </c>
      <c r="Q32" s="4">
        <f>+AD_tis!Q32*AD_tis!Q$48*AD_tis!$BE32</f>
        <v>0</v>
      </c>
      <c r="R32" s="13">
        <f>+AD_tis!R32*AD_tis!R$48*AD_tis!$BE32</f>
        <v>0</v>
      </c>
      <c r="S32" s="4">
        <f>+AD_tis!S32*AD_tis!S$48*AD_tis!$BE32</f>
        <v>0</v>
      </c>
      <c r="T32" s="4">
        <f>+AD_tis!T32*AD_tis!T$48*AD_tis!$BE32</f>
        <v>0</v>
      </c>
      <c r="U32" s="4">
        <f>+AD_tis!U32*AD_tis!U$48*AD_tis!$BE32</f>
        <v>0</v>
      </c>
      <c r="V32" s="4">
        <f>+AD_tis!V32*AD_tis!V$48*AD_tis!$BE32</f>
        <v>0</v>
      </c>
      <c r="W32" s="4">
        <f>+AD_tis!W32*AD_tis!W$48*AD_tis!$BE32</f>
        <v>0</v>
      </c>
      <c r="X32" s="4">
        <f>+AD_tis!X32*AD_tis!X$48*AD_tis!$BE32</f>
        <v>0</v>
      </c>
      <c r="Y32" s="4">
        <f>+AD_tis!Y32*AD_tis!Y$48*AD_tis!$BE32</f>
        <v>0</v>
      </c>
      <c r="Z32" s="4">
        <f>+AD_tis!Z32*AD_tis!Z$48*AD_tis!$BE32</f>
        <v>0</v>
      </c>
      <c r="AA32" s="4">
        <f>+AD_tis!AA32*AD_tis!AA$48*AD_tis!$BE32</f>
        <v>0</v>
      </c>
      <c r="AB32" s="4">
        <f>+AD_tis!AB32*AD_tis!AB$48*AD_tis!$BE32</f>
        <v>0</v>
      </c>
      <c r="AC32" s="12">
        <f>+AD_tis!AC32*AD_tis!AC$48*AD_tis!$BE32</f>
        <v>0</v>
      </c>
      <c r="AD32" s="4">
        <f>+AD_tis!AD32*AD_tis!AD$48*AD_tis!$BE32</f>
        <v>0</v>
      </c>
      <c r="AE32" s="4">
        <f>+AD_tis!AE32*AD_tis!AE$48*AD_tis!$BE32</f>
        <v>0</v>
      </c>
      <c r="AF32" s="4">
        <f>+AD_tis!AF32*AD_tis!AF$48*AD_tis!$BE32</f>
        <v>0</v>
      </c>
      <c r="AG32" s="4">
        <f>+AD_tis!AG32*AD_tis!AG$48*AD_tis!$BE32</f>
        <v>0</v>
      </c>
      <c r="AH32" s="4">
        <f>+AD_tis!AH32*AD_tis!AH$48*AD_tis!$BE32</f>
        <v>0</v>
      </c>
      <c r="AI32" s="4">
        <f>+AD_tis!AI32*AD_tis!AI$48*AD_tis!$BE32</f>
        <v>0</v>
      </c>
      <c r="AJ32" s="4">
        <f>+AD_tis!AJ32*AD_tis!AJ$48*AD_tis!$BE32</f>
        <v>0</v>
      </c>
      <c r="AK32" s="4">
        <f>+AD_tis!AK32*AD_tis!AK$48*AD_tis!$BE32</f>
        <v>0</v>
      </c>
      <c r="AL32" s="4">
        <f>+AD_tis!AL32*AD_tis!AL$48*AD_tis!$BE32</f>
        <v>0</v>
      </c>
      <c r="AM32" s="13">
        <f>+AD_tis!AM32*AD_tis!AM$48*AD_tis!$BE32</f>
        <v>0</v>
      </c>
      <c r="AN32" s="4">
        <f>+AD_tis!AN32*AD_tis!AN$48*AD_tis!$BE32</f>
        <v>0</v>
      </c>
      <c r="AO32" s="4">
        <f>+AD_tis!AO32*AD_tis!AO$48*AD_tis!$BE32</f>
        <v>0</v>
      </c>
      <c r="AP32" s="4">
        <f>+AD_tis!AP32*AD_tis!AP$48*AD_tis!$BE32</f>
        <v>0</v>
      </c>
      <c r="AQ32" s="4">
        <f>+AD_tis!AQ32*AD_tis!AQ$48*AD_tis!$BE32</f>
        <v>0</v>
      </c>
      <c r="AR32" s="4">
        <f>+AD_tis!AR32*AD_tis!AR$48*AD_tis!$BE32</f>
        <v>0</v>
      </c>
      <c r="AS32" s="4">
        <f>+AD_tis!AS32*AD_tis!AS$48*AD_tis!$BE32</f>
        <v>0</v>
      </c>
      <c r="AT32" s="4">
        <f>+AD_tis!AT32*AD_tis!AT$48*AD_tis!$BE32</f>
        <v>0</v>
      </c>
      <c r="AU32" s="4">
        <f>+AD_tis!AU32*AD_tis!AU$48*AD_tis!$BE32</f>
        <v>0</v>
      </c>
      <c r="AV32" s="4">
        <f>+AD_tis!AV32*AD_tis!AV$48*AD_tis!$BE32</f>
        <v>0</v>
      </c>
      <c r="AW32" s="12">
        <f>+AD_tis!AW32*AD_tis!AW$48*AD_tis!$BE32</f>
        <v>0</v>
      </c>
      <c r="AX32" s="13">
        <f>+AD_tis!AX32*AD_tis!AX$48*AD_tis!$BE32</f>
        <v>0</v>
      </c>
      <c r="AY32" s="4">
        <f>+AD_tis!AY32*AD_tis!AY$48*AD_tis!$BE32</f>
        <v>0</v>
      </c>
      <c r="AZ32" s="4">
        <f>+AD_tis!AZ32*AD_tis!AZ$48*AD_tis!$BE32</f>
        <v>0</v>
      </c>
      <c r="BA32" s="12">
        <f>+AD_tis!BA32*AD_tis!BA$48*AD_tis!$BE32</f>
        <v>0</v>
      </c>
      <c r="BB32" s="4">
        <f>+AD_tis!BB32*AD_tis!BB$48*AD_tis!$BE32</f>
        <v>0</v>
      </c>
      <c r="BC32" s="13">
        <f>+AD_tis!BC32*AD_tis!BC$48*AD_tis!$BE32</f>
        <v>0</v>
      </c>
    </row>
    <row r="33" spans="1:55" ht="18.75" customHeight="1" x14ac:dyDescent="0.25">
      <c r="A33" s="5" t="s">
        <v>84</v>
      </c>
      <c r="B33" s="12">
        <f>+AD_tis!B33*AD_tis!B$48*AD_tis!$BE33</f>
        <v>0</v>
      </c>
      <c r="C33" s="4">
        <f>+AD_tis!C33*AD_tis!C$48*AD_tis!$BE33</f>
        <v>0</v>
      </c>
      <c r="D33" s="4">
        <f>+AD_tis!D33*AD_tis!D$48*AD_tis!$BE33</f>
        <v>0</v>
      </c>
      <c r="E33" s="4">
        <f>+AD_tis!E33*AD_tis!E$48*AD_tis!$BE33</f>
        <v>0</v>
      </c>
      <c r="F33" s="4">
        <f>+AD_tis!F33*AD_tis!F$48*AD_tis!$BE33</f>
        <v>0</v>
      </c>
      <c r="G33" s="4">
        <f>+AD_tis!G33*AD_tis!G$48*AD_tis!$BE33</f>
        <v>0</v>
      </c>
      <c r="H33" s="4">
        <f>+AD_tis!H33*AD_tis!H$48*AD_tis!$BE33</f>
        <v>0</v>
      </c>
      <c r="I33" s="4">
        <f>+AD_tis!I33*AD_tis!I$48*AD_tis!$BE33</f>
        <v>0</v>
      </c>
      <c r="J33" s="4">
        <f>+AD_tis!J33*AD_tis!J$48*AD_tis!$BE33</f>
        <v>0</v>
      </c>
      <c r="K33" s="4">
        <f>+AD_tis!K33*AD_tis!K$48*AD_tis!$BE33</f>
        <v>0</v>
      </c>
      <c r="L33" s="4">
        <f>+AD_tis!L33*AD_tis!L$48*AD_tis!$BE33</f>
        <v>0</v>
      </c>
      <c r="M33" s="4">
        <f>+AD_tis!M33*AD_tis!M$48*AD_tis!$BE33</f>
        <v>0</v>
      </c>
      <c r="N33" s="4">
        <f>+AD_tis!N33*AD_tis!N$48*AD_tis!$BE33</f>
        <v>0</v>
      </c>
      <c r="O33" s="4">
        <f>+AD_tis!O33*AD_tis!O$48*AD_tis!$BE33</f>
        <v>0</v>
      </c>
      <c r="P33" s="4">
        <f>+AD_tis!P33*AD_tis!P$48*AD_tis!$BE33</f>
        <v>0</v>
      </c>
      <c r="Q33" s="4">
        <f>+AD_tis!Q33*AD_tis!Q$48*AD_tis!$BE33</f>
        <v>0</v>
      </c>
      <c r="R33" s="13">
        <f>+AD_tis!R33*AD_tis!R$48*AD_tis!$BE33</f>
        <v>0</v>
      </c>
      <c r="S33" s="4">
        <f>+AD_tis!S33*AD_tis!S$48*AD_tis!$BE33</f>
        <v>0</v>
      </c>
      <c r="T33" s="4">
        <f>+AD_tis!T33*AD_tis!T$48*AD_tis!$BE33</f>
        <v>0</v>
      </c>
      <c r="U33" s="4">
        <f>+AD_tis!U33*AD_tis!U$48*AD_tis!$BE33</f>
        <v>0</v>
      </c>
      <c r="V33" s="4">
        <f>+AD_tis!V33*AD_tis!V$48*AD_tis!$BE33</f>
        <v>0</v>
      </c>
      <c r="W33" s="4">
        <f>+AD_tis!W33*AD_tis!W$48*AD_tis!$BE33</f>
        <v>0</v>
      </c>
      <c r="X33" s="4">
        <f>+AD_tis!X33*AD_tis!X$48*AD_tis!$BE33</f>
        <v>0</v>
      </c>
      <c r="Y33" s="4">
        <f>+AD_tis!Y33*AD_tis!Y$48*AD_tis!$BE33</f>
        <v>0</v>
      </c>
      <c r="Z33" s="4">
        <f>+AD_tis!Z33*AD_tis!Z$48*AD_tis!$BE33</f>
        <v>0</v>
      </c>
      <c r="AA33" s="4">
        <f>+AD_tis!AA33*AD_tis!AA$48*AD_tis!$BE33</f>
        <v>0</v>
      </c>
      <c r="AB33" s="4">
        <f>+AD_tis!AB33*AD_tis!AB$48*AD_tis!$BE33</f>
        <v>0</v>
      </c>
      <c r="AC33" s="12">
        <f>+AD_tis!AC33*AD_tis!AC$48*AD_tis!$BE33</f>
        <v>0</v>
      </c>
      <c r="AD33" s="4">
        <f>+AD_tis!AD33*AD_tis!AD$48*AD_tis!$BE33</f>
        <v>0</v>
      </c>
      <c r="AE33" s="4">
        <f>+AD_tis!AE33*AD_tis!AE$48*AD_tis!$BE33</f>
        <v>0</v>
      </c>
      <c r="AF33" s="4">
        <f>+AD_tis!AF33*AD_tis!AF$48*AD_tis!$BE33</f>
        <v>0</v>
      </c>
      <c r="AG33" s="4">
        <f>+AD_tis!AG33*AD_tis!AG$48*AD_tis!$BE33</f>
        <v>0</v>
      </c>
      <c r="AH33" s="4">
        <f>+AD_tis!AH33*AD_tis!AH$48*AD_tis!$BE33</f>
        <v>0</v>
      </c>
      <c r="AI33" s="4">
        <f>+AD_tis!AI33*AD_tis!AI$48*AD_tis!$BE33</f>
        <v>0</v>
      </c>
      <c r="AJ33" s="4">
        <f>+AD_tis!AJ33*AD_tis!AJ$48*AD_tis!$BE33</f>
        <v>0</v>
      </c>
      <c r="AK33" s="4">
        <f>+AD_tis!AK33*AD_tis!AK$48*AD_tis!$BE33</f>
        <v>0</v>
      </c>
      <c r="AL33" s="4">
        <f>+AD_tis!AL33*AD_tis!AL$48*AD_tis!$BE33</f>
        <v>0</v>
      </c>
      <c r="AM33" s="13">
        <f>+AD_tis!AM33*AD_tis!AM$48*AD_tis!$BE33</f>
        <v>0</v>
      </c>
      <c r="AN33" s="4">
        <f>+AD_tis!AN33*AD_tis!AN$48*AD_tis!$BE33</f>
        <v>0</v>
      </c>
      <c r="AO33" s="4">
        <f>+AD_tis!AO33*AD_tis!AO$48*AD_tis!$BE33</f>
        <v>0</v>
      </c>
      <c r="AP33" s="4">
        <f>+AD_tis!AP33*AD_tis!AP$48*AD_tis!$BE33</f>
        <v>0</v>
      </c>
      <c r="AQ33" s="4">
        <f>+AD_tis!AQ33*AD_tis!AQ$48*AD_tis!$BE33</f>
        <v>0</v>
      </c>
      <c r="AR33" s="4">
        <f>+AD_tis!AR33*AD_tis!AR$48*AD_tis!$BE33</f>
        <v>0</v>
      </c>
      <c r="AS33" s="4">
        <f>+AD_tis!AS33*AD_tis!AS$48*AD_tis!$BE33</f>
        <v>0</v>
      </c>
      <c r="AT33" s="4">
        <f>+AD_tis!AT33*AD_tis!AT$48*AD_tis!$BE33</f>
        <v>0</v>
      </c>
      <c r="AU33" s="4">
        <f>+AD_tis!AU33*AD_tis!AU$48*AD_tis!$BE33</f>
        <v>0</v>
      </c>
      <c r="AV33" s="4">
        <f>+AD_tis!AV33*AD_tis!AV$48*AD_tis!$BE33</f>
        <v>0</v>
      </c>
      <c r="AW33" s="12">
        <f>+AD_tis!AW33*AD_tis!AW$48*AD_tis!$BE33</f>
        <v>0</v>
      </c>
      <c r="AX33" s="13">
        <f>+AD_tis!AX33*AD_tis!AX$48*AD_tis!$BE33</f>
        <v>0</v>
      </c>
      <c r="AY33" s="4">
        <f>+AD_tis!AY33*AD_tis!AY$48*AD_tis!$BE33</f>
        <v>0</v>
      </c>
      <c r="AZ33" s="4">
        <f>+AD_tis!AZ33*AD_tis!AZ$48*AD_tis!$BE33</f>
        <v>0</v>
      </c>
      <c r="BA33" s="12">
        <f>+AD_tis!BA33*AD_tis!BA$48*AD_tis!$BE33</f>
        <v>0</v>
      </c>
      <c r="BB33" s="4">
        <f>+AD_tis!BB33*AD_tis!BB$48*AD_tis!$BE33</f>
        <v>0</v>
      </c>
      <c r="BC33" s="13">
        <f>+AD_tis!BC33*AD_tis!BC$48*AD_tis!$BE33</f>
        <v>0</v>
      </c>
    </row>
    <row r="34" spans="1:55" ht="18.75" customHeight="1" x14ac:dyDescent="0.25">
      <c r="A34" s="5" t="s">
        <v>85</v>
      </c>
      <c r="B34" s="12">
        <f>+AD_tis!B34*AD_tis!B$48*AD_tis!$BE34</f>
        <v>0</v>
      </c>
      <c r="C34" s="4">
        <f>+AD_tis!C34*AD_tis!C$48*AD_tis!$BE34</f>
        <v>0</v>
      </c>
      <c r="D34" s="4">
        <f>+AD_tis!D34*AD_tis!D$48*AD_tis!$BE34</f>
        <v>0</v>
      </c>
      <c r="E34" s="4">
        <f>+AD_tis!E34*AD_tis!E$48*AD_tis!$BE34</f>
        <v>0</v>
      </c>
      <c r="F34" s="4">
        <f>+AD_tis!F34*AD_tis!F$48*AD_tis!$BE34</f>
        <v>0</v>
      </c>
      <c r="G34" s="4">
        <f>+AD_tis!G34*AD_tis!G$48*AD_tis!$BE34</f>
        <v>0</v>
      </c>
      <c r="H34" s="4">
        <f>+AD_tis!H34*AD_tis!H$48*AD_tis!$BE34</f>
        <v>0</v>
      </c>
      <c r="I34" s="4">
        <f>+AD_tis!I34*AD_tis!I$48*AD_tis!$BE34</f>
        <v>0</v>
      </c>
      <c r="J34" s="4">
        <f>+AD_tis!J34*AD_tis!J$48*AD_tis!$BE34</f>
        <v>0</v>
      </c>
      <c r="K34" s="4">
        <f>+AD_tis!K34*AD_tis!K$48*AD_tis!$BE34</f>
        <v>0</v>
      </c>
      <c r="L34" s="4">
        <f>+AD_tis!L34*AD_tis!L$48*AD_tis!$BE34</f>
        <v>0</v>
      </c>
      <c r="M34" s="4">
        <f>+AD_tis!M34*AD_tis!M$48*AD_tis!$BE34</f>
        <v>0</v>
      </c>
      <c r="N34" s="4">
        <f>+AD_tis!N34*AD_tis!N$48*AD_tis!$BE34</f>
        <v>0</v>
      </c>
      <c r="O34" s="4">
        <f>+AD_tis!O34*AD_tis!O$48*AD_tis!$BE34</f>
        <v>0</v>
      </c>
      <c r="P34" s="4">
        <f>+AD_tis!P34*AD_tis!P$48*AD_tis!$BE34</f>
        <v>0</v>
      </c>
      <c r="Q34" s="4">
        <f>+AD_tis!Q34*AD_tis!Q$48*AD_tis!$BE34</f>
        <v>0</v>
      </c>
      <c r="R34" s="13">
        <f>+AD_tis!R34*AD_tis!R$48*AD_tis!$BE34</f>
        <v>0</v>
      </c>
      <c r="S34" s="4">
        <f>+AD_tis!S34*AD_tis!S$48*AD_tis!$BE34</f>
        <v>0</v>
      </c>
      <c r="T34" s="4">
        <f>+AD_tis!T34*AD_tis!T$48*AD_tis!$BE34</f>
        <v>0</v>
      </c>
      <c r="U34" s="4">
        <f>+AD_tis!U34*AD_tis!U$48*AD_tis!$BE34</f>
        <v>1</v>
      </c>
      <c r="V34" s="4">
        <f>+AD_tis!V34*AD_tis!V$48*AD_tis!$BE34</f>
        <v>0</v>
      </c>
      <c r="W34" s="4">
        <f>+AD_tis!W34*AD_tis!W$48*AD_tis!$BE34</f>
        <v>0</v>
      </c>
      <c r="X34" s="4">
        <f>+AD_tis!X34*AD_tis!X$48*AD_tis!$BE34</f>
        <v>0</v>
      </c>
      <c r="Y34" s="4">
        <f>+AD_tis!Y34*AD_tis!Y$48*AD_tis!$BE34</f>
        <v>0</v>
      </c>
      <c r="Z34" s="4">
        <f>+AD_tis!Z34*AD_tis!Z$48*AD_tis!$BE34</f>
        <v>0</v>
      </c>
      <c r="AA34" s="4">
        <f>+AD_tis!AA34*AD_tis!AA$48*AD_tis!$BE34</f>
        <v>0</v>
      </c>
      <c r="AB34" s="4">
        <f>+AD_tis!AB34*AD_tis!AB$48*AD_tis!$BE34</f>
        <v>0</v>
      </c>
      <c r="AC34" s="12">
        <f>+AD_tis!AC34*AD_tis!AC$48*AD_tis!$BE34</f>
        <v>0</v>
      </c>
      <c r="AD34" s="4">
        <f>+AD_tis!AD34*AD_tis!AD$48*AD_tis!$BE34</f>
        <v>0</v>
      </c>
      <c r="AE34" s="4">
        <f>+AD_tis!AE34*AD_tis!AE$48*AD_tis!$BE34</f>
        <v>0</v>
      </c>
      <c r="AF34" s="4">
        <f>+AD_tis!AF34*AD_tis!AF$48*AD_tis!$BE34</f>
        <v>0</v>
      </c>
      <c r="AG34" s="4">
        <f>+AD_tis!AG34*AD_tis!AG$48*AD_tis!$BE34</f>
        <v>0</v>
      </c>
      <c r="AH34" s="4">
        <f>+AD_tis!AH34*AD_tis!AH$48*AD_tis!$BE34</f>
        <v>0</v>
      </c>
      <c r="AI34" s="4">
        <f>+AD_tis!AI34*AD_tis!AI$48*AD_tis!$BE34</f>
        <v>0</v>
      </c>
      <c r="AJ34" s="4">
        <f>+AD_tis!AJ34*AD_tis!AJ$48*AD_tis!$BE34</f>
        <v>0</v>
      </c>
      <c r="AK34" s="4">
        <f>+AD_tis!AK34*AD_tis!AK$48*AD_tis!$BE34</f>
        <v>0</v>
      </c>
      <c r="AL34" s="4">
        <f>+AD_tis!AL34*AD_tis!AL$48*AD_tis!$BE34</f>
        <v>0</v>
      </c>
      <c r="AM34" s="13">
        <f>+AD_tis!AM34*AD_tis!AM$48*AD_tis!$BE34</f>
        <v>0</v>
      </c>
      <c r="AN34" s="4">
        <f>+AD_tis!AN34*AD_tis!AN$48*AD_tis!$BE34</f>
        <v>0</v>
      </c>
      <c r="AO34" s="4">
        <f>+AD_tis!AO34*AD_tis!AO$48*AD_tis!$BE34</f>
        <v>0</v>
      </c>
      <c r="AP34" s="4">
        <f>+AD_tis!AP34*AD_tis!AP$48*AD_tis!$BE34</f>
        <v>0</v>
      </c>
      <c r="AQ34" s="4">
        <f>+AD_tis!AQ34*AD_tis!AQ$48*AD_tis!$BE34</f>
        <v>0</v>
      </c>
      <c r="AR34" s="4">
        <f>+AD_tis!AR34*AD_tis!AR$48*AD_tis!$BE34</f>
        <v>0</v>
      </c>
      <c r="AS34" s="4">
        <f>+AD_tis!AS34*AD_tis!AS$48*AD_tis!$BE34</f>
        <v>0</v>
      </c>
      <c r="AT34" s="4">
        <f>+AD_tis!AT34*AD_tis!AT$48*AD_tis!$BE34</f>
        <v>0</v>
      </c>
      <c r="AU34" s="4">
        <f>+AD_tis!AU34*AD_tis!AU$48*AD_tis!$BE34</f>
        <v>0</v>
      </c>
      <c r="AV34" s="4">
        <f>+AD_tis!AV34*AD_tis!AV$48*AD_tis!$BE34</f>
        <v>0</v>
      </c>
      <c r="AW34" s="12">
        <f>+AD_tis!AW34*AD_tis!AW$48*AD_tis!$BE34</f>
        <v>0</v>
      </c>
      <c r="AX34" s="13">
        <f>+AD_tis!AX34*AD_tis!AX$48*AD_tis!$BE34</f>
        <v>0</v>
      </c>
      <c r="AY34" s="4">
        <f>+AD_tis!AY34*AD_tis!AY$48*AD_tis!$BE34</f>
        <v>0</v>
      </c>
      <c r="AZ34" s="4">
        <f>+AD_tis!AZ34*AD_tis!AZ$48*AD_tis!$BE34</f>
        <v>0</v>
      </c>
      <c r="BA34" s="12">
        <f>+AD_tis!BA34*AD_tis!BA$48*AD_tis!$BE34</f>
        <v>0</v>
      </c>
      <c r="BB34" s="4">
        <f>+AD_tis!BB34*AD_tis!BB$48*AD_tis!$BE34</f>
        <v>0</v>
      </c>
      <c r="BC34" s="13">
        <f>+AD_tis!BC34*AD_tis!BC$48*AD_tis!$BE34</f>
        <v>0</v>
      </c>
    </row>
    <row r="35" spans="1:55" ht="18.75" customHeight="1" x14ac:dyDescent="0.25">
      <c r="A35" s="5" t="s">
        <v>86</v>
      </c>
      <c r="B35" s="12">
        <f>+AD_tis!B35*AD_tis!B$48*AD_tis!$BE35</f>
        <v>0</v>
      </c>
      <c r="C35" s="4">
        <f>+AD_tis!C35*AD_tis!C$48*AD_tis!$BE35</f>
        <v>0</v>
      </c>
      <c r="D35" s="4">
        <f>+AD_tis!D35*AD_tis!D$48*AD_tis!$BE35</f>
        <v>0</v>
      </c>
      <c r="E35" s="4">
        <f>+AD_tis!E35*AD_tis!E$48*AD_tis!$BE35</f>
        <v>0</v>
      </c>
      <c r="F35" s="4">
        <f>+AD_tis!F35*AD_tis!F$48*AD_tis!$BE35</f>
        <v>0</v>
      </c>
      <c r="G35" s="4">
        <f>+AD_tis!G35*AD_tis!G$48*AD_tis!$BE35</f>
        <v>0</v>
      </c>
      <c r="H35" s="4">
        <f>+AD_tis!H35*AD_tis!H$48*AD_tis!$BE35</f>
        <v>0</v>
      </c>
      <c r="I35" s="4">
        <f>+AD_tis!I35*AD_tis!I$48*AD_tis!$BE35</f>
        <v>0</v>
      </c>
      <c r="J35" s="4">
        <f>+AD_tis!J35*AD_tis!J$48*AD_tis!$BE35</f>
        <v>0</v>
      </c>
      <c r="K35" s="4">
        <f>+AD_tis!K35*AD_tis!K$48*AD_tis!$BE35</f>
        <v>1</v>
      </c>
      <c r="L35" s="4">
        <f>+AD_tis!L35*AD_tis!L$48*AD_tis!$BE35</f>
        <v>0</v>
      </c>
      <c r="M35" s="4">
        <f>+AD_tis!M35*AD_tis!M$48*AD_tis!$BE35</f>
        <v>0</v>
      </c>
      <c r="N35" s="4">
        <f>+AD_tis!N35*AD_tis!N$48*AD_tis!$BE35</f>
        <v>0</v>
      </c>
      <c r="O35" s="4">
        <f>+AD_tis!O35*AD_tis!O$48*AD_tis!$BE35</f>
        <v>0</v>
      </c>
      <c r="P35" s="4">
        <f>+AD_tis!P35*AD_tis!P$48*AD_tis!$BE35</f>
        <v>0</v>
      </c>
      <c r="Q35" s="4">
        <f>+AD_tis!Q35*AD_tis!Q$48*AD_tis!$BE35</f>
        <v>0</v>
      </c>
      <c r="R35" s="13">
        <f>+AD_tis!R35*AD_tis!R$48*AD_tis!$BE35</f>
        <v>0</v>
      </c>
      <c r="S35" s="4">
        <f>+AD_tis!S35*AD_tis!S$48*AD_tis!$BE35</f>
        <v>0</v>
      </c>
      <c r="T35" s="4">
        <f>+AD_tis!T35*AD_tis!T$48*AD_tis!$BE35</f>
        <v>0</v>
      </c>
      <c r="U35" s="4">
        <f>+AD_tis!U35*AD_tis!U$48*AD_tis!$BE35</f>
        <v>0</v>
      </c>
      <c r="V35" s="4">
        <f>+AD_tis!V35*AD_tis!V$48*AD_tis!$BE35</f>
        <v>0</v>
      </c>
      <c r="W35" s="4">
        <f>+AD_tis!W35*AD_tis!W$48*AD_tis!$BE35</f>
        <v>0</v>
      </c>
      <c r="X35" s="4">
        <f>+AD_tis!X35*AD_tis!X$48*AD_tis!$BE35</f>
        <v>0</v>
      </c>
      <c r="Y35" s="4">
        <f>+AD_tis!Y35*AD_tis!Y$48*AD_tis!$BE35</f>
        <v>0</v>
      </c>
      <c r="Z35" s="4">
        <f>+AD_tis!Z35*AD_tis!Z$48*AD_tis!$BE35</f>
        <v>0</v>
      </c>
      <c r="AA35" s="4">
        <f>+AD_tis!AA35*AD_tis!AA$48*AD_tis!$BE35</f>
        <v>0</v>
      </c>
      <c r="AB35" s="4">
        <f>+AD_tis!AB35*AD_tis!AB$48*AD_tis!$BE35</f>
        <v>0</v>
      </c>
      <c r="AC35" s="12">
        <f>+AD_tis!AC35*AD_tis!AC$48*AD_tis!$BE35</f>
        <v>0</v>
      </c>
      <c r="AD35" s="4">
        <f>+AD_tis!AD35*AD_tis!AD$48*AD_tis!$BE35</f>
        <v>0</v>
      </c>
      <c r="AE35" s="4">
        <f>+AD_tis!AE35*AD_tis!AE$48*AD_tis!$BE35</f>
        <v>0</v>
      </c>
      <c r="AF35" s="4">
        <f>+AD_tis!AF35*AD_tis!AF$48*AD_tis!$BE35</f>
        <v>0</v>
      </c>
      <c r="AG35" s="4">
        <f>+AD_tis!AG35*AD_tis!AG$48*AD_tis!$BE35</f>
        <v>0</v>
      </c>
      <c r="AH35" s="4">
        <f>+AD_tis!AH35*AD_tis!AH$48*AD_tis!$BE35</f>
        <v>0</v>
      </c>
      <c r="AI35" s="4">
        <f>+AD_tis!AI35*AD_tis!AI$48*AD_tis!$BE35</f>
        <v>0</v>
      </c>
      <c r="AJ35" s="4">
        <f>+AD_tis!AJ35*AD_tis!AJ$48*AD_tis!$BE35</f>
        <v>0</v>
      </c>
      <c r="AK35" s="4">
        <f>+AD_tis!AK35*AD_tis!AK$48*AD_tis!$BE35</f>
        <v>0</v>
      </c>
      <c r="AL35" s="4">
        <f>+AD_tis!AL35*AD_tis!AL$48*AD_tis!$BE35</f>
        <v>0</v>
      </c>
      <c r="AM35" s="13">
        <f>+AD_tis!AM35*AD_tis!AM$48*AD_tis!$BE35</f>
        <v>0</v>
      </c>
      <c r="AN35" s="4">
        <f>+AD_tis!AN35*AD_tis!AN$48*AD_tis!$BE35</f>
        <v>0</v>
      </c>
      <c r="AO35" s="4">
        <f>+AD_tis!AO35*AD_tis!AO$48*AD_tis!$BE35</f>
        <v>0</v>
      </c>
      <c r="AP35" s="4">
        <f>+AD_tis!AP35*AD_tis!AP$48*AD_tis!$BE35</f>
        <v>0</v>
      </c>
      <c r="AQ35" s="4">
        <f>+AD_tis!AQ35*AD_tis!AQ$48*AD_tis!$BE35</f>
        <v>0</v>
      </c>
      <c r="AR35" s="4">
        <f>+AD_tis!AR35*AD_tis!AR$48*AD_tis!$BE35</f>
        <v>0</v>
      </c>
      <c r="AS35" s="4">
        <f>+AD_tis!AS35*AD_tis!AS$48*AD_tis!$BE35</f>
        <v>0</v>
      </c>
      <c r="AT35" s="4">
        <f>+AD_tis!AT35*AD_tis!AT$48*AD_tis!$BE35</f>
        <v>0</v>
      </c>
      <c r="AU35" s="4">
        <f>+AD_tis!AU35*AD_tis!AU$48*AD_tis!$BE35</f>
        <v>0</v>
      </c>
      <c r="AV35" s="4">
        <f>+AD_tis!AV35*AD_tis!AV$48*AD_tis!$BE35</f>
        <v>0</v>
      </c>
      <c r="AW35" s="12">
        <f>+AD_tis!AW35*AD_tis!AW$48*AD_tis!$BE35</f>
        <v>0</v>
      </c>
      <c r="AX35" s="13">
        <f>+AD_tis!AX35*AD_tis!AX$48*AD_tis!$BE35</f>
        <v>0</v>
      </c>
      <c r="AY35" s="4">
        <f>+AD_tis!AY35*AD_tis!AY$48*AD_tis!$BE35</f>
        <v>0</v>
      </c>
      <c r="AZ35" s="4">
        <f>+AD_tis!AZ35*AD_tis!AZ$48*AD_tis!$BE35</f>
        <v>0</v>
      </c>
      <c r="BA35" s="12">
        <f>+AD_tis!BA35*AD_tis!BA$48*AD_tis!$BE35</f>
        <v>0</v>
      </c>
      <c r="BB35" s="4">
        <f>+AD_tis!BB35*AD_tis!BB$48*AD_tis!$BE35</f>
        <v>0</v>
      </c>
      <c r="BC35" s="13">
        <f>+AD_tis!BC35*AD_tis!BC$48*AD_tis!$BE35</f>
        <v>0</v>
      </c>
    </row>
    <row r="36" spans="1:55" ht="18.75" customHeight="1" x14ac:dyDescent="0.25">
      <c r="A36" s="5" t="s">
        <v>87</v>
      </c>
      <c r="B36" s="12">
        <f>+AD_tis!B36*AD_tis!B$48*AD_tis!$BE36</f>
        <v>0</v>
      </c>
      <c r="C36" s="4">
        <f>+AD_tis!C36*AD_tis!C$48*AD_tis!$BE36</f>
        <v>0</v>
      </c>
      <c r="D36" s="4">
        <f>+AD_tis!D36*AD_tis!D$48*AD_tis!$BE36</f>
        <v>0</v>
      </c>
      <c r="E36" s="4">
        <f>+AD_tis!E36*AD_tis!E$48*AD_tis!$BE36</f>
        <v>0</v>
      </c>
      <c r="F36" s="4">
        <f>+AD_tis!F36*AD_tis!F$48*AD_tis!$BE36</f>
        <v>0</v>
      </c>
      <c r="G36" s="4">
        <f>+AD_tis!G36*AD_tis!G$48*AD_tis!$BE36</f>
        <v>0</v>
      </c>
      <c r="H36" s="4">
        <f>+AD_tis!H36*AD_tis!H$48*AD_tis!$BE36</f>
        <v>0</v>
      </c>
      <c r="I36" s="4">
        <f>+AD_tis!I36*AD_tis!I$48*AD_tis!$BE36</f>
        <v>0</v>
      </c>
      <c r="J36" s="4">
        <f>+AD_tis!J36*AD_tis!J$48*AD_tis!$BE36</f>
        <v>0</v>
      </c>
      <c r="K36" s="4">
        <f>+AD_tis!K36*AD_tis!K$48*AD_tis!$BE36</f>
        <v>0</v>
      </c>
      <c r="L36" s="4">
        <f>+AD_tis!L36*AD_tis!L$48*AD_tis!$BE36</f>
        <v>0</v>
      </c>
      <c r="M36" s="4">
        <f>+AD_tis!M36*AD_tis!M$48*AD_tis!$BE36</f>
        <v>0</v>
      </c>
      <c r="N36" s="4">
        <f>+AD_tis!N36*AD_tis!N$48*AD_tis!$BE36</f>
        <v>0</v>
      </c>
      <c r="O36" s="4">
        <f>+AD_tis!O36*AD_tis!O$48*AD_tis!$BE36</f>
        <v>0</v>
      </c>
      <c r="P36" s="4">
        <f>+AD_tis!P36*AD_tis!P$48*AD_tis!$BE36</f>
        <v>0</v>
      </c>
      <c r="Q36" s="4">
        <f>+AD_tis!Q36*AD_tis!Q$48*AD_tis!$BE36</f>
        <v>0</v>
      </c>
      <c r="R36" s="13">
        <f>+AD_tis!R36*AD_tis!R$48*AD_tis!$BE36</f>
        <v>0</v>
      </c>
      <c r="S36" s="4">
        <f>+AD_tis!S36*AD_tis!S$48*AD_tis!$BE36</f>
        <v>0</v>
      </c>
      <c r="T36" s="4">
        <f>+AD_tis!T36*AD_tis!T$48*AD_tis!$BE36</f>
        <v>0</v>
      </c>
      <c r="U36" s="4">
        <f>+AD_tis!U36*AD_tis!U$48*AD_tis!$BE36</f>
        <v>0</v>
      </c>
      <c r="V36" s="4">
        <f>+AD_tis!V36*AD_tis!V$48*AD_tis!$BE36</f>
        <v>0</v>
      </c>
      <c r="W36" s="4">
        <f>+AD_tis!W36*AD_tis!W$48*AD_tis!$BE36</f>
        <v>0</v>
      </c>
      <c r="X36" s="4">
        <f>+AD_tis!X36*AD_tis!X$48*AD_tis!$BE36</f>
        <v>0</v>
      </c>
      <c r="Y36" s="4">
        <f>+AD_tis!Y36*AD_tis!Y$48*AD_tis!$BE36</f>
        <v>0</v>
      </c>
      <c r="Z36" s="4">
        <f>+AD_tis!Z36*AD_tis!Z$48*AD_tis!$BE36</f>
        <v>0</v>
      </c>
      <c r="AA36" s="4">
        <f>+AD_tis!AA36*AD_tis!AA$48*AD_tis!$BE36</f>
        <v>0</v>
      </c>
      <c r="AB36" s="4">
        <f>+AD_tis!AB36*AD_tis!AB$48*AD_tis!$BE36</f>
        <v>0</v>
      </c>
      <c r="AC36" s="12">
        <f>+AD_tis!AC36*AD_tis!AC$48*AD_tis!$BE36</f>
        <v>0</v>
      </c>
      <c r="AD36" s="4">
        <f>+AD_tis!AD36*AD_tis!AD$48*AD_tis!$BE36</f>
        <v>0</v>
      </c>
      <c r="AE36" s="4">
        <f>+AD_tis!AE36*AD_tis!AE$48*AD_tis!$BE36</f>
        <v>0</v>
      </c>
      <c r="AF36" s="4">
        <f>+AD_tis!AF36*AD_tis!AF$48*AD_tis!$BE36</f>
        <v>0</v>
      </c>
      <c r="AG36" s="4">
        <f>+AD_tis!AG36*AD_tis!AG$48*AD_tis!$BE36</f>
        <v>0</v>
      </c>
      <c r="AH36" s="4">
        <f>+AD_tis!AH36*AD_tis!AH$48*AD_tis!$BE36</f>
        <v>0</v>
      </c>
      <c r="AI36" s="4">
        <f>+AD_tis!AI36*AD_tis!AI$48*AD_tis!$BE36</f>
        <v>0</v>
      </c>
      <c r="AJ36" s="4">
        <f>+AD_tis!AJ36*AD_tis!AJ$48*AD_tis!$BE36</f>
        <v>0</v>
      </c>
      <c r="AK36" s="4">
        <f>+AD_tis!AK36*AD_tis!AK$48*AD_tis!$BE36</f>
        <v>0</v>
      </c>
      <c r="AL36" s="4">
        <f>+AD_tis!AL36*AD_tis!AL$48*AD_tis!$BE36</f>
        <v>0</v>
      </c>
      <c r="AM36" s="13">
        <f>+AD_tis!AM36*AD_tis!AM$48*AD_tis!$BE36</f>
        <v>0</v>
      </c>
      <c r="AN36" s="4">
        <f>+AD_tis!AN36*AD_tis!AN$48*AD_tis!$BE36</f>
        <v>0</v>
      </c>
      <c r="AO36" s="4">
        <f>+AD_tis!AO36*AD_tis!AO$48*AD_tis!$BE36</f>
        <v>0</v>
      </c>
      <c r="AP36" s="4">
        <f>+AD_tis!AP36*AD_tis!AP$48*AD_tis!$BE36</f>
        <v>0</v>
      </c>
      <c r="AQ36" s="4">
        <f>+AD_tis!AQ36*AD_tis!AQ$48*AD_tis!$BE36</f>
        <v>0</v>
      </c>
      <c r="AR36" s="4">
        <f>+AD_tis!AR36*AD_tis!AR$48*AD_tis!$BE36</f>
        <v>0</v>
      </c>
      <c r="AS36" s="4">
        <f>+AD_tis!AS36*AD_tis!AS$48*AD_tis!$BE36</f>
        <v>0</v>
      </c>
      <c r="AT36" s="4">
        <f>+AD_tis!AT36*AD_tis!AT$48*AD_tis!$BE36</f>
        <v>0</v>
      </c>
      <c r="AU36" s="4">
        <f>+AD_tis!AU36*AD_tis!AU$48*AD_tis!$BE36</f>
        <v>0</v>
      </c>
      <c r="AV36" s="4">
        <f>+AD_tis!AV36*AD_tis!AV$48*AD_tis!$BE36</f>
        <v>0</v>
      </c>
      <c r="AW36" s="12">
        <f>+AD_tis!AW36*AD_tis!AW$48*AD_tis!$BE36</f>
        <v>0</v>
      </c>
      <c r="AX36" s="13">
        <f>+AD_tis!AX36*AD_tis!AX$48*AD_tis!$BE36</f>
        <v>0</v>
      </c>
      <c r="AY36" s="4">
        <f>+AD_tis!AY36*AD_tis!AY$48*AD_tis!$BE36</f>
        <v>0</v>
      </c>
      <c r="AZ36" s="4">
        <f>+AD_tis!AZ36*AD_tis!AZ$48*AD_tis!$BE36</f>
        <v>0</v>
      </c>
      <c r="BA36" s="12">
        <f>+AD_tis!BA36*AD_tis!BA$48*AD_tis!$BE36</f>
        <v>0</v>
      </c>
      <c r="BB36" s="4">
        <f>+AD_tis!BB36*AD_tis!BB$48*AD_tis!$BE36</f>
        <v>0</v>
      </c>
      <c r="BC36" s="13">
        <f>+AD_tis!BC36*AD_tis!BC$48*AD_tis!$BE36</f>
        <v>0</v>
      </c>
    </row>
    <row r="37" spans="1:55" ht="18.75" customHeight="1" x14ac:dyDescent="0.25">
      <c r="A37" s="5" t="s">
        <v>88</v>
      </c>
      <c r="B37" s="12">
        <f>+AD_tis!B37*AD_tis!B$48*AD_tis!$BE37</f>
        <v>0</v>
      </c>
      <c r="C37" s="4">
        <f>+AD_tis!C37*AD_tis!C$48*AD_tis!$BE37</f>
        <v>0</v>
      </c>
      <c r="D37" s="4">
        <f>+AD_tis!D37*AD_tis!D$48*AD_tis!$BE37</f>
        <v>0</v>
      </c>
      <c r="E37" s="4">
        <f>+AD_tis!E37*AD_tis!E$48*AD_tis!$BE37</f>
        <v>0</v>
      </c>
      <c r="F37" s="4">
        <f>+AD_tis!F37*AD_tis!F$48*AD_tis!$BE37</f>
        <v>0</v>
      </c>
      <c r="G37" s="4">
        <f>+AD_tis!G37*AD_tis!G$48*AD_tis!$BE37</f>
        <v>0</v>
      </c>
      <c r="H37" s="4">
        <f>+AD_tis!H37*AD_tis!H$48*AD_tis!$BE37</f>
        <v>0</v>
      </c>
      <c r="I37" s="4">
        <f>+AD_tis!I37*AD_tis!I$48*AD_tis!$BE37</f>
        <v>0</v>
      </c>
      <c r="J37" s="4">
        <f>+AD_tis!J37*AD_tis!J$48*AD_tis!$BE37</f>
        <v>0</v>
      </c>
      <c r="K37" s="4">
        <f>+AD_tis!K37*AD_tis!K$48*AD_tis!$BE37</f>
        <v>0</v>
      </c>
      <c r="L37" s="4">
        <f>+AD_tis!L37*AD_tis!L$48*AD_tis!$BE37</f>
        <v>0</v>
      </c>
      <c r="M37" s="4">
        <f>+AD_tis!M37*AD_tis!M$48*AD_tis!$BE37</f>
        <v>1</v>
      </c>
      <c r="N37" s="4">
        <f>+AD_tis!N37*AD_tis!N$48*AD_tis!$BE37</f>
        <v>0</v>
      </c>
      <c r="O37" s="4">
        <f>+AD_tis!O37*AD_tis!O$48*AD_tis!$BE37</f>
        <v>0</v>
      </c>
      <c r="P37" s="4">
        <f>+AD_tis!P37*AD_tis!P$48*AD_tis!$BE37</f>
        <v>0</v>
      </c>
      <c r="Q37" s="4">
        <f>+AD_tis!Q37*AD_tis!Q$48*AD_tis!$BE37</f>
        <v>0</v>
      </c>
      <c r="R37" s="13">
        <f>+AD_tis!R37*AD_tis!R$48*AD_tis!$BE37</f>
        <v>0</v>
      </c>
      <c r="S37" s="4">
        <f>+AD_tis!S37*AD_tis!S$48*AD_tis!$BE37</f>
        <v>0</v>
      </c>
      <c r="T37" s="4">
        <f>+AD_tis!T37*AD_tis!T$48*AD_tis!$BE37</f>
        <v>0</v>
      </c>
      <c r="U37" s="4">
        <f>+AD_tis!U37*AD_tis!U$48*AD_tis!$BE37</f>
        <v>0</v>
      </c>
      <c r="V37" s="4">
        <f>+AD_tis!V37*AD_tis!V$48*AD_tis!$BE37</f>
        <v>0</v>
      </c>
      <c r="W37" s="4">
        <f>+AD_tis!W37*AD_tis!W$48*AD_tis!$BE37</f>
        <v>0</v>
      </c>
      <c r="X37" s="4">
        <f>+AD_tis!X37*AD_tis!X$48*AD_tis!$BE37</f>
        <v>0</v>
      </c>
      <c r="Y37" s="4">
        <f>+AD_tis!Y37*AD_tis!Y$48*AD_tis!$BE37</f>
        <v>0</v>
      </c>
      <c r="Z37" s="4">
        <f>+AD_tis!Z37*AD_tis!Z$48*AD_tis!$BE37</f>
        <v>0</v>
      </c>
      <c r="AA37" s="4">
        <f>+AD_tis!AA37*AD_tis!AA$48*AD_tis!$BE37</f>
        <v>0</v>
      </c>
      <c r="AB37" s="4">
        <f>+AD_tis!AB37*AD_tis!AB$48*AD_tis!$BE37</f>
        <v>0</v>
      </c>
      <c r="AC37" s="12">
        <f>+AD_tis!AC37*AD_tis!AC$48*AD_tis!$BE37</f>
        <v>0</v>
      </c>
      <c r="AD37" s="4">
        <f>+AD_tis!AD37*AD_tis!AD$48*AD_tis!$BE37</f>
        <v>0</v>
      </c>
      <c r="AE37" s="4">
        <f>+AD_tis!AE37*AD_tis!AE$48*AD_tis!$BE37</f>
        <v>0</v>
      </c>
      <c r="AF37" s="4">
        <f>+AD_tis!AF37*AD_tis!AF$48*AD_tis!$BE37</f>
        <v>0</v>
      </c>
      <c r="AG37" s="4">
        <f>+AD_tis!AG37*AD_tis!AG$48*AD_tis!$BE37</f>
        <v>0</v>
      </c>
      <c r="AH37" s="4">
        <f>+AD_tis!AH37*AD_tis!AH$48*AD_tis!$BE37</f>
        <v>0</v>
      </c>
      <c r="AI37" s="4">
        <f>+AD_tis!AI37*AD_tis!AI$48*AD_tis!$BE37</f>
        <v>0</v>
      </c>
      <c r="AJ37" s="4">
        <f>+AD_tis!AJ37*AD_tis!AJ$48*AD_tis!$BE37</f>
        <v>0</v>
      </c>
      <c r="AK37" s="4">
        <f>+AD_tis!AK37*AD_tis!AK$48*AD_tis!$BE37</f>
        <v>0</v>
      </c>
      <c r="AL37" s="4">
        <f>+AD_tis!AL37*AD_tis!AL$48*AD_tis!$BE37</f>
        <v>0</v>
      </c>
      <c r="AM37" s="13">
        <f>+AD_tis!AM37*AD_tis!AM$48*AD_tis!$BE37</f>
        <v>0</v>
      </c>
      <c r="AN37" s="4">
        <f>+AD_tis!AN37*AD_tis!AN$48*AD_tis!$BE37</f>
        <v>0</v>
      </c>
      <c r="AO37" s="4">
        <f>+AD_tis!AO37*AD_tis!AO$48*AD_tis!$BE37</f>
        <v>0</v>
      </c>
      <c r="AP37" s="4">
        <f>+AD_tis!AP37*AD_tis!AP$48*AD_tis!$BE37</f>
        <v>0</v>
      </c>
      <c r="AQ37" s="4">
        <f>+AD_tis!AQ37*AD_tis!AQ$48*AD_tis!$BE37</f>
        <v>0</v>
      </c>
      <c r="AR37" s="4">
        <f>+AD_tis!AR37*AD_tis!AR$48*AD_tis!$BE37</f>
        <v>0</v>
      </c>
      <c r="AS37" s="4">
        <f>+AD_tis!AS37*AD_tis!AS$48*AD_tis!$BE37</f>
        <v>0</v>
      </c>
      <c r="AT37" s="4">
        <f>+AD_tis!AT37*AD_tis!AT$48*AD_tis!$BE37</f>
        <v>0</v>
      </c>
      <c r="AU37" s="4">
        <f>+AD_tis!AU37*AD_tis!AU$48*AD_tis!$BE37</f>
        <v>0</v>
      </c>
      <c r="AV37" s="4">
        <f>+AD_tis!AV37*AD_tis!AV$48*AD_tis!$BE37</f>
        <v>0</v>
      </c>
      <c r="AW37" s="12">
        <f>+AD_tis!AW37*AD_tis!AW$48*AD_tis!$BE37</f>
        <v>0</v>
      </c>
      <c r="AX37" s="13">
        <f>+AD_tis!AX37*AD_tis!AX$48*AD_tis!$BE37</f>
        <v>0</v>
      </c>
      <c r="AY37" s="4">
        <f>+AD_tis!AY37*AD_tis!AY$48*AD_tis!$BE37</f>
        <v>0</v>
      </c>
      <c r="AZ37" s="4">
        <f>+AD_tis!AZ37*AD_tis!AZ$48*AD_tis!$BE37</f>
        <v>0</v>
      </c>
      <c r="BA37" s="12">
        <f>+AD_tis!BA37*AD_tis!BA$48*AD_tis!$BE37</f>
        <v>0</v>
      </c>
      <c r="BB37" s="4">
        <f>+AD_tis!BB37*AD_tis!BB$48*AD_tis!$BE37</f>
        <v>0</v>
      </c>
      <c r="BC37" s="13">
        <f>+AD_tis!BC37*AD_tis!BC$48*AD_tis!$BE37</f>
        <v>0</v>
      </c>
    </row>
    <row r="38" spans="1:55" ht="18.75" customHeight="1" x14ac:dyDescent="0.25">
      <c r="A38" s="5" t="s">
        <v>89</v>
      </c>
      <c r="B38" s="12">
        <f>+AD_tis!B38*AD_tis!B$48*AD_tis!$BE38</f>
        <v>0</v>
      </c>
      <c r="C38" s="4">
        <f>+AD_tis!C38*AD_tis!C$48*AD_tis!$BE38</f>
        <v>0</v>
      </c>
      <c r="D38" s="4">
        <f>+AD_tis!D38*AD_tis!D$48*AD_tis!$BE38</f>
        <v>0</v>
      </c>
      <c r="E38" s="4">
        <f>+AD_tis!E38*AD_tis!E$48*AD_tis!$BE38</f>
        <v>0</v>
      </c>
      <c r="F38" s="4">
        <f>+AD_tis!F38*AD_tis!F$48*AD_tis!$BE38</f>
        <v>0</v>
      </c>
      <c r="G38" s="4">
        <f>+AD_tis!G38*AD_tis!G$48*AD_tis!$BE38</f>
        <v>0</v>
      </c>
      <c r="H38" s="4">
        <f>+AD_tis!H38*AD_tis!H$48*AD_tis!$BE38</f>
        <v>0</v>
      </c>
      <c r="I38" s="4">
        <f>+AD_tis!I38*AD_tis!I$48*AD_tis!$BE38</f>
        <v>0</v>
      </c>
      <c r="J38" s="4">
        <f>+AD_tis!J38*AD_tis!J$48*AD_tis!$BE38</f>
        <v>0</v>
      </c>
      <c r="K38" s="4">
        <f>+AD_tis!K38*AD_tis!K$48*AD_tis!$BE38</f>
        <v>0</v>
      </c>
      <c r="L38" s="4">
        <f>+AD_tis!L38*AD_tis!L$48*AD_tis!$BE38</f>
        <v>0</v>
      </c>
      <c r="M38" s="4">
        <f>+AD_tis!M38*AD_tis!M$48*AD_tis!$BE38</f>
        <v>0</v>
      </c>
      <c r="N38" s="4">
        <f>+AD_tis!N38*AD_tis!N$48*AD_tis!$BE38</f>
        <v>0</v>
      </c>
      <c r="O38" s="4">
        <f>+AD_tis!O38*AD_tis!O$48*AD_tis!$BE38</f>
        <v>0</v>
      </c>
      <c r="P38" s="4">
        <f>+AD_tis!P38*AD_tis!P$48*AD_tis!$BE38</f>
        <v>0</v>
      </c>
      <c r="Q38" s="4">
        <f>+AD_tis!Q38*AD_tis!Q$48*AD_tis!$BE38</f>
        <v>0</v>
      </c>
      <c r="R38" s="13">
        <f>+AD_tis!R38*AD_tis!R$48*AD_tis!$BE38</f>
        <v>0</v>
      </c>
      <c r="S38" s="4">
        <f>+AD_tis!S38*AD_tis!S$48*AD_tis!$BE38</f>
        <v>0</v>
      </c>
      <c r="T38" s="4">
        <f>+AD_tis!T38*AD_tis!T$48*AD_tis!$BE38</f>
        <v>0</v>
      </c>
      <c r="U38" s="4">
        <f>+AD_tis!U38*AD_tis!U$48*AD_tis!$BE38</f>
        <v>0</v>
      </c>
      <c r="V38" s="4">
        <f>+AD_tis!V38*AD_tis!V$48*AD_tis!$BE38</f>
        <v>0</v>
      </c>
      <c r="W38" s="4">
        <f>+AD_tis!W38*AD_tis!W$48*AD_tis!$BE38</f>
        <v>0</v>
      </c>
      <c r="X38" s="4">
        <f>+AD_tis!X38*AD_tis!X$48*AD_tis!$BE38</f>
        <v>0</v>
      </c>
      <c r="Y38" s="4">
        <f>+AD_tis!Y38*AD_tis!Y$48*AD_tis!$BE38</f>
        <v>0</v>
      </c>
      <c r="Z38" s="4">
        <f>+AD_tis!Z38*AD_tis!Z$48*AD_tis!$BE38</f>
        <v>0</v>
      </c>
      <c r="AA38" s="4">
        <f>+AD_tis!AA38*AD_tis!AA$48*AD_tis!$BE38</f>
        <v>0</v>
      </c>
      <c r="AB38" s="4">
        <f>+AD_tis!AB38*AD_tis!AB$48*AD_tis!$BE38</f>
        <v>0</v>
      </c>
      <c r="AC38" s="12">
        <f>+AD_tis!AC38*AD_tis!AC$48*AD_tis!$BE38</f>
        <v>0</v>
      </c>
      <c r="AD38" s="4">
        <f>+AD_tis!AD38*AD_tis!AD$48*AD_tis!$BE38</f>
        <v>0</v>
      </c>
      <c r="AE38" s="4">
        <f>+AD_tis!AE38*AD_tis!AE$48*AD_tis!$BE38</f>
        <v>0</v>
      </c>
      <c r="AF38" s="4">
        <f>+AD_tis!AF38*AD_tis!AF$48*AD_tis!$BE38</f>
        <v>0</v>
      </c>
      <c r="AG38" s="4">
        <f>+AD_tis!AG38*AD_tis!AG$48*AD_tis!$BE38</f>
        <v>0</v>
      </c>
      <c r="AH38" s="4">
        <f>+AD_tis!AH38*AD_tis!AH$48*AD_tis!$BE38</f>
        <v>0</v>
      </c>
      <c r="AI38" s="4">
        <f>+AD_tis!AI38*AD_tis!AI$48*AD_tis!$BE38</f>
        <v>0</v>
      </c>
      <c r="AJ38" s="4">
        <f>+AD_tis!AJ38*AD_tis!AJ$48*AD_tis!$BE38</f>
        <v>0</v>
      </c>
      <c r="AK38" s="4">
        <f>+AD_tis!AK38*AD_tis!AK$48*AD_tis!$BE38</f>
        <v>0</v>
      </c>
      <c r="AL38" s="4">
        <f>+AD_tis!AL38*AD_tis!AL$48*AD_tis!$BE38</f>
        <v>0</v>
      </c>
      <c r="AM38" s="13">
        <f>+AD_tis!AM38*AD_tis!AM$48*AD_tis!$BE38</f>
        <v>0</v>
      </c>
      <c r="AN38" s="4">
        <f>+AD_tis!AN38*AD_tis!AN$48*AD_tis!$BE38</f>
        <v>0</v>
      </c>
      <c r="AO38" s="4">
        <f>+AD_tis!AO38*AD_tis!AO$48*AD_tis!$BE38</f>
        <v>0</v>
      </c>
      <c r="AP38" s="4">
        <f>+AD_tis!AP38*AD_tis!AP$48*AD_tis!$BE38</f>
        <v>0</v>
      </c>
      <c r="AQ38" s="4">
        <f>+AD_tis!AQ38*AD_tis!AQ$48*AD_tis!$BE38</f>
        <v>0</v>
      </c>
      <c r="AR38" s="4">
        <f>+AD_tis!AR38*AD_tis!AR$48*AD_tis!$BE38</f>
        <v>0</v>
      </c>
      <c r="AS38" s="4">
        <f>+AD_tis!AS38*AD_tis!AS$48*AD_tis!$BE38</f>
        <v>0</v>
      </c>
      <c r="AT38" s="4">
        <f>+AD_tis!AT38*AD_tis!AT$48*AD_tis!$BE38</f>
        <v>0</v>
      </c>
      <c r="AU38" s="4">
        <f>+AD_tis!AU38*AD_tis!AU$48*AD_tis!$BE38</f>
        <v>0</v>
      </c>
      <c r="AV38" s="4">
        <f>+AD_tis!AV38*AD_tis!AV$48*AD_tis!$BE38</f>
        <v>0</v>
      </c>
      <c r="AW38" s="12">
        <f>+AD_tis!AW38*AD_tis!AW$48*AD_tis!$BE38</f>
        <v>0</v>
      </c>
      <c r="AX38" s="13">
        <f>+AD_tis!AX38*AD_tis!AX$48*AD_tis!$BE38</f>
        <v>0</v>
      </c>
      <c r="AY38" s="4">
        <f>+AD_tis!AY38*AD_tis!AY$48*AD_tis!$BE38</f>
        <v>0</v>
      </c>
      <c r="AZ38" s="4">
        <f>+AD_tis!AZ38*AD_tis!AZ$48*AD_tis!$BE38</f>
        <v>0</v>
      </c>
      <c r="BA38" s="12">
        <f>+AD_tis!BA38*AD_tis!BA$48*AD_tis!$BE38</f>
        <v>0</v>
      </c>
      <c r="BB38" s="4">
        <f>+AD_tis!BB38*AD_tis!BB$48*AD_tis!$BE38</f>
        <v>0</v>
      </c>
      <c r="BC38" s="13">
        <f>+AD_tis!BC38*AD_tis!BC$48*AD_tis!$BE38</f>
        <v>0</v>
      </c>
    </row>
    <row r="39" spans="1:55" ht="18.75" customHeight="1" x14ac:dyDescent="0.25">
      <c r="A39" s="5" t="s">
        <v>90</v>
      </c>
      <c r="B39" s="12">
        <f>+AD_tis!B39*AD_tis!B$48*AD_tis!$BE39</f>
        <v>0</v>
      </c>
      <c r="C39" s="4">
        <f>+AD_tis!C39*AD_tis!C$48*AD_tis!$BE39</f>
        <v>0</v>
      </c>
      <c r="D39" s="4">
        <f>+AD_tis!D39*AD_tis!D$48*AD_tis!$BE39</f>
        <v>0</v>
      </c>
      <c r="E39" s="4">
        <f>+AD_tis!E39*AD_tis!E$48*AD_tis!$BE39</f>
        <v>0</v>
      </c>
      <c r="F39" s="4">
        <f>+AD_tis!F39*AD_tis!F$48*AD_tis!$BE39</f>
        <v>0</v>
      </c>
      <c r="G39" s="4">
        <f>+AD_tis!G39*AD_tis!G$48*AD_tis!$BE39</f>
        <v>0</v>
      </c>
      <c r="H39" s="4">
        <f>+AD_tis!H39*AD_tis!H$48*AD_tis!$BE39</f>
        <v>0</v>
      </c>
      <c r="I39" s="4">
        <f>+AD_tis!I39*AD_tis!I$48*AD_tis!$BE39</f>
        <v>0</v>
      </c>
      <c r="J39" s="4">
        <f>+AD_tis!J39*AD_tis!J$48*AD_tis!$BE39</f>
        <v>0</v>
      </c>
      <c r="K39" s="4">
        <f>+AD_tis!K39*AD_tis!K$48*AD_tis!$BE39</f>
        <v>0</v>
      </c>
      <c r="L39" s="4">
        <f>+AD_tis!L39*AD_tis!L$48*AD_tis!$BE39</f>
        <v>0</v>
      </c>
      <c r="M39" s="4">
        <f>+AD_tis!M39*AD_tis!M$48*AD_tis!$BE39</f>
        <v>0</v>
      </c>
      <c r="N39" s="4">
        <f>+AD_tis!N39*AD_tis!N$48*AD_tis!$BE39</f>
        <v>0</v>
      </c>
      <c r="O39" s="4">
        <f>+AD_tis!O39*AD_tis!O$48*AD_tis!$BE39</f>
        <v>0</v>
      </c>
      <c r="P39" s="4">
        <f>+AD_tis!P39*AD_tis!P$48*AD_tis!$BE39</f>
        <v>0</v>
      </c>
      <c r="Q39" s="4">
        <f>+AD_tis!Q39*AD_tis!Q$48*AD_tis!$BE39</f>
        <v>0</v>
      </c>
      <c r="R39" s="13">
        <f>+AD_tis!R39*AD_tis!R$48*AD_tis!$BE39</f>
        <v>0</v>
      </c>
      <c r="S39" s="4">
        <f>+AD_tis!S39*AD_tis!S$48*AD_tis!$BE39</f>
        <v>0</v>
      </c>
      <c r="T39" s="4">
        <f>+AD_tis!T39*AD_tis!T$48*AD_tis!$BE39</f>
        <v>0</v>
      </c>
      <c r="U39" s="4">
        <f>+AD_tis!U39*AD_tis!U$48*AD_tis!$BE39</f>
        <v>0</v>
      </c>
      <c r="V39" s="4">
        <f>+AD_tis!V39*AD_tis!V$48*AD_tis!$BE39</f>
        <v>0</v>
      </c>
      <c r="W39" s="4">
        <f>+AD_tis!W39*AD_tis!W$48*AD_tis!$BE39</f>
        <v>0</v>
      </c>
      <c r="X39" s="4">
        <f>+AD_tis!X39*AD_tis!X$48*AD_tis!$BE39</f>
        <v>0</v>
      </c>
      <c r="Y39" s="4">
        <f>+AD_tis!Y39*AD_tis!Y$48*AD_tis!$BE39</f>
        <v>0</v>
      </c>
      <c r="Z39" s="4">
        <f>+AD_tis!Z39*AD_tis!Z$48*AD_tis!$BE39</f>
        <v>0</v>
      </c>
      <c r="AA39" s="4">
        <f>+AD_tis!AA39*AD_tis!AA$48*AD_tis!$BE39</f>
        <v>0</v>
      </c>
      <c r="AB39" s="4">
        <f>+AD_tis!AB39*AD_tis!AB$48*AD_tis!$BE39</f>
        <v>0</v>
      </c>
      <c r="AC39" s="12">
        <f>+AD_tis!AC39*AD_tis!AC$48*AD_tis!$BE39</f>
        <v>0</v>
      </c>
      <c r="AD39" s="4">
        <f>+AD_tis!AD39*AD_tis!AD$48*AD_tis!$BE39</f>
        <v>0</v>
      </c>
      <c r="AE39" s="4">
        <f>+AD_tis!AE39*AD_tis!AE$48*AD_tis!$BE39</f>
        <v>0</v>
      </c>
      <c r="AF39" s="4">
        <f>+AD_tis!AF39*AD_tis!AF$48*AD_tis!$BE39</f>
        <v>0</v>
      </c>
      <c r="AG39" s="4">
        <f>+AD_tis!AG39*AD_tis!AG$48*AD_tis!$BE39</f>
        <v>0</v>
      </c>
      <c r="AH39" s="4">
        <f>+AD_tis!AH39*AD_tis!AH$48*AD_tis!$BE39</f>
        <v>0</v>
      </c>
      <c r="AI39" s="4">
        <f>+AD_tis!AI39*AD_tis!AI$48*AD_tis!$BE39</f>
        <v>0</v>
      </c>
      <c r="AJ39" s="4">
        <f>+AD_tis!AJ39*AD_tis!AJ$48*AD_tis!$BE39</f>
        <v>0</v>
      </c>
      <c r="AK39" s="4">
        <f>+AD_tis!AK39*AD_tis!AK$48*AD_tis!$BE39</f>
        <v>0</v>
      </c>
      <c r="AL39" s="4">
        <f>+AD_tis!AL39*AD_tis!AL$48*AD_tis!$BE39</f>
        <v>0</v>
      </c>
      <c r="AM39" s="13">
        <f>+AD_tis!AM39*AD_tis!AM$48*AD_tis!$BE39</f>
        <v>0</v>
      </c>
      <c r="AN39" s="4">
        <f>+AD_tis!AN39*AD_tis!AN$48*AD_tis!$BE39</f>
        <v>0</v>
      </c>
      <c r="AO39" s="4">
        <f>+AD_tis!AO39*AD_tis!AO$48*AD_tis!$BE39</f>
        <v>0</v>
      </c>
      <c r="AP39" s="4">
        <f>+AD_tis!AP39*AD_tis!AP$48*AD_tis!$BE39</f>
        <v>0</v>
      </c>
      <c r="AQ39" s="4">
        <f>+AD_tis!AQ39*AD_tis!AQ$48*AD_tis!$BE39</f>
        <v>0</v>
      </c>
      <c r="AR39" s="4">
        <f>+AD_tis!AR39*AD_tis!AR$48*AD_tis!$BE39</f>
        <v>0</v>
      </c>
      <c r="AS39" s="4">
        <f>+AD_tis!AS39*AD_tis!AS$48*AD_tis!$BE39</f>
        <v>0</v>
      </c>
      <c r="AT39" s="4">
        <f>+AD_tis!AT39*AD_tis!AT$48*AD_tis!$BE39</f>
        <v>0</v>
      </c>
      <c r="AU39" s="4">
        <f>+AD_tis!AU39*AD_tis!AU$48*AD_tis!$BE39</f>
        <v>0</v>
      </c>
      <c r="AV39" s="4">
        <f>+AD_tis!AV39*AD_tis!AV$48*AD_tis!$BE39</f>
        <v>0</v>
      </c>
      <c r="AW39" s="12">
        <f>+AD_tis!AW39*AD_tis!AW$48*AD_tis!$BE39</f>
        <v>0</v>
      </c>
      <c r="AX39" s="13">
        <f>+AD_tis!AX39*AD_tis!AX$48*AD_tis!$BE39</f>
        <v>0</v>
      </c>
      <c r="AY39" s="4">
        <f>+AD_tis!AY39*AD_tis!AY$48*AD_tis!$BE39</f>
        <v>0</v>
      </c>
      <c r="AZ39" s="4">
        <f>+AD_tis!AZ39*AD_tis!AZ$48*AD_tis!$BE39</f>
        <v>0</v>
      </c>
      <c r="BA39" s="12">
        <f>+AD_tis!BA39*AD_tis!BA$48*AD_tis!$BE39</f>
        <v>0</v>
      </c>
      <c r="BB39" s="4">
        <f>+AD_tis!BB39*AD_tis!BB$48*AD_tis!$BE39</f>
        <v>0</v>
      </c>
      <c r="BC39" s="13">
        <f>+AD_tis!BC39*AD_tis!BC$48*AD_tis!$BE39</f>
        <v>0</v>
      </c>
    </row>
    <row r="40" spans="1:55" ht="18.75" customHeight="1" x14ac:dyDescent="0.25">
      <c r="A40" s="5" t="s">
        <v>91</v>
      </c>
      <c r="B40" s="12">
        <f>+AD_tis!B40*AD_tis!B$48*AD_tis!$BE40</f>
        <v>0</v>
      </c>
      <c r="C40" s="4">
        <f>+AD_tis!C40*AD_tis!C$48*AD_tis!$BE40</f>
        <v>0</v>
      </c>
      <c r="D40" s="4">
        <f>+AD_tis!D40*AD_tis!D$48*AD_tis!$BE40</f>
        <v>0</v>
      </c>
      <c r="E40" s="4">
        <f>+AD_tis!E40*AD_tis!E$48*AD_tis!$BE40</f>
        <v>0</v>
      </c>
      <c r="F40" s="4">
        <f>+AD_tis!F40*AD_tis!F$48*AD_tis!$BE40</f>
        <v>0</v>
      </c>
      <c r="G40" s="4">
        <f>+AD_tis!G40*AD_tis!G$48*AD_tis!$BE40</f>
        <v>0</v>
      </c>
      <c r="H40" s="4">
        <f>+AD_tis!H40*AD_tis!H$48*AD_tis!$BE40</f>
        <v>0</v>
      </c>
      <c r="I40" s="4">
        <f>+AD_tis!I40*AD_tis!I$48*AD_tis!$BE40</f>
        <v>0</v>
      </c>
      <c r="J40" s="4">
        <f>+AD_tis!J40*AD_tis!J$48*AD_tis!$BE40</f>
        <v>0</v>
      </c>
      <c r="K40" s="4">
        <f>+AD_tis!K40*AD_tis!K$48*AD_tis!$BE40</f>
        <v>0</v>
      </c>
      <c r="L40" s="4">
        <f>+AD_tis!L40*AD_tis!L$48*AD_tis!$BE40</f>
        <v>0</v>
      </c>
      <c r="M40" s="4">
        <f>+AD_tis!M40*AD_tis!M$48*AD_tis!$BE40</f>
        <v>0</v>
      </c>
      <c r="N40" s="4">
        <f>+AD_tis!N40*AD_tis!N$48*AD_tis!$BE40</f>
        <v>0</v>
      </c>
      <c r="O40" s="4">
        <f>+AD_tis!O40*AD_tis!O$48*AD_tis!$BE40</f>
        <v>0</v>
      </c>
      <c r="P40" s="4">
        <f>+AD_tis!P40*AD_tis!P$48*AD_tis!$BE40</f>
        <v>0</v>
      </c>
      <c r="Q40" s="4">
        <f>+AD_tis!Q40*AD_tis!Q$48*AD_tis!$BE40</f>
        <v>0</v>
      </c>
      <c r="R40" s="13">
        <f>+AD_tis!R40*AD_tis!R$48*AD_tis!$BE40</f>
        <v>0</v>
      </c>
      <c r="S40" s="4">
        <f>+AD_tis!S40*AD_tis!S$48*AD_tis!$BE40</f>
        <v>0</v>
      </c>
      <c r="T40" s="4">
        <f>+AD_tis!T40*AD_tis!T$48*AD_tis!$BE40</f>
        <v>0</v>
      </c>
      <c r="U40" s="4">
        <f>+AD_tis!U40*AD_tis!U$48*AD_tis!$BE40</f>
        <v>0</v>
      </c>
      <c r="V40" s="4">
        <f>+AD_tis!V40*AD_tis!V$48*AD_tis!$BE40</f>
        <v>0</v>
      </c>
      <c r="W40" s="4">
        <f>+AD_tis!W40*AD_tis!W$48*AD_tis!$BE40</f>
        <v>0</v>
      </c>
      <c r="X40" s="4">
        <f>+AD_tis!X40*AD_tis!X$48*AD_tis!$BE40</f>
        <v>0</v>
      </c>
      <c r="Y40" s="4">
        <f>+AD_tis!Y40*AD_tis!Y$48*AD_tis!$BE40</f>
        <v>0</v>
      </c>
      <c r="Z40" s="4">
        <f>+AD_tis!Z40*AD_tis!Z$48*AD_tis!$BE40</f>
        <v>0</v>
      </c>
      <c r="AA40" s="4">
        <f>+AD_tis!AA40*AD_tis!AA$48*AD_tis!$BE40</f>
        <v>0</v>
      </c>
      <c r="AB40" s="4">
        <f>+AD_tis!AB40*AD_tis!AB$48*AD_tis!$BE40</f>
        <v>0</v>
      </c>
      <c r="AC40" s="12">
        <f>+AD_tis!AC40*AD_tis!AC$48*AD_tis!$BE40</f>
        <v>0</v>
      </c>
      <c r="AD40" s="4">
        <f>+AD_tis!AD40*AD_tis!AD$48*AD_tis!$BE40</f>
        <v>0</v>
      </c>
      <c r="AE40" s="4">
        <f>+AD_tis!AE40*AD_tis!AE$48*AD_tis!$BE40</f>
        <v>0</v>
      </c>
      <c r="AF40" s="4">
        <f>+AD_tis!AF40*AD_tis!AF$48*AD_tis!$BE40</f>
        <v>0</v>
      </c>
      <c r="AG40" s="4">
        <f>+AD_tis!AG40*AD_tis!AG$48*AD_tis!$BE40</f>
        <v>0</v>
      </c>
      <c r="AH40" s="4">
        <f>+AD_tis!AH40*AD_tis!AH$48*AD_tis!$BE40</f>
        <v>0</v>
      </c>
      <c r="AI40" s="4">
        <f>+AD_tis!AI40*AD_tis!AI$48*AD_tis!$BE40</f>
        <v>0</v>
      </c>
      <c r="AJ40" s="4">
        <f>+AD_tis!AJ40*AD_tis!AJ$48*AD_tis!$BE40</f>
        <v>0</v>
      </c>
      <c r="AK40" s="4">
        <f>+AD_tis!AK40*AD_tis!AK$48*AD_tis!$BE40</f>
        <v>0</v>
      </c>
      <c r="AL40" s="4">
        <f>+AD_tis!AL40*AD_tis!AL$48*AD_tis!$BE40</f>
        <v>0</v>
      </c>
      <c r="AM40" s="13">
        <f>+AD_tis!AM40*AD_tis!AM$48*AD_tis!$BE40</f>
        <v>0</v>
      </c>
      <c r="AN40" s="4">
        <f>+AD_tis!AN40*AD_tis!AN$48*AD_tis!$BE40</f>
        <v>0</v>
      </c>
      <c r="AO40" s="4">
        <f>+AD_tis!AO40*AD_tis!AO$48*AD_tis!$BE40</f>
        <v>0</v>
      </c>
      <c r="AP40" s="4">
        <f>+AD_tis!AP40*AD_tis!AP$48*AD_tis!$BE40</f>
        <v>0</v>
      </c>
      <c r="AQ40" s="4">
        <f>+AD_tis!AQ40*AD_tis!AQ$48*AD_tis!$BE40</f>
        <v>0</v>
      </c>
      <c r="AR40" s="4">
        <f>+AD_tis!AR40*AD_tis!AR$48*AD_tis!$BE40</f>
        <v>0</v>
      </c>
      <c r="AS40" s="4">
        <f>+AD_tis!AS40*AD_tis!AS$48*AD_tis!$BE40</f>
        <v>0</v>
      </c>
      <c r="AT40" s="4">
        <f>+AD_tis!AT40*AD_tis!AT$48*AD_tis!$BE40</f>
        <v>0</v>
      </c>
      <c r="AU40" s="4">
        <f>+AD_tis!AU40*AD_tis!AU$48*AD_tis!$BE40</f>
        <v>0</v>
      </c>
      <c r="AV40" s="4">
        <f>+AD_tis!AV40*AD_tis!AV$48*AD_tis!$BE40</f>
        <v>0</v>
      </c>
      <c r="AW40" s="12">
        <f>+AD_tis!AW40*AD_tis!AW$48*AD_tis!$BE40</f>
        <v>0</v>
      </c>
      <c r="AX40" s="13">
        <f>+AD_tis!AX40*AD_tis!AX$48*AD_tis!$BE40</f>
        <v>0</v>
      </c>
      <c r="AY40" s="4">
        <f>+AD_tis!AY40*AD_tis!AY$48*AD_tis!$BE40</f>
        <v>0</v>
      </c>
      <c r="AZ40" s="4">
        <f>+AD_tis!AZ40*AD_tis!AZ$48*AD_tis!$BE40</f>
        <v>0</v>
      </c>
      <c r="BA40" s="12">
        <f>+AD_tis!BA40*AD_tis!BA$48*AD_tis!$BE40</f>
        <v>0</v>
      </c>
      <c r="BB40" s="4">
        <f>+AD_tis!BB40*AD_tis!BB$48*AD_tis!$BE40</f>
        <v>0</v>
      </c>
      <c r="BC40" s="13">
        <f>+AD_tis!BC40*AD_tis!BC$48*AD_tis!$BE40</f>
        <v>0</v>
      </c>
    </row>
    <row r="41" spans="1:55" ht="18.75" customHeight="1" x14ac:dyDescent="0.25">
      <c r="A41" s="5" t="s">
        <v>92</v>
      </c>
      <c r="B41" s="12">
        <f>+AD_tis!B41*AD_tis!B$48*AD_tis!$BE41</f>
        <v>0</v>
      </c>
      <c r="C41" s="4">
        <f>+AD_tis!C41*AD_tis!C$48*AD_tis!$BE41</f>
        <v>0</v>
      </c>
      <c r="D41" s="4">
        <f>+AD_tis!D41*AD_tis!D$48*AD_tis!$BE41</f>
        <v>0</v>
      </c>
      <c r="E41" s="4">
        <f>+AD_tis!E41*AD_tis!E$48*AD_tis!$BE41</f>
        <v>0</v>
      </c>
      <c r="F41" s="4">
        <f>+AD_tis!F41*AD_tis!F$48*AD_tis!$BE41</f>
        <v>0</v>
      </c>
      <c r="G41" s="4">
        <f>+AD_tis!G41*AD_tis!G$48*AD_tis!$BE41</f>
        <v>0</v>
      </c>
      <c r="H41" s="4">
        <f>+AD_tis!H41*AD_tis!H$48*AD_tis!$BE41</f>
        <v>0</v>
      </c>
      <c r="I41" s="4">
        <f>+AD_tis!I41*AD_tis!I$48*AD_tis!$BE41</f>
        <v>0</v>
      </c>
      <c r="J41" s="4">
        <f>+AD_tis!J41*AD_tis!J$48*AD_tis!$BE41</f>
        <v>0</v>
      </c>
      <c r="K41" s="4">
        <f>+AD_tis!K41*AD_tis!K$48*AD_tis!$BE41</f>
        <v>0</v>
      </c>
      <c r="L41" s="4">
        <f>+AD_tis!L41*AD_tis!L$48*AD_tis!$BE41</f>
        <v>0</v>
      </c>
      <c r="M41" s="4">
        <f>+AD_tis!M41*AD_tis!M$48*AD_tis!$BE41</f>
        <v>0</v>
      </c>
      <c r="N41" s="4">
        <f>+AD_tis!N41*AD_tis!N$48*AD_tis!$BE41</f>
        <v>0</v>
      </c>
      <c r="O41" s="4">
        <f>+AD_tis!O41*AD_tis!O$48*AD_tis!$BE41</f>
        <v>0</v>
      </c>
      <c r="P41" s="4">
        <f>+AD_tis!P41*AD_tis!P$48*AD_tis!$BE41</f>
        <v>0</v>
      </c>
      <c r="Q41" s="4">
        <f>+AD_tis!Q41*AD_tis!Q$48*AD_tis!$BE41</f>
        <v>0</v>
      </c>
      <c r="R41" s="13">
        <f>+AD_tis!R41*AD_tis!R$48*AD_tis!$BE41</f>
        <v>0</v>
      </c>
      <c r="S41" s="4">
        <f>+AD_tis!S41*AD_tis!S$48*AD_tis!$BE41</f>
        <v>0</v>
      </c>
      <c r="T41" s="4">
        <f>+AD_tis!T41*AD_tis!T$48*AD_tis!$BE41</f>
        <v>1</v>
      </c>
      <c r="U41" s="4">
        <f>+AD_tis!U41*AD_tis!U$48*AD_tis!$BE41</f>
        <v>1</v>
      </c>
      <c r="V41" s="4">
        <f>+AD_tis!V41*AD_tis!V$48*AD_tis!$BE41</f>
        <v>1</v>
      </c>
      <c r="W41" s="4">
        <f>+AD_tis!W41*AD_tis!W$48*AD_tis!$BE41</f>
        <v>0</v>
      </c>
      <c r="X41" s="4">
        <f>+AD_tis!X41*AD_tis!X$48*AD_tis!$BE41</f>
        <v>1</v>
      </c>
      <c r="Y41" s="4">
        <f>+AD_tis!Y41*AD_tis!Y$48*AD_tis!$BE41</f>
        <v>0</v>
      </c>
      <c r="Z41" s="4">
        <f>+AD_tis!Z41*AD_tis!Z$48*AD_tis!$BE41</f>
        <v>0</v>
      </c>
      <c r="AA41" s="4">
        <f>+AD_tis!AA41*AD_tis!AA$48*AD_tis!$BE41</f>
        <v>0</v>
      </c>
      <c r="AB41" s="4">
        <f>+AD_tis!AB41*AD_tis!AB$48*AD_tis!$BE41</f>
        <v>1</v>
      </c>
      <c r="AC41" s="12">
        <f>+AD_tis!AC41*AD_tis!AC$48*AD_tis!$BE41</f>
        <v>0</v>
      </c>
      <c r="AD41" s="4">
        <f>+AD_tis!AD41*AD_tis!AD$48*AD_tis!$BE41</f>
        <v>0</v>
      </c>
      <c r="AE41" s="4">
        <f>+AD_tis!AE41*AD_tis!AE$48*AD_tis!$BE41</f>
        <v>0</v>
      </c>
      <c r="AF41" s="4">
        <f>+AD_tis!AF41*AD_tis!AF$48*AD_tis!$BE41</f>
        <v>0</v>
      </c>
      <c r="AG41" s="4">
        <f>+AD_tis!AG41*AD_tis!AG$48*AD_tis!$BE41</f>
        <v>0</v>
      </c>
      <c r="AH41" s="4">
        <f>+AD_tis!AH41*AD_tis!AH$48*AD_tis!$BE41</f>
        <v>0</v>
      </c>
      <c r="AI41" s="4">
        <f>+AD_tis!AI41*AD_tis!AI$48*AD_tis!$BE41</f>
        <v>0</v>
      </c>
      <c r="AJ41" s="4">
        <f>+AD_tis!AJ41*AD_tis!AJ$48*AD_tis!$BE41</f>
        <v>0</v>
      </c>
      <c r="AK41" s="4">
        <f>+AD_tis!AK41*AD_tis!AK$48*AD_tis!$BE41</f>
        <v>0</v>
      </c>
      <c r="AL41" s="4">
        <f>+AD_tis!AL41*AD_tis!AL$48*AD_tis!$BE41</f>
        <v>0</v>
      </c>
      <c r="AM41" s="13">
        <f>+AD_tis!AM41*AD_tis!AM$48*AD_tis!$BE41</f>
        <v>0</v>
      </c>
      <c r="AN41" s="4">
        <f>+AD_tis!AN41*AD_tis!AN$48*AD_tis!$BE41</f>
        <v>0</v>
      </c>
      <c r="AO41" s="4">
        <f>+AD_tis!AO41*AD_tis!AO$48*AD_tis!$BE41</f>
        <v>0</v>
      </c>
      <c r="AP41" s="4">
        <f>+AD_tis!AP41*AD_tis!AP$48*AD_tis!$BE41</f>
        <v>0</v>
      </c>
      <c r="AQ41" s="4">
        <f>+AD_tis!AQ41*AD_tis!AQ$48*AD_tis!$BE41</f>
        <v>0</v>
      </c>
      <c r="AR41" s="4">
        <f>+AD_tis!AR41*AD_tis!AR$48*AD_tis!$BE41</f>
        <v>0</v>
      </c>
      <c r="AS41" s="4">
        <f>+AD_tis!AS41*AD_tis!AS$48*AD_tis!$BE41</f>
        <v>0</v>
      </c>
      <c r="AT41" s="4">
        <f>+AD_tis!AT41*AD_tis!AT$48*AD_tis!$BE41</f>
        <v>0</v>
      </c>
      <c r="AU41" s="4">
        <f>+AD_tis!AU41*AD_tis!AU$48*AD_tis!$BE41</f>
        <v>0</v>
      </c>
      <c r="AV41" s="4">
        <f>+AD_tis!AV41*AD_tis!AV$48*AD_tis!$BE41</f>
        <v>0</v>
      </c>
      <c r="AW41" s="12">
        <f>+AD_tis!AW41*AD_tis!AW$48*AD_tis!$BE41</f>
        <v>0</v>
      </c>
      <c r="AX41" s="13">
        <f>+AD_tis!AX41*AD_tis!AX$48*AD_tis!$BE41</f>
        <v>0</v>
      </c>
      <c r="AY41" s="4">
        <f>+AD_tis!AY41*AD_tis!AY$48*AD_tis!$BE41</f>
        <v>0</v>
      </c>
      <c r="AZ41" s="4">
        <f>+AD_tis!AZ41*AD_tis!AZ$48*AD_tis!$BE41</f>
        <v>0</v>
      </c>
      <c r="BA41" s="12">
        <f>+AD_tis!BA41*AD_tis!BA$48*AD_tis!$BE41</f>
        <v>0</v>
      </c>
      <c r="BB41" s="4">
        <f>+AD_tis!BB41*AD_tis!BB$48*AD_tis!$BE41</f>
        <v>0</v>
      </c>
      <c r="BC41" s="13">
        <f>+AD_tis!BC41*AD_tis!BC$48*AD_tis!$BE41</f>
        <v>0</v>
      </c>
    </row>
    <row r="42" spans="1:55" ht="18.75" customHeight="1" x14ac:dyDescent="0.25">
      <c r="A42" s="5" t="s">
        <v>93</v>
      </c>
      <c r="B42" s="12">
        <f>+AD_tis!B42*AD_tis!B$48*AD_tis!$BE42</f>
        <v>0</v>
      </c>
      <c r="C42" s="4">
        <f>+AD_tis!C42*AD_tis!C$48*AD_tis!$BE42</f>
        <v>0</v>
      </c>
      <c r="D42" s="4">
        <f>+AD_tis!D42*AD_tis!D$48*AD_tis!$BE42</f>
        <v>0</v>
      </c>
      <c r="E42" s="4">
        <f>+AD_tis!E42*AD_tis!E$48*AD_tis!$BE42</f>
        <v>0</v>
      </c>
      <c r="F42" s="4">
        <f>+AD_tis!F42*AD_tis!F$48*AD_tis!$BE42</f>
        <v>0</v>
      </c>
      <c r="G42" s="4">
        <f>+AD_tis!G42*AD_tis!G$48*AD_tis!$BE42</f>
        <v>0</v>
      </c>
      <c r="H42" s="4">
        <f>+AD_tis!H42*AD_tis!H$48*AD_tis!$BE42</f>
        <v>0</v>
      </c>
      <c r="I42" s="4">
        <f>+AD_tis!I42*AD_tis!I$48*AD_tis!$BE42</f>
        <v>0</v>
      </c>
      <c r="J42" s="4">
        <f>+AD_tis!J42*AD_tis!J$48*AD_tis!$BE42</f>
        <v>0</v>
      </c>
      <c r="K42" s="4">
        <f>+AD_tis!K42*AD_tis!K$48*AD_tis!$BE42</f>
        <v>0</v>
      </c>
      <c r="L42" s="4">
        <f>+AD_tis!L42*AD_tis!L$48*AD_tis!$BE42</f>
        <v>0</v>
      </c>
      <c r="M42" s="4">
        <f>+AD_tis!M42*AD_tis!M$48*AD_tis!$BE42</f>
        <v>0</v>
      </c>
      <c r="N42" s="4">
        <f>+AD_tis!N42*AD_tis!N$48*AD_tis!$BE42</f>
        <v>0</v>
      </c>
      <c r="O42" s="4">
        <f>+AD_tis!O42*AD_tis!O$48*AD_tis!$BE42</f>
        <v>0</v>
      </c>
      <c r="P42" s="4">
        <f>+AD_tis!P42*AD_tis!P$48*AD_tis!$BE42</f>
        <v>0</v>
      </c>
      <c r="Q42" s="4">
        <f>+AD_tis!Q42*AD_tis!Q$48*AD_tis!$BE42</f>
        <v>0</v>
      </c>
      <c r="R42" s="13">
        <f>+AD_tis!R42*AD_tis!R$48*AD_tis!$BE42</f>
        <v>0</v>
      </c>
      <c r="S42" s="4">
        <f>+AD_tis!S42*AD_tis!S$48*AD_tis!$BE42</f>
        <v>0</v>
      </c>
      <c r="T42" s="4">
        <f>+AD_tis!T42*AD_tis!T$48*AD_tis!$BE42</f>
        <v>1</v>
      </c>
      <c r="U42" s="4">
        <f>+AD_tis!U42*AD_tis!U$48*AD_tis!$BE42</f>
        <v>1</v>
      </c>
      <c r="V42" s="4">
        <f>+AD_tis!V42*AD_tis!V$48*AD_tis!$BE42</f>
        <v>0</v>
      </c>
      <c r="W42" s="4">
        <f>+AD_tis!W42*AD_tis!W$48*AD_tis!$BE42</f>
        <v>0</v>
      </c>
      <c r="X42" s="4">
        <f>+AD_tis!X42*AD_tis!X$48*AD_tis!$BE42</f>
        <v>1</v>
      </c>
      <c r="Y42" s="4">
        <f>+AD_tis!Y42*AD_tis!Y$48*AD_tis!$BE42</f>
        <v>0</v>
      </c>
      <c r="Z42" s="4">
        <f>+AD_tis!Z42*AD_tis!Z$48*AD_tis!$BE42</f>
        <v>0</v>
      </c>
      <c r="AA42" s="4">
        <f>+AD_tis!AA42*AD_tis!AA$48*AD_tis!$BE42</f>
        <v>0</v>
      </c>
      <c r="AB42" s="4">
        <f>+AD_tis!AB42*AD_tis!AB$48*AD_tis!$BE42</f>
        <v>1</v>
      </c>
      <c r="AC42" s="12">
        <f>+AD_tis!AC42*AD_tis!AC$48*AD_tis!$BE42</f>
        <v>0</v>
      </c>
      <c r="AD42" s="4">
        <f>+AD_tis!AD42*AD_tis!AD$48*AD_tis!$BE42</f>
        <v>0</v>
      </c>
      <c r="AE42" s="4">
        <f>+AD_tis!AE42*AD_tis!AE$48*AD_tis!$BE42</f>
        <v>0</v>
      </c>
      <c r="AF42" s="4">
        <f>+AD_tis!AF42*AD_tis!AF$48*AD_tis!$BE42</f>
        <v>0</v>
      </c>
      <c r="AG42" s="4">
        <f>+AD_tis!AG42*AD_tis!AG$48*AD_tis!$BE42</f>
        <v>0</v>
      </c>
      <c r="AH42" s="4">
        <f>+AD_tis!AH42*AD_tis!AH$48*AD_tis!$BE42</f>
        <v>0</v>
      </c>
      <c r="AI42" s="4">
        <f>+AD_tis!AI42*AD_tis!AI$48*AD_tis!$BE42</f>
        <v>0</v>
      </c>
      <c r="AJ42" s="4">
        <f>+AD_tis!AJ42*AD_tis!AJ$48*AD_tis!$BE42</f>
        <v>0</v>
      </c>
      <c r="AK42" s="4">
        <f>+AD_tis!AK42*AD_tis!AK$48*AD_tis!$BE42</f>
        <v>0</v>
      </c>
      <c r="AL42" s="4">
        <f>+AD_tis!AL42*AD_tis!AL$48*AD_tis!$BE42</f>
        <v>0</v>
      </c>
      <c r="AM42" s="13">
        <f>+AD_tis!AM42*AD_tis!AM$48*AD_tis!$BE42</f>
        <v>0</v>
      </c>
      <c r="AN42" s="4">
        <f>+AD_tis!AN42*AD_tis!AN$48*AD_tis!$BE42</f>
        <v>0</v>
      </c>
      <c r="AO42" s="4">
        <f>+AD_tis!AO42*AD_tis!AO$48*AD_tis!$BE42</f>
        <v>0</v>
      </c>
      <c r="AP42" s="4">
        <f>+AD_tis!AP42*AD_tis!AP$48*AD_tis!$BE42</f>
        <v>0</v>
      </c>
      <c r="AQ42" s="4">
        <f>+AD_tis!AQ42*AD_tis!AQ$48*AD_tis!$BE42</f>
        <v>0</v>
      </c>
      <c r="AR42" s="4">
        <f>+AD_tis!AR42*AD_tis!AR$48*AD_tis!$BE42</f>
        <v>0</v>
      </c>
      <c r="AS42" s="4">
        <f>+AD_tis!AS42*AD_tis!AS$48*AD_tis!$BE42</f>
        <v>0</v>
      </c>
      <c r="AT42" s="4">
        <f>+AD_tis!AT42*AD_tis!AT$48*AD_tis!$BE42</f>
        <v>0</v>
      </c>
      <c r="AU42" s="4">
        <f>+AD_tis!AU42*AD_tis!AU$48*AD_tis!$BE42</f>
        <v>0</v>
      </c>
      <c r="AV42" s="4">
        <f>+AD_tis!AV42*AD_tis!AV$48*AD_tis!$BE42</f>
        <v>0</v>
      </c>
      <c r="AW42" s="12">
        <f>+AD_tis!AW42*AD_tis!AW$48*AD_tis!$BE42</f>
        <v>0</v>
      </c>
      <c r="AX42" s="13">
        <f>+AD_tis!AX42*AD_tis!AX$48*AD_tis!$BE42</f>
        <v>0</v>
      </c>
      <c r="AY42" s="4">
        <f>+AD_tis!AY42*AD_tis!AY$48*AD_tis!$BE42</f>
        <v>0</v>
      </c>
      <c r="AZ42" s="4">
        <f>+AD_tis!AZ42*AD_tis!AZ$48*AD_tis!$BE42</f>
        <v>0</v>
      </c>
      <c r="BA42" s="12">
        <f>+AD_tis!BA42*AD_tis!BA$48*AD_tis!$BE42</f>
        <v>0</v>
      </c>
      <c r="BB42" s="4">
        <f>+AD_tis!BB42*AD_tis!BB$48*AD_tis!$BE42</f>
        <v>0</v>
      </c>
      <c r="BC42" s="13">
        <f>+AD_tis!BC42*AD_tis!BC$48*AD_tis!$BE42</f>
        <v>0</v>
      </c>
    </row>
    <row r="43" spans="1:55" ht="18.75" customHeight="1" x14ac:dyDescent="0.25">
      <c r="A43" s="5" t="s">
        <v>94</v>
      </c>
      <c r="B43" s="12">
        <f>+AD_tis!B43*AD_tis!B$48*AD_tis!$BE43</f>
        <v>0</v>
      </c>
      <c r="C43" s="4">
        <f>+AD_tis!C43*AD_tis!C$48*AD_tis!$BE43</f>
        <v>0</v>
      </c>
      <c r="D43" s="4">
        <f>+AD_tis!D43*AD_tis!D$48*AD_tis!$BE43</f>
        <v>0</v>
      </c>
      <c r="E43" s="4">
        <f>+AD_tis!E43*AD_tis!E$48*AD_tis!$BE43</f>
        <v>0</v>
      </c>
      <c r="F43" s="4">
        <f>+AD_tis!F43*AD_tis!F$48*AD_tis!$BE43</f>
        <v>0</v>
      </c>
      <c r="G43" s="4">
        <f>+AD_tis!G43*AD_tis!G$48*AD_tis!$BE43</f>
        <v>0</v>
      </c>
      <c r="H43" s="4">
        <f>+AD_tis!H43*AD_tis!H$48*AD_tis!$BE43</f>
        <v>0</v>
      </c>
      <c r="I43" s="4">
        <f>+AD_tis!I43*AD_tis!I$48*AD_tis!$BE43</f>
        <v>0</v>
      </c>
      <c r="J43" s="4">
        <f>+AD_tis!J43*AD_tis!J$48*AD_tis!$BE43</f>
        <v>0</v>
      </c>
      <c r="K43" s="4">
        <f>+AD_tis!K43*AD_tis!K$48*AD_tis!$BE43</f>
        <v>1</v>
      </c>
      <c r="L43" s="4">
        <f>+AD_tis!L43*AD_tis!L$48*AD_tis!$BE43</f>
        <v>0</v>
      </c>
      <c r="M43" s="4">
        <f>+AD_tis!M43*AD_tis!M$48*AD_tis!$BE43</f>
        <v>0</v>
      </c>
      <c r="N43" s="4">
        <f>+AD_tis!N43*AD_tis!N$48*AD_tis!$BE43</f>
        <v>0</v>
      </c>
      <c r="O43" s="4">
        <f>+AD_tis!O43*AD_tis!O$48*AD_tis!$BE43</f>
        <v>0</v>
      </c>
      <c r="P43" s="4">
        <f>+AD_tis!P43*AD_tis!P$48*AD_tis!$BE43</f>
        <v>0</v>
      </c>
      <c r="Q43" s="4">
        <f>+AD_tis!Q43*AD_tis!Q$48*AD_tis!$BE43</f>
        <v>0</v>
      </c>
      <c r="R43" s="13">
        <f>+AD_tis!R43*AD_tis!R$48*AD_tis!$BE43</f>
        <v>0</v>
      </c>
      <c r="S43" s="4">
        <f>+AD_tis!S43*AD_tis!S$48*AD_tis!$BE43</f>
        <v>0</v>
      </c>
      <c r="T43" s="4">
        <f>+AD_tis!T43*AD_tis!T$48*AD_tis!$BE43</f>
        <v>0</v>
      </c>
      <c r="U43" s="4">
        <f>+AD_tis!U43*AD_tis!U$48*AD_tis!$BE43</f>
        <v>0</v>
      </c>
      <c r="V43" s="4">
        <f>+AD_tis!V43*AD_tis!V$48*AD_tis!$BE43</f>
        <v>0</v>
      </c>
      <c r="W43" s="4">
        <f>+AD_tis!W43*AD_tis!W$48*AD_tis!$BE43</f>
        <v>0</v>
      </c>
      <c r="X43" s="4">
        <f>+AD_tis!X43*AD_tis!X$48*AD_tis!$BE43</f>
        <v>0</v>
      </c>
      <c r="Y43" s="4">
        <f>+AD_tis!Y43*AD_tis!Y$48*AD_tis!$BE43</f>
        <v>0</v>
      </c>
      <c r="Z43" s="4">
        <f>+AD_tis!Z43*AD_tis!Z$48*AD_tis!$BE43</f>
        <v>0</v>
      </c>
      <c r="AA43" s="4">
        <f>+AD_tis!AA43*AD_tis!AA$48*AD_tis!$BE43</f>
        <v>0</v>
      </c>
      <c r="AB43" s="4">
        <f>+AD_tis!AB43*AD_tis!AB$48*AD_tis!$BE43</f>
        <v>0</v>
      </c>
      <c r="AC43" s="12">
        <f>+AD_tis!AC43*AD_tis!AC$48*AD_tis!$BE43</f>
        <v>0</v>
      </c>
      <c r="AD43" s="4">
        <f>+AD_tis!AD43*AD_tis!AD$48*AD_tis!$BE43</f>
        <v>0</v>
      </c>
      <c r="AE43" s="4">
        <f>+AD_tis!AE43*AD_tis!AE$48*AD_tis!$BE43</f>
        <v>0</v>
      </c>
      <c r="AF43" s="4">
        <f>+AD_tis!AF43*AD_tis!AF$48*AD_tis!$BE43</f>
        <v>0</v>
      </c>
      <c r="AG43" s="4">
        <f>+AD_tis!AG43*AD_tis!AG$48*AD_tis!$BE43</f>
        <v>0</v>
      </c>
      <c r="AH43" s="4">
        <f>+AD_tis!AH43*AD_tis!AH$48*AD_tis!$BE43</f>
        <v>0</v>
      </c>
      <c r="AI43" s="4">
        <f>+AD_tis!AI43*AD_tis!AI$48*AD_tis!$BE43</f>
        <v>0</v>
      </c>
      <c r="AJ43" s="4">
        <f>+AD_tis!AJ43*AD_tis!AJ$48*AD_tis!$BE43</f>
        <v>0</v>
      </c>
      <c r="AK43" s="4">
        <f>+AD_tis!AK43*AD_tis!AK$48*AD_tis!$BE43</f>
        <v>0</v>
      </c>
      <c r="AL43" s="4">
        <f>+AD_tis!AL43*AD_tis!AL$48*AD_tis!$BE43</f>
        <v>0</v>
      </c>
      <c r="AM43" s="13">
        <f>+AD_tis!AM43*AD_tis!AM$48*AD_tis!$BE43</f>
        <v>0</v>
      </c>
      <c r="AN43" s="4">
        <f>+AD_tis!AN43*AD_tis!AN$48*AD_tis!$BE43</f>
        <v>0</v>
      </c>
      <c r="AO43" s="4">
        <f>+AD_tis!AO43*AD_tis!AO$48*AD_tis!$BE43</f>
        <v>0</v>
      </c>
      <c r="AP43" s="4">
        <f>+AD_tis!AP43*AD_tis!AP$48*AD_tis!$BE43</f>
        <v>0</v>
      </c>
      <c r="AQ43" s="4">
        <f>+AD_tis!AQ43*AD_tis!AQ$48*AD_tis!$BE43</f>
        <v>0</v>
      </c>
      <c r="AR43" s="4">
        <f>+AD_tis!AR43*AD_tis!AR$48*AD_tis!$BE43</f>
        <v>0</v>
      </c>
      <c r="AS43" s="4">
        <f>+AD_tis!AS43*AD_tis!AS$48*AD_tis!$BE43</f>
        <v>0</v>
      </c>
      <c r="AT43" s="4">
        <f>+AD_tis!AT43*AD_tis!AT$48*AD_tis!$BE43</f>
        <v>0</v>
      </c>
      <c r="AU43" s="4">
        <f>+AD_tis!AU43*AD_tis!AU$48*AD_tis!$BE43</f>
        <v>0</v>
      </c>
      <c r="AV43" s="4">
        <f>+AD_tis!AV43*AD_tis!AV$48*AD_tis!$BE43</f>
        <v>0</v>
      </c>
      <c r="AW43" s="12">
        <f>+AD_tis!AW43*AD_tis!AW$48*AD_tis!$BE43</f>
        <v>0</v>
      </c>
      <c r="AX43" s="13">
        <f>+AD_tis!AX43*AD_tis!AX$48*AD_tis!$BE43</f>
        <v>0</v>
      </c>
      <c r="AY43" s="4">
        <f>+AD_tis!AY43*AD_tis!AY$48*AD_tis!$BE43</f>
        <v>0</v>
      </c>
      <c r="AZ43" s="4">
        <f>+AD_tis!AZ43*AD_tis!AZ$48*AD_tis!$BE43</f>
        <v>0</v>
      </c>
      <c r="BA43" s="12">
        <f>+AD_tis!BA43*AD_tis!BA$48*AD_tis!$BE43</f>
        <v>0</v>
      </c>
      <c r="BB43" s="4">
        <f>+AD_tis!BB43*AD_tis!BB$48*AD_tis!$BE43</f>
        <v>0</v>
      </c>
      <c r="BC43" s="13">
        <f>+AD_tis!BC43*AD_tis!BC$48*AD_tis!$BE43</f>
        <v>0</v>
      </c>
    </row>
    <row r="44" spans="1:55" ht="18.75" customHeight="1" x14ac:dyDescent="0.25">
      <c r="A44" s="5" t="s">
        <v>95</v>
      </c>
      <c r="B44" s="12">
        <f>+AD_tis!B44*AD_tis!B$48*AD_tis!$BE44</f>
        <v>0</v>
      </c>
      <c r="C44" s="4">
        <f>+AD_tis!C44*AD_tis!C$48*AD_tis!$BE44</f>
        <v>0</v>
      </c>
      <c r="D44" s="4">
        <f>+AD_tis!D44*AD_tis!D$48*AD_tis!$BE44</f>
        <v>0</v>
      </c>
      <c r="E44" s="4">
        <f>+AD_tis!E44*AD_tis!E$48*AD_tis!$BE44</f>
        <v>0</v>
      </c>
      <c r="F44" s="4">
        <f>+AD_tis!F44*AD_tis!F$48*AD_tis!$BE44</f>
        <v>0</v>
      </c>
      <c r="G44" s="4">
        <f>+AD_tis!G44*AD_tis!G$48*AD_tis!$BE44</f>
        <v>0</v>
      </c>
      <c r="H44" s="4">
        <f>+AD_tis!H44*AD_tis!H$48*AD_tis!$BE44</f>
        <v>0</v>
      </c>
      <c r="I44" s="4">
        <f>+AD_tis!I44*AD_tis!I$48*AD_tis!$BE44</f>
        <v>0</v>
      </c>
      <c r="J44" s="4">
        <f>+AD_tis!J44*AD_tis!J$48*AD_tis!$BE44</f>
        <v>0</v>
      </c>
      <c r="K44" s="4">
        <f>+AD_tis!K44*AD_tis!K$48*AD_tis!$BE44</f>
        <v>1</v>
      </c>
      <c r="L44" s="4">
        <f>+AD_tis!L44*AD_tis!L$48*AD_tis!$BE44</f>
        <v>0</v>
      </c>
      <c r="M44" s="4">
        <f>+AD_tis!M44*AD_tis!M$48*AD_tis!$BE44</f>
        <v>0</v>
      </c>
      <c r="N44" s="4">
        <f>+AD_tis!N44*AD_tis!N$48*AD_tis!$BE44</f>
        <v>0</v>
      </c>
      <c r="O44" s="4">
        <f>+AD_tis!O44*AD_tis!O$48*AD_tis!$BE44</f>
        <v>0</v>
      </c>
      <c r="P44" s="4">
        <f>+AD_tis!P44*AD_tis!P$48*AD_tis!$BE44</f>
        <v>0</v>
      </c>
      <c r="Q44" s="4">
        <f>+AD_tis!Q44*AD_tis!Q$48*AD_tis!$BE44</f>
        <v>0</v>
      </c>
      <c r="R44" s="13">
        <f>+AD_tis!R44*AD_tis!R$48*AD_tis!$BE44</f>
        <v>0</v>
      </c>
      <c r="S44" s="4">
        <f>+AD_tis!S44*AD_tis!S$48*AD_tis!$BE44</f>
        <v>0</v>
      </c>
      <c r="T44" s="4">
        <f>+AD_tis!T44*AD_tis!T$48*AD_tis!$BE44</f>
        <v>0</v>
      </c>
      <c r="U44" s="4">
        <f>+AD_tis!U44*AD_tis!U$48*AD_tis!$BE44</f>
        <v>0</v>
      </c>
      <c r="V44" s="4">
        <f>+AD_tis!V44*AD_tis!V$48*AD_tis!$BE44</f>
        <v>0</v>
      </c>
      <c r="W44" s="4">
        <f>+AD_tis!W44*AD_tis!W$48*AD_tis!$BE44</f>
        <v>0</v>
      </c>
      <c r="X44" s="4">
        <f>+AD_tis!X44*AD_tis!X$48*AD_tis!$BE44</f>
        <v>0</v>
      </c>
      <c r="Y44" s="4">
        <f>+AD_tis!Y44*AD_tis!Y$48*AD_tis!$BE44</f>
        <v>0</v>
      </c>
      <c r="Z44" s="4">
        <f>+AD_tis!Z44*AD_tis!Z$48*AD_tis!$BE44</f>
        <v>0</v>
      </c>
      <c r="AA44" s="4">
        <f>+AD_tis!AA44*AD_tis!AA$48*AD_tis!$BE44</f>
        <v>0</v>
      </c>
      <c r="AB44" s="4">
        <f>+AD_tis!AB44*AD_tis!AB$48*AD_tis!$BE44</f>
        <v>0</v>
      </c>
      <c r="AC44" s="12">
        <f>+AD_tis!AC44*AD_tis!AC$48*AD_tis!$BE44</f>
        <v>0</v>
      </c>
      <c r="AD44" s="4">
        <f>+AD_tis!AD44*AD_tis!AD$48*AD_tis!$BE44</f>
        <v>0</v>
      </c>
      <c r="AE44" s="4">
        <f>+AD_tis!AE44*AD_tis!AE$48*AD_tis!$BE44</f>
        <v>0</v>
      </c>
      <c r="AF44" s="4">
        <f>+AD_tis!AF44*AD_tis!AF$48*AD_tis!$BE44</f>
        <v>0</v>
      </c>
      <c r="AG44" s="4">
        <f>+AD_tis!AG44*AD_tis!AG$48*AD_tis!$BE44</f>
        <v>0</v>
      </c>
      <c r="AH44" s="4">
        <f>+AD_tis!AH44*AD_tis!AH$48*AD_tis!$BE44</f>
        <v>0</v>
      </c>
      <c r="AI44" s="4">
        <f>+AD_tis!AI44*AD_tis!AI$48*AD_tis!$BE44</f>
        <v>0</v>
      </c>
      <c r="AJ44" s="4">
        <f>+AD_tis!AJ44*AD_tis!AJ$48*AD_tis!$BE44</f>
        <v>0</v>
      </c>
      <c r="AK44" s="4">
        <f>+AD_tis!AK44*AD_tis!AK$48*AD_tis!$BE44</f>
        <v>0</v>
      </c>
      <c r="AL44" s="4">
        <f>+AD_tis!AL44*AD_tis!AL$48*AD_tis!$BE44</f>
        <v>0</v>
      </c>
      <c r="AM44" s="13">
        <f>+AD_tis!AM44*AD_tis!AM$48*AD_tis!$BE44</f>
        <v>0</v>
      </c>
      <c r="AN44" s="4">
        <f>+AD_tis!AN44*AD_tis!AN$48*AD_tis!$BE44</f>
        <v>0</v>
      </c>
      <c r="AO44" s="4">
        <f>+AD_tis!AO44*AD_tis!AO$48*AD_tis!$BE44</f>
        <v>0</v>
      </c>
      <c r="AP44" s="4">
        <f>+AD_tis!AP44*AD_tis!AP$48*AD_tis!$BE44</f>
        <v>0</v>
      </c>
      <c r="AQ44" s="4">
        <f>+AD_tis!AQ44*AD_tis!AQ$48*AD_tis!$BE44</f>
        <v>0</v>
      </c>
      <c r="AR44" s="4">
        <f>+AD_tis!AR44*AD_tis!AR$48*AD_tis!$BE44</f>
        <v>0</v>
      </c>
      <c r="AS44" s="4">
        <f>+AD_tis!AS44*AD_tis!AS$48*AD_tis!$BE44</f>
        <v>0</v>
      </c>
      <c r="AT44" s="4">
        <f>+AD_tis!AT44*AD_tis!AT$48*AD_tis!$BE44</f>
        <v>0</v>
      </c>
      <c r="AU44" s="4">
        <f>+AD_tis!AU44*AD_tis!AU$48*AD_tis!$BE44</f>
        <v>0</v>
      </c>
      <c r="AV44" s="4">
        <f>+AD_tis!AV44*AD_tis!AV$48*AD_tis!$BE44</f>
        <v>0</v>
      </c>
      <c r="AW44" s="12">
        <f>+AD_tis!AW44*AD_tis!AW$48*AD_tis!$BE44</f>
        <v>0</v>
      </c>
      <c r="AX44" s="13">
        <f>+AD_tis!AX44*AD_tis!AX$48*AD_tis!$BE44</f>
        <v>0</v>
      </c>
      <c r="AY44" s="4">
        <f>+AD_tis!AY44*AD_tis!AY$48*AD_tis!$BE44</f>
        <v>0</v>
      </c>
      <c r="AZ44" s="4">
        <f>+AD_tis!AZ44*AD_tis!AZ$48*AD_tis!$BE44</f>
        <v>0</v>
      </c>
      <c r="BA44" s="12">
        <f>+AD_tis!BA44*AD_tis!BA$48*AD_tis!$BE44</f>
        <v>0</v>
      </c>
      <c r="BB44" s="4">
        <f>+AD_tis!BB44*AD_tis!BB$48*AD_tis!$BE44</f>
        <v>0</v>
      </c>
      <c r="BC44" s="13">
        <f>+AD_tis!BC44*AD_tis!BC$48*AD_tis!$BE44</f>
        <v>0</v>
      </c>
    </row>
    <row r="45" spans="1:55" ht="18.75" customHeight="1" x14ac:dyDescent="0.25">
      <c r="A45" s="5" t="s">
        <v>96</v>
      </c>
      <c r="B45" s="12">
        <f>+AD_tis!B45*AD_tis!B$48*AD_tis!$BE45</f>
        <v>0</v>
      </c>
      <c r="C45" s="4">
        <f>+AD_tis!C45*AD_tis!C$48*AD_tis!$BE45</f>
        <v>0</v>
      </c>
      <c r="D45" s="4">
        <f>+AD_tis!D45*AD_tis!D$48*AD_tis!$BE45</f>
        <v>0</v>
      </c>
      <c r="E45" s="4">
        <f>+AD_tis!E45*AD_tis!E$48*AD_tis!$BE45</f>
        <v>0</v>
      </c>
      <c r="F45" s="4">
        <f>+AD_tis!F45*AD_tis!F$48*AD_tis!$BE45</f>
        <v>0</v>
      </c>
      <c r="G45" s="4">
        <f>+AD_tis!G45*AD_tis!G$48*AD_tis!$BE45</f>
        <v>1</v>
      </c>
      <c r="H45" s="4">
        <f>+AD_tis!H45*AD_tis!H$48*AD_tis!$BE45</f>
        <v>0</v>
      </c>
      <c r="I45" s="4">
        <f>+AD_tis!I45*AD_tis!I$48*AD_tis!$BE45</f>
        <v>0</v>
      </c>
      <c r="J45" s="4">
        <f>+AD_tis!J45*AD_tis!J$48*AD_tis!$BE45</f>
        <v>0</v>
      </c>
      <c r="K45" s="4">
        <f>+AD_tis!K45*AD_tis!K$48*AD_tis!$BE45</f>
        <v>0</v>
      </c>
      <c r="L45" s="4">
        <f>+AD_tis!L45*AD_tis!L$48*AD_tis!$BE45</f>
        <v>0</v>
      </c>
      <c r="M45" s="4">
        <f>+AD_tis!M45*AD_tis!M$48*AD_tis!$BE45</f>
        <v>1</v>
      </c>
      <c r="N45" s="4">
        <f>+AD_tis!N45*AD_tis!N$48*AD_tis!$BE45</f>
        <v>0</v>
      </c>
      <c r="O45" s="4">
        <f>+AD_tis!O45*AD_tis!O$48*AD_tis!$BE45</f>
        <v>0</v>
      </c>
      <c r="P45" s="4">
        <f>+AD_tis!P45*AD_tis!P$48*AD_tis!$BE45</f>
        <v>0</v>
      </c>
      <c r="Q45" s="4">
        <f>+AD_tis!Q45*AD_tis!Q$48*AD_tis!$BE45</f>
        <v>0</v>
      </c>
      <c r="R45" s="13">
        <f>+AD_tis!R45*AD_tis!R$48*AD_tis!$BE45</f>
        <v>0</v>
      </c>
      <c r="S45" s="4">
        <f>+AD_tis!S45*AD_tis!S$48*AD_tis!$BE45</f>
        <v>0</v>
      </c>
      <c r="T45" s="4">
        <f>+AD_tis!T45*AD_tis!T$48*AD_tis!$BE45</f>
        <v>0</v>
      </c>
      <c r="U45" s="4">
        <f>+AD_tis!U45*AD_tis!U$48*AD_tis!$BE45</f>
        <v>0</v>
      </c>
      <c r="V45" s="4">
        <f>+AD_tis!V45*AD_tis!V$48*AD_tis!$BE45</f>
        <v>0</v>
      </c>
      <c r="W45" s="4">
        <f>+AD_tis!W45*AD_tis!W$48*AD_tis!$BE45</f>
        <v>0</v>
      </c>
      <c r="X45" s="4">
        <f>+AD_tis!X45*AD_tis!X$48*AD_tis!$BE45</f>
        <v>0</v>
      </c>
      <c r="Y45" s="4">
        <f>+AD_tis!Y45*AD_tis!Y$48*AD_tis!$BE45</f>
        <v>0</v>
      </c>
      <c r="Z45" s="4">
        <f>+AD_tis!Z45*AD_tis!Z$48*AD_tis!$BE45</f>
        <v>0</v>
      </c>
      <c r="AA45" s="4">
        <f>+AD_tis!AA45*AD_tis!AA$48*AD_tis!$BE45</f>
        <v>0</v>
      </c>
      <c r="AB45" s="4">
        <f>+AD_tis!AB45*AD_tis!AB$48*AD_tis!$BE45</f>
        <v>0</v>
      </c>
      <c r="AC45" s="12">
        <f>+AD_tis!AC45*AD_tis!AC$48*AD_tis!$BE45</f>
        <v>0</v>
      </c>
      <c r="AD45" s="4">
        <f>+AD_tis!AD45*AD_tis!AD$48*AD_tis!$BE45</f>
        <v>0</v>
      </c>
      <c r="AE45" s="4">
        <f>+AD_tis!AE45*AD_tis!AE$48*AD_tis!$BE45</f>
        <v>0</v>
      </c>
      <c r="AF45" s="4">
        <f>+AD_tis!AF45*AD_tis!AF$48*AD_tis!$BE45</f>
        <v>0</v>
      </c>
      <c r="AG45" s="4">
        <f>+AD_tis!AG45*AD_tis!AG$48*AD_tis!$BE45</f>
        <v>0</v>
      </c>
      <c r="AH45" s="4">
        <f>+AD_tis!AH45*AD_tis!AH$48*AD_tis!$BE45</f>
        <v>0</v>
      </c>
      <c r="AI45" s="4">
        <f>+AD_tis!AI45*AD_tis!AI$48*AD_tis!$BE45</f>
        <v>0</v>
      </c>
      <c r="AJ45" s="4">
        <f>+AD_tis!AJ45*AD_tis!AJ$48*AD_tis!$BE45</f>
        <v>0</v>
      </c>
      <c r="AK45" s="4">
        <f>+AD_tis!AK45*AD_tis!AK$48*AD_tis!$BE45</f>
        <v>0</v>
      </c>
      <c r="AL45" s="4">
        <f>+AD_tis!AL45*AD_tis!AL$48*AD_tis!$BE45</f>
        <v>0</v>
      </c>
      <c r="AM45" s="13">
        <f>+AD_tis!AM45*AD_tis!AM$48*AD_tis!$BE45</f>
        <v>0</v>
      </c>
      <c r="AN45" s="4">
        <f>+AD_tis!AN45*AD_tis!AN$48*AD_tis!$BE45</f>
        <v>0</v>
      </c>
      <c r="AO45" s="4">
        <f>+AD_tis!AO45*AD_tis!AO$48*AD_tis!$BE45</f>
        <v>0</v>
      </c>
      <c r="AP45" s="4">
        <f>+AD_tis!AP45*AD_tis!AP$48*AD_tis!$BE45</f>
        <v>0</v>
      </c>
      <c r="AQ45" s="4">
        <f>+AD_tis!AQ45*AD_tis!AQ$48*AD_tis!$BE45</f>
        <v>0</v>
      </c>
      <c r="AR45" s="4">
        <f>+AD_tis!AR45*AD_tis!AR$48*AD_tis!$BE45</f>
        <v>0</v>
      </c>
      <c r="AS45" s="4">
        <f>+AD_tis!AS45*AD_tis!AS$48*AD_tis!$BE45</f>
        <v>0</v>
      </c>
      <c r="AT45" s="4">
        <f>+AD_tis!AT45*AD_tis!AT$48*AD_tis!$BE45</f>
        <v>0</v>
      </c>
      <c r="AU45" s="4">
        <f>+AD_tis!AU45*AD_tis!AU$48*AD_tis!$BE45</f>
        <v>0</v>
      </c>
      <c r="AV45" s="4">
        <f>+AD_tis!AV45*AD_tis!AV$48*AD_tis!$BE45</f>
        <v>0</v>
      </c>
      <c r="AW45" s="12">
        <f>+AD_tis!AW45*AD_tis!AW$48*AD_tis!$BE45</f>
        <v>0</v>
      </c>
      <c r="AX45" s="13">
        <f>+AD_tis!AX45*AD_tis!AX$48*AD_tis!$BE45</f>
        <v>0</v>
      </c>
      <c r="AY45" s="4">
        <f>+AD_tis!AY45*AD_tis!AY$48*AD_tis!$BE45</f>
        <v>0</v>
      </c>
      <c r="AZ45" s="4">
        <f>+AD_tis!AZ45*AD_tis!AZ$48*AD_tis!$BE45</f>
        <v>0</v>
      </c>
      <c r="BA45" s="12">
        <f>+AD_tis!BA45*AD_tis!BA$48*AD_tis!$BE45</f>
        <v>0</v>
      </c>
      <c r="BB45" s="4">
        <f>+AD_tis!BB45*AD_tis!BB$48*AD_tis!$BE45</f>
        <v>0</v>
      </c>
      <c r="BC45" s="13">
        <f>+AD_tis!BC45*AD_tis!BC$48*AD_tis!$BE45</f>
        <v>0</v>
      </c>
    </row>
    <row r="46" spans="1:55" ht="18.75" customHeight="1" x14ac:dyDescent="0.25">
      <c r="A46" s="6" t="s">
        <v>97</v>
      </c>
      <c r="B46" s="12">
        <f>+AD_tis!B46*AD_tis!B$48*AD_tis!$BE46</f>
        <v>0</v>
      </c>
      <c r="C46" s="4">
        <f>+AD_tis!C46*AD_tis!C$48*AD_tis!$BE46</f>
        <v>0</v>
      </c>
      <c r="D46" s="4">
        <f>+AD_tis!D46*AD_tis!D$48*AD_tis!$BE46</f>
        <v>0</v>
      </c>
      <c r="E46" s="4">
        <f>+AD_tis!E46*AD_tis!E$48*AD_tis!$BE46</f>
        <v>0</v>
      </c>
      <c r="F46" s="4">
        <f>+AD_tis!F46*AD_tis!F$48*AD_tis!$BE46</f>
        <v>0</v>
      </c>
      <c r="G46" s="4">
        <f>+AD_tis!G46*AD_tis!G$48*AD_tis!$BE46</f>
        <v>0</v>
      </c>
      <c r="H46" s="4">
        <f>+AD_tis!H46*AD_tis!H$48*AD_tis!$BE46</f>
        <v>0</v>
      </c>
      <c r="I46" s="4">
        <f>+AD_tis!I46*AD_tis!I$48*AD_tis!$BE46</f>
        <v>0</v>
      </c>
      <c r="J46" s="4">
        <f>+AD_tis!J46*AD_tis!J$48*AD_tis!$BE46</f>
        <v>0</v>
      </c>
      <c r="K46" s="4">
        <f>+AD_tis!K46*AD_tis!K$48*AD_tis!$BE46</f>
        <v>1</v>
      </c>
      <c r="L46" s="4">
        <f>+AD_tis!L46*AD_tis!L$48*AD_tis!$BE46</f>
        <v>0</v>
      </c>
      <c r="M46" s="4">
        <f>+AD_tis!M46*AD_tis!M$48*AD_tis!$BE46</f>
        <v>0</v>
      </c>
      <c r="N46" s="4">
        <f>+AD_tis!N46*AD_tis!N$48*AD_tis!$BE46</f>
        <v>0</v>
      </c>
      <c r="O46" s="4">
        <f>+AD_tis!O46*AD_tis!O$48*AD_tis!$BE46</f>
        <v>0</v>
      </c>
      <c r="P46" s="4">
        <f>+AD_tis!P46*AD_tis!P$48*AD_tis!$BE46</f>
        <v>0</v>
      </c>
      <c r="Q46" s="4">
        <f>+AD_tis!Q46*AD_tis!Q$48*AD_tis!$BE46</f>
        <v>0</v>
      </c>
      <c r="R46" s="13">
        <f>+AD_tis!R46*AD_tis!R$48*AD_tis!$BE46</f>
        <v>0</v>
      </c>
      <c r="S46" s="4">
        <f>+AD_tis!S46*AD_tis!S$48*AD_tis!$BE46</f>
        <v>0</v>
      </c>
      <c r="T46" s="4">
        <f>+AD_tis!T46*AD_tis!T$48*AD_tis!$BE46</f>
        <v>0</v>
      </c>
      <c r="U46" s="4">
        <f>+AD_tis!U46*AD_tis!U$48*AD_tis!$BE46</f>
        <v>0</v>
      </c>
      <c r="V46" s="4">
        <f>+AD_tis!V46*AD_tis!V$48*AD_tis!$BE46</f>
        <v>0</v>
      </c>
      <c r="W46" s="4">
        <f>+AD_tis!W46*AD_tis!W$48*AD_tis!$BE46</f>
        <v>0</v>
      </c>
      <c r="X46" s="4">
        <f>+AD_tis!X46*AD_tis!X$48*AD_tis!$BE46</f>
        <v>0</v>
      </c>
      <c r="Y46" s="4">
        <f>+AD_tis!Y46*AD_tis!Y$48*AD_tis!$BE46</f>
        <v>0</v>
      </c>
      <c r="Z46" s="4">
        <f>+AD_tis!Z46*AD_tis!Z$48*AD_tis!$BE46</f>
        <v>0</v>
      </c>
      <c r="AA46" s="4">
        <f>+AD_tis!AA46*AD_tis!AA$48*AD_tis!$BE46</f>
        <v>0</v>
      </c>
      <c r="AB46" s="4">
        <f>+AD_tis!AB46*AD_tis!AB$48*AD_tis!$BE46</f>
        <v>0</v>
      </c>
      <c r="AC46" s="12">
        <f>+AD_tis!AC46*AD_tis!AC$48*AD_tis!$BE46</f>
        <v>0</v>
      </c>
      <c r="AD46" s="4">
        <f>+AD_tis!AD46*AD_tis!AD$48*AD_tis!$BE46</f>
        <v>0</v>
      </c>
      <c r="AE46" s="4">
        <f>+AD_tis!AE46*AD_tis!AE$48*AD_tis!$BE46</f>
        <v>0</v>
      </c>
      <c r="AF46" s="4">
        <f>+AD_tis!AF46*AD_tis!AF$48*AD_tis!$BE46</f>
        <v>0</v>
      </c>
      <c r="AG46" s="4">
        <f>+AD_tis!AG46*AD_tis!AG$48*AD_tis!$BE46</f>
        <v>0</v>
      </c>
      <c r="AH46" s="4">
        <f>+AD_tis!AH46*AD_tis!AH$48*AD_tis!$BE46</f>
        <v>0</v>
      </c>
      <c r="AI46" s="4">
        <f>+AD_tis!AI46*AD_tis!AI$48*AD_tis!$BE46</f>
        <v>0</v>
      </c>
      <c r="AJ46" s="4">
        <f>+AD_tis!AJ46*AD_tis!AJ$48*AD_tis!$BE46</f>
        <v>0</v>
      </c>
      <c r="AK46" s="4">
        <f>+AD_tis!AK46*AD_tis!AK$48*AD_tis!$BE46</f>
        <v>0</v>
      </c>
      <c r="AL46" s="4">
        <f>+AD_tis!AL46*AD_tis!AL$48*AD_tis!$BE46</f>
        <v>0</v>
      </c>
      <c r="AM46" s="13">
        <f>+AD_tis!AM46*AD_tis!AM$48*AD_tis!$BE46</f>
        <v>0</v>
      </c>
      <c r="AN46" s="4">
        <f>+AD_tis!AN46*AD_tis!AN$48*AD_tis!$BE46</f>
        <v>0</v>
      </c>
      <c r="AO46" s="4">
        <f>+AD_tis!AO46*AD_tis!AO$48*AD_tis!$BE46</f>
        <v>0</v>
      </c>
      <c r="AP46" s="4">
        <f>+AD_tis!AP46*AD_tis!AP$48*AD_tis!$BE46</f>
        <v>0</v>
      </c>
      <c r="AQ46" s="4">
        <f>+AD_tis!AQ46*AD_tis!AQ$48*AD_tis!$BE46</f>
        <v>0</v>
      </c>
      <c r="AR46" s="4">
        <f>+AD_tis!AR46*AD_tis!AR$48*AD_tis!$BE46</f>
        <v>0</v>
      </c>
      <c r="AS46" s="4">
        <f>+AD_tis!AS46*AD_tis!AS$48*AD_tis!$BE46</f>
        <v>0</v>
      </c>
      <c r="AT46" s="4">
        <f>+AD_tis!AT46*AD_tis!AT$48*AD_tis!$BE46</f>
        <v>0</v>
      </c>
      <c r="AU46" s="4">
        <f>+AD_tis!AU46*AD_tis!AU$48*AD_tis!$BE46</f>
        <v>0</v>
      </c>
      <c r="AV46" s="4">
        <f>+AD_tis!AV46*AD_tis!AV$48*AD_tis!$BE46</f>
        <v>0</v>
      </c>
      <c r="AW46" s="12">
        <f>+AD_tis!AW46*AD_tis!AW$48*AD_tis!$BE46</f>
        <v>0</v>
      </c>
      <c r="AX46" s="13">
        <f>+AD_tis!AX46*AD_tis!AX$48*AD_tis!$BE46</f>
        <v>0</v>
      </c>
      <c r="AY46" s="4">
        <f>+AD_tis!AY46*AD_tis!AY$48*AD_tis!$BE46</f>
        <v>0</v>
      </c>
      <c r="AZ46" s="4">
        <f>+AD_tis!AZ46*AD_tis!AZ$48*AD_tis!$BE46</f>
        <v>0</v>
      </c>
      <c r="BA46" s="12">
        <f>+AD_tis!BA46*AD_tis!BA$48*AD_tis!$BE46</f>
        <v>0</v>
      </c>
      <c r="BB46" s="4">
        <f>+AD_tis!BB46*AD_tis!BB$48*AD_tis!$BE46</f>
        <v>0</v>
      </c>
      <c r="BC46" s="13">
        <f>+AD_tis!BC46*AD_tis!BC$48*AD_tis!$BE46</f>
        <v>0</v>
      </c>
    </row>
  </sheetData>
  <conditionalFormatting sqref="B2:BC46">
    <cfRule type="cellIs" dxfId="15" priority="1" operator="equal"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BC46"/>
  <sheetViews>
    <sheetView workbookViewId="0">
      <selection activeCell="U23" sqref="U23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</cols>
  <sheetData>
    <row r="1" spans="1:55" ht="18.7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8.75" customHeight="1" x14ac:dyDescent="0.25">
      <c r="A2" s="3" t="str">
        <f>"T"&amp;_xlfn.SEQUENCE(36,1,1,1)</f>
        <v>T1</v>
      </c>
      <c r="B2" s="9">
        <f>+AD_tis!B2*AD_tis!B$49*AD_tis!$BF2</f>
        <v>0</v>
      </c>
      <c r="C2" s="10">
        <f>+AD_tis!C2*AD_tis!C$49*AD_tis!$BF2</f>
        <v>0</v>
      </c>
      <c r="D2" s="10">
        <f>+AD_tis!D2*AD_tis!D$49*AD_tis!$BF2</f>
        <v>0</v>
      </c>
      <c r="E2" s="10">
        <f>+AD_tis!E2*AD_tis!E$49*AD_tis!$BF2</f>
        <v>0</v>
      </c>
      <c r="F2" s="10">
        <f>+AD_tis!F2*AD_tis!F$49*AD_tis!$BF2</f>
        <v>0</v>
      </c>
      <c r="G2" s="10">
        <f>+AD_tis!G2*AD_tis!G$49*AD_tis!$BF2</f>
        <v>0</v>
      </c>
      <c r="H2" s="10">
        <f>+AD_tis!H2*AD_tis!H$49*AD_tis!$BF2</f>
        <v>0</v>
      </c>
      <c r="I2" s="10">
        <f>+AD_tis!I2*AD_tis!I$49*AD_tis!$BF2</f>
        <v>0</v>
      </c>
      <c r="J2" s="10">
        <f>+AD_tis!J2*AD_tis!J$49*AD_tis!$BF2</f>
        <v>0</v>
      </c>
      <c r="K2" s="10">
        <f>+AD_tis!K2*AD_tis!K$49*AD_tis!$BF2</f>
        <v>0</v>
      </c>
      <c r="L2" s="10">
        <f>+AD_tis!L2*AD_tis!L$49*AD_tis!$BF2</f>
        <v>0</v>
      </c>
      <c r="M2" s="10">
        <f>+AD_tis!M2*AD_tis!M$49*AD_tis!$BF2</f>
        <v>0</v>
      </c>
      <c r="N2" s="10">
        <f>+AD_tis!N2*AD_tis!N$49*AD_tis!$BF2</f>
        <v>0</v>
      </c>
      <c r="O2" s="10">
        <f>+AD_tis!O2*AD_tis!O$49*AD_tis!$BF2</f>
        <v>0</v>
      </c>
      <c r="P2" s="10">
        <f>+AD_tis!P2*AD_tis!P$49*AD_tis!$BF2</f>
        <v>0</v>
      </c>
      <c r="Q2" s="10">
        <f>+AD_tis!Q2*AD_tis!Q$49*AD_tis!$BF2</f>
        <v>0</v>
      </c>
      <c r="R2" s="11">
        <f>+AD_tis!R2*AD_tis!R$49*AD_tis!$BF2</f>
        <v>0</v>
      </c>
      <c r="S2" s="10">
        <f>+AD_tis!S2*AD_tis!S$49*AD_tis!$BF2</f>
        <v>0</v>
      </c>
      <c r="T2" s="10">
        <f>+AD_tis!T2*AD_tis!T$49*AD_tis!$BF2</f>
        <v>0</v>
      </c>
      <c r="U2" s="10">
        <f>+AD_tis!U2*AD_tis!U$49*AD_tis!$BF2</f>
        <v>0</v>
      </c>
      <c r="V2" s="10">
        <f>+AD_tis!V2*AD_tis!V$49*AD_tis!$BF2</f>
        <v>0</v>
      </c>
      <c r="W2" s="10">
        <f>+AD_tis!W2*AD_tis!W$49*AD_tis!$BF2</f>
        <v>0</v>
      </c>
      <c r="X2" s="10">
        <f>+AD_tis!X2*AD_tis!X$49*AD_tis!$BF2</f>
        <v>0</v>
      </c>
      <c r="Y2" s="10">
        <f>+AD_tis!Y2*AD_tis!Y$49*AD_tis!$BF2</f>
        <v>0</v>
      </c>
      <c r="Z2" s="10">
        <f>+AD_tis!Z2*AD_tis!Z$49*AD_tis!$BF2</f>
        <v>0</v>
      </c>
      <c r="AA2" s="10">
        <f>+AD_tis!AA2*AD_tis!AA$49*AD_tis!$BF2</f>
        <v>0</v>
      </c>
      <c r="AB2" s="10">
        <f>+AD_tis!AB2*AD_tis!AB$49*AD_tis!$BF2</f>
        <v>0</v>
      </c>
      <c r="AC2" s="9">
        <f>+AD_tis!AC2*AD_tis!AC$49*AD_tis!$BF2</f>
        <v>0</v>
      </c>
      <c r="AD2" s="10">
        <f>+AD_tis!AD2*AD_tis!AD$49*AD_tis!$BF2</f>
        <v>0</v>
      </c>
      <c r="AE2" s="10">
        <f>+AD_tis!AE2*AD_tis!AE$49*AD_tis!$BF2</f>
        <v>0</v>
      </c>
      <c r="AF2" s="10">
        <f>+AD_tis!AF2*AD_tis!AF$49*AD_tis!$BF2</f>
        <v>0</v>
      </c>
      <c r="AG2" s="10">
        <f>+AD_tis!AG2*AD_tis!AG$49*AD_tis!$BF2</f>
        <v>0</v>
      </c>
      <c r="AH2" s="10">
        <f>+AD_tis!AH2*AD_tis!AH$49*AD_tis!$BF2</f>
        <v>0</v>
      </c>
      <c r="AI2" s="10">
        <f>+AD_tis!AI2*AD_tis!AI$49*AD_tis!$BF2</f>
        <v>0</v>
      </c>
      <c r="AJ2" s="10">
        <f>+AD_tis!AJ2*AD_tis!AJ$49*AD_tis!$BF2</f>
        <v>0</v>
      </c>
      <c r="AK2" s="10">
        <f>+AD_tis!AK2*AD_tis!AK$49*AD_tis!$BF2</f>
        <v>0</v>
      </c>
      <c r="AL2" s="10">
        <f>+AD_tis!AL2*AD_tis!AL$49*AD_tis!$BF2</f>
        <v>0</v>
      </c>
      <c r="AM2" s="11">
        <f>+AD_tis!AM2*AD_tis!AM$49*AD_tis!$BF2</f>
        <v>0</v>
      </c>
      <c r="AN2" s="10">
        <f>+AD_tis!AN2*AD_tis!AN$49*AD_tis!$BF2</f>
        <v>0</v>
      </c>
      <c r="AO2" s="10">
        <f>+AD_tis!AO2*AD_tis!AO$49*AD_tis!$BF2</f>
        <v>0</v>
      </c>
      <c r="AP2" s="10">
        <f>+AD_tis!AP2*AD_tis!AP$49*AD_tis!$BF2</f>
        <v>0</v>
      </c>
      <c r="AQ2" s="10">
        <f>+AD_tis!AQ2*AD_tis!AQ$49*AD_tis!$BF2</f>
        <v>0</v>
      </c>
      <c r="AR2" s="10">
        <f>+AD_tis!AR2*AD_tis!AR$49*AD_tis!$BF2</f>
        <v>0</v>
      </c>
      <c r="AS2" s="10">
        <f>+AD_tis!AS2*AD_tis!AS$49*AD_tis!$BF2</f>
        <v>0</v>
      </c>
      <c r="AT2" s="10">
        <f>+AD_tis!AT2*AD_tis!AT$49*AD_tis!$BF2</f>
        <v>0</v>
      </c>
      <c r="AU2" s="10">
        <f>+AD_tis!AU2*AD_tis!AU$49*AD_tis!$BF2</f>
        <v>0</v>
      </c>
      <c r="AV2" s="10">
        <f>+AD_tis!AV2*AD_tis!AV$49*AD_tis!$BF2</f>
        <v>0</v>
      </c>
      <c r="AW2" s="9">
        <f>+AD_tis!AW2*AD_tis!AW$49*AD_tis!$BF2</f>
        <v>0</v>
      </c>
      <c r="AX2" s="11">
        <f>+AD_tis!AX2*AD_tis!AX$49*AD_tis!$BF2</f>
        <v>0</v>
      </c>
      <c r="AY2" s="10">
        <f>+AD_tis!AY2*AD_tis!AY$49*AD_tis!$BF2</f>
        <v>0</v>
      </c>
      <c r="AZ2" s="10">
        <f>+AD_tis!AZ2*AD_tis!AZ$49*AD_tis!$BF2</f>
        <v>0</v>
      </c>
      <c r="BA2" s="9">
        <f>+AD_tis!BA2*AD_tis!BA$49*AD_tis!$BF2</f>
        <v>0</v>
      </c>
      <c r="BB2" s="10">
        <f>+AD_tis!BB2*AD_tis!BB$49*AD_tis!$BF2</f>
        <v>0</v>
      </c>
      <c r="BC2" s="11">
        <f>+AD_tis!BC2*AD_tis!BC$49*AD_tis!$BF2</f>
        <v>0</v>
      </c>
    </row>
    <row r="3" spans="1:55" ht="18.75" customHeight="1" x14ac:dyDescent="0.25">
      <c r="A3" s="5" t="s">
        <v>54</v>
      </c>
      <c r="B3" s="12">
        <f>+AD_tis!B3*AD_tis!B$49*AD_tis!$BF3</f>
        <v>0</v>
      </c>
      <c r="C3" s="4">
        <f>+AD_tis!C3*AD_tis!C$49*AD_tis!$BF3</f>
        <v>0</v>
      </c>
      <c r="D3" s="4">
        <f>+AD_tis!D3*AD_tis!D$49*AD_tis!$BF3</f>
        <v>0</v>
      </c>
      <c r="E3" s="4">
        <f>+AD_tis!E3*AD_tis!E$49*AD_tis!$BF3</f>
        <v>0</v>
      </c>
      <c r="F3" s="4">
        <f>+AD_tis!F3*AD_tis!F$49*AD_tis!$BF3</f>
        <v>0</v>
      </c>
      <c r="G3" s="4">
        <f>+AD_tis!G3*AD_tis!G$49*AD_tis!$BF3</f>
        <v>1</v>
      </c>
      <c r="H3" s="4">
        <f>+AD_tis!H3*AD_tis!H$49*AD_tis!$BF3</f>
        <v>0</v>
      </c>
      <c r="I3" s="4">
        <f>+AD_tis!I3*AD_tis!I$49*AD_tis!$BF3</f>
        <v>0</v>
      </c>
      <c r="J3" s="4">
        <f>+AD_tis!J3*AD_tis!J$49*AD_tis!$BF3</f>
        <v>0</v>
      </c>
      <c r="K3" s="4">
        <f>+AD_tis!K3*AD_tis!K$49*AD_tis!$BF3</f>
        <v>0</v>
      </c>
      <c r="L3" s="4">
        <f>+AD_tis!L3*AD_tis!L$49*AD_tis!$BF3</f>
        <v>0</v>
      </c>
      <c r="M3" s="4">
        <f>+AD_tis!M3*AD_tis!M$49*AD_tis!$BF3</f>
        <v>0</v>
      </c>
      <c r="N3" s="4">
        <f>+AD_tis!N3*AD_tis!N$49*AD_tis!$BF3</f>
        <v>0</v>
      </c>
      <c r="O3" s="4">
        <f>+AD_tis!O3*AD_tis!O$49*AD_tis!$BF3</f>
        <v>0</v>
      </c>
      <c r="P3" s="4">
        <f>+AD_tis!P3*AD_tis!P$49*AD_tis!$BF3</f>
        <v>0</v>
      </c>
      <c r="Q3" s="4">
        <f>+AD_tis!Q3*AD_tis!Q$49*AD_tis!$BF3</f>
        <v>0</v>
      </c>
      <c r="R3" s="13">
        <f>+AD_tis!R3*AD_tis!R$49*AD_tis!$BF3</f>
        <v>0</v>
      </c>
      <c r="S3" s="4">
        <f>+AD_tis!S3*AD_tis!S$49*AD_tis!$BF3</f>
        <v>0</v>
      </c>
      <c r="T3" s="4">
        <f>+AD_tis!T3*AD_tis!T$49*AD_tis!$BF3</f>
        <v>0</v>
      </c>
      <c r="U3" s="4">
        <f>+AD_tis!U3*AD_tis!U$49*AD_tis!$BF3</f>
        <v>0</v>
      </c>
      <c r="V3" s="4">
        <f>+AD_tis!V3*AD_tis!V$49*AD_tis!$BF3</f>
        <v>0</v>
      </c>
      <c r="W3" s="4">
        <f>+AD_tis!W3*AD_tis!W$49*AD_tis!$BF3</f>
        <v>0</v>
      </c>
      <c r="X3" s="4">
        <f>+AD_tis!X3*AD_tis!X$49*AD_tis!$BF3</f>
        <v>0</v>
      </c>
      <c r="Y3" s="4">
        <f>+AD_tis!Y3*AD_tis!Y$49*AD_tis!$BF3</f>
        <v>0</v>
      </c>
      <c r="Z3" s="4">
        <f>+AD_tis!Z3*AD_tis!Z$49*AD_tis!$BF3</f>
        <v>0</v>
      </c>
      <c r="AA3" s="4">
        <f>+AD_tis!AA3*AD_tis!AA$49*AD_tis!$BF3</f>
        <v>0</v>
      </c>
      <c r="AB3" s="4">
        <f>+AD_tis!AB3*AD_tis!AB$49*AD_tis!$BF3</f>
        <v>0</v>
      </c>
      <c r="AC3" s="12">
        <f>+AD_tis!AC3*AD_tis!AC$49*AD_tis!$BF3</f>
        <v>0</v>
      </c>
      <c r="AD3" s="4">
        <f>+AD_tis!AD3*AD_tis!AD$49*AD_tis!$BF3</f>
        <v>0</v>
      </c>
      <c r="AE3" s="4">
        <f>+AD_tis!AE3*AD_tis!AE$49*AD_tis!$BF3</f>
        <v>0</v>
      </c>
      <c r="AF3" s="4">
        <f>+AD_tis!AF3*AD_tis!AF$49*AD_tis!$BF3</f>
        <v>0</v>
      </c>
      <c r="AG3" s="4">
        <f>+AD_tis!AG3*AD_tis!AG$49*AD_tis!$BF3</f>
        <v>0</v>
      </c>
      <c r="AH3" s="4">
        <f>+AD_tis!AH3*AD_tis!AH$49*AD_tis!$BF3</f>
        <v>0</v>
      </c>
      <c r="AI3" s="4">
        <f>+AD_tis!AI3*AD_tis!AI$49*AD_tis!$BF3</f>
        <v>0</v>
      </c>
      <c r="AJ3" s="4">
        <f>+AD_tis!AJ3*AD_tis!AJ$49*AD_tis!$BF3</f>
        <v>0</v>
      </c>
      <c r="AK3" s="4">
        <f>+AD_tis!AK3*AD_tis!AK$49*AD_tis!$BF3</f>
        <v>0</v>
      </c>
      <c r="AL3" s="4">
        <f>+AD_tis!AL3*AD_tis!AL$49*AD_tis!$BF3</f>
        <v>0</v>
      </c>
      <c r="AM3" s="13">
        <f>+AD_tis!AM3*AD_tis!AM$49*AD_tis!$BF3</f>
        <v>0</v>
      </c>
      <c r="AN3" s="4">
        <f>+AD_tis!AN3*AD_tis!AN$49*AD_tis!$BF3</f>
        <v>0</v>
      </c>
      <c r="AO3" s="4">
        <f>+AD_tis!AO3*AD_tis!AO$49*AD_tis!$BF3</f>
        <v>0</v>
      </c>
      <c r="AP3" s="4">
        <f>+AD_tis!AP3*AD_tis!AP$49*AD_tis!$BF3</f>
        <v>0</v>
      </c>
      <c r="AQ3" s="4">
        <f>+AD_tis!AQ3*AD_tis!AQ$49*AD_tis!$BF3</f>
        <v>0</v>
      </c>
      <c r="AR3" s="4">
        <f>+AD_tis!AR3*AD_tis!AR$49*AD_tis!$BF3</f>
        <v>0</v>
      </c>
      <c r="AS3" s="4">
        <f>+AD_tis!AS3*AD_tis!AS$49*AD_tis!$BF3</f>
        <v>0</v>
      </c>
      <c r="AT3" s="4">
        <f>+AD_tis!AT3*AD_tis!AT$49*AD_tis!$BF3</f>
        <v>0</v>
      </c>
      <c r="AU3" s="4">
        <f>+AD_tis!AU3*AD_tis!AU$49*AD_tis!$BF3</f>
        <v>0</v>
      </c>
      <c r="AV3" s="4">
        <f>+AD_tis!AV3*AD_tis!AV$49*AD_tis!$BF3</f>
        <v>0</v>
      </c>
      <c r="AW3" s="12">
        <f>+AD_tis!AW3*AD_tis!AW$49*AD_tis!$BF3</f>
        <v>0</v>
      </c>
      <c r="AX3" s="13">
        <f>+AD_tis!AX3*AD_tis!AX$49*AD_tis!$BF3</f>
        <v>0</v>
      </c>
      <c r="AY3" s="4">
        <f>+AD_tis!AY3*AD_tis!AY$49*AD_tis!$BF3</f>
        <v>0</v>
      </c>
      <c r="AZ3" s="4">
        <f>+AD_tis!AZ3*AD_tis!AZ$49*AD_tis!$BF3</f>
        <v>0</v>
      </c>
      <c r="BA3" s="12">
        <f>+AD_tis!BA3*AD_tis!BA$49*AD_tis!$BF3</f>
        <v>0</v>
      </c>
      <c r="BB3" s="4">
        <f>+AD_tis!BB3*AD_tis!BB$49*AD_tis!$BF3</f>
        <v>0</v>
      </c>
      <c r="BC3" s="13">
        <f>+AD_tis!BC3*AD_tis!BC$49*AD_tis!$BF3</f>
        <v>0</v>
      </c>
    </row>
    <row r="4" spans="1:55" ht="18.75" customHeight="1" x14ac:dyDescent="0.25">
      <c r="A4" s="5" t="s">
        <v>55</v>
      </c>
      <c r="B4" s="12">
        <f>+AD_tis!B4*AD_tis!B$49*AD_tis!$BF4</f>
        <v>0</v>
      </c>
      <c r="C4" s="4">
        <f>+AD_tis!C4*AD_tis!C$49*AD_tis!$BF4</f>
        <v>0</v>
      </c>
      <c r="D4" s="4">
        <f>+AD_tis!D4*AD_tis!D$49*AD_tis!$BF4</f>
        <v>0</v>
      </c>
      <c r="E4" s="4">
        <f>+AD_tis!E4*AD_tis!E$49*AD_tis!$BF4</f>
        <v>0</v>
      </c>
      <c r="F4" s="4">
        <f>+AD_tis!F4*AD_tis!F$49*AD_tis!$BF4</f>
        <v>0</v>
      </c>
      <c r="G4" s="4">
        <f>+AD_tis!G4*AD_tis!G$49*AD_tis!$BF4</f>
        <v>1</v>
      </c>
      <c r="H4" s="4">
        <f>+AD_tis!H4*AD_tis!H$49*AD_tis!$BF4</f>
        <v>0</v>
      </c>
      <c r="I4" s="4">
        <f>+AD_tis!I4*AD_tis!I$49*AD_tis!$BF4</f>
        <v>0</v>
      </c>
      <c r="J4" s="4">
        <f>+AD_tis!J4*AD_tis!J$49*AD_tis!$BF4</f>
        <v>0</v>
      </c>
      <c r="K4" s="4">
        <f>+AD_tis!K4*AD_tis!K$49*AD_tis!$BF4</f>
        <v>0</v>
      </c>
      <c r="L4" s="4">
        <f>+AD_tis!L4*AD_tis!L$49*AD_tis!$BF4</f>
        <v>0</v>
      </c>
      <c r="M4" s="4">
        <f>+AD_tis!M4*AD_tis!M$49*AD_tis!$BF4</f>
        <v>0</v>
      </c>
      <c r="N4" s="4">
        <f>+AD_tis!N4*AD_tis!N$49*AD_tis!$BF4</f>
        <v>0</v>
      </c>
      <c r="O4" s="4">
        <f>+AD_tis!O4*AD_tis!O$49*AD_tis!$BF4</f>
        <v>0</v>
      </c>
      <c r="P4" s="4">
        <f>+AD_tis!P4*AD_tis!P$49*AD_tis!$BF4</f>
        <v>0</v>
      </c>
      <c r="Q4" s="4">
        <f>+AD_tis!Q4*AD_tis!Q$49*AD_tis!$BF4</f>
        <v>0</v>
      </c>
      <c r="R4" s="13">
        <f>+AD_tis!R4*AD_tis!R$49*AD_tis!$BF4</f>
        <v>0</v>
      </c>
      <c r="S4" s="4">
        <f>+AD_tis!S4*AD_tis!S$49*AD_tis!$BF4</f>
        <v>0</v>
      </c>
      <c r="T4" s="4">
        <f>+AD_tis!T4*AD_tis!T$49*AD_tis!$BF4</f>
        <v>0</v>
      </c>
      <c r="U4" s="4">
        <f>+AD_tis!U4*AD_tis!U$49*AD_tis!$BF4</f>
        <v>0</v>
      </c>
      <c r="V4" s="4">
        <f>+AD_tis!V4*AD_tis!V$49*AD_tis!$BF4</f>
        <v>0</v>
      </c>
      <c r="W4" s="4">
        <f>+AD_tis!W4*AD_tis!W$49*AD_tis!$BF4</f>
        <v>0</v>
      </c>
      <c r="X4" s="4">
        <f>+AD_tis!X4*AD_tis!X$49*AD_tis!$BF4</f>
        <v>0</v>
      </c>
      <c r="Y4" s="4">
        <f>+AD_tis!Y4*AD_tis!Y$49*AD_tis!$BF4</f>
        <v>0</v>
      </c>
      <c r="Z4" s="4">
        <f>+AD_tis!Z4*AD_tis!Z$49*AD_tis!$BF4</f>
        <v>0</v>
      </c>
      <c r="AA4" s="4">
        <f>+AD_tis!AA4*AD_tis!AA$49*AD_tis!$BF4</f>
        <v>0</v>
      </c>
      <c r="AB4" s="4">
        <f>+AD_tis!AB4*AD_tis!AB$49*AD_tis!$BF4</f>
        <v>0</v>
      </c>
      <c r="AC4" s="12">
        <f>+AD_tis!AC4*AD_tis!AC$49*AD_tis!$BF4</f>
        <v>0</v>
      </c>
      <c r="AD4" s="4">
        <f>+AD_tis!AD4*AD_tis!AD$49*AD_tis!$BF4</f>
        <v>0</v>
      </c>
      <c r="AE4" s="4">
        <f>+AD_tis!AE4*AD_tis!AE$49*AD_tis!$BF4</f>
        <v>0</v>
      </c>
      <c r="AF4" s="4">
        <f>+AD_tis!AF4*AD_tis!AF$49*AD_tis!$BF4</f>
        <v>0</v>
      </c>
      <c r="AG4" s="4">
        <f>+AD_tis!AG4*AD_tis!AG$49*AD_tis!$BF4</f>
        <v>0</v>
      </c>
      <c r="AH4" s="4">
        <f>+AD_tis!AH4*AD_tis!AH$49*AD_tis!$BF4</f>
        <v>0</v>
      </c>
      <c r="AI4" s="4">
        <f>+AD_tis!AI4*AD_tis!AI$49*AD_tis!$BF4</f>
        <v>0</v>
      </c>
      <c r="AJ4" s="4">
        <f>+AD_tis!AJ4*AD_tis!AJ$49*AD_tis!$BF4</f>
        <v>0</v>
      </c>
      <c r="AK4" s="4">
        <f>+AD_tis!AK4*AD_tis!AK$49*AD_tis!$BF4</f>
        <v>0</v>
      </c>
      <c r="AL4" s="4">
        <f>+AD_tis!AL4*AD_tis!AL$49*AD_tis!$BF4</f>
        <v>0</v>
      </c>
      <c r="AM4" s="13">
        <f>+AD_tis!AM4*AD_tis!AM$49*AD_tis!$BF4</f>
        <v>0</v>
      </c>
      <c r="AN4" s="4">
        <f>+AD_tis!AN4*AD_tis!AN$49*AD_tis!$BF4</f>
        <v>0</v>
      </c>
      <c r="AO4" s="4">
        <f>+AD_tis!AO4*AD_tis!AO$49*AD_tis!$BF4</f>
        <v>0</v>
      </c>
      <c r="AP4" s="4">
        <f>+AD_tis!AP4*AD_tis!AP$49*AD_tis!$BF4</f>
        <v>0</v>
      </c>
      <c r="AQ4" s="4">
        <f>+AD_tis!AQ4*AD_tis!AQ$49*AD_tis!$BF4</f>
        <v>0</v>
      </c>
      <c r="AR4" s="4">
        <f>+AD_tis!AR4*AD_tis!AR$49*AD_tis!$BF4</f>
        <v>0</v>
      </c>
      <c r="AS4" s="4">
        <f>+AD_tis!AS4*AD_tis!AS$49*AD_tis!$BF4</f>
        <v>0</v>
      </c>
      <c r="AT4" s="4">
        <f>+AD_tis!AT4*AD_tis!AT$49*AD_tis!$BF4</f>
        <v>0</v>
      </c>
      <c r="AU4" s="4">
        <f>+AD_tis!AU4*AD_tis!AU$49*AD_tis!$BF4</f>
        <v>0</v>
      </c>
      <c r="AV4" s="4">
        <f>+AD_tis!AV4*AD_tis!AV$49*AD_tis!$BF4</f>
        <v>0</v>
      </c>
      <c r="AW4" s="12">
        <f>+AD_tis!AW4*AD_tis!AW$49*AD_tis!$BF4</f>
        <v>0</v>
      </c>
      <c r="AX4" s="13">
        <f>+AD_tis!AX4*AD_tis!AX$49*AD_tis!$BF4</f>
        <v>0</v>
      </c>
      <c r="AY4" s="4">
        <f>+AD_tis!AY4*AD_tis!AY$49*AD_tis!$BF4</f>
        <v>0</v>
      </c>
      <c r="AZ4" s="4">
        <f>+AD_tis!AZ4*AD_tis!AZ$49*AD_tis!$BF4</f>
        <v>0</v>
      </c>
      <c r="BA4" s="12">
        <f>+AD_tis!BA4*AD_tis!BA$49*AD_tis!$BF4</f>
        <v>0</v>
      </c>
      <c r="BB4" s="4">
        <f>+AD_tis!BB4*AD_tis!BB$49*AD_tis!$BF4</f>
        <v>0</v>
      </c>
      <c r="BC4" s="13">
        <f>+AD_tis!BC4*AD_tis!BC$49*AD_tis!$BF4</f>
        <v>0</v>
      </c>
    </row>
    <row r="5" spans="1:55" ht="18.75" customHeight="1" x14ac:dyDescent="0.25">
      <c r="A5" s="5" t="s">
        <v>56</v>
      </c>
      <c r="B5" s="12">
        <f>+AD_tis!B5*AD_tis!B$49*AD_tis!$BF5</f>
        <v>0</v>
      </c>
      <c r="C5" s="4">
        <f>+AD_tis!C5*AD_tis!C$49*AD_tis!$BF5</f>
        <v>0</v>
      </c>
      <c r="D5" s="4">
        <f>+AD_tis!D5*AD_tis!D$49*AD_tis!$BF5</f>
        <v>0</v>
      </c>
      <c r="E5" s="4">
        <f>+AD_tis!E5*AD_tis!E$49*AD_tis!$BF5</f>
        <v>0</v>
      </c>
      <c r="F5" s="4">
        <f>+AD_tis!F5*AD_tis!F$49*AD_tis!$BF5</f>
        <v>0</v>
      </c>
      <c r="G5" s="4">
        <f>+AD_tis!G5*AD_tis!G$49*AD_tis!$BF5</f>
        <v>1</v>
      </c>
      <c r="H5" s="4">
        <f>+AD_tis!H5*AD_tis!H$49*AD_tis!$BF5</f>
        <v>0</v>
      </c>
      <c r="I5" s="4">
        <f>+AD_tis!I5*AD_tis!I$49*AD_tis!$BF5</f>
        <v>0</v>
      </c>
      <c r="J5" s="4">
        <f>+AD_tis!J5*AD_tis!J$49*AD_tis!$BF5</f>
        <v>0</v>
      </c>
      <c r="K5" s="4">
        <f>+AD_tis!K5*AD_tis!K$49*AD_tis!$BF5</f>
        <v>0</v>
      </c>
      <c r="L5" s="4">
        <f>+AD_tis!L5*AD_tis!L$49*AD_tis!$BF5</f>
        <v>0</v>
      </c>
      <c r="M5" s="4">
        <f>+AD_tis!M5*AD_tis!M$49*AD_tis!$BF5</f>
        <v>0</v>
      </c>
      <c r="N5" s="4">
        <f>+AD_tis!N5*AD_tis!N$49*AD_tis!$BF5</f>
        <v>0</v>
      </c>
      <c r="O5" s="4">
        <f>+AD_tis!O5*AD_tis!O$49*AD_tis!$BF5</f>
        <v>0</v>
      </c>
      <c r="P5" s="4">
        <f>+AD_tis!P5*AD_tis!P$49*AD_tis!$BF5</f>
        <v>0</v>
      </c>
      <c r="Q5" s="4">
        <f>+AD_tis!Q5*AD_tis!Q$49*AD_tis!$BF5</f>
        <v>0</v>
      </c>
      <c r="R5" s="13">
        <f>+AD_tis!R5*AD_tis!R$49*AD_tis!$BF5</f>
        <v>0</v>
      </c>
      <c r="S5" s="4">
        <f>+AD_tis!S5*AD_tis!S$49*AD_tis!$BF5</f>
        <v>0</v>
      </c>
      <c r="T5" s="4">
        <f>+AD_tis!T5*AD_tis!T$49*AD_tis!$BF5</f>
        <v>0</v>
      </c>
      <c r="U5" s="4">
        <f>+AD_tis!U5*AD_tis!U$49*AD_tis!$BF5</f>
        <v>0</v>
      </c>
      <c r="V5" s="4">
        <f>+AD_tis!V5*AD_tis!V$49*AD_tis!$BF5</f>
        <v>0</v>
      </c>
      <c r="W5" s="4">
        <f>+AD_tis!W5*AD_tis!W$49*AD_tis!$BF5</f>
        <v>0</v>
      </c>
      <c r="X5" s="4">
        <f>+AD_tis!X5*AD_tis!X$49*AD_tis!$BF5</f>
        <v>0</v>
      </c>
      <c r="Y5" s="4">
        <f>+AD_tis!Y5*AD_tis!Y$49*AD_tis!$BF5</f>
        <v>0</v>
      </c>
      <c r="Z5" s="4">
        <f>+AD_tis!Z5*AD_tis!Z$49*AD_tis!$BF5</f>
        <v>0</v>
      </c>
      <c r="AA5" s="4">
        <f>+AD_tis!AA5*AD_tis!AA$49*AD_tis!$BF5</f>
        <v>0</v>
      </c>
      <c r="AB5" s="4">
        <f>+AD_tis!AB5*AD_tis!AB$49*AD_tis!$BF5</f>
        <v>0</v>
      </c>
      <c r="AC5" s="12">
        <f>+AD_tis!AC5*AD_tis!AC$49*AD_tis!$BF5</f>
        <v>0</v>
      </c>
      <c r="AD5" s="4">
        <f>+AD_tis!AD5*AD_tis!AD$49*AD_tis!$BF5</f>
        <v>0</v>
      </c>
      <c r="AE5" s="4">
        <f>+AD_tis!AE5*AD_tis!AE$49*AD_tis!$BF5</f>
        <v>0</v>
      </c>
      <c r="AF5" s="4">
        <f>+AD_tis!AF5*AD_tis!AF$49*AD_tis!$BF5</f>
        <v>0</v>
      </c>
      <c r="AG5" s="4">
        <f>+AD_tis!AG5*AD_tis!AG$49*AD_tis!$BF5</f>
        <v>0</v>
      </c>
      <c r="AH5" s="4">
        <f>+AD_tis!AH5*AD_tis!AH$49*AD_tis!$BF5</f>
        <v>0</v>
      </c>
      <c r="AI5" s="4">
        <f>+AD_tis!AI5*AD_tis!AI$49*AD_tis!$BF5</f>
        <v>0</v>
      </c>
      <c r="AJ5" s="4">
        <f>+AD_tis!AJ5*AD_tis!AJ$49*AD_tis!$BF5</f>
        <v>0</v>
      </c>
      <c r="AK5" s="4">
        <f>+AD_tis!AK5*AD_tis!AK$49*AD_tis!$BF5</f>
        <v>0</v>
      </c>
      <c r="AL5" s="4">
        <f>+AD_tis!AL5*AD_tis!AL$49*AD_tis!$BF5</f>
        <v>0</v>
      </c>
      <c r="AM5" s="13">
        <f>+AD_tis!AM5*AD_tis!AM$49*AD_tis!$BF5</f>
        <v>0</v>
      </c>
      <c r="AN5" s="4">
        <f>+AD_tis!AN5*AD_tis!AN$49*AD_tis!$BF5</f>
        <v>0</v>
      </c>
      <c r="AO5" s="4">
        <f>+AD_tis!AO5*AD_tis!AO$49*AD_tis!$BF5</f>
        <v>0</v>
      </c>
      <c r="AP5" s="4">
        <f>+AD_tis!AP5*AD_tis!AP$49*AD_tis!$BF5</f>
        <v>0</v>
      </c>
      <c r="AQ5" s="4">
        <f>+AD_tis!AQ5*AD_tis!AQ$49*AD_tis!$BF5</f>
        <v>0</v>
      </c>
      <c r="AR5" s="4">
        <f>+AD_tis!AR5*AD_tis!AR$49*AD_tis!$BF5</f>
        <v>0</v>
      </c>
      <c r="AS5" s="4">
        <f>+AD_tis!AS5*AD_tis!AS$49*AD_tis!$BF5</f>
        <v>0</v>
      </c>
      <c r="AT5" s="4">
        <f>+AD_tis!AT5*AD_tis!AT$49*AD_tis!$BF5</f>
        <v>0</v>
      </c>
      <c r="AU5" s="4">
        <f>+AD_tis!AU5*AD_tis!AU$49*AD_tis!$BF5</f>
        <v>0</v>
      </c>
      <c r="AV5" s="4">
        <f>+AD_tis!AV5*AD_tis!AV$49*AD_tis!$BF5</f>
        <v>0</v>
      </c>
      <c r="AW5" s="12">
        <f>+AD_tis!AW5*AD_tis!AW$49*AD_tis!$BF5</f>
        <v>0</v>
      </c>
      <c r="AX5" s="13">
        <f>+AD_tis!AX5*AD_tis!AX$49*AD_tis!$BF5</f>
        <v>0</v>
      </c>
      <c r="AY5" s="4">
        <f>+AD_tis!AY5*AD_tis!AY$49*AD_tis!$BF5</f>
        <v>0</v>
      </c>
      <c r="AZ5" s="4">
        <f>+AD_tis!AZ5*AD_tis!AZ$49*AD_tis!$BF5</f>
        <v>0</v>
      </c>
      <c r="BA5" s="12">
        <f>+AD_tis!BA5*AD_tis!BA$49*AD_tis!$BF5</f>
        <v>0</v>
      </c>
      <c r="BB5" s="4">
        <f>+AD_tis!BB5*AD_tis!BB$49*AD_tis!$BF5</f>
        <v>0</v>
      </c>
      <c r="BC5" s="13">
        <f>+AD_tis!BC5*AD_tis!BC$49*AD_tis!$BF5</f>
        <v>0</v>
      </c>
    </row>
    <row r="6" spans="1:55" ht="18.75" customHeight="1" x14ac:dyDescent="0.25">
      <c r="A6" s="5" t="s">
        <v>57</v>
      </c>
      <c r="B6" s="12">
        <f>+AD_tis!B6*AD_tis!B$49*AD_tis!$BF6</f>
        <v>0</v>
      </c>
      <c r="C6" s="4">
        <f>+AD_tis!C6*AD_tis!C$49*AD_tis!$BF6</f>
        <v>0</v>
      </c>
      <c r="D6" s="4">
        <f>+AD_tis!D6*AD_tis!D$49*AD_tis!$BF6</f>
        <v>0</v>
      </c>
      <c r="E6" s="4">
        <f>+AD_tis!E6*AD_tis!E$49*AD_tis!$BF6</f>
        <v>0</v>
      </c>
      <c r="F6" s="4">
        <f>+AD_tis!F6*AD_tis!F$49*AD_tis!$BF6</f>
        <v>0</v>
      </c>
      <c r="G6" s="4">
        <f>+AD_tis!G6*AD_tis!G$49*AD_tis!$BF6</f>
        <v>0</v>
      </c>
      <c r="H6" s="4">
        <f>+AD_tis!H6*AD_tis!H$49*AD_tis!$BF6</f>
        <v>0</v>
      </c>
      <c r="I6" s="4">
        <f>+AD_tis!I6*AD_tis!I$49*AD_tis!$BF6</f>
        <v>0</v>
      </c>
      <c r="J6" s="4">
        <f>+AD_tis!J6*AD_tis!J$49*AD_tis!$BF6</f>
        <v>0</v>
      </c>
      <c r="K6" s="4">
        <f>+AD_tis!K6*AD_tis!K$49*AD_tis!$BF6</f>
        <v>0</v>
      </c>
      <c r="L6" s="4">
        <f>+AD_tis!L6*AD_tis!L$49*AD_tis!$BF6</f>
        <v>0</v>
      </c>
      <c r="M6" s="4">
        <f>+AD_tis!M6*AD_tis!M$49*AD_tis!$BF6</f>
        <v>0</v>
      </c>
      <c r="N6" s="4">
        <f>+AD_tis!N6*AD_tis!N$49*AD_tis!$BF6</f>
        <v>0</v>
      </c>
      <c r="O6" s="4">
        <f>+AD_tis!O6*AD_tis!O$49*AD_tis!$BF6</f>
        <v>0</v>
      </c>
      <c r="P6" s="4">
        <f>+AD_tis!P6*AD_tis!P$49*AD_tis!$BF6</f>
        <v>0</v>
      </c>
      <c r="Q6" s="4">
        <f>+AD_tis!Q6*AD_tis!Q$49*AD_tis!$BF6</f>
        <v>0</v>
      </c>
      <c r="R6" s="13">
        <f>+AD_tis!R6*AD_tis!R$49*AD_tis!$BF6</f>
        <v>0</v>
      </c>
      <c r="S6" s="4">
        <f>+AD_tis!S6*AD_tis!S$49*AD_tis!$BF6</f>
        <v>0</v>
      </c>
      <c r="T6" s="4">
        <f>+AD_tis!T6*AD_tis!T$49*AD_tis!$BF6</f>
        <v>0</v>
      </c>
      <c r="U6" s="4">
        <f>+AD_tis!U6*AD_tis!U$49*AD_tis!$BF6</f>
        <v>0</v>
      </c>
      <c r="V6" s="4">
        <f>+AD_tis!V6*AD_tis!V$49*AD_tis!$BF6</f>
        <v>0</v>
      </c>
      <c r="W6" s="4">
        <f>+AD_tis!W6*AD_tis!W$49*AD_tis!$BF6</f>
        <v>0</v>
      </c>
      <c r="X6" s="4">
        <f>+AD_tis!X6*AD_tis!X$49*AD_tis!$BF6</f>
        <v>0</v>
      </c>
      <c r="Y6" s="4">
        <f>+AD_tis!Y6*AD_tis!Y$49*AD_tis!$BF6</f>
        <v>0</v>
      </c>
      <c r="Z6" s="4">
        <f>+AD_tis!Z6*AD_tis!Z$49*AD_tis!$BF6</f>
        <v>0</v>
      </c>
      <c r="AA6" s="4">
        <f>+AD_tis!AA6*AD_tis!AA$49*AD_tis!$BF6</f>
        <v>0</v>
      </c>
      <c r="AB6" s="4">
        <f>+AD_tis!AB6*AD_tis!AB$49*AD_tis!$BF6</f>
        <v>0</v>
      </c>
      <c r="AC6" s="12">
        <f>+AD_tis!AC6*AD_tis!AC$49*AD_tis!$BF6</f>
        <v>0</v>
      </c>
      <c r="AD6" s="4">
        <f>+AD_tis!AD6*AD_tis!AD$49*AD_tis!$BF6</f>
        <v>0</v>
      </c>
      <c r="AE6" s="4">
        <f>+AD_tis!AE6*AD_tis!AE$49*AD_tis!$BF6</f>
        <v>0</v>
      </c>
      <c r="AF6" s="4">
        <f>+AD_tis!AF6*AD_tis!AF$49*AD_tis!$BF6</f>
        <v>0</v>
      </c>
      <c r="AG6" s="4">
        <f>+AD_tis!AG6*AD_tis!AG$49*AD_tis!$BF6</f>
        <v>0</v>
      </c>
      <c r="AH6" s="4">
        <f>+AD_tis!AH6*AD_tis!AH$49*AD_tis!$BF6</f>
        <v>0</v>
      </c>
      <c r="AI6" s="4">
        <f>+AD_tis!AI6*AD_tis!AI$49*AD_tis!$BF6</f>
        <v>0</v>
      </c>
      <c r="AJ6" s="4">
        <f>+AD_tis!AJ6*AD_tis!AJ$49*AD_tis!$BF6</f>
        <v>0</v>
      </c>
      <c r="AK6" s="4">
        <f>+AD_tis!AK6*AD_tis!AK$49*AD_tis!$BF6</f>
        <v>0</v>
      </c>
      <c r="AL6" s="4">
        <f>+AD_tis!AL6*AD_tis!AL$49*AD_tis!$BF6</f>
        <v>0</v>
      </c>
      <c r="AM6" s="13">
        <f>+AD_tis!AM6*AD_tis!AM$49*AD_tis!$BF6</f>
        <v>0</v>
      </c>
      <c r="AN6" s="4">
        <f>+AD_tis!AN6*AD_tis!AN$49*AD_tis!$BF6</f>
        <v>0</v>
      </c>
      <c r="AO6" s="4">
        <f>+AD_tis!AO6*AD_tis!AO$49*AD_tis!$BF6</f>
        <v>0</v>
      </c>
      <c r="AP6" s="4">
        <f>+AD_tis!AP6*AD_tis!AP$49*AD_tis!$BF6</f>
        <v>0</v>
      </c>
      <c r="AQ6" s="4">
        <f>+AD_tis!AQ6*AD_tis!AQ$49*AD_tis!$BF6</f>
        <v>0</v>
      </c>
      <c r="AR6" s="4">
        <f>+AD_tis!AR6*AD_tis!AR$49*AD_tis!$BF6</f>
        <v>0</v>
      </c>
      <c r="AS6" s="4">
        <f>+AD_tis!AS6*AD_tis!AS$49*AD_tis!$BF6</f>
        <v>0</v>
      </c>
      <c r="AT6" s="4">
        <f>+AD_tis!AT6*AD_tis!AT$49*AD_tis!$BF6</f>
        <v>0</v>
      </c>
      <c r="AU6" s="4">
        <f>+AD_tis!AU6*AD_tis!AU$49*AD_tis!$BF6</f>
        <v>0</v>
      </c>
      <c r="AV6" s="4">
        <f>+AD_tis!AV6*AD_tis!AV$49*AD_tis!$BF6</f>
        <v>0</v>
      </c>
      <c r="AW6" s="12">
        <f>+AD_tis!AW6*AD_tis!AW$49*AD_tis!$BF6</f>
        <v>0</v>
      </c>
      <c r="AX6" s="13">
        <f>+AD_tis!AX6*AD_tis!AX$49*AD_tis!$BF6</f>
        <v>0</v>
      </c>
      <c r="AY6" s="4">
        <f>+AD_tis!AY6*AD_tis!AY$49*AD_tis!$BF6</f>
        <v>0</v>
      </c>
      <c r="AZ6" s="4">
        <f>+AD_tis!AZ6*AD_tis!AZ$49*AD_tis!$BF6</f>
        <v>0</v>
      </c>
      <c r="BA6" s="12">
        <f>+AD_tis!BA6*AD_tis!BA$49*AD_tis!$BF6</f>
        <v>0</v>
      </c>
      <c r="BB6" s="4">
        <f>+AD_tis!BB6*AD_tis!BB$49*AD_tis!$BF6</f>
        <v>0</v>
      </c>
      <c r="BC6" s="13">
        <f>+AD_tis!BC6*AD_tis!BC$49*AD_tis!$BF6</f>
        <v>0</v>
      </c>
    </row>
    <row r="7" spans="1:55" ht="18.75" customHeight="1" x14ac:dyDescent="0.25">
      <c r="A7" s="5" t="s">
        <v>58</v>
      </c>
      <c r="B7" s="12">
        <f>+AD_tis!B7*AD_tis!B$49*AD_tis!$BF7</f>
        <v>0</v>
      </c>
      <c r="C7" s="4">
        <f>+AD_tis!C7*AD_tis!C$49*AD_tis!$BF7</f>
        <v>0</v>
      </c>
      <c r="D7" s="4">
        <f>+AD_tis!D7*AD_tis!D$49*AD_tis!$BF7</f>
        <v>0</v>
      </c>
      <c r="E7" s="4">
        <f>+AD_tis!E7*AD_tis!E$49*AD_tis!$BF7</f>
        <v>0</v>
      </c>
      <c r="F7" s="4">
        <f>+AD_tis!F7*AD_tis!F$49*AD_tis!$BF7</f>
        <v>0</v>
      </c>
      <c r="G7" s="4">
        <f>+AD_tis!G7*AD_tis!G$49*AD_tis!$BF7</f>
        <v>1</v>
      </c>
      <c r="H7" s="4">
        <f>+AD_tis!H7*AD_tis!H$49*AD_tis!$BF7</f>
        <v>0</v>
      </c>
      <c r="I7" s="4">
        <f>+AD_tis!I7*AD_tis!I$49*AD_tis!$BF7</f>
        <v>0</v>
      </c>
      <c r="J7" s="4">
        <f>+AD_tis!J7*AD_tis!J$49*AD_tis!$BF7</f>
        <v>0</v>
      </c>
      <c r="K7" s="4">
        <f>+AD_tis!K7*AD_tis!K$49*AD_tis!$BF7</f>
        <v>0</v>
      </c>
      <c r="L7" s="4">
        <f>+AD_tis!L7*AD_tis!L$49*AD_tis!$BF7</f>
        <v>0</v>
      </c>
      <c r="M7" s="4">
        <f>+AD_tis!M7*AD_tis!M$49*AD_tis!$BF7</f>
        <v>0</v>
      </c>
      <c r="N7" s="4">
        <f>+AD_tis!N7*AD_tis!N$49*AD_tis!$BF7</f>
        <v>0</v>
      </c>
      <c r="O7" s="4">
        <f>+AD_tis!O7*AD_tis!O$49*AD_tis!$BF7</f>
        <v>0</v>
      </c>
      <c r="P7" s="4">
        <f>+AD_tis!P7*AD_tis!P$49*AD_tis!$BF7</f>
        <v>0</v>
      </c>
      <c r="Q7" s="4">
        <f>+AD_tis!Q7*AD_tis!Q$49*AD_tis!$BF7</f>
        <v>0</v>
      </c>
      <c r="R7" s="13">
        <f>+AD_tis!R7*AD_tis!R$49*AD_tis!$BF7</f>
        <v>0</v>
      </c>
      <c r="S7" s="4">
        <f>+AD_tis!S7*AD_tis!S$49*AD_tis!$BF7</f>
        <v>0</v>
      </c>
      <c r="T7" s="4">
        <f>+AD_tis!T7*AD_tis!T$49*AD_tis!$BF7</f>
        <v>0</v>
      </c>
      <c r="U7" s="4">
        <f>+AD_tis!U7*AD_tis!U$49*AD_tis!$BF7</f>
        <v>0</v>
      </c>
      <c r="V7" s="4">
        <f>+AD_tis!V7*AD_tis!V$49*AD_tis!$BF7</f>
        <v>0</v>
      </c>
      <c r="W7" s="4">
        <f>+AD_tis!W7*AD_tis!W$49*AD_tis!$BF7</f>
        <v>0</v>
      </c>
      <c r="X7" s="4">
        <f>+AD_tis!X7*AD_tis!X$49*AD_tis!$BF7</f>
        <v>0</v>
      </c>
      <c r="Y7" s="4">
        <f>+AD_tis!Y7*AD_tis!Y$49*AD_tis!$BF7</f>
        <v>0</v>
      </c>
      <c r="Z7" s="4">
        <f>+AD_tis!Z7*AD_tis!Z$49*AD_tis!$BF7</f>
        <v>0</v>
      </c>
      <c r="AA7" s="4">
        <f>+AD_tis!AA7*AD_tis!AA$49*AD_tis!$BF7</f>
        <v>0</v>
      </c>
      <c r="AB7" s="4">
        <f>+AD_tis!AB7*AD_tis!AB$49*AD_tis!$BF7</f>
        <v>0</v>
      </c>
      <c r="AC7" s="12">
        <f>+AD_tis!AC7*AD_tis!AC$49*AD_tis!$BF7</f>
        <v>0</v>
      </c>
      <c r="AD7" s="4">
        <f>+AD_tis!AD7*AD_tis!AD$49*AD_tis!$BF7</f>
        <v>0</v>
      </c>
      <c r="AE7" s="4">
        <f>+AD_tis!AE7*AD_tis!AE$49*AD_tis!$BF7</f>
        <v>0</v>
      </c>
      <c r="AF7" s="4">
        <f>+AD_tis!AF7*AD_tis!AF$49*AD_tis!$BF7</f>
        <v>0</v>
      </c>
      <c r="AG7" s="4">
        <f>+AD_tis!AG7*AD_tis!AG$49*AD_tis!$BF7</f>
        <v>0</v>
      </c>
      <c r="AH7" s="4">
        <f>+AD_tis!AH7*AD_tis!AH$49*AD_tis!$BF7</f>
        <v>0</v>
      </c>
      <c r="AI7" s="4">
        <f>+AD_tis!AI7*AD_tis!AI$49*AD_tis!$BF7</f>
        <v>0</v>
      </c>
      <c r="AJ7" s="4">
        <f>+AD_tis!AJ7*AD_tis!AJ$49*AD_tis!$BF7</f>
        <v>0</v>
      </c>
      <c r="AK7" s="4">
        <f>+AD_tis!AK7*AD_tis!AK$49*AD_tis!$BF7</f>
        <v>0</v>
      </c>
      <c r="AL7" s="4">
        <f>+AD_tis!AL7*AD_tis!AL$49*AD_tis!$BF7</f>
        <v>0</v>
      </c>
      <c r="AM7" s="13">
        <f>+AD_tis!AM7*AD_tis!AM$49*AD_tis!$BF7</f>
        <v>0</v>
      </c>
      <c r="AN7" s="4">
        <f>+AD_tis!AN7*AD_tis!AN$49*AD_tis!$BF7</f>
        <v>0</v>
      </c>
      <c r="AO7" s="4">
        <f>+AD_tis!AO7*AD_tis!AO$49*AD_tis!$BF7</f>
        <v>0</v>
      </c>
      <c r="AP7" s="4">
        <f>+AD_tis!AP7*AD_tis!AP$49*AD_tis!$BF7</f>
        <v>0</v>
      </c>
      <c r="AQ7" s="4">
        <f>+AD_tis!AQ7*AD_tis!AQ$49*AD_tis!$BF7</f>
        <v>0</v>
      </c>
      <c r="AR7" s="4">
        <f>+AD_tis!AR7*AD_tis!AR$49*AD_tis!$BF7</f>
        <v>0</v>
      </c>
      <c r="AS7" s="4">
        <f>+AD_tis!AS7*AD_tis!AS$49*AD_tis!$BF7</f>
        <v>0</v>
      </c>
      <c r="AT7" s="4">
        <f>+AD_tis!AT7*AD_tis!AT$49*AD_tis!$BF7</f>
        <v>0</v>
      </c>
      <c r="AU7" s="4">
        <f>+AD_tis!AU7*AD_tis!AU$49*AD_tis!$BF7</f>
        <v>0</v>
      </c>
      <c r="AV7" s="4">
        <f>+AD_tis!AV7*AD_tis!AV$49*AD_tis!$BF7</f>
        <v>0</v>
      </c>
      <c r="AW7" s="12">
        <f>+AD_tis!AW7*AD_tis!AW$49*AD_tis!$BF7</f>
        <v>0</v>
      </c>
      <c r="AX7" s="13">
        <f>+AD_tis!AX7*AD_tis!AX$49*AD_tis!$BF7</f>
        <v>0</v>
      </c>
      <c r="AY7" s="4">
        <f>+AD_tis!AY7*AD_tis!AY$49*AD_tis!$BF7</f>
        <v>0</v>
      </c>
      <c r="AZ7" s="4">
        <f>+AD_tis!AZ7*AD_tis!AZ$49*AD_tis!$BF7</f>
        <v>0</v>
      </c>
      <c r="BA7" s="12">
        <f>+AD_tis!BA7*AD_tis!BA$49*AD_tis!$BF7</f>
        <v>0</v>
      </c>
      <c r="BB7" s="4">
        <f>+AD_tis!BB7*AD_tis!BB$49*AD_tis!$BF7</f>
        <v>0</v>
      </c>
      <c r="BC7" s="13">
        <f>+AD_tis!BC7*AD_tis!BC$49*AD_tis!$BF7</f>
        <v>0</v>
      </c>
    </row>
    <row r="8" spans="1:55" ht="18.75" customHeight="1" x14ac:dyDescent="0.25">
      <c r="A8" s="5" t="s">
        <v>59</v>
      </c>
      <c r="B8" s="12">
        <f>+AD_tis!B8*AD_tis!B$49*AD_tis!$BF8</f>
        <v>0</v>
      </c>
      <c r="C8" s="4">
        <f>+AD_tis!C8*AD_tis!C$49*AD_tis!$BF8</f>
        <v>0</v>
      </c>
      <c r="D8" s="4">
        <f>+AD_tis!D8*AD_tis!D$49*AD_tis!$BF8</f>
        <v>0</v>
      </c>
      <c r="E8" s="4">
        <f>+AD_tis!E8*AD_tis!E$49*AD_tis!$BF8</f>
        <v>0</v>
      </c>
      <c r="F8" s="4">
        <f>+AD_tis!F8*AD_tis!F$49*AD_tis!$BF8</f>
        <v>0</v>
      </c>
      <c r="G8" s="4">
        <f>+AD_tis!G8*AD_tis!G$49*AD_tis!$BF8</f>
        <v>1</v>
      </c>
      <c r="H8" s="4">
        <f>+AD_tis!H8*AD_tis!H$49*AD_tis!$BF8</f>
        <v>0</v>
      </c>
      <c r="I8" s="4">
        <f>+AD_tis!I8*AD_tis!I$49*AD_tis!$BF8</f>
        <v>0</v>
      </c>
      <c r="J8" s="4">
        <f>+AD_tis!J8*AD_tis!J$49*AD_tis!$BF8</f>
        <v>0</v>
      </c>
      <c r="K8" s="4">
        <f>+AD_tis!K8*AD_tis!K$49*AD_tis!$BF8</f>
        <v>0</v>
      </c>
      <c r="L8" s="4">
        <f>+AD_tis!L8*AD_tis!L$49*AD_tis!$BF8</f>
        <v>0</v>
      </c>
      <c r="M8" s="4">
        <f>+AD_tis!M8*AD_tis!M$49*AD_tis!$BF8</f>
        <v>0</v>
      </c>
      <c r="N8" s="4">
        <f>+AD_tis!N8*AD_tis!N$49*AD_tis!$BF8</f>
        <v>0</v>
      </c>
      <c r="O8" s="4">
        <f>+AD_tis!O8*AD_tis!O$49*AD_tis!$BF8</f>
        <v>0</v>
      </c>
      <c r="P8" s="4">
        <f>+AD_tis!P8*AD_tis!P$49*AD_tis!$BF8</f>
        <v>0</v>
      </c>
      <c r="Q8" s="4">
        <f>+AD_tis!Q8*AD_tis!Q$49*AD_tis!$BF8</f>
        <v>0</v>
      </c>
      <c r="R8" s="13">
        <f>+AD_tis!R8*AD_tis!R$49*AD_tis!$BF8</f>
        <v>0</v>
      </c>
      <c r="S8" s="4">
        <f>+AD_tis!S8*AD_tis!S$49*AD_tis!$BF8</f>
        <v>0</v>
      </c>
      <c r="T8" s="4">
        <f>+AD_tis!T8*AD_tis!T$49*AD_tis!$BF8</f>
        <v>0</v>
      </c>
      <c r="U8" s="4">
        <f>+AD_tis!U8*AD_tis!U$49*AD_tis!$BF8</f>
        <v>0</v>
      </c>
      <c r="V8" s="4">
        <f>+AD_tis!V8*AD_tis!V$49*AD_tis!$BF8</f>
        <v>0</v>
      </c>
      <c r="W8" s="4">
        <f>+AD_tis!W8*AD_tis!W$49*AD_tis!$BF8</f>
        <v>0</v>
      </c>
      <c r="X8" s="4">
        <f>+AD_tis!X8*AD_tis!X$49*AD_tis!$BF8</f>
        <v>0</v>
      </c>
      <c r="Y8" s="4">
        <f>+AD_tis!Y8*AD_tis!Y$49*AD_tis!$BF8</f>
        <v>0</v>
      </c>
      <c r="Z8" s="4">
        <f>+AD_tis!Z8*AD_tis!Z$49*AD_tis!$BF8</f>
        <v>0</v>
      </c>
      <c r="AA8" s="4">
        <f>+AD_tis!AA8*AD_tis!AA$49*AD_tis!$BF8</f>
        <v>0</v>
      </c>
      <c r="AB8" s="4">
        <f>+AD_tis!AB8*AD_tis!AB$49*AD_tis!$BF8</f>
        <v>0</v>
      </c>
      <c r="AC8" s="12">
        <f>+AD_tis!AC8*AD_tis!AC$49*AD_tis!$BF8</f>
        <v>0</v>
      </c>
      <c r="AD8" s="4">
        <f>+AD_tis!AD8*AD_tis!AD$49*AD_tis!$BF8</f>
        <v>0</v>
      </c>
      <c r="AE8" s="4">
        <f>+AD_tis!AE8*AD_tis!AE$49*AD_tis!$BF8</f>
        <v>0</v>
      </c>
      <c r="AF8" s="4">
        <f>+AD_tis!AF8*AD_tis!AF$49*AD_tis!$BF8</f>
        <v>0</v>
      </c>
      <c r="AG8" s="4">
        <f>+AD_tis!AG8*AD_tis!AG$49*AD_tis!$BF8</f>
        <v>0</v>
      </c>
      <c r="AH8" s="4">
        <f>+AD_tis!AH8*AD_tis!AH$49*AD_tis!$BF8</f>
        <v>0</v>
      </c>
      <c r="AI8" s="4">
        <f>+AD_tis!AI8*AD_tis!AI$49*AD_tis!$BF8</f>
        <v>0</v>
      </c>
      <c r="AJ8" s="4">
        <f>+AD_tis!AJ8*AD_tis!AJ$49*AD_tis!$BF8</f>
        <v>0</v>
      </c>
      <c r="AK8" s="4">
        <f>+AD_tis!AK8*AD_tis!AK$49*AD_tis!$BF8</f>
        <v>0</v>
      </c>
      <c r="AL8" s="4">
        <f>+AD_tis!AL8*AD_tis!AL$49*AD_tis!$BF8</f>
        <v>0</v>
      </c>
      <c r="AM8" s="13">
        <f>+AD_tis!AM8*AD_tis!AM$49*AD_tis!$BF8</f>
        <v>0</v>
      </c>
      <c r="AN8" s="4">
        <f>+AD_tis!AN8*AD_tis!AN$49*AD_tis!$BF8</f>
        <v>0</v>
      </c>
      <c r="AO8" s="4">
        <f>+AD_tis!AO8*AD_tis!AO$49*AD_tis!$BF8</f>
        <v>0</v>
      </c>
      <c r="AP8" s="4">
        <f>+AD_tis!AP8*AD_tis!AP$49*AD_tis!$BF8</f>
        <v>0</v>
      </c>
      <c r="AQ8" s="4">
        <f>+AD_tis!AQ8*AD_tis!AQ$49*AD_tis!$BF8</f>
        <v>0</v>
      </c>
      <c r="AR8" s="4">
        <f>+AD_tis!AR8*AD_tis!AR$49*AD_tis!$BF8</f>
        <v>0</v>
      </c>
      <c r="AS8" s="4">
        <f>+AD_tis!AS8*AD_tis!AS$49*AD_tis!$BF8</f>
        <v>0</v>
      </c>
      <c r="AT8" s="4">
        <f>+AD_tis!AT8*AD_tis!AT$49*AD_tis!$BF8</f>
        <v>0</v>
      </c>
      <c r="AU8" s="4">
        <f>+AD_tis!AU8*AD_tis!AU$49*AD_tis!$BF8</f>
        <v>0</v>
      </c>
      <c r="AV8" s="4">
        <f>+AD_tis!AV8*AD_tis!AV$49*AD_tis!$BF8</f>
        <v>0</v>
      </c>
      <c r="AW8" s="12">
        <f>+AD_tis!AW8*AD_tis!AW$49*AD_tis!$BF8</f>
        <v>0</v>
      </c>
      <c r="AX8" s="13">
        <f>+AD_tis!AX8*AD_tis!AX$49*AD_tis!$BF8</f>
        <v>0</v>
      </c>
      <c r="AY8" s="4">
        <f>+AD_tis!AY8*AD_tis!AY$49*AD_tis!$BF8</f>
        <v>0</v>
      </c>
      <c r="AZ8" s="4">
        <f>+AD_tis!AZ8*AD_tis!AZ$49*AD_tis!$BF8</f>
        <v>0</v>
      </c>
      <c r="BA8" s="12">
        <f>+AD_tis!BA8*AD_tis!BA$49*AD_tis!$BF8</f>
        <v>0</v>
      </c>
      <c r="BB8" s="4">
        <f>+AD_tis!BB8*AD_tis!BB$49*AD_tis!$BF8</f>
        <v>0</v>
      </c>
      <c r="BC8" s="13">
        <f>+AD_tis!BC8*AD_tis!BC$49*AD_tis!$BF8</f>
        <v>0</v>
      </c>
    </row>
    <row r="9" spans="1:55" ht="18.75" customHeight="1" x14ac:dyDescent="0.25">
      <c r="A9" s="5" t="s">
        <v>60</v>
      </c>
      <c r="B9" s="12">
        <f>+AD_tis!B9*AD_tis!B$49*AD_tis!$BF9</f>
        <v>0</v>
      </c>
      <c r="C9" s="4">
        <f>+AD_tis!C9*AD_tis!C$49*AD_tis!$BF9</f>
        <v>0</v>
      </c>
      <c r="D9" s="4">
        <f>+AD_tis!D9*AD_tis!D$49*AD_tis!$BF9</f>
        <v>0</v>
      </c>
      <c r="E9" s="4">
        <f>+AD_tis!E9*AD_tis!E$49*AD_tis!$BF9</f>
        <v>0</v>
      </c>
      <c r="F9" s="4">
        <f>+AD_tis!F9*AD_tis!F$49*AD_tis!$BF9</f>
        <v>0</v>
      </c>
      <c r="G9" s="4">
        <f>+AD_tis!G9*AD_tis!G$49*AD_tis!$BF9</f>
        <v>1</v>
      </c>
      <c r="H9" s="4">
        <f>+AD_tis!H9*AD_tis!H$49*AD_tis!$BF9</f>
        <v>0</v>
      </c>
      <c r="I9" s="4">
        <f>+AD_tis!I9*AD_tis!I$49*AD_tis!$BF9</f>
        <v>0</v>
      </c>
      <c r="J9" s="4">
        <f>+AD_tis!J9*AD_tis!J$49*AD_tis!$BF9</f>
        <v>0</v>
      </c>
      <c r="K9" s="4">
        <f>+AD_tis!K9*AD_tis!K$49*AD_tis!$BF9</f>
        <v>0</v>
      </c>
      <c r="L9" s="4">
        <f>+AD_tis!L9*AD_tis!L$49*AD_tis!$BF9</f>
        <v>0</v>
      </c>
      <c r="M9" s="4">
        <f>+AD_tis!M9*AD_tis!M$49*AD_tis!$BF9</f>
        <v>0</v>
      </c>
      <c r="N9" s="4">
        <f>+AD_tis!N9*AD_tis!N$49*AD_tis!$BF9</f>
        <v>0</v>
      </c>
      <c r="O9" s="4">
        <f>+AD_tis!O9*AD_tis!O$49*AD_tis!$BF9</f>
        <v>0</v>
      </c>
      <c r="P9" s="4">
        <f>+AD_tis!P9*AD_tis!P$49*AD_tis!$BF9</f>
        <v>0</v>
      </c>
      <c r="Q9" s="4">
        <f>+AD_tis!Q9*AD_tis!Q$49*AD_tis!$BF9</f>
        <v>0</v>
      </c>
      <c r="R9" s="13">
        <f>+AD_tis!R9*AD_tis!R$49*AD_tis!$BF9</f>
        <v>0</v>
      </c>
      <c r="S9" s="4">
        <f>+AD_tis!S9*AD_tis!S$49*AD_tis!$BF9</f>
        <v>0</v>
      </c>
      <c r="T9" s="4">
        <f>+AD_tis!T9*AD_tis!T$49*AD_tis!$BF9</f>
        <v>0</v>
      </c>
      <c r="U9" s="4">
        <f>+AD_tis!U9*AD_tis!U$49*AD_tis!$BF9</f>
        <v>0</v>
      </c>
      <c r="V9" s="4">
        <f>+AD_tis!V9*AD_tis!V$49*AD_tis!$BF9</f>
        <v>0</v>
      </c>
      <c r="W9" s="4">
        <f>+AD_tis!W9*AD_tis!W$49*AD_tis!$BF9</f>
        <v>0</v>
      </c>
      <c r="X9" s="4">
        <f>+AD_tis!X9*AD_tis!X$49*AD_tis!$BF9</f>
        <v>0</v>
      </c>
      <c r="Y9" s="4">
        <f>+AD_tis!Y9*AD_tis!Y$49*AD_tis!$BF9</f>
        <v>0</v>
      </c>
      <c r="Z9" s="4">
        <f>+AD_tis!Z9*AD_tis!Z$49*AD_tis!$BF9</f>
        <v>0</v>
      </c>
      <c r="AA9" s="4">
        <f>+AD_tis!AA9*AD_tis!AA$49*AD_tis!$BF9</f>
        <v>0</v>
      </c>
      <c r="AB9" s="4">
        <f>+AD_tis!AB9*AD_tis!AB$49*AD_tis!$BF9</f>
        <v>0</v>
      </c>
      <c r="AC9" s="12">
        <f>+AD_tis!AC9*AD_tis!AC$49*AD_tis!$BF9</f>
        <v>0</v>
      </c>
      <c r="AD9" s="4">
        <f>+AD_tis!AD9*AD_tis!AD$49*AD_tis!$BF9</f>
        <v>0</v>
      </c>
      <c r="AE9" s="4">
        <f>+AD_tis!AE9*AD_tis!AE$49*AD_tis!$BF9</f>
        <v>0</v>
      </c>
      <c r="AF9" s="4">
        <f>+AD_tis!AF9*AD_tis!AF$49*AD_tis!$BF9</f>
        <v>0</v>
      </c>
      <c r="AG9" s="4">
        <f>+AD_tis!AG9*AD_tis!AG$49*AD_tis!$BF9</f>
        <v>0</v>
      </c>
      <c r="AH9" s="4">
        <f>+AD_tis!AH9*AD_tis!AH$49*AD_tis!$BF9</f>
        <v>0</v>
      </c>
      <c r="AI9" s="4">
        <f>+AD_tis!AI9*AD_tis!AI$49*AD_tis!$BF9</f>
        <v>0</v>
      </c>
      <c r="AJ9" s="4">
        <f>+AD_tis!AJ9*AD_tis!AJ$49*AD_tis!$BF9</f>
        <v>0</v>
      </c>
      <c r="AK9" s="4">
        <f>+AD_tis!AK9*AD_tis!AK$49*AD_tis!$BF9</f>
        <v>0</v>
      </c>
      <c r="AL9" s="4">
        <f>+AD_tis!AL9*AD_tis!AL$49*AD_tis!$BF9</f>
        <v>0</v>
      </c>
      <c r="AM9" s="13">
        <f>+AD_tis!AM9*AD_tis!AM$49*AD_tis!$BF9</f>
        <v>0</v>
      </c>
      <c r="AN9" s="4">
        <f>+AD_tis!AN9*AD_tis!AN$49*AD_tis!$BF9</f>
        <v>0</v>
      </c>
      <c r="AO9" s="4">
        <f>+AD_tis!AO9*AD_tis!AO$49*AD_tis!$BF9</f>
        <v>0</v>
      </c>
      <c r="AP9" s="4">
        <f>+AD_tis!AP9*AD_tis!AP$49*AD_tis!$BF9</f>
        <v>0</v>
      </c>
      <c r="AQ9" s="4">
        <f>+AD_tis!AQ9*AD_tis!AQ$49*AD_tis!$BF9</f>
        <v>0</v>
      </c>
      <c r="AR9" s="4">
        <f>+AD_tis!AR9*AD_tis!AR$49*AD_tis!$BF9</f>
        <v>0</v>
      </c>
      <c r="AS9" s="4">
        <f>+AD_tis!AS9*AD_tis!AS$49*AD_tis!$BF9</f>
        <v>0</v>
      </c>
      <c r="AT9" s="4">
        <f>+AD_tis!AT9*AD_tis!AT$49*AD_tis!$BF9</f>
        <v>0</v>
      </c>
      <c r="AU9" s="4">
        <f>+AD_tis!AU9*AD_tis!AU$49*AD_tis!$BF9</f>
        <v>0</v>
      </c>
      <c r="AV9" s="4">
        <f>+AD_tis!AV9*AD_tis!AV$49*AD_tis!$BF9</f>
        <v>0</v>
      </c>
      <c r="AW9" s="12">
        <f>+AD_tis!AW9*AD_tis!AW$49*AD_tis!$BF9</f>
        <v>0</v>
      </c>
      <c r="AX9" s="13">
        <f>+AD_tis!AX9*AD_tis!AX$49*AD_tis!$BF9</f>
        <v>0</v>
      </c>
      <c r="AY9" s="4">
        <f>+AD_tis!AY9*AD_tis!AY$49*AD_tis!$BF9</f>
        <v>0</v>
      </c>
      <c r="AZ9" s="4">
        <f>+AD_tis!AZ9*AD_tis!AZ$49*AD_tis!$BF9</f>
        <v>0</v>
      </c>
      <c r="BA9" s="12">
        <f>+AD_tis!BA9*AD_tis!BA$49*AD_tis!$BF9</f>
        <v>0</v>
      </c>
      <c r="BB9" s="4">
        <f>+AD_tis!BB9*AD_tis!BB$49*AD_tis!$BF9</f>
        <v>0</v>
      </c>
      <c r="BC9" s="13">
        <f>+AD_tis!BC9*AD_tis!BC$49*AD_tis!$BF9</f>
        <v>0</v>
      </c>
    </row>
    <row r="10" spans="1:55" ht="18.75" customHeight="1" x14ac:dyDescent="0.25">
      <c r="A10" s="5" t="s">
        <v>61</v>
      </c>
      <c r="B10" s="12">
        <f>+AD_tis!B10*AD_tis!B$49*AD_tis!$BF10</f>
        <v>0</v>
      </c>
      <c r="C10" s="4">
        <f>+AD_tis!C10*AD_tis!C$49*AD_tis!$BF10</f>
        <v>0</v>
      </c>
      <c r="D10" s="4">
        <f>+AD_tis!D10*AD_tis!D$49*AD_tis!$BF10</f>
        <v>0</v>
      </c>
      <c r="E10" s="4">
        <f>+AD_tis!E10*AD_tis!E$49*AD_tis!$BF10</f>
        <v>0</v>
      </c>
      <c r="F10" s="4">
        <f>+AD_tis!F10*AD_tis!F$49*AD_tis!$BF10</f>
        <v>0</v>
      </c>
      <c r="G10" s="4">
        <f>+AD_tis!G10*AD_tis!G$49*AD_tis!$BF10</f>
        <v>0</v>
      </c>
      <c r="H10" s="4">
        <f>+AD_tis!H10*AD_tis!H$49*AD_tis!$BF10</f>
        <v>0</v>
      </c>
      <c r="I10" s="4">
        <f>+AD_tis!I10*AD_tis!I$49*AD_tis!$BF10</f>
        <v>0</v>
      </c>
      <c r="J10" s="4">
        <f>+AD_tis!J10*AD_tis!J$49*AD_tis!$BF10</f>
        <v>0</v>
      </c>
      <c r="K10" s="4">
        <f>+AD_tis!K10*AD_tis!K$49*AD_tis!$BF10</f>
        <v>0</v>
      </c>
      <c r="L10" s="4">
        <f>+AD_tis!L10*AD_tis!L$49*AD_tis!$BF10</f>
        <v>0</v>
      </c>
      <c r="M10" s="4">
        <f>+AD_tis!M10*AD_tis!M$49*AD_tis!$BF10</f>
        <v>0</v>
      </c>
      <c r="N10" s="4">
        <f>+AD_tis!N10*AD_tis!N$49*AD_tis!$BF10</f>
        <v>0</v>
      </c>
      <c r="O10" s="4">
        <f>+AD_tis!O10*AD_tis!O$49*AD_tis!$BF10</f>
        <v>0</v>
      </c>
      <c r="P10" s="4">
        <f>+AD_tis!P10*AD_tis!P$49*AD_tis!$BF10</f>
        <v>0</v>
      </c>
      <c r="Q10" s="4">
        <f>+AD_tis!Q10*AD_tis!Q$49*AD_tis!$BF10</f>
        <v>0</v>
      </c>
      <c r="R10" s="13">
        <f>+AD_tis!R10*AD_tis!R$49*AD_tis!$BF10</f>
        <v>0</v>
      </c>
      <c r="S10" s="4">
        <f>+AD_tis!S10*AD_tis!S$49*AD_tis!$BF10</f>
        <v>0</v>
      </c>
      <c r="T10" s="4">
        <f>+AD_tis!T10*AD_tis!T$49*AD_tis!$BF10</f>
        <v>0</v>
      </c>
      <c r="U10" s="4">
        <f>+AD_tis!U10*AD_tis!U$49*AD_tis!$BF10</f>
        <v>0</v>
      </c>
      <c r="V10" s="4">
        <f>+AD_tis!V10*AD_tis!V$49*AD_tis!$BF10</f>
        <v>0</v>
      </c>
      <c r="W10" s="4">
        <f>+AD_tis!W10*AD_tis!W$49*AD_tis!$BF10</f>
        <v>0</v>
      </c>
      <c r="X10" s="4">
        <f>+AD_tis!X10*AD_tis!X$49*AD_tis!$BF10</f>
        <v>0</v>
      </c>
      <c r="Y10" s="4">
        <f>+AD_tis!Y10*AD_tis!Y$49*AD_tis!$BF10</f>
        <v>0</v>
      </c>
      <c r="Z10" s="4">
        <f>+AD_tis!Z10*AD_tis!Z$49*AD_tis!$BF10</f>
        <v>0</v>
      </c>
      <c r="AA10" s="4">
        <f>+AD_tis!AA10*AD_tis!AA$49*AD_tis!$BF10</f>
        <v>0</v>
      </c>
      <c r="AB10" s="4">
        <f>+AD_tis!AB10*AD_tis!AB$49*AD_tis!$BF10</f>
        <v>0</v>
      </c>
      <c r="AC10" s="12">
        <f>+AD_tis!AC10*AD_tis!AC$49*AD_tis!$BF10</f>
        <v>0</v>
      </c>
      <c r="AD10" s="4">
        <f>+AD_tis!AD10*AD_tis!AD$49*AD_tis!$BF10</f>
        <v>0</v>
      </c>
      <c r="AE10" s="4">
        <f>+AD_tis!AE10*AD_tis!AE$49*AD_tis!$BF10</f>
        <v>0</v>
      </c>
      <c r="AF10" s="4">
        <f>+AD_tis!AF10*AD_tis!AF$49*AD_tis!$BF10</f>
        <v>0</v>
      </c>
      <c r="AG10" s="4">
        <f>+AD_tis!AG10*AD_tis!AG$49*AD_tis!$BF10</f>
        <v>0</v>
      </c>
      <c r="AH10" s="4">
        <f>+AD_tis!AH10*AD_tis!AH$49*AD_tis!$BF10</f>
        <v>0</v>
      </c>
      <c r="AI10" s="4">
        <f>+AD_tis!AI10*AD_tis!AI$49*AD_tis!$BF10</f>
        <v>0</v>
      </c>
      <c r="AJ10" s="4">
        <f>+AD_tis!AJ10*AD_tis!AJ$49*AD_tis!$BF10</f>
        <v>0</v>
      </c>
      <c r="AK10" s="4">
        <f>+AD_tis!AK10*AD_tis!AK$49*AD_tis!$BF10</f>
        <v>0</v>
      </c>
      <c r="AL10" s="4">
        <f>+AD_tis!AL10*AD_tis!AL$49*AD_tis!$BF10</f>
        <v>0</v>
      </c>
      <c r="AM10" s="13">
        <f>+AD_tis!AM10*AD_tis!AM$49*AD_tis!$BF10</f>
        <v>0</v>
      </c>
      <c r="AN10" s="4">
        <f>+AD_tis!AN10*AD_tis!AN$49*AD_tis!$BF10</f>
        <v>0</v>
      </c>
      <c r="AO10" s="4">
        <f>+AD_tis!AO10*AD_tis!AO$49*AD_tis!$BF10</f>
        <v>0</v>
      </c>
      <c r="AP10" s="4">
        <f>+AD_tis!AP10*AD_tis!AP$49*AD_tis!$BF10</f>
        <v>0</v>
      </c>
      <c r="AQ10" s="4">
        <f>+AD_tis!AQ10*AD_tis!AQ$49*AD_tis!$BF10</f>
        <v>0</v>
      </c>
      <c r="AR10" s="4">
        <f>+AD_tis!AR10*AD_tis!AR$49*AD_tis!$BF10</f>
        <v>0</v>
      </c>
      <c r="AS10" s="4">
        <f>+AD_tis!AS10*AD_tis!AS$49*AD_tis!$BF10</f>
        <v>0</v>
      </c>
      <c r="AT10" s="4">
        <f>+AD_tis!AT10*AD_tis!AT$49*AD_tis!$BF10</f>
        <v>0</v>
      </c>
      <c r="AU10" s="4">
        <f>+AD_tis!AU10*AD_tis!AU$49*AD_tis!$BF10</f>
        <v>0</v>
      </c>
      <c r="AV10" s="4">
        <f>+AD_tis!AV10*AD_tis!AV$49*AD_tis!$BF10</f>
        <v>0</v>
      </c>
      <c r="AW10" s="12">
        <f>+AD_tis!AW10*AD_tis!AW$49*AD_tis!$BF10</f>
        <v>0</v>
      </c>
      <c r="AX10" s="13">
        <f>+AD_tis!AX10*AD_tis!AX$49*AD_tis!$BF10</f>
        <v>0</v>
      </c>
      <c r="AY10" s="4">
        <f>+AD_tis!AY10*AD_tis!AY$49*AD_tis!$BF10</f>
        <v>0</v>
      </c>
      <c r="AZ10" s="4">
        <f>+AD_tis!AZ10*AD_tis!AZ$49*AD_tis!$BF10</f>
        <v>0</v>
      </c>
      <c r="BA10" s="12">
        <f>+AD_tis!BA10*AD_tis!BA$49*AD_tis!$BF10</f>
        <v>0</v>
      </c>
      <c r="BB10" s="4">
        <f>+AD_tis!BB10*AD_tis!BB$49*AD_tis!$BF10</f>
        <v>0</v>
      </c>
      <c r="BC10" s="13">
        <f>+AD_tis!BC10*AD_tis!BC$49*AD_tis!$BF10</f>
        <v>0</v>
      </c>
    </row>
    <row r="11" spans="1:55" ht="18.75" customHeight="1" x14ac:dyDescent="0.25">
      <c r="A11" s="5" t="s">
        <v>62</v>
      </c>
      <c r="B11" s="12">
        <f>+AD_tis!B11*AD_tis!B$49*AD_tis!$BF11</f>
        <v>0</v>
      </c>
      <c r="C11" s="4">
        <f>+AD_tis!C11*AD_tis!C$49*AD_tis!$BF11</f>
        <v>0</v>
      </c>
      <c r="D11" s="4">
        <f>+AD_tis!D11*AD_tis!D$49*AD_tis!$BF11</f>
        <v>0</v>
      </c>
      <c r="E11" s="4">
        <f>+AD_tis!E11*AD_tis!E$49*AD_tis!$BF11</f>
        <v>0</v>
      </c>
      <c r="F11" s="4">
        <f>+AD_tis!F11*AD_tis!F$49*AD_tis!$BF11</f>
        <v>0</v>
      </c>
      <c r="G11" s="4">
        <f>+AD_tis!G11*AD_tis!G$49*AD_tis!$BF11</f>
        <v>0</v>
      </c>
      <c r="H11" s="4">
        <f>+AD_tis!H11*AD_tis!H$49*AD_tis!$BF11</f>
        <v>0</v>
      </c>
      <c r="I11" s="4">
        <f>+AD_tis!I11*AD_tis!I$49*AD_tis!$BF11</f>
        <v>0</v>
      </c>
      <c r="J11" s="4">
        <f>+AD_tis!J11*AD_tis!J$49*AD_tis!$BF11</f>
        <v>0</v>
      </c>
      <c r="K11" s="4">
        <f>+AD_tis!K11*AD_tis!K$49*AD_tis!$BF11</f>
        <v>0</v>
      </c>
      <c r="L11" s="4">
        <f>+AD_tis!L11*AD_tis!L$49*AD_tis!$BF11</f>
        <v>0</v>
      </c>
      <c r="M11" s="4">
        <f>+AD_tis!M11*AD_tis!M$49*AD_tis!$BF11</f>
        <v>0</v>
      </c>
      <c r="N11" s="4">
        <f>+AD_tis!N11*AD_tis!N$49*AD_tis!$BF11</f>
        <v>0</v>
      </c>
      <c r="O11" s="4">
        <f>+AD_tis!O11*AD_tis!O$49*AD_tis!$BF11</f>
        <v>0</v>
      </c>
      <c r="P11" s="4">
        <f>+AD_tis!P11*AD_tis!P$49*AD_tis!$BF11</f>
        <v>0</v>
      </c>
      <c r="Q11" s="4">
        <f>+AD_tis!Q11*AD_tis!Q$49*AD_tis!$BF11</f>
        <v>0</v>
      </c>
      <c r="R11" s="13">
        <f>+AD_tis!R11*AD_tis!R$49*AD_tis!$BF11</f>
        <v>0</v>
      </c>
      <c r="S11" s="4">
        <f>+AD_tis!S11*AD_tis!S$49*AD_tis!$BF11</f>
        <v>0</v>
      </c>
      <c r="T11" s="4">
        <f>+AD_tis!T11*AD_tis!T$49*AD_tis!$BF11</f>
        <v>0</v>
      </c>
      <c r="U11" s="4">
        <f>+AD_tis!U11*AD_tis!U$49*AD_tis!$BF11</f>
        <v>0</v>
      </c>
      <c r="V11" s="4">
        <f>+AD_tis!V11*AD_tis!V$49*AD_tis!$BF11</f>
        <v>0</v>
      </c>
      <c r="W11" s="4">
        <f>+AD_tis!W11*AD_tis!W$49*AD_tis!$BF11</f>
        <v>0</v>
      </c>
      <c r="X11" s="4">
        <f>+AD_tis!X11*AD_tis!X$49*AD_tis!$BF11</f>
        <v>0</v>
      </c>
      <c r="Y11" s="4">
        <f>+AD_tis!Y11*AD_tis!Y$49*AD_tis!$BF11</f>
        <v>0</v>
      </c>
      <c r="Z11" s="4">
        <f>+AD_tis!Z11*AD_tis!Z$49*AD_tis!$BF11</f>
        <v>0</v>
      </c>
      <c r="AA11" s="4">
        <f>+AD_tis!AA11*AD_tis!AA$49*AD_tis!$BF11</f>
        <v>0</v>
      </c>
      <c r="AB11" s="4">
        <f>+AD_tis!AB11*AD_tis!AB$49*AD_tis!$BF11</f>
        <v>0</v>
      </c>
      <c r="AC11" s="12">
        <f>+AD_tis!AC11*AD_tis!AC$49*AD_tis!$BF11</f>
        <v>0</v>
      </c>
      <c r="AD11" s="4">
        <f>+AD_tis!AD11*AD_tis!AD$49*AD_tis!$BF11</f>
        <v>0</v>
      </c>
      <c r="AE11" s="4">
        <f>+AD_tis!AE11*AD_tis!AE$49*AD_tis!$BF11</f>
        <v>0</v>
      </c>
      <c r="AF11" s="4">
        <f>+AD_tis!AF11*AD_tis!AF$49*AD_tis!$BF11</f>
        <v>0</v>
      </c>
      <c r="AG11" s="4">
        <f>+AD_tis!AG11*AD_tis!AG$49*AD_tis!$BF11</f>
        <v>0</v>
      </c>
      <c r="AH11" s="4">
        <f>+AD_tis!AH11*AD_tis!AH$49*AD_tis!$BF11</f>
        <v>0</v>
      </c>
      <c r="AI11" s="4">
        <f>+AD_tis!AI11*AD_tis!AI$49*AD_tis!$BF11</f>
        <v>0</v>
      </c>
      <c r="AJ11" s="4">
        <f>+AD_tis!AJ11*AD_tis!AJ$49*AD_tis!$BF11</f>
        <v>0</v>
      </c>
      <c r="AK11" s="4">
        <f>+AD_tis!AK11*AD_tis!AK$49*AD_tis!$BF11</f>
        <v>0</v>
      </c>
      <c r="AL11" s="4">
        <f>+AD_tis!AL11*AD_tis!AL$49*AD_tis!$BF11</f>
        <v>0</v>
      </c>
      <c r="AM11" s="13">
        <f>+AD_tis!AM11*AD_tis!AM$49*AD_tis!$BF11</f>
        <v>0</v>
      </c>
      <c r="AN11" s="4">
        <f>+AD_tis!AN11*AD_tis!AN$49*AD_tis!$BF11</f>
        <v>0</v>
      </c>
      <c r="AO11" s="4">
        <f>+AD_tis!AO11*AD_tis!AO$49*AD_tis!$BF11</f>
        <v>0</v>
      </c>
      <c r="AP11" s="4">
        <f>+AD_tis!AP11*AD_tis!AP$49*AD_tis!$BF11</f>
        <v>0</v>
      </c>
      <c r="AQ11" s="4">
        <f>+AD_tis!AQ11*AD_tis!AQ$49*AD_tis!$BF11</f>
        <v>0</v>
      </c>
      <c r="AR11" s="4">
        <f>+AD_tis!AR11*AD_tis!AR$49*AD_tis!$BF11</f>
        <v>0</v>
      </c>
      <c r="AS11" s="4">
        <f>+AD_tis!AS11*AD_tis!AS$49*AD_tis!$BF11</f>
        <v>0</v>
      </c>
      <c r="AT11" s="4">
        <f>+AD_tis!AT11*AD_tis!AT$49*AD_tis!$BF11</f>
        <v>0</v>
      </c>
      <c r="AU11" s="4">
        <f>+AD_tis!AU11*AD_tis!AU$49*AD_tis!$BF11</f>
        <v>0</v>
      </c>
      <c r="AV11" s="4">
        <f>+AD_tis!AV11*AD_tis!AV$49*AD_tis!$BF11</f>
        <v>0</v>
      </c>
      <c r="AW11" s="12">
        <f>+AD_tis!AW11*AD_tis!AW$49*AD_tis!$BF11</f>
        <v>0</v>
      </c>
      <c r="AX11" s="13">
        <f>+AD_tis!AX11*AD_tis!AX$49*AD_tis!$BF11</f>
        <v>0</v>
      </c>
      <c r="AY11" s="4">
        <f>+AD_tis!AY11*AD_tis!AY$49*AD_tis!$BF11</f>
        <v>0</v>
      </c>
      <c r="AZ11" s="4">
        <f>+AD_tis!AZ11*AD_tis!AZ$49*AD_tis!$BF11</f>
        <v>0</v>
      </c>
      <c r="BA11" s="12">
        <f>+AD_tis!BA11*AD_tis!BA$49*AD_tis!$BF11</f>
        <v>0</v>
      </c>
      <c r="BB11" s="4">
        <f>+AD_tis!BB11*AD_tis!BB$49*AD_tis!$BF11</f>
        <v>0</v>
      </c>
      <c r="BC11" s="13">
        <f>+AD_tis!BC11*AD_tis!BC$49*AD_tis!$BF11</f>
        <v>0</v>
      </c>
    </row>
    <row r="12" spans="1:55" ht="18.75" customHeight="1" x14ac:dyDescent="0.25">
      <c r="A12" s="5" t="s">
        <v>63</v>
      </c>
      <c r="B12" s="12">
        <f>+AD_tis!B12*AD_tis!B$49*AD_tis!$BF12</f>
        <v>0</v>
      </c>
      <c r="C12" s="4">
        <f>+AD_tis!C12*AD_tis!C$49*AD_tis!$BF12</f>
        <v>0</v>
      </c>
      <c r="D12" s="4">
        <f>+AD_tis!D12*AD_tis!D$49*AD_tis!$BF12</f>
        <v>0</v>
      </c>
      <c r="E12" s="4">
        <f>+AD_tis!E12*AD_tis!E$49*AD_tis!$BF12</f>
        <v>0</v>
      </c>
      <c r="F12" s="4">
        <f>+AD_tis!F12*AD_tis!F$49*AD_tis!$BF12</f>
        <v>0</v>
      </c>
      <c r="G12" s="4">
        <f>+AD_tis!G12*AD_tis!G$49*AD_tis!$BF12</f>
        <v>1</v>
      </c>
      <c r="H12" s="4">
        <f>+AD_tis!H12*AD_tis!H$49*AD_tis!$BF12</f>
        <v>0</v>
      </c>
      <c r="I12" s="4">
        <f>+AD_tis!I12*AD_tis!I$49*AD_tis!$BF12</f>
        <v>0</v>
      </c>
      <c r="J12" s="4">
        <f>+AD_tis!J12*AD_tis!J$49*AD_tis!$BF12</f>
        <v>0</v>
      </c>
      <c r="K12" s="4">
        <f>+AD_tis!K12*AD_tis!K$49*AD_tis!$BF12</f>
        <v>0</v>
      </c>
      <c r="L12" s="4">
        <f>+AD_tis!L12*AD_tis!L$49*AD_tis!$BF12</f>
        <v>0</v>
      </c>
      <c r="M12" s="4">
        <f>+AD_tis!M12*AD_tis!M$49*AD_tis!$BF12</f>
        <v>0</v>
      </c>
      <c r="N12" s="4">
        <f>+AD_tis!N12*AD_tis!N$49*AD_tis!$BF12</f>
        <v>0</v>
      </c>
      <c r="O12" s="4">
        <f>+AD_tis!O12*AD_tis!O$49*AD_tis!$BF12</f>
        <v>0</v>
      </c>
      <c r="P12" s="4">
        <f>+AD_tis!P12*AD_tis!P$49*AD_tis!$BF12</f>
        <v>0</v>
      </c>
      <c r="Q12" s="4">
        <f>+AD_tis!Q12*AD_tis!Q$49*AD_tis!$BF12</f>
        <v>0</v>
      </c>
      <c r="R12" s="13">
        <f>+AD_tis!R12*AD_tis!R$49*AD_tis!$BF12</f>
        <v>0</v>
      </c>
      <c r="S12" s="4">
        <f>+AD_tis!S12*AD_tis!S$49*AD_tis!$BF12</f>
        <v>0</v>
      </c>
      <c r="T12" s="4">
        <f>+AD_tis!T12*AD_tis!T$49*AD_tis!$BF12</f>
        <v>0</v>
      </c>
      <c r="U12" s="4">
        <f>+AD_tis!U12*AD_tis!U$49*AD_tis!$BF12</f>
        <v>0</v>
      </c>
      <c r="V12" s="4">
        <f>+AD_tis!V12*AD_tis!V$49*AD_tis!$BF12</f>
        <v>0</v>
      </c>
      <c r="W12" s="4">
        <f>+AD_tis!W12*AD_tis!W$49*AD_tis!$BF12</f>
        <v>0</v>
      </c>
      <c r="X12" s="4">
        <f>+AD_tis!X12*AD_tis!X$49*AD_tis!$BF12</f>
        <v>0</v>
      </c>
      <c r="Y12" s="4">
        <f>+AD_tis!Y12*AD_tis!Y$49*AD_tis!$BF12</f>
        <v>0</v>
      </c>
      <c r="Z12" s="4">
        <f>+AD_tis!Z12*AD_tis!Z$49*AD_tis!$BF12</f>
        <v>0</v>
      </c>
      <c r="AA12" s="4">
        <f>+AD_tis!AA12*AD_tis!AA$49*AD_tis!$BF12</f>
        <v>0</v>
      </c>
      <c r="AB12" s="4">
        <f>+AD_tis!AB12*AD_tis!AB$49*AD_tis!$BF12</f>
        <v>0</v>
      </c>
      <c r="AC12" s="12">
        <f>+AD_tis!AC12*AD_tis!AC$49*AD_tis!$BF12</f>
        <v>0</v>
      </c>
      <c r="AD12" s="4">
        <f>+AD_tis!AD12*AD_tis!AD$49*AD_tis!$BF12</f>
        <v>0</v>
      </c>
      <c r="AE12" s="4">
        <f>+AD_tis!AE12*AD_tis!AE$49*AD_tis!$BF12</f>
        <v>0</v>
      </c>
      <c r="AF12" s="4">
        <f>+AD_tis!AF12*AD_tis!AF$49*AD_tis!$BF12</f>
        <v>0</v>
      </c>
      <c r="AG12" s="4">
        <f>+AD_tis!AG12*AD_tis!AG$49*AD_tis!$BF12</f>
        <v>0</v>
      </c>
      <c r="AH12" s="4">
        <f>+AD_tis!AH12*AD_tis!AH$49*AD_tis!$BF12</f>
        <v>0</v>
      </c>
      <c r="AI12" s="4">
        <f>+AD_tis!AI12*AD_tis!AI$49*AD_tis!$BF12</f>
        <v>0</v>
      </c>
      <c r="AJ12" s="4">
        <f>+AD_tis!AJ12*AD_tis!AJ$49*AD_tis!$BF12</f>
        <v>0</v>
      </c>
      <c r="AK12" s="4">
        <f>+AD_tis!AK12*AD_tis!AK$49*AD_tis!$BF12</f>
        <v>0</v>
      </c>
      <c r="AL12" s="4">
        <f>+AD_tis!AL12*AD_tis!AL$49*AD_tis!$BF12</f>
        <v>0</v>
      </c>
      <c r="AM12" s="13">
        <f>+AD_tis!AM12*AD_tis!AM$49*AD_tis!$BF12</f>
        <v>0</v>
      </c>
      <c r="AN12" s="4">
        <f>+AD_tis!AN12*AD_tis!AN$49*AD_tis!$BF12</f>
        <v>0</v>
      </c>
      <c r="AO12" s="4">
        <f>+AD_tis!AO12*AD_tis!AO$49*AD_tis!$BF12</f>
        <v>0</v>
      </c>
      <c r="AP12" s="4">
        <f>+AD_tis!AP12*AD_tis!AP$49*AD_tis!$BF12</f>
        <v>0</v>
      </c>
      <c r="AQ12" s="4">
        <f>+AD_tis!AQ12*AD_tis!AQ$49*AD_tis!$BF12</f>
        <v>0</v>
      </c>
      <c r="AR12" s="4">
        <f>+AD_tis!AR12*AD_tis!AR$49*AD_tis!$BF12</f>
        <v>0</v>
      </c>
      <c r="AS12" s="4">
        <f>+AD_tis!AS12*AD_tis!AS$49*AD_tis!$BF12</f>
        <v>0</v>
      </c>
      <c r="AT12" s="4">
        <f>+AD_tis!AT12*AD_tis!AT$49*AD_tis!$BF12</f>
        <v>0</v>
      </c>
      <c r="AU12" s="4">
        <f>+AD_tis!AU12*AD_tis!AU$49*AD_tis!$BF12</f>
        <v>0</v>
      </c>
      <c r="AV12" s="4">
        <f>+AD_tis!AV12*AD_tis!AV$49*AD_tis!$BF12</f>
        <v>0</v>
      </c>
      <c r="AW12" s="12">
        <f>+AD_tis!AW12*AD_tis!AW$49*AD_tis!$BF12</f>
        <v>0</v>
      </c>
      <c r="AX12" s="13">
        <f>+AD_tis!AX12*AD_tis!AX$49*AD_tis!$BF12</f>
        <v>0</v>
      </c>
      <c r="AY12" s="4">
        <f>+AD_tis!AY12*AD_tis!AY$49*AD_tis!$BF12</f>
        <v>0</v>
      </c>
      <c r="AZ12" s="4">
        <f>+AD_tis!AZ12*AD_tis!AZ$49*AD_tis!$BF12</f>
        <v>0</v>
      </c>
      <c r="BA12" s="12">
        <f>+AD_tis!BA12*AD_tis!BA$49*AD_tis!$BF12</f>
        <v>0</v>
      </c>
      <c r="BB12" s="4">
        <f>+AD_tis!BB12*AD_tis!BB$49*AD_tis!$BF12</f>
        <v>0</v>
      </c>
      <c r="BC12" s="13">
        <f>+AD_tis!BC12*AD_tis!BC$49*AD_tis!$BF12</f>
        <v>0</v>
      </c>
    </row>
    <row r="13" spans="1:55" ht="18.75" customHeight="1" x14ac:dyDescent="0.25">
      <c r="A13" s="5" t="s">
        <v>64</v>
      </c>
      <c r="B13" s="12">
        <f>+AD_tis!B13*AD_tis!B$49*AD_tis!$BF13</f>
        <v>0</v>
      </c>
      <c r="C13" s="4">
        <f>+AD_tis!C13*AD_tis!C$49*AD_tis!$BF13</f>
        <v>0</v>
      </c>
      <c r="D13" s="4">
        <f>+AD_tis!D13*AD_tis!D$49*AD_tis!$BF13</f>
        <v>0</v>
      </c>
      <c r="E13" s="4">
        <f>+AD_tis!E13*AD_tis!E$49*AD_tis!$BF13</f>
        <v>0</v>
      </c>
      <c r="F13" s="4">
        <f>+AD_tis!F13*AD_tis!F$49*AD_tis!$BF13</f>
        <v>0</v>
      </c>
      <c r="G13" s="4">
        <f>+AD_tis!G13*AD_tis!G$49*AD_tis!$BF13</f>
        <v>0</v>
      </c>
      <c r="H13" s="4">
        <f>+AD_tis!H13*AD_tis!H$49*AD_tis!$BF13</f>
        <v>0</v>
      </c>
      <c r="I13" s="4">
        <f>+AD_tis!I13*AD_tis!I$49*AD_tis!$BF13</f>
        <v>0</v>
      </c>
      <c r="J13" s="4">
        <f>+AD_tis!J13*AD_tis!J$49*AD_tis!$BF13</f>
        <v>0</v>
      </c>
      <c r="K13" s="4">
        <f>+AD_tis!K13*AD_tis!K$49*AD_tis!$BF13</f>
        <v>0</v>
      </c>
      <c r="L13" s="4">
        <f>+AD_tis!L13*AD_tis!L$49*AD_tis!$BF13</f>
        <v>0</v>
      </c>
      <c r="M13" s="4">
        <f>+AD_tis!M13*AD_tis!M$49*AD_tis!$BF13</f>
        <v>0</v>
      </c>
      <c r="N13" s="4">
        <f>+AD_tis!N13*AD_tis!N$49*AD_tis!$BF13</f>
        <v>0</v>
      </c>
      <c r="O13" s="4">
        <f>+AD_tis!O13*AD_tis!O$49*AD_tis!$BF13</f>
        <v>0</v>
      </c>
      <c r="P13" s="4">
        <f>+AD_tis!P13*AD_tis!P$49*AD_tis!$BF13</f>
        <v>0</v>
      </c>
      <c r="Q13" s="4">
        <f>+AD_tis!Q13*AD_tis!Q$49*AD_tis!$BF13</f>
        <v>0</v>
      </c>
      <c r="R13" s="13">
        <f>+AD_tis!R13*AD_tis!R$49*AD_tis!$BF13</f>
        <v>0</v>
      </c>
      <c r="S13" s="4">
        <f>+AD_tis!S13*AD_tis!S$49*AD_tis!$BF13</f>
        <v>0</v>
      </c>
      <c r="T13" s="4">
        <f>+AD_tis!T13*AD_tis!T$49*AD_tis!$BF13</f>
        <v>0</v>
      </c>
      <c r="U13" s="4">
        <f>+AD_tis!U13*AD_tis!U$49*AD_tis!$BF13</f>
        <v>0</v>
      </c>
      <c r="V13" s="4">
        <f>+AD_tis!V13*AD_tis!V$49*AD_tis!$BF13</f>
        <v>0</v>
      </c>
      <c r="W13" s="4">
        <f>+AD_tis!W13*AD_tis!W$49*AD_tis!$BF13</f>
        <v>0</v>
      </c>
      <c r="X13" s="4">
        <f>+AD_tis!X13*AD_tis!X$49*AD_tis!$BF13</f>
        <v>0</v>
      </c>
      <c r="Y13" s="4">
        <f>+AD_tis!Y13*AD_tis!Y$49*AD_tis!$BF13</f>
        <v>0</v>
      </c>
      <c r="Z13" s="4">
        <f>+AD_tis!Z13*AD_tis!Z$49*AD_tis!$BF13</f>
        <v>0</v>
      </c>
      <c r="AA13" s="4">
        <f>+AD_tis!AA13*AD_tis!AA$49*AD_tis!$BF13</f>
        <v>0</v>
      </c>
      <c r="AB13" s="4">
        <f>+AD_tis!AB13*AD_tis!AB$49*AD_tis!$BF13</f>
        <v>0</v>
      </c>
      <c r="AC13" s="12">
        <f>+AD_tis!AC13*AD_tis!AC$49*AD_tis!$BF13</f>
        <v>0</v>
      </c>
      <c r="AD13" s="4">
        <f>+AD_tis!AD13*AD_tis!AD$49*AD_tis!$BF13</f>
        <v>0</v>
      </c>
      <c r="AE13" s="4">
        <f>+AD_tis!AE13*AD_tis!AE$49*AD_tis!$BF13</f>
        <v>0</v>
      </c>
      <c r="AF13" s="4">
        <f>+AD_tis!AF13*AD_tis!AF$49*AD_tis!$BF13</f>
        <v>0</v>
      </c>
      <c r="AG13" s="4">
        <f>+AD_tis!AG13*AD_tis!AG$49*AD_tis!$BF13</f>
        <v>0</v>
      </c>
      <c r="AH13" s="4">
        <f>+AD_tis!AH13*AD_tis!AH$49*AD_tis!$BF13</f>
        <v>0</v>
      </c>
      <c r="AI13" s="4">
        <f>+AD_tis!AI13*AD_tis!AI$49*AD_tis!$BF13</f>
        <v>0</v>
      </c>
      <c r="AJ13" s="4">
        <f>+AD_tis!AJ13*AD_tis!AJ$49*AD_tis!$BF13</f>
        <v>0</v>
      </c>
      <c r="AK13" s="4">
        <f>+AD_tis!AK13*AD_tis!AK$49*AD_tis!$BF13</f>
        <v>0</v>
      </c>
      <c r="AL13" s="4">
        <f>+AD_tis!AL13*AD_tis!AL$49*AD_tis!$BF13</f>
        <v>0</v>
      </c>
      <c r="AM13" s="13">
        <f>+AD_tis!AM13*AD_tis!AM$49*AD_tis!$BF13</f>
        <v>0</v>
      </c>
      <c r="AN13" s="4">
        <f>+AD_tis!AN13*AD_tis!AN$49*AD_tis!$BF13</f>
        <v>0</v>
      </c>
      <c r="AO13" s="4">
        <f>+AD_tis!AO13*AD_tis!AO$49*AD_tis!$BF13</f>
        <v>0</v>
      </c>
      <c r="AP13" s="4">
        <f>+AD_tis!AP13*AD_tis!AP$49*AD_tis!$BF13</f>
        <v>0</v>
      </c>
      <c r="AQ13" s="4">
        <f>+AD_tis!AQ13*AD_tis!AQ$49*AD_tis!$BF13</f>
        <v>0</v>
      </c>
      <c r="AR13" s="4">
        <f>+AD_tis!AR13*AD_tis!AR$49*AD_tis!$BF13</f>
        <v>0</v>
      </c>
      <c r="AS13" s="4">
        <f>+AD_tis!AS13*AD_tis!AS$49*AD_tis!$BF13</f>
        <v>0</v>
      </c>
      <c r="AT13" s="4">
        <f>+AD_tis!AT13*AD_tis!AT$49*AD_tis!$BF13</f>
        <v>0</v>
      </c>
      <c r="AU13" s="4">
        <f>+AD_tis!AU13*AD_tis!AU$49*AD_tis!$BF13</f>
        <v>0</v>
      </c>
      <c r="AV13" s="4">
        <f>+AD_tis!AV13*AD_tis!AV$49*AD_tis!$BF13</f>
        <v>0</v>
      </c>
      <c r="AW13" s="12">
        <f>+AD_tis!AW13*AD_tis!AW$49*AD_tis!$BF13</f>
        <v>0</v>
      </c>
      <c r="AX13" s="13">
        <f>+AD_tis!AX13*AD_tis!AX$49*AD_tis!$BF13</f>
        <v>0</v>
      </c>
      <c r="AY13" s="4">
        <f>+AD_tis!AY13*AD_tis!AY$49*AD_tis!$BF13</f>
        <v>0</v>
      </c>
      <c r="AZ13" s="4">
        <f>+AD_tis!AZ13*AD_tis!AZ$49*AD_tis!$BF13</f>
        <v>0</v>
      </c>
      <c r="BA13" s="12">
        <f>+AD_tis!BA13*AD_tis!BA$49*AD_tis!$BF13</f>
        <v>0</v>
      </c>
      <c r="BB13" s="4">
        <f>+AD_tis!BB13*AD_tis!BB$49*AD_tis!$BF13</f>
        <v>0</v>
      </c>
      <c r="BC13" s="13">
        <f>+AD_tis!BC13*AD_tis!BC$49*AD_tis!$BF13</f>
        <v>0</v>
      </c>
    </row>
    <row r="14" spans="1:55" ht="18.75" customHeight="1" x14ac:dyDescent="0.25">
      <c r="A14" s="5" t="s">
        <v>65</v>
      </c>
      <c r="B14" s="12">
        <f>+AD_tis!B14*AD_tis!B$49*AD_tis!$BF14</f>
        <v>0</v>
      </c>
      <c r="C14" s="4">
        <f>+AD_tis!C14*AD_tis!C$49*AD_tis!$BF14</f>
        <v>0</v>
      </c>
      <c r="D14" s="4">
        <f>+AD_tis!D14*AD_tis!D$49*AD_tis!$BF14</f>
        <v>0</v>
      </c>
      <c r="E14" s="4">
        <f>+AD_tis!E14*AD_tis!E$49*AD_tis!$BF14</f>
        <v>0</v>
      </c>
      <c r="F14" s="4">
        <f>+AD_tis!F14*AD_tis!F$49*AD_tis!$BF14</f>
        <v>0</v>
      </c>
      <c r="G14" s="4">
        <f>+AD_tis!G14*AD_tis!G$49*AD_tis!$BF14</f>
        <v>0</v>
      </c>
      <c r="H14" s="4">
        <f>+AD_tis!H14*AD_tis!H$49*AD_tis!$BF14</f>
        <v>0</v>
      </c>
      <c r="I14" s="4">
        <f>+AD_tis!I14*AD_tis!I$49*AD_tis!$BF14</f>
        <v>0</v>
      </c>
      <c r="J14" s="4">
        <f>+AD_tis!J14*AD_tis!J$49*AD_tis!$BF14</f>
        <v>0</v>
      </c>
      <c r="K14" s="4">
        <f>+AD_tis!K14*AD_tis!K$49*AD_tis!$BF14</f>
        <v>0</v>
      </c>
      <c r="L14" s="4">
        <f>+AD_tis!L14*AD_tis!L$49*AD_tis!$BF14</f>
        <v>0</v>
      </c>
      <c r="M14" s="4">
        <f>+AD_tis!M14*AD_tis!M$49*AD_tis!$BF14</f>
        <v>0</v>
      </c>
      <c r="N14" s="4">
        <f>+AD_tis!N14*AD_tis!N$49*AD_tis!$BF14</f>
        <v>0</v>
      </c>
      <c r="O14" s="4">
        <f>+AD_tis!O14*AD_tis!O$49*AD_tis!$BF14</f>
        <v>0</v>
      </c>
      <c r="P14" s="4">
        <f>+AD_tis!P14*AD_tis!P$49*AD_tis!$BF14</f>
        <v>0</v>
      </c>
      <c r="Q14" s="4">
        <f>+AD_tis!Q14*AD_tis!Q$49*AD_tis!$BF14</f>
        <v>0</v>
      </c>
      <c r="R14" s="13">
        <f>+AD_tis!R14*AD_tis!R$49*AD_tis!$BF14</f>
        <v>0</v>
      </c>
      <c r="S14" s="4">
        <f>+AD_tis!S14*AD_tis!S$49*AD_tis!$BF14</f>
        <v>0</v>
      </c>
      <c r="T14" s="4">
        <f>+AD_tis!T14*AD_tis!T$49*AD_tis!$BF14</f>
        <v>0</v>
      </c>
      <c r="U14" s="4">
        <f>+AD_tis!U14*AD_tis!U$49*AD_tis!$BF14</f>
        <v>0</v>
      </c>
      <c r="V14" s="4">
        <f>+AD_tis!V14*AD_tis!V$49*AD_tis!$BF14</f>
        <v>0</v>
      </c>
      <c r="W14" s="4">
        <f>+AD_tis!W14*AD_tis!W$49*AD_tis!$BF14</f>
        <v>0</v>
      </c>
      <c r="X14" s="4">
        <f>+AD_tis!X14*AD_tis!X$49*AD_tis!$BF14</f>
        <v>0</v>
      </c>
      <c r="Y14" s="4">
        <f>+AD_tis!Y14*AD_tis!Y$49*AD_tis!$BF14</f>
        <v>0</v>
      </c>
      <c r="Z14" s="4">
        <f>+AD_tis!Z14*AD_tis!Z$49*AD_tis!$BF14</f>
        <v>0</v>
      </c>
      <c r="AA14" s="4">
        <f>+AD_tis!AA14*AD_tis!AA$49*AD_tis!$BF14</f>
        <v>0</v>
      </c>
      <c r="AB14" s="4">
        <f>+AD_tis!AB14*AD_tis!AB$49*AD_tis!$BF14</f>
        <v>0</v>
      </c>
      <c r="AC14" s="12">
        <f>+AD_tis!AC14*AD_tis!AC$49*AD_tis!$BF14</f>
        <v>0</v>
      </c>
      <c r="AD14" s="4">
        <f>+AD_tis!AD14*AD_tis!AD$49*AD_tis!$BF14</f>
        <v>0</v>
      </c>
      <c r="AE14" s="4">
        <f>+AD_tis!AE14*AD_tis!AE$49*AD_tis!$BF14</f>
        <v>0</v>
      </c>
      <c r="AF14" s="4">
        <f>+AD_tis!AF14*AD_tis!AF$49*AD_tis!$BF14</f>
        <v>0</v>
      </c>
      <c r="AG14" s="4">
        <f>+AD_tis!AG14*AD_tis!AG$49*AD_tis!$BF14</f>
        <v>0</v>
      </c>
      <c r="AH14" s="4">
        <f>+AD_tis!AH14*AD_tis!AH$49*AD_tis!$BF14</f>
        <v>0</v>
      </c>
      <c r="AI14" s="4">
        <f>+AD_tis!AI14*AD_tis!AI$49*AD_tis!$BF14</f>
        <v>0</v>
      </c>
      <c r="AJ14" s="4">
        <f>+AD_tis!AJ14*AD_tis!AJ$49*AD_tis!$BF14</f>
        <v>0</v>
      </c>
      <c r="AK14" s="4">
        <f>+AD_tis!AK14*AD_tis!AK$49*AD_tis!$BF14</f>
        <v>0</v>
      </c>
      <c r="AL14" s="4">
        <f>+AD_tis!AL14*AD_tis!AL$49*AD_tis!$BF14</f>
        <v>0</v>
      </c>
      <c r="AM14" s="13">
        <f>+AD_tis!AM14*AD_tis!AM$49*AD_tis!$BF14</f>
        <v>0</v>
      </c>
      <c r="AN14" s="4">
        <f>+AD_tis!AN14*AD_tis!AN$49*AD_tis!$BF14</f>
        <v>0</v>
      </c>
      <c r="AO14" s="4">
        <f>+AD_tis!AO14*AD_tis!AO$49*AD_tis!$BF14</f>
        <v>0</v>
      </c>
      <c r="AP14" s="4">
        <f>+AD_tis!AP14*AD_tis!AP$49*AD_tis!$BF14</f>
        <v>0</v>
      </c>
      <c r="AQ14" s="4">
        <f>+AD_tis!AQ14*AD_tis!AQ$49*AD_tis!$BF14</f>
        <v>0</v>
      </c>
      <c r="AR14" s="4">
        <f>+AD_tis!AR14*AD_tis!AR$49*AD_tis!$BF14</f>
        <v>0</v>
      </c>
      <c r="AS14" s="4">
        <f>+AD_tis!AS14*AD_tis!AS$49*AD_tis!$BF14</f>
        <v>0</v>
      </c>
      <c r="AT14" s="4">
        <f>+AD_tis!AT14*AD_tis!AT$49*AD_tis!$BF14</f>
        <v>0</v>
      </c>
      <c r="AU14" s="4">
        <f>+AD_tis!AU14*AD_tis!AU$49*AD_tis!$BF14</f>
        <v>0</v>
      </c>
      <c r="AV14" s="4">
        <f>+AD_tis!AV14*AD_tis!AV$49*AD_tis!$BF14</f>
        <v>0</v>
      </c>
      <c r="AW14" s="12">
        <f>+AD_tis!AW14*AD_tis!AW$49*AD_tis!$BF14</f>
        <v>0</v>
      </c>
      <c r="AX14" s="13">
        <f>+AD_tis!AX14*AD_tis!AX$49*AD_tis!$BF14</f>
        <v>0</v>
      </c>
      <c r="AY14" s="4">
        <f>+AD_tis!AY14*AD_tis!AY$49*AD_tis!$BF14</f>
        <v>0</v>
      </c>
      <c r="AZ14" s="4">
        <f>+AD_tis!AZ14*AD_tis!AZ$49*AD_tis!$BF14</f>
        <v>0</v>
      </c>
      <c r="BA14" s="12">
        <f>+AD_tis!BA14*AD_tis!BA$49*AD_tis!$BF14</f>
        <v>0</v>
      </c>
      <c r="BB14" s="4">
        <f>+AD_tis!BB14*AD_tis!BB$49*AD_tis!$BF14</f>
        <v>0</v>
      </c>
      <c r="BC14" s="13">
        <f>+AD_tis!BC14*AD_tis!BC$49*AD_tis!$BF14</f>
        <v>0</v>
      </c>
    </row>
    <row r="15" spans="1:55" ht="18.75" customHeight="1" x14ac:dyDescent="0.25">
      <c r="A15" s="5" t="s">
        <v>66</v>
      </c>
      <c r="B15" s="12">
        <f>+AD_tis!B15*AD_tis!B$49*AD_tis!$BF15</f>
        <v>0</v>
      </c>
      <c r="C15" s="4">
        <f>+AD_tis!C15*AD_tis!C$49*AD_tis!$BF15</f>
        <v>0</v>
      </c>
      <c r="D15" s="4">
        <f>+AD_tis!D15*AD_tis!D$49*AD_tis!$BF15</f>
        <v>0</v>
      </c>
      <c r="E15" s="4">
        <f>+AD_tis!E15*AD_tis!E$49*AD_tis!$BF15</f>
        <v>0</v>
      </c>
      <c r="F15" s="4">
        <f>+AD_tis!F15*AD_tis!F$49*AD_tis!$BF15</f>
        <v>0</v>
      </c>
      <c r="G15" s="4">
        <f>+AD_tis!G15*AD_tis!G$49*AD_tis!$BF15</f>
        <v>0</v>
      </c>
      <c r="H15" s="4">
        <f>+AD_tis!H15*AD_tis!H$49*AD_tis!$BF15</f>
        <v>0</v>
      </c>
      <c r="I15" s="4">
        <f>+AD_tis!I15*AD_tis!I$49*AD_tis!$BF15</f>
        <v>0</v>
      </c>
      <c r="J15" s="4">
        <f>+AD_tis!J15*AD_tis!J$49*AD_tis!$BF15</f>
        <v>0</v>
      </c>
      <c r="K15" s="4">
        <f>+AD_tis!K15*AD_tis!K$49*AD_tis!$BF15</f>
        <v>0</v>
      </c>
      <c r="L15" s="4">
        <f>+AD_tis!L15*AD_tis!L$49*AD_tis!$BF15</f>
        <v>0</v>
      </c>
      <c r="M15" s="4">
        <f>+AD_tis!M15*AD_tis!M$49*AD_tis!$BF15</f>
        <v>0</v>
      </c>
      <c r="N15" s="4">
        <f>+AD_tis!N15*AD_tis!N$49*AD_tis!$BF15</f>
        <v>0</v>
      </c>
      <c r="O15" s="4">
        <f>+AD_tis!O15*AD_tis!O$49*AD_tis!$BF15</f>
        <v>0</v>
      </c>
      <c r="P15" s="4">
        <f>+AD_tis!P15*AD_tis!P$49*AD_tis!$BF15</f>
        <v>0</v>
      </c>
      <c r="Q15" s="4">
        <f>+AD_tis!Q15*AD_tis!Q$49*AD_tis!$BF15</f>
        <v>0</v>
      </c>
      <c r="R15" s="13">
        <f>+AD_tis!R15*AD_tis!R$49*AD_tis!$BF15</f>
        <v>0</v>
      </c>
      <c r="S15" s="4">
        <f>+AD_tis!S15*AD_tis!S$49*AD_tis!$BF15</f>
        <v>0</v>
      </c>
      <c r="T15" s="4">
        <f>+AD_tis!T15*AD_tis!T$49*AD_tis!$BF15</f>
        <v>0</v>
      </c>
      <c r="U15" s="4">
        <f>+AD_tis!U15*AD_tis!U$49*AD_tis!$BF15</f>
        <v>0</v>
      </c>
      <c r="V15" s="4">
        <f>+AD_tis!V15*AD_tis!V$49*AD_tis!$BF15</f>
        <v>0</v>
      </c>
      <c r="W15" s="4">
        <f>+AD_tis!W15*AD_tis!W$49*AD_tis!$BF15</f>
        <v>0</v>
      </c>
      <c r="X15" s="4">
        <f>+AD_tis!X15*AD_tis!X$49*AD_tis!$BF15</f>
        <v>0</v>
      </c>
      <c r="Y15" s="4">
        <f>+AD_tis!Y15*AD_tis!Y$49*AD_tis!$BF15</f>
        <v>0</v>
      </c>
      <c r="Z15" s="4">
        <f>+AD_tis!Z15*AD_tis!Z$49*AD_tis!$BF15</f>
        <v>0</v>
      </c>
      <c r="AA15" s="4">
        <f>+AD_tis!AA15*AD_tis!AA$49*AD_tis!$BF15</f>
        <v>0</v>
      </c>
      <c r="AB15" s="4">
        <f>+AD_tis!AB15*AD_tis!AB$49*AD_tis!$BF15</f>
        <v>0</v>
      </c>
      <c r="AC15" s="12">
        <f>+AD_tis!AC15*AD_tis!AC$49*AD_tis!$BF15</f>
        <v>0</v>
      </c>
      <c r="AD15" s="4">
        <f>+AD_tis!AD15*AD_tis!AD$49*AD_tis!$BF15</f>
        <v>0</v>
      </c>
      <c r="AE15" s="4">
        <f>+AD_tis!AE15*AD_tis!AE$49*AD_tis!$BF15</f>
        <v>0</v>
      </c>
      <c r="AF15" s="4">
        <f>+AD_tis!AF15*AD_tis!AF$49*AD_tis!$BF15</f>
        <v>0</v>
      </c>
      <c r="AG15" s="4">
        <f>+AD_tis!AG15*AD_tis!AG$49*AD_tis!$BF15</f>
        <v>0</v>
      </c>
      <c r="AH15" s="4">
        <f>+AD_tis!AH15*AD_tis!AH$49*AD_tis!$BF15</f>
        <v>0</v>
      </c>
      <c r="AI15" s="4">
        <f>+AD_tis!AI15*AD_tis!AI$49*AD_tis!$BF15</f>
        <v>0</v>
      </c>
      <c r="AJ15" s="4">
        <f>+AD_tis!AJ15*AD_tis!AJ$49*AD_tis!$BF15</f>
        <v>0</v>
      </c>
      <c r="AK15" s="4">
        <f>+AD_tis!AK15*AD_tis!AK$49*AD_tis!$BF15</f>
        <v>0</v>
      </c>
      <c r="AL15" s="4">
        <f>+AD_tis!AL15*AD_tis!AL$49*AD_tis!$BF15</f>
        <v>0</v>
      </c>
      <c r="AM15" s="13">
        <f>+AD_tis!AM15*AD_tis!AM$49*AD_tis!$BF15</f>
        <v>0</v>
      </c>
      <c r="AN15" s="4">
        <f>+AD_tis!AN15*AD_tis!AN$49*AD_tis!$BF15</f>
        <v>0</v>
      </c>
      <c r="AO15" s="4">
        <f>+AD_tis!AO15*AD_tis!AO$49*AD_tis!$BF15</f>
        <v>0</v>
      </c>
      <c r="AP15" s="4">
        <f>+AD_tis!AP15*AD_tis!AP$49*AD_tis!$BF15</f>
        <v>0</v>
      </c>
      <c r="AQ15" s="4">
        <f>+AD_tis!AQ15*AD_tis!AQ$49*AD_tis!$BF15</f>
        <v>0</v>
      </c>
      <c r="AR15" s="4">
        <f>+AD_tis!AR15*AD_tis!AR$49*AD_tis!$BF15</f>
        <v>0</v>
      </c>
      <c r="AS15" s="4">
        <f>+AD_tis!AS15*AD_tis!AS$49*AD_tis!$BF15</f>
        <v>0</v>
      </c>
      <c r="AT15" s="4">
        <f>+AD_tis!AT15*AD_tis!AT$49*AD_tis!$BF15</f>
        <v>0</v>
      </c>
      <c r="AU15" s="4">
        <f>+AD_tis!AU15*AD_tis!AU$49*AD_tis!$BF15</f>
        <v>0</v>
      </c>
      <c r="AV15" s="4">
        <f>+AD_tis!AV15*AD_tis!AV$49*AD_tis!$BF15</f>
        <v>0</v>
      </c>
      <c r="AW15" s="12">
        <f>+AD_tis!AW15*AD_tis!AW$49*AD_tis!$BF15</f>
        <v>0</v>
      </c>
      <c r="AX15" s="13">
        <f>+AD_tis!AX15*AD_tis!AX$49*AD_tis!$BF15</f>
        <v>0</v>
      </c>
      <c r="AY15" s="4">
        <f>+AD_tis!AY15*AD_tis!AY$49*AD_tis!$BF15</f>
        <v>0</v>
      </c>
      <c r="AZ15" s="4">
        <f>+AD_tis!AZ15*AD_tis!AZ$49*AD_tis!$BF15</f>
        <v>0</v>
      </c>
      <c r="BA15" s="12">
        <f>+AD_tis!BA15*AD_tis!BA$49*AD_tis!$BF15</f>
        <v>0</v>
      </c>
      <c r="BB15" s="4">
        <f>+AD_tis!BB15*AD_tis!BB$49*AD_tis!$BF15</f>
        <v>0</v>
      </c>
      <c r="BC15" s="13">
        <f>+AD_tis!BC15*AD_tis!BC$49*AD_tis!$BF15</f>
        <v>0</v>
      </c>
    </row>
    <row r="16" spans="1:55" ht="18.75" customHeight="1" x14ac:dyDescent="0.25">
      <c r="A16" s="5" t="s">
        <v>67</v>
      </c>
      <c r="B16" s="12">
        <f>+AD_tis!B16*AD_tis!B$49*AD_tis!$BF16</f>
        <v>0</v>
      </c>
      <c r="C16" s="4">
        <f>+AD_tis!C16*AD_tis!C$49*AD_tis!$BF16</f>
        <v>0</v>
      </c>
      <c r="D16" s="4">
        <f>+AD_tis!D16*AD_tis!D$49*AD_tis!$BF16</f>
        <v>0</v>
      </c>
      <c r="E16" s="4">
        <f>+AD_tis!E16*AD_tis!E$49*AD_tis!$BF16</f>
        <v>0</v>
      </c>
      <c r="F16" s="4">
        <f>+AD_tis!F16*AD_tis!F$49*AD_tis!$BF16</f>
        <v>0</v>
      </c>
      <c r="G16" s="4">
        <f>+AD_tis!G16*AD_tis!G$49*AD_tis!$BF16</f>
        <v>1</v>
      </c>
      <c r="H16" s="4">
        <f>+AD_tis!H16*AD_tis!H$49*AD_tis!$BF16</f>
        <v>0</v>
      </c>
      <c r="I16" s="4">
        <f>+AD_tis!I16*AD_tis!I$49*AD_tis!$BF16</f>
        <v>0</v>
      </c>
      <c r="J16" s="4">
        <f>+AD_tis!J16*AD_tis!J$49*AD_tis!$BF16</f>
        <v>0</v>
      </c>
      <c r="K16" s="4">
        <f>+AD_tis!K16*AD_tis!K$49*AD_tis!$BF16</f>
        <v>0</v>
      </c>
      <c r="L16" s="4">
        <f>+AD_tis!L16*AD_tis!L$49*AD_tis!$BF16</f>
        <v>0</v>
      </c>
      <c r="M16" s="4">
        <f>+AD_tis!M16*AD_tis!M$49*AD_tis!$BF16</f>
        <v>0</v>
      </c>
      <c r="N16" s="4">
        <f>+AD_tis!N16*AD_tis!N$49*AD_tis!$BF16</f>
        <v>0</v>
      </c>
      <c r="O16" s="4">
        <f>+AD_tis!O16*AD_tis!O$49*AD_tis!$BF16</f>
        <v>0</v>
      </c>
      <c r="P16" s="4">
        <f>+AD_tis!P16*AD_tis!P$49*AD_tis!$BF16</f>
        <v>0</v>
      </c>
      <c r="Q16" s="4">
        <f>+AD_tis!Q16*AD_tis!Q$49*AD_tis!$BF16</f>
        <v>0</v>
      </c>
      <c r="R16" s="13">
        <f>+AD_tis!R16*AD_tis!R$49*AD_tis!$BF16</f>
        <v>0</v>
      </c>
      <c r="S16" s="4">
        <f>+AD_tis!S16*AD_tis!S$49*AD_tis!$BF16</f>
        <v>0</v>
      </c>
      <c r="T16" s="4">
        <f>+AD_tis!T16*AD_tis!T$49*AD_tis!$BF16</f>
        <v>0</v>
      </c>
      <c r="U16" s="4">
        <f>+AD_tis!U16*AD_tis!U$49*AD_tis!$BF16</f>
        <v>0</v>
      </c>
      <c r="V16" s="4">
        <f>+AD_tis!V16*AD_tis!V$49*AD_tis!$BF16</f>
        <v>0</v>
      </c>
      <c r="W16" s="4">
        <f>+AD_tis!W16*AD_tis!W$49*AD_tis!$BF16</f>
        <v>0</v>
      </c>
      <c r="X16" s="4">
        <f>+AD_tis!X16*AD_tis!X$49*AD_tis!$BF16</f>
        <v>0</v>
      </c>
      <c r="Y16" s="4">
        <f>+AD_tis!Y16*AD_tis!Y$49*AD_tis!$BF16</f>
        <v>0</v>
      </c>
      <c r="Z16" s="4">
        <f>+AD_tis!Z16*AD_tis!Z$49*AD_tis!$BF16</f>
        <v>0</v>
      </c>
      <c r="AA16" s="4">
        <f>+AD_tis!AA16*AD_tis!AA$49*AD_tis!$BF16</f>
        <v>0</v>
      </c>
      <c r="AB16" s="4">
        <f>+AD_tis!AB16*AD_tis!AB$49*AD_tis!$BF16</f>
        <v>0</v>
      </c>
      <c r="AC16" s="12">
        <f>+AD_tis!AC16*AD_tis!AC$49*AD_tis!$BF16</f>
        <v>0</v>
      </c>
      <c r="AD16" s="4">
        <f>+AD_tis!AD16*AD_tis!AD$49*AD_tis!$BF16</f>
        <v>0</v>
      </c>
      <c r="AE16" s="4">
        <f>+AD_tis!AE16*AD_tis!AE$49*AD_tis!$BF16</f>
        <v>0</v>
      </c>
      <c r="AF16" s="4">
        <f>+AD_tis!AF16*AD_tis!AF$49*AD_tis!$BF16</f>
        <v>0</v>
      </c>
      <c r="AG16" s="4">
        <f>+AD_tis!AG16*AD_tis!AG$49*AD_tis!$BF16</f>
        <v>0</v>
      </c>
      <c r="AH16" s="4">
        <f>+AD_tis!AH16*AD_tis!AH$49*AD_tis!$BF16</f>
        <v>0</v>
      </c>
      <c r="AI16" s="4">
        <f>+AD_tis!AI16*AD_tis!AI$49*AD_tis!$BF16</f>
        <v>0</v>
      </c>
      <c r="AJ16" s="4">
        <f>+AD_tis!AJ16*AD_tis!AJ$49*AD_tis!$BF16</f>
        <v>0</v>
      </c>
      <c r="AK16" s="4">
        <f>+AD_tis!AK16*AD_tis!AK$49*AD_tis!$BF16</f>
        <v>0</v>
      </c>
      <c r="AL16" s="4">
        <f>+AD_tis!AL16*AD_tis!AL$49*AD_tis!$BF16</f>
        <v>0</v>
      </c>
      <c r="AM16" s="13">
        <f>+AD_tis!AM16*AD_tis!AM$49*AD_tis!$BF16</f>
        <v>0</v>
      </c>
      <c r="AN16" s="4">
        <f>+AD_tis!AN16*AD_tis!AN$49*AD_tis!$BF16</f>
        <v>0</v>
      </c>
      <c r="AO16" s="4">
        <f>+AD_tis!AO16*AD_tis!AO$49*AD_tis!$BF16</f>
        <v>0</v>
      </c>
      <c r="AP16" s="4">
        <f>+AD_tis!AP16*AD_tis!AP$49*AD_tis!$BF16</f>
        <v>0</v>
      </c>
      <c r="AQ16" s="4">
        <f>+AD_tis!AQ16*AD_tis!AQ$49*AD_tis!$BF16</f>
        <v>0</v>
      </c>
      <c r="AR16" s="4">
        <f>+AD_tis!AR16*AD_tis!AR$49*AD_tis!$BF16</f>
        <v>0</v>
      </c>
      <c r="AS16" s="4">
        <f>+AD_tis!AS16*AD_tis!AS$49*AD_tis!$BF16</f>
        <v>0</v>
      </c>
      <c r="AT16" s="4">
        <f>+AD_tis!AT16*AD_tis!AT$49*AD_tis!$BF16</f>
        <v>0</v>
      </c>
      <c r="AU16" s="4">
        <f>+AD_tis!AU16*AD_tis!AU$49*AD_tis!$BF16</f>
        <v>0</v>
      </c>
      <c r="AV16" s="4">
        <f>+AD_tis!AV16*AD_tis!AV$49*AD_tis!$BF16</f>
        <v>0</v>
      </c>
      <c r="AW16" s="12">
        <f>+AD_tis!AW16*AD_tis!AW$49*AD_tis!$BF16</f>
        <v>0</v>
      </c>
      <c r="AX16" s="13">
        <f>+AD_tis!AX16*AD_tis!AX$49*AD_tis!$BF16</f>
        <v>0</v>
      </c>
      <c r="AY16" s="4">
        <f>+AD_tis!AY16*AD_tis!AY$49*AD_tis!$BF16</f>
        <v>0</v>
      </c>
      <c r="AZ16" s="4">
        <f>+AD_tis!AZ16*AD_tis!AZ$49*AD_tis!$BF16</f>
        <v>0</v>
      </c>
      <c r="BA16" s="12">
        <f>+AD_tis!BA16*AD_tis!BA$49*AD_tis!$BF16</f>
        <v>0</v>
      </c>
      <c r="BB16" s="4">
        <f>+AD_tis!BB16*AD_tis!BB$49*AD_tis!$BF16</f>
        <v>0</v>
      </c>
      <c r="BC16" s="13">
        <f>+AD_tis!BC16*AD_tis!BC$49*AD_tis!$BF16</f>
        <v>0</v>
      </c>
    </row>
    <row r="17" spans="1:55" ht="18.75" customHeight="1" x14ac:dyDescent="0.25">
      <c r="A17" s="5" t="s">
        <v>68</v>
      </c>
      <c r="B17" s="12">
        <f>+AD_tis!B17*AD_tis!B$49*AD_tis!$BF17</f>
        <v>0</v>
      </c>
      <c r="C17" s="4">
        <f>+AD_tis!C17*AD_tis!C$49*AD_tis!$BF17</f>
        <v>0</v>
      </c>
      <c r="D17" s="4">
        <f>+AD_tis!D17*AD_tis!D$49*AD_tis!$BF17</f>
        <v>0</v>
      </c>
      <c r="E17" s="4">
        <f>+AD_tis!E17*AD_tis!E$49*AD_tis!$BF17</f>
        <v>0</v>
      </c>
      <c r="F17" s="4">
        <f>+AD_tis!F17*AD_tis!F$49*AD_tis!$BF17</f>
        <v>0</v>
      </c>
      <c r="G17" s="4">
        <f>+AD_tis!G17*AD_tis!G$49*AD_tis!$BF17</f>
        <v>0</v>
      </c>
      <c r="H17" s="4">
        <f>+AD_tis!H17*AD_tis!H$49*AD_tis!$BF17</f>
        <v>0</v>
      </c>
      <c r="I17" s="4">
        <f>+AD_tis!I17*AD_tis!I$49*AD_tis!$BF17</f>
        <v>0</v>
      </c>
      <c r="J17" s="4">
        <f>+AD_tis!J17*AD_tis!J$49*AD_tis!$BF17</f>
        <v>0</v>
      </c>
      <c r="K17" s="4">
        <f>+AD_tis!K17*AD_tis!K$49*AD_tis!$BF17</f>
        <v>0</v>
      </c>
      <c r="L17" s="4">
        <f>+AD_tis!L17*AD_tis!L$49*AD_tis!$BF17</f>
        <v>0</v>
      </c>
      <c r="M17" s="4">
        <f>+AD_tis!M17*AD_tis!M$49*AD_tis!$BF17</f>
        <v>0</v>
      </c>
      <c r="N17" s="4">
        <f>+AD_tis!N17*AD_tis!N$49*AD_tis!$BF17</f>
        <v>0</v>
      </c>
      <c r="O17" s="4">
        <f>+AD_tis!O17*AD_tis!O$49*AD_tis!$BF17</f>
        <v>0</v>
      </c>
      <c r="P17" s="4">
        <f>+AD_tis!P17*AD_tis!P$49*AD_tis!$BF17</f>
        <v>0</v>
      </c>
      <c r="Q17" s="4">
        <f>+AD_tis!Q17*AD_tis!Q$49*AD_tis!$BF17</f>
        <v>0</v>
      </c>
      <c r="R17" s="13">
        <f>+AD_tis!R17*AD_tis!R$49*AD_tis!$BF17</f>
        <v>0</v>
      </c>
      <c r="S17" s="4">
        <f>+AD_tis!S17*AD_tis!S$49*AD_tis!$BF17</f>
        <v>0</v>
      </c>
      <c r="T17" s="4">
        <f>+AD_tis!T17*AD_tis!T$49*AD_tis!$BF17</f>
        <v>0</v>
      </c>
      <c r="U17" s="4">
        <f>+AD_tis!U17*AD_tis!U$49*AD_tis!$BF17</f>
        <v>0</v>
      </c>
      <c r="V17" s="4">
        <f>+AD_tis!V17*AD_tis!V$49*AD_tis!$BF17</f>
        <v>0</v>
      </c>
      <c r="W17" s="4">
        <f>+AD_tis!W17*AD_tis!W$49*AD_tis!$BF17</f>
        <v>0</v>
      </c>
      <c r="X17" s="4">
        <f>+AD_tis!X17*AD_tis!X$49*AD_tis!$BF17</f>
        <v>0</v>
      </c>
      <c r="Y17" s="4">
        <f>+AD_tis!Y17*AD_tis!Y$49*AD_tis!$BF17</f>
        <v>0</v>
      </c>
      <c r="Z17" s="4">
        <f>+AD_tis!Z17*AD_tis!Z$49*AD_tis!$BF17</f>
        <v>0</v>
      </c>
      <c r="AA17" s="4">
        <f>+AD_tis!AA17*AD_tis!AA$49*AD_tis!$BF17</f>
        <v>0</v>
      </c>
      <c r="AB17" s="4">
        <f>+AD_tis!AB17*AD_tis!AB$49*AD_tis!$BF17</f>
        <v>0</v>
      </c>
      <c r="AC17" s="12">
        <f>+AD_tis!AC17*AD_tis!AC$49*AD_tis!$BF17</f>
        <v>0</v>
      </c>
      <c r="AD17" s="4">
        <f>+AD_tis!AD17*AD_tis!AD$49*AD_tis!$BF17</f>
        <v>0</v>
      </c>
      <c r="AE17" s="4">
        <f>+AD_tis!AE17*AD_tis!AE$49*AD_tis!$BF17</f>
        <v>0</v>
      </c>
      <c r="AF17" s="4">
        <f>+AD_tis!AF17*AD_tis!AF$49*AD_tis!$BF17</f>
        <v>0</v>
      </c>
      <c r="AG17" s="4">
        <f>+AD_tis!AG17*AD_tis!AG$49*AD_tis!$BF17</f>
        <v>0</v>
      </c>
      <c r="AH17" s="4">
        <f>+AD_tis!AH17*AD_tis!AH$49*AD_tis!$BF17</f>
        <v>0</v>
      </c>
      <c r="AI17" s="4">
        <f>+AD_tis!AI17*AD_tis!AI$49*AD_tis!$BF17</f>
        <v>0</v>
      </c>
      <c r="AJ17" s="4">
        <f>+AD_tis!AJ17*AD_tis!AJ$49*AD_tis!$BF17</f>
        <v>0</v>
      </c>
      <c r="AK17" s="4">
        <f>+AD_tis!AK17*AD_tis!AK$49*AD_tis!$BF17</f>
        <v>0</v>
      </c>
      <c r="AL17" s="4">
        <f>+AD_tis!AL17*AD_tis!AL$49*AD_tis!$BF17</f>
        <v>0</v>
      </c>
      <c r="AM17" s="13">
        <f>+AD_tis!AM17*AD_tis!AM$49*AD_tis!$BF17</f>
        <v>0</v>
      </c>
      <c r="AN17" s="4">
        <f>+AD_tis!AN17*AD_tis!AN$49*AD_tis!$BF17</f>
        <v>0</v>
      </c>
      <c r="AO17" s="4">
        <f>+AD_tis!AO17*AD_tis!AO$49*AD_tis!$BF17</f>
        <v>0</v>
      </c>
      <c r="AP17" s="4">
        <f>+AD_tis!AP17*AD_tis!AP$49*AD_tis!$BF17</f>
        <v>0</v>
      </c>
      <c r="AQ17" s="4">
        <f>+AD_tis!AQ17*AD_tis!AQ$49*AD_tis!$BF17</f>
        <v>0</v>
      </c>
      <c r="AR17" s="4">
        <f>+AD_tis!AR17*AD_tis!AR$49*AD_tis!$BF17</f>
        <v>0</v>
      </c>
      <c r="AS17" s="4">
        <f>+AD_tis!AS17*AD_tis!AS$49*AD_tis!$BF17</f>
        <v>0</v>
      </c>
      <c r="AT17" s="4">
        <f>+AD_tis!AT17*AD_tis!AT$49*AD_tis!$BF17</f>
        <v>0</v>
      </c>
      <c r="AU17" s="4">
        <f>+AD_tis!AU17*AD_tis!AU$49*AD_tis!$BF17</f>
        <v>0</v>
      </c>
      <c r="AV17" s="4">
        <f>+AD_tis!AV17*AD_tis!AV$49*AD_tis!$BF17</f>
        <v>0</v>
      </c>
      <c r="AW17" s="12">
        <f>+AD_tis!AW17*AD_tis!AW$49*AD_tis!$BF17</f>
        <v>0</v>
      </c>
      <c r="AX17" s="13">
        <f>+AD_tis!AX17*AD_tis!AX$49*AD_tis!$BF17</f>
        <v>0</v>
      </c>
      <c r="AY17" s="4">
        <f>+AD_tis!AY17*AD_tis!AY$49*AD_tis!$BF17</f>
        <v>0</v>
      </c>
      <c r="AZ17" s="4">
        <f>+AD_tis!AZ17*AD_tis!AZ$49*AD_tis!$BF17</f>
        <v>0</v>
      </c>
      <c r="BA17" s="12">
        <f>+AD_tis!BA17*AD_tis!BA$49*AD_tis!$BF17</f>
        <v>0</v>
      </c>
      <c r="BB17" s="4">
        <f>+AD_tis!BB17*AD_tis!BB$49*AD_tis!$BF17</f>
        <v>0</v>
      </c>
      <c r="BC17" s="13">
        <f>+AD_tis!BC17*AD_tis!BC$49*AD_tis!$BF17</f>
        <v>0</v>
      </c>
    </row>
    <row r="18" spans="1:55" ht="18.75" customHeight="1" x14ac:dyDescent="0.25">
      <c r="A18" s="5" t="s">
        <v>69</v>
      </c>
      <c r="B18" s="12">
        <f>+AD_tis!B18*AD_tis!B$49*AD_tis!$BF18</f>
        <v>0</v>
      </c>
      <c r="C18" s="4">
        <f>+AD_tis!C18*AD_tis!C$49*AD_tis!$BF18</f>
        <v>0</v>
      </c>
      <c r="D18" s="4">
        <f>+AD_tis!D18*AD_tis!D$49*AD_tis!$BF18</f>
        <v>0</v>
      </c>
      <c r="E18" s="4">
        <f>+AD_tis!E18*AD_tis!E$49*AD_tis!$BF18</f>
        <v>0</v>
      </c>
      <c r="F18" s="4">
        <f>+AD_tis!F18*AD_tis!F$49*AD_tis!$BF18</f>
        <v>0</v>
      </c>
      <c r="G18" s="4">
        <f>+AD_tis!G18*AD_tis!G$49*AD_tis!$BF18</f>
        <v>0</v>
      </c>
      <c r="H18" s="4">
        <f>+AD_tis!H18*AD_tis!H$49*AD_tis!$BF18</f>
        <v>0</v>
      </c>
      <c r="I18" s="4">
        <f>+AD_tis!I18*AD_tis!I$49*AD_tis!$BF18</f>
        <v>0</v>
      </c>
      <c r="J18" s="4">
        <f>+AD_tis!J18*AD_tis!J$49*AD_tis!$BF18</f>
        <v>0</v>
      </c>
      <c r="K18" s="4">
        <f>+AD_tis!K18*AD_tis!K$49*AD_tis!$BF18</f>
        <v>0</v>
      </c>
      <c r="L18" s="4">
        <f>+AD_tis!L18*AD_tis!L$49*AD_tis!$BF18</f>
        <v>0</v>
      </c>
      <c r="M18" s="4">
        <f>+AD_tis!M18*AD_tis!M$49*AD_tis!$BF18</f>
        <v>0</v>
      </c>
      <c r="N18" s="4">
        <f>+AD_tis!N18*AD_tis!N$49*AD_tis!$BF18</f>
        <v>0</v>
      </c>
      <c r="O18" s="4">
        <f>+AD_tis!O18*AD_tis!O$49*AD_tis!$BF18</f>
        <v>0</v>
      </c>
      <c r="P18" s="4">
        <f>+AD_tis!P18*AD_tis!P$49*AD_tis!$BF18</f>
        <v>0</v>
      </c>
      <c r="Q18" s="4">
        <f>+AD_tis!Q18*AD_tis!Q$49*AD_tis!$BF18</f>
        <v>0</v>
      </c>
      <c r="R18" s="13">
        <f>+AD_tis!R18*AD_tis!R$49*AD_tis!$BF18</f>
        <v>0</v>
      </c>
      <c r="S18" s="4">
        <f>+AD_tis!S18*AD_tis!S$49*AD_tis!$BF18</f>
        <v>0</v>
      </c>
      <c r="T18" s="4">
        <f>+AD_tis!T18*AD_tis!T$49*AD_tis!$BF18</f>
        <v>0</v>
      </c>
      <c r="U18" s="4">
        <f>+AD_tis!U18*AD_tis!U$49*AD_tis!$BF18</f>
        <v>0</v>
      </c>
      <c r="V18" s="4">
        <f>+AD_tis!V18*AD_tis!V$49*AD_tis!$BF18</f>
        <v>0</v>
      </c>
      <c r="W18" s="4">
        <f>+AD_tis!W18*AD_tis!W$49*AD_tis!$BF18</f>
        <v>0</v>
      </c>
      <c r="X18" s="4">
        <f>+AD_tis!X18*AD_tis!X$49*AD_tis!$BF18</f>
        <v>0</v>
      </c>
      <c r="Y18" s="4">
        <f>+AD_tis!Y18*AD_tis!Y$49*AD_tis!$BF18</f>
        <v>0</v>
      </c>
      <c r="Z18" s="4">
        <f>+AD_tis!Z18*AD_tis!Z$49*AD_tis!$BF18</f>
        <v>0</v>
      </c>
      <c r="AA18" s="4">
        <f>+AD_tis!AA18*AD_tis!AA$49*AD_tis!$BF18</f>
        <v>0</v>
      </c>
      <c r="AB18" s="4">
        <f>+AD_tis!AB18*AD_tis!AB$49*AD_tis!$BF18</f>
        <v>0</v>
      </c>
      <c r="AC18" s="12">
        <f>+AD_tis!AC18*AD_tis!AC$49*AD_tis!$BF18</f>
        <v>0</v>
      </c>
      <c r="AD18" s="4">
        <f>+AD_tis!AD18*AD_tis!AD$49*AD_tis!$BF18</f>
        <v>0</v>
      </c>
      <c r="AE18" s="4">
        <f>+AD_tis!AE18*AD_tis!AE$49*AD_tis!$BF18</f>
        <v>0</v>
      </c>
      <c r="AF18" s="4">
        <f>+AD_tis!AF18*AD_tis!AF$49*AD_tis!$BF18</f>
        <v>0</v>
      </c>
      <c r="AG18" s="4">
        <f>+AD_tis!AG18*AD_tis!AG$49*AD_tis!$BF18</f>
        <v>0</v>
      </c>
      <c r="AH18" s="4">
        <f>+AD_tis!AH18*AD_tis!AH$49*AD_tis!$BF18</f>
        <v>0</v>
      </c>
      <c r="AI18" s="4">
        <f>+AD_tis!AI18*AD_tis!AI$49*AD_tis!$BF18</f>
        <v>0</v>
      </c>
      <c r="AJ18" s="4">
        <f>+AD_tis!AJ18*AD_tis!AJ$49*AD_tis!$BF18</f>
        <v>0</v>
      </c>
      <c r="AK18" s="4">
        <f>+AD_tis!AK18*AD_tis!AK$49*AD_tis!$BF18</f>
        <v>0</v>
      </c>
      <c r="AL18" s="4">
        <f>+AD_tis!AL18*AD_tis!AL$49*AD_tis!$BF18</f>
        <v>0</v>
      </c>
      <c r="AM18" s="13">
        <f>+AD_tis!AM18*AD_tis!AM$49*AD_tis!$BF18</f>
        <v>0</v>
      </c>
      <c r="AN18" s="4">
        <f>+AD_tis!AN18*AD_tis!AN$49*AD_tis!$BF18</f>
        <v>0</v>
      </c>
      <c r="AO18" s="4">
        <f>+AD_tis!AO18*AD_tis!AO$49*AD_tis!$BF18</f>
        <v>0</v>
      </c>
      <c r="AP18" s="4">
        <f>+AD_tis!AP18*AD_tis!AP$49*AD_tis!$BF18</f>
        <v>0</v>
      </c>
      <c r="AQ18" s="4">
        <f>+AD_tis!AQ18*AD_tis!AQ$49*AD_tis!$BF18</f>
        <v>0</v>
      </c>
      <c r="AR18" s="4">
        <f>+AD_tis!AR18*AD_tis!AR$49*AD_tis!$BF18</f>
        <v>0</v>
      </c>
      <c r="AS18" s="4">
        <f>+AD_tis!AS18*AD_tis!AS$49*AD_tis!$BF18</f>
        <v>0</v>
      </c>
      <c r="AT18" s="4">
        <f>+AD_tis!AT18*AD_tis!AT$49*AD_tis!$BF18</f>
        <v>0</v>
      </c>
      <c r="AU18" s="4">
        <f>+AD_tis!AU18*AD_tis!AU$49*AD_tis!$BF18</f>
        <v>0</v>
      </c>
      <c r="AV18" s="4">
        <f>+AD_tis!AV18*AD_tis!AV$49*AD_tis!$BF18</f>
        <v>0</v>
      </c>
      <c r="AW18" s="12">
        <f>+AD_tis!AW18*AD_tis!AW$49*AD_tis!$BF18</f>
        <v>0</v>
      </c>
      <c r="AX18" s="13">
        <f>+AD_tis!AX18*AD_tis!AX$49*AD_tis!$BF18</f>
        <v>0</v>
      </c>
      <c r="AY18" s="4">
        <f>+AD_tis!AY18*AD_tis!AY$49*AD_tis!$BF18</f>
        <v>0</v>
      </c>
      <c r="AZ18" s="4">
        <f>+AD_tis!AZ18*AD_tis!AZ$49*AD_tis!$BF18</f>
        <v>0</v>
      </c>
      <c r="BA18" s="12">
        <f>+AD_tis!BA18*AD_tis!BA$49*AD_tis!$BF18</f>
        <v>0</v>
      </c>
      <c r="BB18" s="4">
        <f>+AD_tis!BB18*AD_tis!BB$49*AD_tis!$BF18</f>
        <v>0</v>
      </c>
      <c r="BC18" s="13">
        <f>+AD_tis!BC18*AD_tis!BC$49*AD_tis!$BF18</f>
        <v>0</v>
      </c>
    </row>
    <row r="19" spans="1:55" ht="18.75" customHeight="1" x14ac:dyDescent="0.25">
      <c r="A19" s="5" t="s">
        <v>70</v>
      </c>
      <c r="B19" s="12">
        <f>+AD_tis!B19*AD_tis!B$49*AD_tis!$BF19</f>
        <v>0</v>
      </c>
      <c r="C19" s="4">
        <f>+AD_tis!C19*AD_tis!C$49*AD_tis!$BF19</f>
        <v>0</v>
      </c>
      <c r="D19" s="4">
        <f>+AD_tis!D19*AD_tis!D$49*AD_tis!$BF19</f>
        <v>0</v>
      </c>
      <c r="E19" s="4">
        <f>+AD_tis!E19*AD_tis!E$49*AD_tis!$BF19</f>
        <v>0</v>
      </c>
      <c r="F19" s="4">
        <f>+AD_tis!F19*AD_tis!F$49*AD_tis!$BF19</f>
        <v>0</v>
      </c>
      <c r="G19" s="4">
        <f>+AD_tis!G19*AD_tis!G$49*AD_tis!$BF19</f>
        <v>0</v>
      </c>
      <c r="H19" s="4">
        <f>+AD_tis!H19*AD_tis!H$49*AD_tis!$BF19</f>
        <v>0</v>
      </c>
      <c r="I19" s="4">
        <f>+AD_tis!I19*AD_tis!I$49*AD_tis!$BF19</f>
        <v>0</v>
      </c>
      <c r="J19" s="4">
        <f>+AD_tis!J19*AD_tis!J$49*AD_tis!$BF19</f>
        <v>0</v>
      </c>
      <c r="K19" s="4">
        <f>+AD_tis!K19*AD_tis!K$49*AD_tis!$BF19</f>
        <v>0</v>
      </c>
      <c r="L19" s="4">
        <f>+AD_tis!L19*AD_tis!L$49*AD_tis!$BF19</f>
        <v>0</v>
      </c>
      <c r="M19" s="4">
        <f>+AD_tis!M19*AD_tis!M$49*AD_tis!$BF19</f>
        <v>0</v>
      </c>
      <c r="N19" s="4">
        <f>+AD_tis!N19*AD_tis!N$49*AD_tis!$BF19</f>
        <v>0</v>
      </c>
      <c r="O19" s="4">
        <f>+AD_tis!O19*AD_tis!O$49*AD_tis!$BF19</f>
        <v>0</v>
      </c>
      <c r="P19" s="4">
        <f>+AD_tis!P19*AD_tis!P$49*AD_tis!$BF19</f>
        <v>0</v>
      </c>
      <c r="Q19" s="4">
        <f>+AD_tis!Q19*AD_tis!Q$49*AD_tis!$BF19</f>
        <v>0</v>
      </c>
      <c r="R19" s="13">
        <f>+AD_tis!R19*AD_tis!R$49*AD_tis!$BF19</f>
        <v>0</v>
      </c>
      <c r="S19" s="4">
        <f>+AD_tis!S19*AD_tis!S$49*AD_tis!$BF19</f>
        <v>0</v>
      </c>
      <c r="T19" s="4">
        <f>+AD_tis!T19*AD_tis!T$49*AD_tis!$BF19</f>
        <v>0</v>
      </c>
      <c r="U19" s="4">
        <f>+AD_tis!U19*AD_tis!U$49*AD_tis!$BF19</f>
        <v>0</v>
      </c>
      <c r="V19" s="4">
        <f>+AD_tis!V19*AD_tis!V$49*AD_tis!$BF19</f>
        <v>0</v>
      </c>
      <c r="W19" s="4">
        <f>+AD_tis!W19*AD_tis!W$49*AD_tis!$BF19</f>
        <v>0</v>
      </c>
      <c r="X19" s="4">
        <f>+AD_tis!X19*AD_tis!X$49*AD_tis!$BF19</f>
        <v>0</v>
      </c>
      <c r="Y19" s="4">
        <f>+AD_tis!Y19*AD_tis!Y$49*AD_tis!$BF19</f>
        <v>0</v>
      </c>
      <c r="Z19" s="4">
        <f>+AD_tis!Z19*AD_tis!Z$49*AD_tis!$BF19</f>
        <v>0</v>
      </c>
      <c r="AA19" s="4">
        <f>+AD_tis!AA19*AD_tis!AA$49*AD_tis!$BF19</f>
        <v>0</v>
      </c>
      <c r="AB19" s="4">
        <f>+AD_tis!AB19*AD_tis!AB$49*AD_tis!$BF19</f>
        <v>0</v>
      </c>
      <c r="AC19" s="12">
        <f>+AD_tis!AC19*AD_tis!AC$49*AD_tis!$BF19</f>
        <v>0</v>
      </c>
      <c r="AD19" s="4">
        <f>+AD_tis!AD19*AD_tis!AD$49*AD_tis!$BF19</f>
        <v>0</v>
      </c>
      <c r="AE19" s="4">
        <f>+AD_tis!AE19*AD_tis!AE$49*AD_tis!$BF19</f>
        <v>0</v>
      </c>
      <c r="AF19" s="4">
        <f>+AD_tis!AF19*AD_tis!AF$49*AD_tis!$BF19</f>
        <v>0</v>
      </c>
      <c r="AG19" s="4">
        <f>+AD_tis!AG19*AD_tis!AG$49*AD_tis!$BF19</f>
        <v>0</v>
      </c>
      <c r="AH19" s="4">
        <f>+AD_tis!AH19*AD_tis!AH$49*AD_tis!$BF19</f>
        <v>0</v>
      </c>
      <c r="AI19" s="4">
        <f>+AD_tis!AI19*AD_tis!AI$49*AD_tis!$BF19</f>
        <v>0</v>
      </c>
      <c r="AJ19" s="4">
        <f>+AD_tis!AJ19*AD_tis!AJ$49*AD_tis!$BF19</f>
        <v>0</v>
      </c>
      <c r="AK19" s="4">
        <f>+AD_tis!AK19*AD_tis!AK$49*AD_tis!$BF19</f>
        <v>0</v>
      </c>
      <c r="AL19" s="4">
        <f>+AD_tis!AL19*AD_tis!AL$49*AD_tis!$BF19</f>
        <v>0</v>
      </c>
      <c r="AM19" s="13">
        <f>+AD_tis!AM19*AD_tis!AM$49*AD_tis!$BF19</f>
        <v>0</v>
      </c>
      <c r="AN19" s="4">
        <f>+AD_tis!AN19*AD_tis!AN$49*AD_tis!$BF19</f>
        <v>0</v>
      </c>
      <c r="AO19" s="4">
        <f>+AD_tis!AO19*AD_tis!AO$49*AD_tis!$BF19</f>
        <v>0</v>
      </c>
      <c r="AP19" s="4">
        <f>+AD_tis!AP19*AD_tis!AP$49*AD_tis!$BF19</f>
        <v>0</v>
      </c>
      <c r="AQ19" s="4">
        <f>+AD_tis!AQ19*AD_tis!AQ$49*AD_tis!$BF19</f>
        <v>0</v>
      </c>
      <c r="AR19" s="4">
        <f>+AD_tis!AR19*AD_tis!AR$49*AD_tis!$BF19</f>
        <v>0</v>
      </c>
      <c r="AS19" s="4">
        <f>+AD_tis!AS19*AD_tis!AS$49*AD_tis!$BF19</f>
        <v>0</v>
      </c>
      <c r="AT19" s="4">
        <f>+AD_tis!AT19*AD_tis!AT$49*AD_tis!$BF19</f>
        <v>0</v>
      </c>
      <c r="AU19" s="4">
        <f>+AD_tis!AU19*AD_tis!AU$49*AD_tis!$BF19</f>
        <v>0</v>
      </c>
      <c r="AV19" s="4">
        <f>+AD_tis!AV19*AD_tis!AV$49*AD_tis!$BF19</f>
        <v>0</v>
      </c>
      <c r="AW19" s="12">
        <f>+AD_tis!AW19*AD_tis!AW$49*AD_tis!$BF19</f>
        <v>0</v>
      </c>
      <c r="AX19" s="13">
        <f>+AD_tis!AX19*AD_tis!AX$49*AD_tis!$BF19</f>
        <v>0</v>
      </c>
      <c r="AY19" s="4">
        <f>+AD_tis!AY19*AD_tis!AY$49*AD_tis!$BF19</f>
        <v>0</v>
      </c>
      <c r="AZ19" s="4">
        <f>+AD_tis!AZ19*AD_tis!AZ$49*AD_tis!$BF19</f>
        <v>0</v>
      </c>
      <c r="BA19" s="12">
        <f>+AD_tis!BA19*AD_tis!BA$49*AD_tis!$BF19</f>
        <v>0</v>
      </c>
      <c r="BB19" s="4">
        <f>+AD_tis!BB19*AD_tis!BB$49*AD_tis!$BF19</f>
        <v>0</v>
      </c>
      <c r="BC19" s="13">
        <f>+AD_tis!BC19*AD_tis!BC$49*AD_tis!$BF19</f>
        <v>0</v>
      </c>
    </row>
    <row r="20" spans="1:55" ht="18.75" customHeight="1" x14ac:dyDescent="0.25">
      <c r="A20" s="5" t="s">
        <v>71</v>
      </c>
      <c r="B20" s="12">
        <f>+AD_tis!B20*AD_tis!B$49*AD_tis!$BF20</f>
        <v>0</v>
      </c>
      <c r="C20" s="4">
        <f>+AD_tis!C20*AD_tis!C$49*AD_tis!$BF20</f>
        <v>0</v>
      </c>
      <c r="D20" s="4">
        <f>+AD_tis!D20*AD_tis!D$49*AD_tis!$BF20</f>
        <v>0</v>
      </c>
      <c r="E20" s="4">
        <f>+AD_tis!E20*AD_tis!E$49*AD_tis!$BF20</f>
        <v>0</v>
      </c>
      <c r="F20" s="4">
        <f>+AD_tis!F20*AD_tis!F$49*AD_tis!$BF20</f>
        <v>0</v>
      </c>
      <c r="G20" s="4">
        <f>+AD_tis!G20*AD_tis!G$49*AD_tis!$BF20</f>
        <v>0</v>
      </c>
      <c r="H20" s="4">
        <f>+AD_tis!H20*AD_tis!H$49*AD_tis!$BF20</f>
        <v>0</v>
      </c>
      <c r="I20" s="4">
        <f>+AD_tis!I20*AD_tis!I$49*AD_tis!$BF20</f>
        <v>0</v>
      </c>
      <c r="J20" s="4">
        <f>+AD_tis!J20*AD_tis!J$49*AD_tis!$BF20</f>
        <v>0</v>
      </c>
      <c r="K20" s="4">
        <f>+AD_tis!K20*AD_tis!K$49*AD_tis!$BF20</f>
        <v>0</v>
      </c>
      <c r="L20" s="4">
        <f>+AD_tis!L20*AD_tis!L$49*AD_tis!$BF20</f>
        <v>0</v>
      </c>
      <c r="M20" s="4">
        <f>+AD_tis!M20*AD_tis!M$49*AD_tis!$BF20</f>
        <v>0</v>
      </c>
      <c r="N20" s="4">
        <f>+AD_tis!N20*AD_tis!N$49*AD_tis!$BF20</f>
        <v>0</v>
      </c>
      <c r="O20" s="4">
        <f>+AD_tis!O20*AD_tis!O$49*AD_tis!$BF20</f>
        <v>0</v>
      </c>
      <c r="P20" s="4">
        <f>+AD_tis!P20*AD_tis!P$49*AD_tis!$BF20</f>
        <v>0</v>
      </c>
      <c r="Q20" s="4">
        <f>+AD_tis!Q20*AD_tis!Q$49*AD_tis!$BF20</f>
        <v>0</v>
      </c>
      <c r="R20" s="13">
        <f>+AD_tis!R20*AD_tis!R$49*AD_tis!$BF20</f>
        <v>0</v>
      </c>
      <c r="S20" s="4">
        <f>+AD_tis!S20*AD_tis!S$49*AD_tis!$BF20</f>
        <v>0</v>
      </c>
      <c r="T20" s="4">
        <f>+AD_tis!T20*AD_tis!T$49*AD_tis!$BF20</f>
        <v>0</v>
      </c>
      <c r="U20" s="4">
        <f>+AD_tis!U20*AD_tis!U$49*AD_tis!$BF20</f>
        <v>0</v>
      </c>
      <c r="V20" s="4">
        <f>+AD_tis!V20*AD_tis!V$49*AD_tis!$BF20</f>
        <v>0</v>
      </c>
      <c r="W20" s="4">
        <f>+AD_tis!W20*AD_tis!W$49*AD_tis!$BF20</f>
        <v>0</v>
      </c>
      <c r="X20" s="4">
        <f>+AD_tis!X20*AD_tis!X$49*AD_tis!$BF20</f>
        <v>0</v>
      </c>
      <c r="Y20" s="4">
        <f>+AD_tis!Y20*AD_tis!Y$49*AD_tis!$BF20</f>
        <v>0</v>
      </c>
      <c r="Z20" s="4">
        <f>+AD_tis!Z20*AD_tis!Z$49*AD_tis!$BF20</f>
        <v>0</v>
      </c>
      <c r="AA20" s="4">
        <f>+AD_tis!AA20*AD_tis!AA$49*AD_tis!$BF20</f>
        <v>0</v>
      </c>
      <c r="AB20" s="4">
        <f>+AD_tis!AB20*AD_tis!AB$49*AD_tis!$BF20</f>
        <v>0</v>
      </c>
      <c r="AC20" s="12">
        <f>+AD_tis!AC20*AD_tis!AC$49*AD_tis!$BF20</f>
        <v>0</v>
      </c>
      <c r="AD20" s="4">
        <f>+AD_tis!AD20*AD_tis!AD$49*AD_tis!$BF20</f>
        <v>0</v>
      </c>
      <c r="AE20" s="4">
        <f>+AD_tis!AE20*AD_tis!AE$49*AD_tis!$BF20</f>
        <v>0</v>
      </c>
      <c r="AF20" s="4">
        <f>+AD_tis!AF20*AD_tis!AF$49*AD_tis!$BF20</f>
        <v>0</v>
      </c>
      <c r="AG20" s="4">
        <f>+AD_tis!AG20*AD_tis!AG$49*AD_tis!$BF20</f>
        <v>0</v>
      </c>
      <c r="AH20" s="4">
        <f>+AD_tis!AH20*AD_tis!AH$49*AD_tis!$BF20</f>
        <v>0</v>
      </c>
      <c r="AI20" s="4">
        <f>+AD_tis!AI20*AD_tis!AI$49*AD_tis!$BF20</f>
        <v>0</v>
      </c>
      <c r="AJ20" s="4">
        <f>+AD_tis!AJ20*AD_tis!AJ$49*AD_tis!$BF20</f>
        <v>0</v>
      </c>
      <c r="AK20" s="4">
        <f>+AD_tis!AK20*AD_tis!AK$49*AD_tis!$BF20</f>
        <v>0</v>
      </c>
      <c r="AL20" s="4">
        <f>+AD_tis!AL20*AD_tis!AL$49*AD_tis!$BF20</f>
        <v>0</v>
      </c>
      <c r="AM20" s="13">
        <f>+AD_tis!AM20*AD_tis!AM$49*AD_tis!$BF20</f>
        <v>0</v>
      </c>
      <c r="AN20" s="4">
        <f>+AD_tis!AN20*AD_tis!AN$49*AD_tis!$BF20</f>
        <v>0</v>
      </c>
      <c r="AO20" s="4">
        <f>+AD_tis!AO20*AD_tis!AO$49*AD_tis!$BF20</f>
        <v>0</v>
      </c>
      <c r="AP20" s="4">
        <f>+AD_tis!AP20*AD_tis!AP$49*AD_tis!$BF20</f>
        <v>0</v>
      </c>
      <c r="AQ20" s="4">
        <f>+AD_tis!AQ20*AD_tis!AQ$49*AD_tis!$BF20</f>
        <v>0</v>
      </c>
      <c r="AR20" s="4">
        <f>+AD_tis!AR20*AD_tis!AR$49*AD_tis!$BF20</f>
        <v>0</v>
      </c>
      <c r="AS20" s="4">
        <f>+AD_tis!AS20*AD_tis!AS$49*AD_tis!$BF20</f>
        <v>0</v>
      </c>
      <c r="AT20" s="4">
        <f>+AD_tis!AT20*AD_tis!AT$49*AD_tis!$BF20</f>
        <v>0</v>
      </c>
      <c r="AU20" s="4">
        <f>+AD_tis!AU20*AD_tis!AU$49*AD_tis!$BF20</f>
        <v>0</v>
      </c>
      <c r="AV20" s="4">
        <f>+AD_tis!AV20*AD_tis!AV$49*AD_tis!$BF20</f>
        <v>0</v>
      </c>
      <c r="AW20" s="12">
        <f>+AD_tis!AW20*AD_tis!AW$49*AD_tis!$BF20</f>
        <v>0</v>
      </c>
      <c r="AX20" s="13">
        <f>+AD_tis!AX20*AD_tis!AX$49*AD_tis!$BF20</f>
        <v>0</v>
      </c>
      <c r="AY20" s="4">
        <f>+AD_tis!AY20*AD_tis!AY$49*AD_tis!$BF20</f>
        <v>0</v>
      </c>
      <c r="AZ20" s="4">
        <f>+AD_tis!AZ20*AD_tis!AZ$49*AD_tis!$BF20</f>
        <v>0</v>
      </c>
      <c r="BA20" s="12">
        <f>+AD_tis!BA20*AD_tis!BA$49*AD_tis!$BF20</f>
        <v>0</v>
      </c>
      <c r="BB20" s="4">
        <f>+AD_tis!BB20*AD_tis!BB$49*AD_tis!$BF20</f>
        <v>0</v>
      </c>
      <c r="BC20" s="13">
        <f>+AD_tis!BC20*AD_tis!BC$49*AD_tis!$BF20</f>
        <v>0</v>
      </c>
    </row>
    <row r="21" spans="1:55" ht="18.75" customHeight="1" x14ac:dyDescent="0.25">
      <c r="A21" s="5" t="s">
        <v>72</v>
      </c>
      <c r="B21" s="12">
        <f>+AD_tis!B21*AD_tis!B$49*AD_tis!$BF21</f>
        <v>0</v>
      </c>
      <c r="C21" s="4">
        <f>+AD_tis!C21*AD_tis!C$49*AD_tis!$BF21</f>
        <v>0</v>
      </c>
      <c r="D21" s="4">
        <f>+AD_tis!D21*AD_tis!D$49*AD_tis!$BF21</f>
        <v>0</v>
      </c>
      <c r="E21" s="4">
        <f>+AD_tis!E21*AD_tis!E$49*AD_tis!$BF21</f>
        <v>0</v>
      </c>
      <c r="F21" s="4">
        <f>+AD_tis!F21*AD_tis!F$49*AD_tis!$BF21</f>
        <v>0</v>
      </c>
      <c r="G21" s="4">
        <f>+AD_tis!G21*AD_tis!G$49*AD_tis!$BF21</f>
        <v>0</v>
      </c>
      <c r="H21" s="4">
        <f>+AD_tis!H21*AD_tis!H$49*AD_tis!$BF21</f>
        <v>0</v>
      </c>
      <c r="I21" s="4">
        <f>+AD_tis!I21*AD_tis!I$49*AD_tis!$BF21</f>
        <v>0</v>
      </c>
      <c r="J21" s="4">
        <f>+AD_tis!J21*AD_tis!J$49*AD_tis!$BF21</f>
        <v>0</v>
      </c>
      <c r="K21" s="4">
        <f>+AD_tis!K21*AD_tis!K$49*AD_tis!$BF21</f>
        <v>0</v>
      </c>
      <c r="L21" s="4">
        <f>+AD_tis!L21*AD_tis!L$49*AD_tis!$BF21</f>
        <v>0</v>
      </c>
      <c r="M21" s="4">
        <f>+AD_tis!M21*AD_tis!M$49*AD_tis!$BF21</f>
        <v>0</v>
      </c>
      <c r="N21" s="4">
        <f>+AD_tis!N21*AD_tis!N$49*AD_tis!$BF21</f>
        <v>0</v>
      </c>
      <c r="O21" s="4">
        <f>+AD_tis!O21*AD_tis!O$49*AD_tis!$BF21</f>
        <v>0</v>
      </c>
      <c r="P21" s="4">
        <f>+AD_tis!P21*AD_tis!P$49*AD_tis!$BF21</f>
        <v>0</v>
      </c>
      <c r="Q21" s="4">
        <f>+AD_tis!Q21*AD_tis!Q$49*AD_tis!$BF21</f>
        <v>0</v>
      </c>
      <c r="R21" s="13">
        <f>+AD_tis!R21*AD_tis!R$49*AD_tis!$BF21</f>
        <v>0</v>
      </c>
      <c r="S21" s="4">
        <f>+AD_tis!S21*AD_tis!S$49*AD_tis!$BF21</f>
        <v>0</v>
      </c>
      <c r="T21" s="4">
        <f>+AD_tis!T21*AD_tis!T$49*AD_tis!$BF21</f>
        <v>0</v>
      </c>
      <c r="U21" s="4">
        <f>+AD_tis!U21*AD_tis!U$49*AD_tis!$BF21</f>
        <v>1</v>
      </c>
      <c r="V21" s="4">
        <f>+AD_tis!V21*AD_tis!V$49*AD_tis!$BF21</f>
        <v>0</v>
      </c>
      <c r="W21" s="4">
        <f>+AD_tis!W21*AD_tis!W$49*AD_tis!$BF21</f>
        <v>0</v>
      </c>
      <c r="X21" s="4">
        <f>+AD_tis!X21*AD_tis!X$49*AD_tis!$BF21</f>
        <v>0</v>
      </c>
      <c r="Y21" s="4">
        <f>+AD_tis!Y21*AD_tis!Y$49*AD_tis!$BF21</f>
        <v>0</v>
      </c>
      <c r="Z21" s="4">
        <f>+AD_tis!Z21*AD_tis!Z$49*AD_tis!$BF21</f>
        <v>0</v>
      </c>
      <c r="AA21" s="4">
        <f>+AD_tis!AA21*AD_tis!AA$49*AD_tis!$BF21</f>
        <v>0</v>
      </c>
      <c r="AB21" s="4">
        <f>+AD_tis!AB21*AD_tis!AB$49*AD_tis!$BF21</f>
        <v>0</v>
      </c>
      <c r="AC21" s="12">
        <f>+AD_tis!AC21*AD_tis!AC$49*AD_tis!$BF21</f>
        <v>0</v>
      </c>
      <c r="AD21" s="4">
        <f>+AD_tis!AD21*AD_tis!AD$49*AD_tis!$BF21</f>
        <v>0</v>
      </c>
      <c r="AE21" s="4">
        <f>+AD_tis!AE21*AD_tis!AE$49*AD_tis!$BF21</f>
        <v>0</v>
      </c>
      <c r="AF21" s="4">
        <f>+AD_tis!AF21*AD_tis!AF$49*AD_tis!$BF21</f>
        <v>0</v>
      </c>
      <c r="AG21" s="4">
        <f>+AD_tis!AG21*AD_tis!AG$49*AD_tis!$BF21</f>
        <v>0</v>
      </c>
      <c r="AH21" s="4">
        <f>+AD_tis!AH21*AD_tis!AH$49*AD_tis!$BF21</f>
        <v>0</v>
      </c>
      <c r="AI21" s="4">
        <f>+AD_tis!AI21*AD_tis!AI$49*AD_tis!$BF21</f>
        <v>0</v>
      </c>
      <c r="AJ21" s="4">
        <f>+AD_tis!AJ21*AD_tis!AJ$49*AD_tis!$BF21</f>
        <v>0</v>
      </c>
      <c r="AK21" s="4">
        <f>+AD_tis!AK21*AD_tis!AK$49*AD_tis!$BF21</f>
        <v>0</v>
      </c>
      <c r="AL21" s="4">
        <f>+AD_tis!AL21*AD_tis!AL$49*AD_tis!$BF21</f>
        <v>0</v>
      </c>
      <c r="AM21" s="13">
        <f>+AD_tis!AM21*AD_tis!AM$49*AD_tis!$BF21</f>
        <v>0</v>
      </c>
      <c r="AN21" s="4">
        <f>+AD_tis!AN21*AD_tis!AN$49*AD_tis!$BF21</f>
        <v>0</v>
      </c>
      <c r="AO21" s="4">
        <f>+AD_tis!AO21*AD_tis!AO$49*AD_tis!$BF21</f>
        <v>0</v>
      </c>
      <c r="AP21" s="4">
        <f>+AD_tis!AP21*AD_tis!AP$49*AD_tis!$BF21</f>
        <v>0</v>
      </c>
      <c r="AQ21" s="4">
        <f>+AD_tis!AQ21*AD_tis!AQ$49*AD_tis!$BF21</f>
        <v>0</v>
      </c>
      <c r="AR21" s="4">
        <f>+AD_tis!AR21*AD_tis!AR$49*AD_tis!$BF21</f>
        <v>0</v>
      </c>
      <c r="AS21" s="4">
        <f>+AD_tis!AS21*AD_tis!AS$49*AD_tis!$BF21</f>
        <v>0</v>
      </c>
      <c r="AT21" s="4">
        <f>+AD_tis!AT21*AD_tis!AT$49*AD_tis!$BF21</f>
        <v>0</v>
      </c>
      <c r="AU21" s="4">
        <f>+AD_tis!AU21*AD_tis!AU$49*AD_tis!$BF21</f>
        <v>0</v>
      </c>
      <c r="AV21" s="4">
        <f>+AD_tis!AV21*AD_tis!AV$49*AD_tis!$BF21</f>
        <v>0</v>
      </c>
      <c r="AW21" s="12">
        <f>+AD_tis!AW21*AD_tis!AW$49*AD_tis!$BF21</f>
        <v>0</v>
      </c>
      <c r="AX21" s="13">
        <f>+AD_tis!AX21*AD_tis!AX$49*AD_tis!$BF21</f>
        <v>0</v>
      </c>
      <c r="AY21" s="4">
        <f>+AD_tis!AY21*AD_tis!AY$49*AD_tis!$BF21</f>
        <v>0</v>
      </c>
      <c r="AZ21" s="4">
        <f>+AD_tis!AZ21*AD_tis!AZ$49*AD_tis!$BF21</f>
        <v>0</v>
      </c>
      <c r="BA21" s="12">
        <f>+AD_tis!BA21*AD_tis!BA$49*AD_tis!$BF21</f>
        <v>0</v>
      </c>
      <c r="BB21" s="4">
        <f>+AD_tis!BB21*AD_tis!BB$49*AD_tis!$BF21</f>
        <v>0</v>
      </c>
      <c r="BC21" s="13">
        <f>+AD_tis!BC21*AD_tis!BC$49*AD_tis!$BF21</f>
        <v>0</v>
      </c>
    </row>
    <row r="22" spans="1:55" ht="18.75" customHeight="1" x14ac:dyDescent="0.25">
      <c r="A22" s="5" t="s">
        <v>73</v>
      </c>
      <c r="B22" s="12">
        <f>+AD_tis!B22*AD_tis!B$49*AD_tis!$BF22</f>
        <v>0</v>
      </c>
      <c r="C22" s="4">
        <f>+AD_tis!C22*AD_tis!C$49*AD_tis!$BF22</f>
        <v>0</v>
      </c>
      <c r="D22" s="4">
        <f>+AD_tis!D22*AD_tis!D$49*AD_tis!$BF22</f>
        <v>0</v>
      </c>
      <c r="E22" s="4">
        <f>+AD_tis!E22*AD_tis!E$49*AD_tis!$BF22</f>
        <v>0</v>
      </c>
      <c r="F22" s="4">
        <f>+AD_tis!F22*AD_tis!F$49*AD_tis!$BF22</f>
        <v>0</v>
      </c>
      <c r="G22" s="4">
        <f>+AD_tis!G22*AD_tis!G$49*AD_tis!$BF22</f>
        <v>0</v>
      </c>
      <c r="H22" s="4">
        <f>+AD_tis!H22*AD_tis!H$49*AD_tis!$BF22</f>
        <v>0</v>
      </c>
      <c r="I22" s="4">
        <f>+AD_tis!I22*AD_tis!I$49*AD_tis!$BF22</f>
        <v>0</v>
      </c>
      <c r="J22" s="4">
        <f>+AD_tis!J22*AD_tis!J$49*AD_tis!$BF22</f>
        <v>0</v>
      </c>
      <c r="K22" s="4">
        <f>+AD_tis!K22*AD_tis!K$49*AD_tis!$BF22</f>
        <v>0</v>
      </c>
      <c r="L22" s="4">
        <f>+AD_tis!L22*AD_tis!L$49*AD_tis!$BF22</f>
        <v>0</v>
      </c>
      <c r="M22" s="4">
        <f>+AD_tis!M22*AD_tis!M$49*AD_tis!$BF22</f>
        <v>0</v>
      </c>
      <c r="N22" s="4">
        <f>+AD_tis!N22*AD_tis!N$49*AD_tis!$BF22</f>
        <v>0</v>
      </c>
      <c r="O22" s="4">
        <f>+AD_tis!O22*AD_tis!O$49*AD_tis!$BF22</f>
        <v>0</v>
      </c>
      <c r="P22" s="4">
        <f>+AD_tis!P22*AD_tis!P$49*AD_tis!$BF22</f>
        <v>0</v>
      </c>
      <c r="Q22" s="4">
        <f>+AD_tis!Q22*AD_tis!Q$49*AD_tis!$BF22</f>
        <v>0</v>
      </c>
      <c r="R22" s="13">
        <f>+AD_tis!R22*AD_tis!R$49*AD_tis!$BF22</f>
        <v>0</v>
      </c>
      <c r="S22" s="4">
        <f>+AD_tis!S22*AD_tis!S$49*AD_tis!$BF22</f>
        <v>0</v>
      </c>
      <c r="T22" s="4">
        <f>+AD_tis!T22*AD_tis!T$49*AD_tis!$BF22</f>
        <v>0</v>
      </c>
      <c r="U22" s="4">
        <f>+AD_tis!U22*AD_tis!U$49*AD_tis!$BF22</f>
        <v>0</v>
      </c>
      <c r="V22" s="4">
        <f>+AD_tis!V22*AD_tis!V$49*AD_tis!$BF22</f>
        <v>0</v>
      </c>
      <c r="W22" s="4">
        <f>+AD_tis!W22*AD_tis!W$49*AD_tis!$BF22</f>
        <v>0</v>
      </c>
      <c r="X22" s="4">
        <f>+AD_tis!X22*AD_tis!X$49*AD_tis!$BF22</f>
        <v>0</v>
      </c>
      <c r="Y22" s="4">
        <f>+AD_tis!Y22*AD_tis!Y$49*AD_tis!$BF22</f>
        <v>0</v>
      </c>
      <c r="Z22" s="4">
        <f>+AD_tis!Z22*AD_tis!Z$49*AD_tis!$BF22</f>
        <v>0</v>
      </c>
      <c r="AA22" s="4">
        <f>+AD_tis!AA22*AD_tis!AA$49*AD_tis!$BF22</f>
        <v>0</v>
      </c>
      <c r="AB22" s="4">
        <f>+AD_tis!AB22*AD_tis!AB$49*AD_tis!$BF22</f>
        <v>0</v>
      </c>
      <c r="AC22" s="12">
        <f>+AD_tis!AC22*AD_tis!AC$49*AD_tis!$BF22</f>
        <v>0</v>
      </c>
      <c r="AD22" s="4">
        <f>+AD_tis!AD22*AD_tis!AD$49*AD_tis!$BF22</f>
        <v>0</v>
      </c>
      <c r="AE22" s="4">
        <f>+AD_tis!AE22*AD_tis!AE$49*AD_tis!$BF22</f>
        <v>0</v>
      </c>
      <c r="AF22" s="4">
        <f>+AD_tis!AF22*AD_tis!AF$49*AD_tis!$BF22</f>
        <v>0</v>
      </c>
      <c r="AG22" s="4">
        <f>+AD_tis!AG22*AD_tis!AG$49*AD_tis!$BF22</f>
        <v>0</v>
      </c>
      <c r="AH22" s="4">
        <f>+AD_tis!AH22*AD_tis!AH$49*AD_tis!$BF22</f>
        <v>0</v>
      </c>
      <c r="AI22" s="4">
        <f>+AD_tis!AI22*AD_tis!AI$49*AD_tis!$BF22</f>
        <v>0</v>
      </c>
      <c r="AJ22" s="4">
        <f>+AD_tis!AJ22*AD_tis!AJ$49*AD_tis!$BF22</f>
        <v>0</v>
      </c>
      <c r="AK22" s="4">
        <f>+AD_tis!AK22*AD_tis!AK$49*AD_tis!$BF22</f>
        <v>0</v>
      </c>
      <c r="AL22" s="4">
        <f>+AD_tis!AL22*AD_tis!AL$49*AD_tis!$BF22</f>
        <v>0</v>
      </c>
      <c r="AM22" s="13">
        <f>+AD_tis!AM22*AD_tis!AM$49*AD_tis!$BF22</f>
        <v>0</v>
      </c>
      <c r="AN22" s="4">
        <f>+AD_tis!AN22*AD_tis!AN$49*AD_tis!$BF22</f>
        <v>0</v>
      </c>
      <c r="AO22" s="4">
        <f>+AD_tis!AO22*AD_tis!AO$49*AD_tis!$BF22</f>
        <v>0</v>
      </c>
      <c r="AP22" s="4">
        <f>+AD_tis!AP22*AD_tis!AP$49*AD_tis!$BF22</f>
        <v>0</v>
      </c>
      <c r="AQ22" s="4">
        <f>+AD_tis!AQ22*AD_tis!AQ$49*AD_tis!$BF22</f>
        <v>0</v>
      </c>
      <c r="AR22" s="4">
        <f>+AD_tis!AR22*AD_tis!AR$49*AD_tis!$BF22</f>
        <v>0</v>
      </c>
      <c r="AS22" s="4">
        <f>+AD_tis!AS22*AD_tis!AS$49*AD_tis!$BF22</f>
        <v>0</v>
      </c>
      <c r="AT22" s="4">
        <f>+AD_tis!AT22*AD_tis!AT$49*AD_tis!$BF22</f>
        <v>0</v>
      </c>
      <c r="AU22" s="4">
        <f>+AD_tis!AU22*AD_tis!AU$49*AD_tis!$BF22</f>
        <v>0</v>
      </c>
      <c r="AV22" s="4">
        <f>+AD_tis!AV22*AD_tis!AV$49*AD_tis!$BF22</f>
        <v>0</v>
      </c>
      <c r="AW22" s="12">
        <f>+AD_tis!AW22*AD_tis!AW$49*AD_tis!$BF22</f>
        <v>0</v>
      </c>
      <c r="AX22" s="13">
        <f>+AD_tis!AX22*AD_tis!AX$49*AD_tis!$BF22</f>
        <v>0</v>
      </c>
      <c r="AY22" s="4">
        <f>+AD_tis!AY22*AD_tis!AY$49*AD_tis!$BF22</f>
        <v>0</v>
      </c>
      <c r="AZ22" s="4">
        <f>+AD_tis!AZ22*AD_tis!AZ$49*AD_tis!$BF22</f>
        <v>0</v>
      </c>
      <c r="BA22" s="12">
        <f>+AD_tis!BA22*AD_tis!BA$49*AD_tis!$BF22</f>
        <v>0</v>
      </c>
      <c r="BB22" s="4">
        <f>+AD_tis!BB22*AD_tis!BB$49*AD_tis!$BF22</f>
        <v>0</v>
      </c>
      <c r="BC22" s="13">
        <f>+AD_tis!BC22*AD_tis!BC$49*AD_tis!$BF22</f>
        <v>0</v>
      </c>
    </row>
    <row r="23" spans="1:55" ht="18.75" customHeight="1" x14ac:dyDescent="0.25">
      <c r="A23" s="5" t="s">
        <v>74</v>
      </c>
      <c r="B23" s="12">
        <f>+AD_tis!B23*AD_tis!B$49*AD_tis!$BF23</f>
        <v>0</v>
      </c>
      <c r="C23" s="4">
        <f>+AD_tis!C23*AD_tis!C$49*AD_tis!$BF23</f>
        <v>0</v>
      </c>
      <c r="D23" s="4">
        <f>+AD_tis!D23*AD_tis!D$49*AD_tis!$BF23</f>
        <v>0</v>
      </c>
      <c r="E23" s="4">
        <f>+AD_tis!E23*AD_tis!E$49*AD_tis!$BF23</f>
        <v>0</v>
      </c>
      <c r="F23" s="4">
        <f>+AD_tis!F23*AD_tis!F$49*AD_tis!$BF23</f>
        <v>0</v>
      </c>
      <c r="G23" s="4">
        <f>+AD_tis!G23*AD_tis!G$49*AD_tis!$BF23</f>
        <v>0</v>
      </c>
      <c r="H23" s="4">
        <f>+AD_tis!H23*AD_tis!H$49*AD_tis!$BF23</f>
        <v>0</v>
      </c>
      <c r="I23" s="4">
        <f>+AD_tis!I23*AD_tis!I$49*AD_tis!$BF23</f>
        <v>0</v>
      </c>
      <c r="J23" s="4">
        <f>+AD_tis!J23*AD_tis!J$49*AD_tis!$BF23</f>
        <v>0</v>
      </c>
      <c r="K23" s="4">
        <f>+AD_tis!K23*AD_tis!K$49*AD_tis!$BF23</f>
        <v>0</v>
      </c>
      <c r="L23" s="4">
        <f>+AD_tis!L23*AD_tis!L$49*AD_tis!$BF23</f>
        <v>0</v>
      </c>
      <c r="M23" s="4">
        <f>+AD_tis!M23*AD_tis!M$49*AD_tis!$BF23</f>
        <v>0</v>
      </c>
      <c r="N23" s="4">
        <f>+AD_tis!N23*AD_tis!N$49*AD_tis!$BF23</f>
        <v>0</v>
      </c>
      <c r="O23" s="4">
        <f>+AD_tis!O23*AD_tis!O$49*AD_tis!$BF23</f>
        <v>0</v>
      </c>
      <c r="P23" s="4">
        <f>+AD_tis!P23*AD_tis!P$49*AD_tis!$BF23</f>
        <v>0</v>
      </c>
      <c r="Q23" s="4">
        <f>+AD_tis!Q23*AD_tis!Q$49*AD_tis!$BF23</f>
        <v>0</v>
      </c>
      <c r="R23" s="13">
        <f>+AD_tis!R23*AD_tis!R$49*AD_tis!$BF23</f>
        <v>0</v>
      </c>
      <c r="S23" s="4">
        <f>+AD_tis!S23*AD_tis!S$49*AD_tis!$BF23</f>
        <v>0</v>
      </c>
      <c r="T23" s="4">
        <f>+AD_tis!T23*AD_tis!T$49*AD_tis!$BF23</f>
        <v>0</v>
      </c>
      <c r="U23" s="4">
        <f>+AD_tis!U23*AD_tis!U$49*AD_tis!$BF23</f>
        <v>1</v>
      </c>
      <c r="V23" s="4">
        <f>+AD_tis!V23*AD_tis!V$49*AD_tis!$BF23</f>
        <v>0</v>
      </c>
      <c r="W23" s="4">
        <f>+AD_tis!W23*AD_tis!W$49*AD_tis!$BF23</f>
        <v>0</v>
      </c>
      <c r="X23" s="4">
        <f>+AD_tis!X23*AD_tis!X$49*AD_tis!$BF23</f>
        <v>0</v>
      </c>
      <c r="Y23" s="4">
        <f>+AD_tis!Y23*AD_tis!Y$49*AD_tis!$BF23</f>
        <v>0</v>
      </c>
      <c r="Z23" s="4">
        <f>+AD_tis!Z23*AD_tis!Z$49*AD_tis!$BF23</f>
        <v>0</v>
      </c>
      <c r="AA23" s="4">
        <f>+AD_tis!AA23*AD_tis!AA$49*AD_tis!$BF23</f>
        <v>0</v>
      </c>
      <c r="AB23" s="4">
        <f>+AD_tis!AB23*AD_tis!AB$49*AD_tis!$BF23</f>
        <v>0</v>
      </c>
      <c r="AC23" s="12">
        <f>+AD_tis!AC23*AD_tis!AC$49*AD_tis!$BF23</f>
        <v>0</v>
      </c>
      <c r="AD23" s="4">
        <f>+AD_tis!AD23*AD_tis!AD$49*AD_tis!$BF23</f>
        <v>0</v>
      </c>
      <c r="AE23" s="4">
        <f>+AD_tis!AE23*AD_tis!AE$49*AD_tis!$BF23</f>
        <v>0</v>
      </c>
      <c r="AF23" s="4">
        <f>+AD_tis!AF23*AD_tis!AF$49*AD_tis!$BF23</f>
        <v>0</v>
      </c>
      <c r="AG23" s="4">
        <f>+AD_tis!AG23*AD_tis!AG$49*AD_tis!$BF23</f>
        <v>0</v>
      </c>
      <c r="AH23" s="4">
        <f>+AD_tis!AH23*AD_tis!AH$49*AD_tis!$BF23</f>
        <v>0</v>
      </c>
      <c r="AI23" s="4">
        <f>+AD_tis!AI23*AD_tis!AI$49*AD_tis!$BF23</f>
        <v>0</v>
      </c>
      <c r="AJ23" s="4">
        <f>+AD_tis!AJ23*AD_tis!AJ$49*AD_tis!$BF23</f>
        <v>0</v>
      </c>
      <c r="AK23" s="4">
        <f>+AD_tis!AK23*AD_tis!AK$49*AD_tis!$BF23</f>
        <v>0</v>
      </c>
      <c r="AL23" s="4">
        <f>+AD_tis!AL23*AD_tis!AL$49*AD_tis!$BF23</f>
        <v>0</v>
      </c>
      <c r="AM23" s="13">
        <f>+AD_tis!AM23*AD_tis!AM$49*AD_tis!$BF23</f>
        <v>0</v>
      </c>
      <c r="AN23" s="4">
        <f>+AD_tis!AN23*AD_tis!AN$49*AD_tis!$BF23</f>
        <v>0</v>
      </c>
      <c r="AO23" s="4">
        <f>+AD_tis!AO23*AD_tis!AO$49*AD_tis!$BF23</f>
        <v>0</v>
      </c>
      <c r="AP23" s="4">
        <f>+AD_tis!AP23*AD_tis!AP$49*AD_tis!$BF23</f>
        <v>0</v>
      </c>
      <c r="AQ23" s="4">
        <f>+AD_tis!AQ23*AD_tis!AQ$49*AD_tis!$BF23</f>
        <v>0</v>
      </c>
      <c r="AR23" s="4">
        <f>+AD_tis!AR23*AD_tis!AR$49*AD_tis!$BF23</f>
        <v>0</v>
      </c>
      <c r="AS23" s="4">
        <f>+AD_tis!AS23*AD_tis!AS$49*AD_tis!$BF23</f>
        <v>0</v>
      </c>
      <c r="AT23" s="4">
        <f>+AD_tis!AT23*AD_tis!AT$49*AD_tis!$BF23</f>
        <v>0</v>
      </c>
      <c r="AU23" s="4">
        <f>+AD_tis!AU23*AD_tis!AU$49*AD_tis!$BF23</f>
        <v>0</v>
      </c>
      <c r="AV23" s="4">
        <f>+AD_tis!AV23*AD_tis!AV$49*AD_tis!$BF23</f>
        <v>0</v>
      </c>
      <c r="AW23" s="12">
        <f>+AD_tis!AW23*AD_tis!AW$49*AD_tis!$BF23</f>
        <v>0</v>
      </c>
      <c r="AX23" s="13">
        <f>+AD_tis!AX23*AD_tis!AX$49*AD_tis!$BF23</f>
        <v>0</v>
      </c>
      <c r="AY23" s="4">
        <f>+AD_tis!AY23*AD_tis!AY$49*AD_tis!$BF23</f>
        <v>0</v>
      </c>
      <c r="AZ23" s="4">
        <f>+AD_tis!AZ23*AD_tis!AZ$49*AD_tis!$BF23</f>
        <v>0</v>
      </c>
      <c r="BA23" s="12">
        <f>+AD_tis!BA23*AD_tis!BA$49*AD_tis!$BF23</f>
        <v>0</v>
      </c>
      <c r="BB23" s="4">
        <f>+AD_tis!BB23*AD_tis!BB$49*AD_tis!$BF23</f>
        <v>0</v>
      </c>
      <c r="BC23" s="13">
        <f>+AD_tis!BC23*AD_tis!BC$49*AD_tis!$BF23</f>
        <v>0</v>
      </c>
    </row>
    <row r="24" spans="1:55" ht="18.75" customHeight="1" x14ac:dyDescent="0.25">
      <c r="A24" s="5" t="s">
        <v>75</v>
      </c>
      <c r="B24" s="12">
        <f>+AD_tis!B24*AD_tis!B$49*AD_tis!$BF24</f>
        <v>0</v>
      </c>
      <c r="C24" s="4">
        <f>+AD_tis!C24*AD_tis!C$49*AD_tis!$BF24</f>
        <v>0</v>
      </c>
      <c r="D24" s="4">
        <f>+AD_tis!D24*AD_tis!D$49*AD_tis!$BF24</f>
        <v>0</v>
      </c>
      <c r="E24" s="4">
        <f>+AD_tis!E24*AD_tis!E$49*AD_tis!$BF24</f>
        <v>0</v>
      </c>
      <c r="F24" s="4">
        <f>+AD_tis!F24*AD_tis!F$49*AD_tis!$BF24</f>
        <v>0</v>
      </c>
      <c r="G24" s="4">
        <f>+AD_tis!G24*AD_tis!G$49*AD_tis!$BF24</f>
        <v>0</v>
      </c>
      <c r="H24" s="4">
        <f>+AD_tis!H24*AD_tis!H$49*AD_tis!$BF24</f>
        <v>0</v>
      </c>
      <c r="I24" s="4">
        <f>+AD_tis!I24*AD_tis!I$49*AD_tis!$BF24</f>
        <v>0</v>
      </c>
      <c r="J24" s="4">
        <f>+AD_tis!J24*AD_tis!J$49*AD_tis!$BF24</f>
        <v>0</v>
      </c>
      <c r="K24" s="4">
        <f>+AD_tis!K24*AD_tis!K$49*AD_tis!$BF24</f>
        <v>0</v>
      </c>
      <c r="L24" s="4">
        <f>+AD_tis!L24*AD_tis!L$49*AD_tis!$BF24</f>
        <v>0</v>
      </c>
      <c r="M24" s="4">
        <f>+AD_tis!M24*AD_tis!M$49*AD_tis!$BF24</f>
        <v>0</v>
      </c>
      <c r="N24" s="4">
        <f>+AD_tis!N24*AD_tis!N$49*AD_tis!$BF24</f>
        <v>0</v>
      </c>
      <c r="O24" s="4">
        <f>+AD_tis!O24*AD_tis!O$49*AD_tis!$BF24</f>
        <v>0</v>
      </c>
      <c r="P24" s="4">
        <f>+AD_tis!P24*AD_tis!P$49*AD_tis!$BF24</f>
        <v>0</v>
      </c>
      <c r="Q24" s="4">
        <f>+AD_tis!Q24*AD_tis!Q$49*AD_tis!$BF24</f>
        <v>0</v>
      </c>
      <c r="R24" s="13">
        <f>+AD_tis!R24*AD_tis!R$49*AD_tis!$BF24</f>
        <v>0</v>
      </c>
      <c r="S24" s="4">
        <f>+AD_tis!S24*AD_tis!S$49*AD_tis!$BF24</f>
        <v>0</v>
      </c>
      <c r="T24" s="4">
        <f>+AD_tis!T24*AD_tis!T$49*AD_tis!$BF24</f>
        <v>0</v>
      </c>
      <c r="U24" s="4">
        <f>+AD_tis!U24*AD_tis!U$49*AD_tis!$BF24</f>
        <v>1</v>
      </c>
      <c r="V24" s="4">
        <f>+AD_tis!V24*AD_tis!V$49*AD_tis!$BF24</f>
        <v>0</v>
      </c>
      <c r="W24" s="4">
        <f>+AD_tis!W24*AD_tis!W$49*AD_tis!$BF24</f>
        <v>0</v>
      </c>
      <c r="X24" s="4">
        <f>+AD_tis!X24*AD_tis!X$49*AD_tis!$BF24</f>
        <v>0</v>
      </c>
      <c r="Y24" s="4">
        <f>+AD_tis!Y24*AD_tis!Y$49*AD_tis!$BF24</f>
        <v>0</v>
      </c>
      <c r="Z24" s="4">
        <f>+AD_tis!Z24*AD_tis!Z$49*AD_tis!$BF24</f>
        <v>0</v>
      </c>
      <c r="AA24" s="4">
        <f>+AD_tis!AA24*AD_tis!AA$49*AD_tis!$BF24</f>
        <v>0</v>
      </c>
      <c r="AB24" s="4">
        <f>+AD_tis!AB24*AD_tis!AB$49*AD_tis!$BF24</f>
        <v>0</v>
      </c>
      <c r="AC24" s="12">
        <f>+AD_tis!AC24*AD_tis!AC$49*AD_tis!$BF24</f>
        <v>0</v>
      </c>
      <c r="AD24" s="4">
        <f>+AD_tis!AD24*AD_tis!AD$49*AD_tis!$BF24</f>
        <v>0</v>
      </c>
      <c r="AE24" s="4">
        <f>+AD_tis!AE24*AD_tis!AE$49*AD_tis!$BF24</f>
        <v>0</v>
      </c>
      <c r="AF24" s="4">
        <f>+AD_tis!AF24*AD_tis!AF$49*AD_tis!$BF24</f>
        <v>0</v>
      </c>
      <c r="AG24" s="4">
        <f>+AD_tis!AG24*AD_tis!AG$49*AD_tis!$BF24</f>
        <v>0</v>
      </c>
      <c r="AH24" s="4">
        <f>+AD_tis!AH24*AD_tis!AH$49*AD_tis!$BF24</f>
        <v>0</v>
      </c>
      <c r="AI24" s="4">
        <f>+AD_tis!AI24*AD_tis!AI$49*AD_tis!$BF24</f>
        <v>0</v>
      </c>
      <c r="AJ24" s="4">
        <f>+AD_tis!AJ24*AD_tis!AJ$49*AD_tis!$BF24</f>
        <v>0</v>
      </c>
      <c r="AK24" s="4">
        <f>+AD_tis!AK24*AD_tis!AK$49*AD_tis!$BF24</f>
        <v>0</v>
      </c>
      <c r="AL24" s="4">
        <f>+AD_tis!AL24*AD_tis!AL$49*AD_tis!$BF24</f>
        <v>0</v>
      </c>
      <c r="AM24" s="13">
        <f>+AD_tis!AM24*AD_tis!AM$49*AD_tis!$BF24</f>
        <v>0</v>
      </c>
      <c r="AN24" s="4">
        <f>+AD_tis!AN24*AD_tis!AN$49*AD_tis!$BF24</f>
        <v>0</v>
      </c>
      <c r="AO24" s="4">
        <f>+AD_tis!AO24*AD_tis!AO$49*AD_tis!$BF24</f>
        <v>0</v>
      </c>
      <c r="AP24" s="4">
        <f>+AD_tis!AP24*AD_tis!AP$49*AD_tis!$BF24</f>
        <v>0</v>
      </c>
      <c r="AQ24" s="4">
        <f>+AD_tis!AQ24*AD_tis!AQ$49*AD_tis!$BF24</f>
        <v>0</v>
      </c>
      <c r="AR24" s="4">
        <f>+AD_tis!AR24*AD_tis!AR$49*AD_tis!$BF24</f>
        <v>0</v>
      </c>
      <c r="AS24" s="4">
        <f>+AD_tis!AS24*AD_tis!AS$49*AD_tis!$BF24</f>
        <v>0</v>
      </c>
      <c r="AT24" s="4">
        <f>+AD_tis!AT24*AD_tis!AT$49*AD_tis!$BF24</f>
        <v>0</v>
      </c>
      <c r="AU24" s="4">
        <f>+AD_tis!AU24*AD_tis!AU$49*AD_tis!$BF24</f>
        <v>0</v>
      </c>
      <c r="AV24" s="4">
        <f>+AD_tis!AV24*AD_tis!AV$49*AD_tis!$BF24</f>
        <v>0</v>
      </c>
      <c r="AW24" s="12">
        <f>+AD_tis!AW24*AD_tis!AW$49*AD_tis!$BF24</f>
        <v>0</v>
      </c>
      <c r="AX24" s="13">
        <f>+AD_tis!AX24*AD_tis!AX$49*AD_tis!$BF24</f>
        <v>0</v>
      </c>
      <c r="AY24" s="4">
        <f>+AD_tis!AY24*AD_tis!AY$49*AD_tis!$BF24</f>
        <v>0</v>
      </c>
      <c r="AZ24" s="4">
        <f>+AD_tis!AZ24*AD_tis!AZ$49*AD_tis!$BF24</f>
        <v>0</v>
      </c>
      <c r="BA24" s="12">
        <f>+AD_tis!BA24*AD_tis!BA$49*AD_tis!$BF24</f>
        <v>0</v>
      </c>
      <c r="BB24" s="4">
        <f>+AD_tis!BB24*AD_tis!BB$49*AD_tis!$BF24</f>
        <v>0</v>
      </c>
      <c r="BC24" s="13">
        <f>+AD_tis!BC24*AD_tis!BC$49*AD_tis!$BF24</f>
        <v>0</v>
      </c>
    </row>
    <row r="25" spans="1:55" ht="18.75" customHeight="1" x14ac:dyDescent="0.25">
      <c r="A25" s="5" t="s">
        <v>76</v>
      </c>
      <c r="B25" s="12">
        <f>+AD_tis!B25*AD_tis!B$49*AD_tis!$BF25</f>
        <v>0</v>
      </c>
      <c r="C25" s="4">
        <f>+AD_tis!C25*AD_tis!C$49*AD_tis!$BF25</f>
        <v>0</v>
      </c>
      <c r="D25" s="4">
        <f>+AD_tis!D25*AD_tis!D$49*AD_tis!$BF25</f>
        <v>0</v>
      </c>
      <c r="E25" s="4">
        <f>+AD_tis!E25*AD_tis!E$49*AD_tis!$BF25</f>
        <v>0</v>
      </c>
      <c r="F25" s="4">
        <f>+AD_tis!F25*AD_tis!F$49*AD_tis!$BF25</f>
        <v>0</v>
      </c>
      <c r="G25" s="4">
        <f>+AD_tis!G25*AD_tis!G$49*AD_tis!$BF25</f>
        <v>0</v>
      </c>
      <c r="H25" s="4">
        <f>+AD_tis!H25*AD_tis!H$49*AD_tis!$BF25</f>
        <v>0</v>
      </c>
      <c r="I25" s="4">
        <f>+AD_tis!I25*AD_tis!I$49*AD_tis!$BF25</f>
        <v>0</v>
      </c>
      <c r="J25" s="4">
        <f>+AD_tis!J25*AD_tis!J$49*AD_tis!$BF25</f>
        <v>0</v>
      </c>
      <c r="K25" s="4">
        <f>+AD_tis!K25*AD_tis!K$49*AD_tis!$BF25</f>
        <v>0</v>
      </c>
      <c r="L25" s="4">
        <f>+AD_tis!L25*AD_tis!L$49*AD_tis!$BF25</f>
        <v>0</v>
      </c>
      <c r="M25" s="4">
        <f>+AD_tis!M25*AD_tis!M$49*AD_tis!$BF25</f>
        <v>0</v>
      </c>
      <c r="N25" s="4">
        <f>+AD_tis!N25*AD_tis!N$49*AD_tis!$BF25</f>
        <v>0</v>
      </c>
      <c r="O25" s="4">
        <f>+AD_tis!O25*AD_tis!O$49*AD_tis!$BF25</f>
        <v>0</v>
      </c>
      <c r="P25" s="4">
        <f>+AD_tis!P25*AD_tis!P$49*AD_tis!$BF25</f>
        <v>0</v>
      </c>
      <c r="Q25" s="4">
        <f>+AD_tis!Q25*AD_tis!Q$49*AD_tis!$BF25</f>
        <v>0</v>
      </c>
      <c r="R25" s="13">
        <f>+AD_tis!R25*AD_tis!R$49*AD_tis!$BF25</f>
        <v>0</v>
      </c>
      <c r="S25" s="4">
        <f>+AD_tis!S25*AD_tis!S$49*AD_tis!$BF25</f>
        <v>0</v>
      </c>
      <c r="T25" s="4">
        <f>+AD_tis!T25*AD_tis!T$49*AD_tis!$BF25</f>
        <v>0</v>
      </c>
      <c r="U25" s="4">
        <f>+AD_tis!U25*AD_tis!U$49*AD_tis!$BF25</f>
        <v>1</v>
      </c>
      <c r="V25" s="4">
        <f>+AD_tis!V25*AD_tis!V$49*AD_tis!$BF25</f>
        <v>0</v>
      </c>
      <c r="W25" s="4">
        <f>+AD_tis!W25*AD_tis!W$49*AD_tis!$BF25</f>
        <v>0</v>
      </c>
      <c r="X25" s="4">
        <f>+AD_tis!X25*AD_tis!X$49*AD_tis!$BF25</f>
        <v>0</v>
      </c>
      <c r="Y25" s="4">
        <f>+AD_tis!Y25*AD_tis!Y$49*AD_tis!$BF25</f>
        <v>0</v>
      </c>
      <c r="Z25" s="4">
        <f>+AD_tis!Z25*AD_tis!Z$49*AD_tis!$BF25</f>
        <v>0</v>
      </c>
      <c r="AA25" s="4">
        <f>+AD_tis!AA25*AD_tis!AA$49*AD_tis!$BF25</f>
        <v>0</v>
      </c>
      <c r="AB25" s="4">
        <f>+AD_tis!AB25*AD_tis!AB$49*AD_tis!$BF25</f>
        <v>0</v>
      </c>
      <c r="AC25" s="12">
        <f>+AD_tis!AC25*AD_tis!AC$49*AD_tis!$BF25</f>
        <v>0</v>
      </c>
      <c r="AD25" s="4">
        <f>+AD_tis!AD25*AD_tis!AD$49*AD_tis!$BF25</f>
        <v>0</v>
      </c>
      <c r="AE25" s="4">
        <f>+AD_tis!AE25*AD_tis!AE$49*AD_tis!$BF25</f>
        <v>0</v>
      </c>
      <c r="AF25" s="4">
        <f>+AD_tis!AF25*AD_tis!AF$49*AD_tis!$BF25</f>
        <v>0</v>
      </c>
      <c r="AG25" s="4">
        <f>+AD_tis!AG25*AD_tis!AG$49*AD_tis!$BF25</f>
        <v>0</v>
      </c>
      <c r="AH25" s="4">
        <f>+AD_tis!AH25*AD_tis!AH$49*AD_tis!$BF25</f>
        <v>0</v>
      </c>
      <c r="AI25" s="4">
        <f>+AD_tis!AI25*AD_tis!AI$49*AD_tis!$BF25</f>
        <v>0</v>
      </c>
      <c r="AJ25" s="4">
        <f>+AD_tis!AJ25*AD_tis!AJ$49*AD_tis!$BF25</f>
        <v>0</v>
      </c>
      <c r="AK25" s="4">
        <f>+AD_tis!AK25*AD_tis!AK$49*AD_tis!$BF25</f>
        <v>0</v>
      </c>
      <c r="AL25" s="4">
        <f>+AD_tis!AL25*AD_tis!AL$49*AD_tis!$BF25</f>
        <v>0</v>
      </c>
      <c r="AM25" s="13">
        <f>+AD_tis!AM25*AD_tis!AM$49*AD_tis!$BF25</f>
        <v>0</v>
      </c>
      <c r="AN25" s="4">
        <f>+AD_tis!AN25*AD_tis!AN$49*AD_tis!$BF25</f>
        <v>0</v>
      </c>
      <c r="AO25" s="4">
        <f>+AD_tis!AO25*AD_tis!AO$49*AD_tis!$BF25</f>
        <v>0</v>
      </c>
      <c r="AP25" s="4">
        <f>+AD_tis!AP25*AD_tis!AP$49*AD_tis!$BF25</f>
        <v>0</v>
      </c>
      <c r="AQ25" s="4">
        <f>+AD_tis!AQ25*AD_tis!AQ$49*AD_tis!$BF25</f>
        <v>0</v>
      </c>
      <c r="AR25" s="4">
        <f>+AD_tis!AR25*AD_tis!AR$49*AD_tis!$BF25</f>
        <v>0</v>
      </c>
      <c r="AS25" s="4">
        <f>+AD_tis!AS25*AD_tis!AS$49*AD_tis!$BF25</f>
        <v>0</v>
      </c>
      <c r="AT25" s="4">
        <f>+AD_tis!AT25*AD_tis!AT$49*AD_tis!$BF25</f>
        <v>0</v>
      </c>
      <c r="AU25" s="4">
        <f>+AD_tis!AU25*AD_tis!AU$49*AD_tis!$BF25</f>
        <v>0</v>
      </c>
      <c r="AV25" s="4">
        <f>+AD_tis!AV25*AD_tis!AV$49*AD_tis!$BF25</f>
        <v>0</v>
      </c>
      <c r="AW25" s="12">
        <f>+AD_tis!AW25*AD_tis!AW$49*AD_tis!$BF25</f>
        <v>0</v>
      </c>
      <c r="AX25" s="13">
        <f>+AD_tis!AX25*AD_tis!AX$49*AD_tis!$BF25</f>
        <v>0</v>
      </c>
      <c r="AY25" s="4">
        <f>+AD_tis!AY25*AD_tis!AY$49*AD_tis!$BF25</f>
        <v>0</v>
      </c>
      <c r="AZ25" s="4">
        <f>+AD_tis!AZ25*AD_tis!AZ$49*AD_tis!$BF25</f>
        <v>0</v>
      </c>
      <c r="BA25" s="12">
        <f>+AD_tis!BA25*AD_tis!BA$49*AD_tis!$BF25</f>
        <v>0</v>
      </c>
      <c r="BB25" s="4">
        <f>+AD_tis!BB25*AD_tis!BB$49*AD_tis!$BF25</f>
        <v>0</v>
      </c>
      <c r="BC25" s="13">
        <f>+AD_tis!BC25*AD_tis!BC$49*AD_tis!$BF25</f>
        <v>0</v>
      </c>
    </row>
    <row r="26" spans="1:55" ht="18.75" customHeight="1" x14ac:dyDescent="0.25">
      <c r="A26" s="5" t="s">
        <v>77</v>
      </c>
      <c r="B26" s="12">
        <f>+AD_tis!B26*AD_tis!B$49*AD_tis!$BF26</f>
        <v>0</v>
      </c>
      <c r="C26" s="4">
        <f>+AD_tis!C26*AD_tis!C$49*AD_tis!$BF26</f>
        <v>0</v>
      </c>
      <c r="D26" s="4">
        <f>+AD_tis!D26*AD_tis!D$49*AD_tis!$BF26</f>
        <v>0</v>
      </c>
      <c r="E26" s="4">
        <f>+AD_tis!E26*AD_tis!E$49*AD_tis!$BF26</f>
        <v>0</v>
      </c>
      <c r="F26" s="4">
        <f>+AD_tis!F26*AD_tis!F$49*AD_tis!$BF26</f>
        <v>0</v>
      </c>
      <c r="G26" s="4">
        <f>+AD_tis!G26*AD_tis!G$49*AD_tis!$BF26</f>
        <v>0</v>
      </c>
      <c r="H26" s="4">
        <f>+AD_tis!H26*AD_tis!H$49*AD_tis!$BF26</f>
        <v>0</v>
      </c>
      <c r="I26" s="4">
        <f>+AD_tis!I26*AD_tis!I$49*AD_tis!$BF26</f>
        <v>0</v>
      </c>
      <c r="J26" s="4">
        <f>+AD_tis!J26*AD_tis!J$49*AD_tis!$BF26</f>
        <v>0</v>
      </c>
      <c r="K26" s="4">
        <f>+AD_tis!K26*AD_tis!K$49*AD_tis!$BF26</f>
        <v>0</v>
      </c>
      <c r="L26" s="4">
        <f>+AD_tis!L26*AD_tis!L$49*AD_tis!$BF26</f>
        <v>0</v>
      </c>
      <c r="M26" s="4">
        <f>+AD_tis!M26*AD_tis!M$49*AD_tis!$BF26</f>
        <v>0</v>
      </c>
      <c r="N26" s="4">
        <f>+AD_tis!N26*AD_tis!N$49*AD_tis!$BF26</f>
        <v>0</v>
      </c>
      <c r="O26" s="4">
        <f>+AD_tis!O26*AD_tis!O$49*AD_tis!$BF26</f>
        <v>0</v>
      </c>
      <c r="P26" s="4">
        <f>+AD_tis!P26*AD_tis!P$49*AD_tis!$BF26</f>
        <v>0</v>
      </c>
      <c r="Q26" s="4">
        <f>+AD_tis!Q26*AD_tis!Q$49*AD_tis!$BF26</f>
        <v>0</v>
      </c>
      <c r="R26" s="13">
        <f>+AD_tis!R26*AD_tis!R$49*AD_tis!$BF26</f>
        <v>0</v>
      </c>
      <c r="S26" s="4">
        <f>+AD_tis!S26*AD_tis!S$49*AD_tis!$BF26</f>
        <v>0</v>
      </c>
      <c r="T26" s="4">
        <f>+AD_tis!T26*AD_tis!T$49*AD_tis!$BF26</f>
        <v>0</v>
      </c>
      <c r="U26" s="4">
        <f>+AD_tis!U26*AD_tis!U$49*AD_tis!$BF26</f>
        <v>1</v>
      </c>
      <c r="V26" s="4">
        <f>+AD_tis!V26*AD_tis!V$49*AD_tis!$BF26</f>
        <v>0</v>
      </c>
      <c r="W26" s="4">
        <f>+AD_tis!W26*AD_tis!W$49*AD_tis!$BF26</f>
        <v>0</v>
      </c>
      <c r="X26" s="4">
        <f>+AD_tis!X26*AD_tis!X$49*AD_tis!$BF26</f>
        <v>0</v>
      </c>
      <c r="Y26" s="4">
        <f>+AD_tis!Y26*AD_tis!Y$49*AD_tis!$BF26</f>
        <v>0</v>
      </c>
      <c r="Z26" s="4">
        <f>+AD_tis!Z26*AD_tis!Z$49*AD_tis!$BF26</f>
        <v>0</v>
      </c>
      <c r="AA26" s="4">
        <f>+AD_tis!AA26*AD_tis!AA$49*AD_tis!$BF26</f>
        <v>0</v>
      </c>
      <c r="AB26" s="4">
        <f>+AD_tis!AB26*AD_tis!AB$49*AD_tis!$BF26</f>
        <v>0</v>
      </c>
      <c r="AC26" s="12">
        <f>+AD_tis!AC26*AD_tis!AC$49*AD_tis!$BF26</f>
        <v>0</v>
      </c>
      <c r="AD26" s="4">
        <f>+AD_tis!AD26*AD_tis!AD$49*AD_tis!$BF26</f>
        <v>0</v>
      </c>
      <c r="AE26" s="4">
        <f>+AD_tis!AE26*AD_tis!AE$49*AD_tis!$BF26</f>
        <v>0</v>
      </c>
      <c r="AF26" s="4">
        <f>+AD_tis!AF26*AD_tis!AF$49*AD_tis!$BF26</f>
        <v>0</v>
      </c>
      <c r="AG26" s="4">
        <f>+AD_tis!AG26*AD_tis!AG$49*AD_tis!$BF26</f>
        <v>0</v>
      </c>
      <c r="AH26" s="4">
        <f>+AD_tis!AH26*AD_tis!AH$49*AD_tis!$BF26</f>
        <v>0</v>
      </c>
      <c r="AI26" s="4">
        <f>+AD_tis!AI26*AD_tis!AI$49*AD_tis!$BF26</f>
        <v>0</v>
      </c>
      <c r="AJ26" s="4">
        <f>+AD_tis!AJ26*AD_tis!AJ$49*AD_tis!$BF26</f>
        <v>0</v>
      </c>
      <c r="AK26" s="4">
        <f>+AD_tis!AK26*AD_tis!AK$49*AD_tis!$BF26</f>
        <v>0</v>
      </c>
      <c r="AL26" s="4">
        <f>+AD_tis!AL26*AD_tis!AL$49*AD_tis!$BF26</f>
        <v>0</v>
      </c>
      <c r="AM26" s="13">
        <f>+AD_tis!AM26*AD_tis!AM$49*AD_tis!$BF26</f>
        <v>0</v>
      </c>
      <c r="AN26" s="4">
        <f>+AD_tis!AN26*AD_tis!AN$49*AD_tis!$BF26</f>
        <v>0</v>
      </c>
      <c r="AO26" s="4">
        <f>+AD_tis!AO26*AD_tis!AO$49*AD_tis!$BF26</f>
        <v>0</v>
      </c>
      <c r="AP26" s="4">
        <f>+AD_tis!AP26*AD_tis!AP$49*AD_tis!$BF26</f>
        <v>0</v>
      </c>
      <c r="AQ26" s="4">
        <f>+AD_tis!AQ26*AD_tis!AQ$49*AD_tis!$BF26</f>
        <v>0</v>
      </c>
      <c r="AR26" s="4">
        <f>+AD_tis!AR26*AD_tis!AR$49*AD_tis!$BF26</f>
        <v>0</v>
      </c>
      <c r="AS26" s="4">
        <f>+AD_tis!AS26*AD_tis!AS$49*AD_tis!$BF26</f>
        <v>0</v>
      </c>
      <c r="AT26" s="4">
        <f>+AD_tis!AT26*AD_tis!AT$49*AD_tis!$BF26</f>
        <v>0</v>
      </c>
      <c r="AU26" s="4">
        <f>+AD_tis!AU26*AD_tis!AU$49*AD_tis!$BF26</f>
        <v>0</v>
      </c>
      <c r="AV26" s="4">
        <f>+AD_tis!AV26*AD_tis!AV$49*AD_tis!$BF26</f>
        <v>0</v>
      </c>
      <c r="AW26" s="12">
        <f>+AD_tis!AW26*AD_tis!AW$49*AD_tis!$BF26</f>
        <v>0</v>
      </c>
      <c r="AX26" s="13">
        <f>+AD_tis!AX26*AD_tis!AX$49*AD_tis!$BF26</f>
        <v>0</v>
      </c>
      <c r="AY26" s="4">
        <f>+AD_tis!AY26*AD_tis!AY$49*AD_tis!$BF26</f>
        <v>0</v>
      </c>
      <c r="AZ26" s="4">
        <f>+AD_tis!AZ26*AD_tis!AZ$49*AD_tis!$BF26</f>
        <v>0</v>
      </c>
      <c r="BA26" s="12">
        <f>+AD_tis!BA26*AD_tis!BA$49*AD_tis!$BF26</f>
        <v>0</v>
      </c>
      <c r="BB26" s="4">
        <f>+AD_tis!BB26*AD_tis!BB$49*AD_tis!$BF26</f>
        <v>0</v>
      </c>
      <c r="BC26" s="13">
        <f>+AD_tis!BC26*AD_tis!BC$49*AD_tis!$BF26</f>
        <v>0</v>
      </c>
    </row>
    <row r="27" spans="1:55" ht="18.75" customHeight="1" x14ac:dyDescent="0.25">
      <c r="A27" s="5" t="s">
        <v>78</v>
      </c>
      <c r="B27" s="12">
        <f>+AD_tis!B27*AD_tis!B$49*AD_tis!$BF27</f>
        <v>0</v>
      </c>
      <c r="C27" s="4">
        <f>+AD_tis!C27*AD_tis!C$49*AD_tis!$BF27</f>
        <v>0</v>
      </c>
      <c r="D27" s="4">
        <f>+AD_tis!D27*AD_tis!D$49*AD_tis!$BF27</f>
        <v>0</v>
      </c>
      <c r="E27" s="4">
        <f>+AD_tis!E27*AD_tis!E$49*AD_tis!$BF27</f>
        <v>0</v>
      </c>
      <c r="F27" s="4">
        <f>+AD_tis!F27*AD_tis!F$49*AD_tis!$BF27</f>
        <v>0</v>
      </c>
      <c r="G27" s="4">
        <f>+AD_tis!G27*AD_tis!G$49*AD_tis!$BF27</f>
        <v>0</v>
      </c>
      <c r="H27" s="4">
        <f>+AD_tis!H27*AD_tis!H$49*AD_tis!$BF27</f>
        <v>0</v>
      </c>
      <c r="I27" s="4">
        <f>+AD_tis!I27*AD_tis!I$49*AD_tis!$BF27</f>
        <v>0</v>
      </c>
      <c r="J27" s="4">
        <f>+AD_tis!J27*AD_tis!J$49*AD_tis!$BF27</f>
        <v>0</v>
      </c>
      <c r="K27" s="4">
        <f>+AD_tis!K27*AD_tis!K$49*AD_tis!$BF27</f>
        <v>0</v>
      </c>
      <c r="L27" s="4">
        <f>+AD_tis!L27*AD_tis!L$49*AD_tis!$BF27</f>
        <v>0</v>
      </c>
      <c r="M27" s="4">
        <f>+AD_tis!M27*AD_tis!M$49*AD_tis!$BF27</f>
        <v>0</v>
      </c>
      <c r="N27" s="4">
        <f>+AD_tis!N27*AD_tis!N$49*AD_tis!$BF27</f>
        <v>0</v>
      </c>
      <c r="O27" s="4">
        <f>+AD_tis!O27*AD_tis!O$49*AD_tis!$BF27</f>
        <v>0</v>
      </c>
      <c r="P27" s="4">
        <f>+AD_tis!P27*AD_tis!P$49*AD_tis!$BF27</f>
        <v>0</v>
      </c>
      <c r="Q27" s="4">
        <f>+AD_tis!Q27*AD_tis!Q$49*AD_tis!$BF27</f>
        <v>0</v>
      </c>
      <c r="R27" s="13">
        <f>+AD_tis!R27*AD_tis!R$49*AD_tis!$BF27</f>
        <v>0</v>
      </c>
      <c r="S27" s="4">
        <f>+AD_tis!S27*AD_tis!S$49*AD_tis!$BF27</f>
        <v>0</v>
      </c>
      <c r="T27" s="4">
        <f>+AD_tis!T27*AD_tis!T$49*AD_tis!$BF27</f>
        <v>0</v>
      </c>
      <c r="U27" s="4">
        <f>+AD_tis!U27*AD_tis!U$49*AD_tis!$BF27</f>
        <v>1</v>
      </c>
      <c r="V27" s="4">
        <f>+AD_tis!V27*AD_tis!V$49*AD_tis!$BF27</f>
        <v>0</v>
      </c>
      <c r="W27" s="4">
        <f>+AD_tis!W27*AD_tis!W$49*AD_tis!$BF27</f>
        <v>0</v>
      </c>
      <c r="X27" s="4">
        <f>+AD_tis!X27*AD_tis!X$49*AD_tis!$BF27</f>
        <v>0</v>
      </c>
      <c r="Y27" s="4">
        <f>+AD_tis!Y27*AD_tis!Y$49*AD_tis!$BF27</f>
        <v>0</v>
      </c>
      <c r="Z27" s="4">
        <f>+AD_tis!Z27*AD_tis!Z$49*AD_tis!$BF27</f>
        <v>0</v>
      </c>
      <c r="AA27" s="4">
        <f>+AD_tis!AA27*AD_tis!AA$49*AD_tis!$BF27</f>
        <v>0</v>
      </c>
      <c r="AB27" s="4">
        <f>+AD_tis!AB27*AD_tis!AB$49*AD_tis!$BF27</f>
        <v>0</v>
      </c>
      <c r="AC27" s="12">
        <f>+AD_tis!AC27*AD_tis!AC$49*AD_tis!$BF27</f>
        <v>0</v>
      </c>
      <c r="AD27" s="4">
        <f>+AD_tis!AD27*AD_tis!AD$49*AD_tis!$BF27</f>
        <v>0</v>
      </c>
      <c r="AE27" s="4">
        <f>+AD_tis!AE27*AD_tis!AE$49*AD_tis!$BF27</f>
        <v>0</v>
      </c>
      <c r="AF27" s="4">
        <f>+AD_tis!AF27*AD_tis!AF$49*AD_tis!$BF27</f>
        <v>0</v>
      </c>
      <c r="AG27" s="4">
        <f>+AD_tis!AG27*AD_tis!AG$49*AD_tis!$BF27</f>
        <v>0</v>
      </c>
      <c r="AH27" s="4">
        <f>+AD_tis!AH27*AD_tis!AH$49*AD_tis!$BF27</f>
        <v>0</v>
      </c>
      <c r="AI27" s="4">
        <f>+AD_tis!AI27*AD_tis!AI$49*AD_tis!$BF27</f>
        <v>0</v>
      </c>
      <c r="AJ27" s="4">
        <f>+AD_tis!AJ27*AD_tis!AJ$49*AD_tis!$BF27</f>
        <v>0</v>
      </c>
      <c r="AK27" s="4">
        <f>+AD_tis!AK27*AD_tis!AK$49*AD_tis!$BF27</f>
        <v>0</v>
      </c>
      <c r="AL27" s="4">
        <f>+AD_tis!AL27*AD_tis!AL$49*AD_tis!$BF27</f>
        <v>0</v>
      </c>
      <c r="AM27" s="13">
        <f>+AD_tis!AM27*AD_tis!AM$49*AD_tis!$BF27</f>
        <v>0</v>
      </c>
      <c r="AN27" s="4">
        <f>+AD_tis!AN27*AD_tis!AN$49*AD_tis!$BF27</f>
        <v>0</v>
      </c>
      <c r="AO27" s="4">
        <f>+AD_tis!AO27*AD_tis!AO$49*AD_tis!$BF27</f>
        <v>0</v>
      </c>
      <c r="AP27" s="4">
        <f>+AD_tis!AP27*AD_tis!AP$49*AD_tis!$BF27</f>
        <v>0</v>
      </c>
      <c r="AQ27" s="4">
        <f>+AD_tis!AQ27*AD_tis!AQ$49*AD_tis!$BF27</f>
        <v>0</v>
      </c>
      <c r="AR27" s="4">
        <f>+AD_tis!AR27*AD_tis!AR$49*AD_tis!$BF27</f>
        <v>0</v>
      </c>
      <c r="AS27" s="4">
        <f>+AD_tis!AS27*AD_tis!AS$49*AD_tis!$BF27</f>
        <v>0</v>
      </c>
      <c r="AT27" s="4">
        <f>+AD_tis!AT27*AD_tis!AT$49*AD_tis!$BF27</f>
        <v>0</v>
      </c>
      <c r="AU27" s="4">
        <f>+AD_tis!AU27*AD_tis!AU$49*AD_tis!$BF27</f>
        <v>0</v>
      </c>
      <c r="AV27" s="4">
        <f>+AD_tis!AV27*AD_tis!AV$49*AD_tis!$BF27</f>
        <v>0</v>
      </c>
      <c r="AW27" s="12">
        <f>+AD_tis!AW27*AD_tis!AW$49*AD_tis!$BF27</f>
        <v>0</v>
      </c>
      <c r="AX27" s="13">
        <f>+AD_tis!AX27*AD_tis!AX$49*AD_tis!$BF27</f>
        <v>0</v>
      </c>
      <c r="AY27" s="4">
        <f>+AD_tis!AY27*AD_tis!AY$49*AD_tis!$BF27</f>
        <v>0</v>
      </c>
      <c r="AZ27" s="4">
        <f>+AD_tis!AZ27*AD_tis!AZ$49*AD_tis!$BF27</f>
        <v>0</v>
      </c>
      <c r="BA27" s="12">
        <f>+AD_tis!BA27*AD_tis!BA$49*AD_tis!$BF27</f>
        <v>0</v>
      </c>
      <c r="BB27" s="4">
        <f>+AD_tis!BB27*AD_tis!BB$49*AD_tis!$BF27</f>
        <v>0</v>
      </c>
      <c r="BC27" s="13">
        <f>+AD_tis!BC27*AD_tis!BC$49*AD_tis!$BF27</f>
        <v>0</v>
      </c>
    </row>
    <row r="28" spans="1:55" ht="18.75" customHeight="1" x14ac:dyDescent="0.25">
      <c r="A28" s="5" t="s">
        <v>79</v>
      </c>
      <c r="B28" s="12">
        <f>+AD_tis!B28*AD_tis!B$49*AD_tis!$BF28</f>
        <v>0</v>
      </c>
      <c r="C28" s="4">
        <f>+AD_tis!C28*AD_tis!C$49*AD_tis!$BF28</f>
        <v>0</v>
      </c>
      <c r="D28" s="4">
        <f>+AD_tis!D28*AD_tis!D$49*AD_tis!$BF28</f>
        <v>0</v>
      </c>
      <c r="E28" s="4">
        <f>+AD_tis!E28*AD_tis!E$49*AD_tis!$BF28</f>
        <v>0</v>
      </c>
      <c r="F28" s="4">
        <f>+AD_tis!F28*AD_tis!F$49*AD_tis!$BF28</f>
        <v>0</v>
      </c>
      <c r="G28" s="4">
        <f>+AD_tis!G28*AD_tis!G$49*AD_tis!$BF28</f>
        <v>0</v>
      </c>
      <c r="H28" s="4">
        <f>+AD_tis!H28*AD_tis!H$49*AD_tis!$BF28</f>
        <v>0</v>
      </c>
      <c r="I28" s="4">
        <f>+AD_tis!I28*AD_tis!I$49*AD_tis!$BF28</f>
        <v>0</v>
      </c>
      <c r="J28" s="4">
        <f>+AD_tis!J28*AD_tis!J$49*AD_tis!$BF28</f>
        <v>0</v>
      </c>
      <c r="K28" s="4">
        <f>+AD_tis!K28*AD_tis!K$49*AD_tis!$BF28</f>
        <v>0</v>
      </c>
      <c r="L28" s="4">
        <f>+AD_tis!L28*AD_tis!L$49*AD_tis!$BF28</f>
        <v>0</v>
      </c>
      <c r="M28" s="4">
        <f>+AD_tis!M28*AD_tis!M$49*AD_tis!$BF28</f>
        <v>0</v>
      </c>
      <c r="N28" s="4">
        <f>+AD_tis!N28*AD_tis!N$49*AD_tis!$BF28</f>
        <v>0</v>
      </c>
      <c r="O28" s="4">
        <f>+AD_tis!O28*AD_tis!O$49*AD_tis!$BF28</f>
        <v>0</v>
      </c>
      <c r="P28" s="4">
        <f>+AD_tis!P28*AD_tis!P$49*AD_tis!$BF28</f>
        <v>0</v>
      </c>
      <c r="Q28" s="4">
        <f>+AD_tis!Q28*AD_tis!Q$49*AD_tis!$BF28</f>
        <v>0</v>
      </c>
      <c r="R28" s="13">
        <f>+AD_tis!R28*AD_tis!R$49*AD_tis!$BF28</f>
        <v>0</v>
      </c>
      <c r="S28" s="4">
        <f>+AD_tis!S28*AD_tis!S$49*AD_tis!$BF28</f>
        <v>0</v>
      </c>
      <c r="T28" s="4">
        <f>+AD_tis!T28*AD_tis!T$49*AD_tis!$BF28</f>
        <v>0</v>
      </c>
      <c r="U28" s="4">
        <f>+AD_tis!U28*AD_tis!U$49*AD_tis!$BF28</f>
        <v>1</v>
      </c>
      <c r="V28" s="4">
        <f>+AD_tis!V28*AD_tis!V$49*AD_tis!$BF28</f>
        <v>0</v>
      </c>
      <c r="W28" s="4">
        <f>+AD_tis!W28*AD_tis!W$49*AD_tis!$BF28</f>
        <v>0</v>
      </c>
      <c r="X28" s="4">
        <f>+AD_tis!X28*AD_tis!X$49*AD_tis!$BF28</f>
        <v>0</v>
      </c>
      <c r="Y28" s="4">
        <f>+AD_tis!Y28*AD_tis!Y$49*AD_tis!$BF28</f>
        <v>0</v>
      </c>
      <c r="Z28" s="4">
        <f>+AD_tis!Z28*AD_tis!Z$49*AD_tis!$BF28</f>
        <v>0</v>
      </c>
      <c r="AA28" s="4">
        <f>+AD_tis!AA28*AD_tis!AA$49*AD_tis!$BF28</f>
        <v>0</v>
      </c>
      <c r="AB28" s="4">
        <f>+AD_tis!AB28*AD_tis!AB$49*AD_tis!$BF28</f>
        <v>0</v>
      </c>
      <c r="AC28" s="12">
        <f>+AD_tis!AC28*AD_tis!AC$49*AD_tis!$BF28</f>
        <v>0</v>
      </c>
      <c r="AD28" s="4">
        <f>+AD_tis!AD28*AD_tis!AD$49*AD_tis!$BF28</f>
        <v>0</v>
      </c>
      <c r="AE28" s="4">
        <f>+AD_tis!AE28*AD_tis!AE$49*AD_tis!$BF28</f>
        <v>0</v>
      </c>
      <c r="AF28" s="4">
        <f>+AD_tis!AF28*AD_tis!AF$49*AD_tis!$BF28</f>
        <v>0</v>
      </c>
      <c r="AG28" s="4">
        <f>+AD_tis!AG28*AD_tis!AG$49*AD_tis!$BF28</f>
        <v>0</v>
      </c>
      <c r="AH28" s="4">
        <f>+AD_tis!AH28*AD_tis!AH$49*AD_tis!$BF28</f>
        <v>0</v>
      </c>
      <c r="AI28" s="4">
        <f>+AD_tis!AI28*AD_tis!AI$49*AD_tis!$BF28</f>
        <v>0</v>
      </c>
      <c r="AJ28" s="4">
        <f>+AD_tis!AJ28*AD_tis!AJ$49*AD_tis!$BF28</f>
        <v>0</v>
      </c>
      <c r="AK28" s="4">
        <f>+AD_tis!AK28*AD_tis!AK$49*AD_tis!$BF28</f>
        <v>0</v>
      </c>
      <c r="AL28" s="4">
        <f>+AD_tis!AL28*AD_tis!AL$49*AD_tis!$BF28</f>
        <v>0</v>
      </c>
      <c r="AM28" s="13">
        <f>+AD_tis!AM28*AD_tis!AM$49*AD_tis!$BF28</f>
        <v>0</v>
      </c>
      <c r="AN28" s="4">
        <f>+AD_tis!AN28*AD_tis!AN$49*AD_tis!$BF28</f>
        <v>0</v>
      </c>
      <c r="AO28" s="4">
        <f>+AD_tis!AO28*AD_tis!AO$49*AD_tis!$BF28</f>
        <v>0</v>
      </c>
      <c r="AP28" s="4">
        <f>+AD_tis!AP28*AD_tis!AP$49*AD_tis!$BF28</f>
        <v>0</v>
      </c>
      <c r="AQ28" s="4">
        <f>+AD_tis!AQ28*AD_tis!AQ$49*AD_tis!$BF28</f>
        <v>0</v>
      </c>
      <c r="AR28" s="4">
        <f>+AD_tis!AR28*AD_tis!AR$49*AD_tis!$BF28</f>
        <v>0</v>
      </c>
      <c r="AS28" s="4">
        <f>+AD_tis!AS28*AD_tis!AS$49*AD_tis!$BF28</f>
        <v>0</v>
      </c>
      <c r="AT28" s="4">
        <f>+AD_tis!AT28*AD_tis!AT$49*AD_tis!$BF28</f>
        <v>0</v>
      </c>
      <c r="AU28" s="4">
        <f>+AD_tis!AU28*AD_tis!AU$49*AD_tis!$BF28</f>
        <v>0</v>
      </c>
      <c r="AV28" s="4">
        <f>+AD_tis!AV28*AD_tis!AV$49*AD_tis!$BF28</f>
        <v>0</v>
      </c>
      <c r="AW28" s="12">
        <f>+AD_tis!AW28*AD_tis!AW$49*AD_tis!$BF28</f>
        <v>0</v>
      </c>
      <c r="AX28" s="13">
        <f>+AD_tis!AX28*AD_tis!AX$49*AD_tis!$BF28</f>
        <v>0</v>
      </c>
      <c r="AY28" s="4">
        <f>+AD_tis!AY28*AD_tis!AY$49*AD_tis!$BF28</f>
        <v>0</v>
      </c>
      <c r="AZ28" s="4">
        <f>+AD_tis!AZ28*AD_tis!AZ$49*AD_tis!$BF28</f>
        <v>0</v>
      </c>
      <c r="BA28" s="12">
        <f>+AD_tis!BA28*AD_tis!BA$49*AD_tis!$BF28</f>
        <v>0</v>
      </c>
      <c r="BB28" s="4">
        <f>+AD_tis!BB28*AD_tis!BB$49*AD_tis!$BF28</f>
        <v>0</v>
      </c>
      <c r="BC28" s="13">
        <f>+AD_tis!BC28*AD_tis!BC$49*AD_tis!$BF28</f>
        <v>0</v>
      </c>
    </row>
    <row r="29" spans="1:55" ht="18.75" customHeight="1" x14ac:dyDescent="0.25">
      <c r="A29" s="5" t="s">
        <v>80</v>
      </c>
      <c r="B29" s="12">
        <f>+AD_tis!B29*AD_tis!B$49*AD_tis!$BF29</f>
        <v>0</v>
      </c>
      <c r="C29" s="4">
        <f>+AD_tis!C29*AD_tis!C$49*AD_tis!$BF29</f>
        <v>0</v>
      </c>
      <c r="D29" s="4">
        <f>+AD_tis!D29*AD_tis!D$49*AD_tis!$BF29</f>
        <v>0</v>
      </c>
      <c r="E29" s="4">
        <f>+AD_tis!E29*AD_tis!E$49*AD_tis!$BF29</f>
        <v>0</v>
      </c>
      <c r="F29" s="4">
        <f>+AD_tis!F29*AD_tis!F$49*AD_tis!$BF29</f>
        <v>0</v>
      </c>
      <c r="G29" s="4">
        <f>+AD_tis!G29*AD_tis!G$49*AD_tis!$BF29</f>
        <v>1</v>
      </c>
      <c r="H29" s="4">
        <f>+AD_tis!H29*AD_tis!H$49*AD_tis!$BF29</f>
        <v>0</v>
      </c>
      <c r="I29" s="4">
        <f>+AD_tis!I29*AD_tis!I$49*AD_tis!$BF29</f>
        <v>0</v>
      </c>
      <c r="J29" s="4">
        <f>+AD_tis!J29*AD_tis!J$49*AD_tis!$BF29</f>
        <v>0</v>
      </c>
      <c r="K29" s="4">
        <f>+AD_tis!K29*AD_tis!K$49*AD_tis!$BF29</f>
        <v>0</v>
      </c>
      <c r="L29" s="4">
        <f>+AD_tis!L29*AD_tis!L$49*AD_tis!$BF29</f>
        <v>0</v>
      </c>
      <c r="M29" s="4">
        <f>+AD_tis!M29*AD_tis!M$49*AD_tis!$BF29</f>
        <v>0</v>
      </c>
      <c r="N29" s="4">
        <f>+AD_tis!N29*AD_tis!N$49*AD_tis!$BF29</f>
        <v>0</v>
      </c>
      <c r="O29" s="4">
        <f>+AD_tis!O29*AD_tis!O$49*AD_tis!$BF29</f>
        <v>0</v>
      </c>
      <c r="P29" s="4">
        <f>+AD_tis!P29*AD_tis!P$49*AD_tis!$BF29</f>
        <v>0</v>
      </c>
      <c r="Q29" s="4">
        <f>+AD_tis!Q29*AD_tis!Q$49*AD_tis!$BF29</f>
        <v>0</v>
      </c>
      <c r="R29" s="13">
        <f>+AD_tis!R29*AD_tis!R$49*AD_tis!$BF29</f>
        <v>0</v>
      </c>
      <c r="S29" s="4">
        <f>+AD_tis!S29*AD_tis!S$49*AD_tis!$BF29</f>
        <v>0</v>
      </c>
      <c r="T29" s="4">
        <f>+AD_tis!T29*AD_tis!T$49*AD_tis!$BF29</f>
        <v>0</v>
      </c>
      <c r="U29" s="4">
        <f>+AD_tis!U29*AD_tis!U$49*AD_tis!$BF29</f>
        <v>0</v>
      </c>
      <c r="V29" s="4">
        <f>+AD_tis!V29*AD_tis!V$49*AD_tis!$BF29</f>
        <v>0</v>
      </c>
      <c r="W29" s="4">
        <f>+AD_tis!W29*AD_tis!W$49*AD_tis!$BF29</f>
        <v>0</v>
      </c>
      <c r="X29" s="4">
        <f>+AD_tis!X29*AD_tis!X$49*AD_tis!$BF29</f>
        <v>0</v>
      </c>
      <c r="Y29" s="4">
        <f>+AD_tis!Y29*AD_tis!Y$49*AD_tis!$BF29</f>
        <v>0</v>
      </c>
      <c r="Z29" s="4">
        <f>+AD_tis!Z29*AD_tis!Z$49*AD_tis!$BF29</f>
        <v>0</v>
      </c>
      <c r="AA29" s="4">
        <f>+AD_tis!AA29*AD_tis!AA$49*AD_tis!$BF29</f>
        <v>0</v>
      </c>
      <c r="AB29" s="4">
        <f>+AD_tis!AB29*AD_tis!AB$49*AD_tis!$BF29</f>
        <v>0</v>
      </c>
      <c r="AC29" s="12">
        <f>+AD_tis!AC29*AD_tis!AC$49*AD_tis!$BF29</f>
        <v>0</v>
      </c>
      <c r="AD29" s="4">
        <f>+AD_tis!AD29*AD_tis!AD$49*AD_tis!$BF29</f>
        <v>0</v>
      </c>
      <c r="AE29" s="4">
        <f>+AD_tis!AE29*AD_tis!AE$49*AD_tis!$BF29</f>
        <v>0</v>
      </c>
      <c r="AF29" s="4">
        <f>+AD_tis!AF29*AD_tis!AF$49*AD_tis!$BF29</f>
        <v>0</v>
      </c>
      <c r="AG29" s="4">
        <f>+AD_tis!AG29*AD_tis!AG$49*AD_tis!$BF29</f>
        <v>0</v>
      </c>
      <c r="AH29" s="4">
        <f>+AD_tis!AH29*AD_tis!AH$49*AD_tis!$BF29</f>
        <v>0</v>
      </c>
      <c r="AI29" s="4">
        <f>+AD_tis!AI29*AD_tis!AI$49*AD_tis!$BF29</f>
        <v>0</v>
      </c>
      <c r="AJ29" s="4">
        <f>+AD_tis!AJ29*AD_tis!AJ$49*AD_tis!$BF29</f>
        <v>0</v>
      </c>
      <c r="AK29" s="4">
        <f>+AD_tis!AK29*AD_tis!AK$49*AD_tis!$BF29</f>
        <v>0</v>
      </c>
      <c r="AL29" s="4">
        <f>+AD_tis!AL29*AD_tis!AL$49*AD_tis!$BF29</f>
        <v>0</v>
      </c>
      <c r="AM29" s="13">
        <f>+AD_tis!AM29*AD_tis!AM$49*AD_tis!$BF29</f>
        <v>0</v>
      </c>
      <c r="AN29" s="4">
        <f>+AD_tis!AN29*AD_tis!AN$49*AD_tis!$BF29</f>
        <v>0</v>
      </c>
      <c r="AO29" s="4">
        <f>+AD_tis!AO29*AD_tis!AO$49*AD_tis!$BF29</f>
        <v>0</v>
      </c>
      <c r="AP29" s="4">
        <f>+AD_tis!AP29*AD_tis!AP$49*AD_tis!$BF29</f>
        <v>0</v>
      </c>
      <c r="AQ29" s="4">
        <f>+AD_tis!AQ29*AD_tis!AQ$49*AD_tis!$BF29</f>
        <v>0</v>
      </c>
      <c r="AR29" s="4">
        <f>+AD_tis!AR29*AD_tis!AR$49*AD_tis!$BF29</f>
        <v>0</v>
      </c>
      <c r="AS29" s="4">
        <f>+AD_tis!AS29*AD_tis!AS$49*AD_tis!$BF29</f>
        <v>0</v>
      </c>
      <c r="AT29" s="4">
        <f>+AD_tis!AT29*AD_tis!AT$49*AD_tis!$BF29</f>
        <v>0</v>
      </c>
      <c r="AU29" s="4">
        <f>+AD_tis!AU29*AD_tis!AU$49*AD_tis!$BF29</f>
        <v>0</v>
      </c>
      <c r="AV29" s="4">
        <f>+AD_tis!AV29*AD_tis!AV$49*AD_tis!$BF29</f>
        <v>0</v>
      </c>
      <c r="AW29" s="12">
        <f>+AD_tis!AW29*AD_tis!AW$49*AD_tis!$BF29</f>
        <v>0</v>
      </c>
      <c r="AX29" s="13">
        <f>+AD_tis!AX29*AD_tis!AX$49*AD_tis!$BF29</f>
        <v>0</v>
      </c>
      <c r="AY29" s="4">
        <f>+AD_tis!AY29*AD_tis!AY$49*AD_tis!$BF29</f>
        <v>0</v>
      </c>
      <c r="AZ29" s="4">
        <f>+AD_tis!AZ29*AD_tis!AZ$49*AD_tis!$BF29</f>
        <v>0</v>
      </c>
      <c r="BA29" s="12">
        <f>+AD_tis!BA29*AD_tis!BA$49*AD_tis!$BF29</f>
        <v>0</v>
      </c>
      <c r="BB29" s="4">
        <f>+AD_tis!BB29*AD_tis!BB$49*AD_tis!$BF29</f>
        <v>0</v>
      </c>
      <c r="BC29" s="13">
        <f>+AD_tis!BC29*AD_tis!BC$49*AD_tis!$BF29</f>
        <v>0</v>
      </c>
    </row>
    <row r="30" spans="1:55" ht="18.75" customHeight="1" x14ac:dyDescent="0.25">
      <c r="A30" s="5" t="s">
        <v>81</v>
      </c>
      <c r="B30" s="12">
        <f>+AD_tis!B30*AD_tis!B$49*AD_tis!$BF30</f>
        <v>0</v>
      </c>
      <c r="C30" s="4">
        <f>+AD_tis!C30*AD_tis!C$49*AD_tis!$BF30</f>
        <v>0</v>
      </c>
      <c r="D30" s="4">
        <f>+AD_tis!D30*AD_tis!D$49*AD_tis!$BF30</f>
        <v>0</v>
      </c>
      <c r="E30" s="4">
        <f>+AD_tis!E30*AD_tis!E$49*AD_tis!$BF30</f>
        <v>0</v>
      </c>
      <c r="F30" s="4">
        <f>+AD_tis!F30*AD_tis!F$49*AD_tis!$BF30</f>
        <v>0</v>
      </c>
      <c r="G30" s="4">
        <f>+AD_tis!G30*AD_tis!G$49*AD_tis!$BF30</f>
        <v>0</v>
      </c>
      <c r="H30" s="4">
        <f>+AD_tis!H30*AD_tis!H$49*AD_tis!$BF30</f>
        <v>0</v>
      </c>
      <c r="I30" s="4">
        <f>+AD_tis!I30*AD_tis!I$49*AD_tis!$BF30</f>
        <v>0</v>
      </c>
      <c r="J30" s="4">
        <f>+AD_tis!J30*AD_tis!J$49*AD_tis!$BF30</f>
        <v>0</v>
      </c>
      <c r="K30" s="4">
        <f>+AD_tis!K30*AD_tis!K$49*AD_tis!$BF30</f>
        <v>0</v>
      </c>
      <c r="L30" s="4">
        <f>+AD_tis!L30*AD_tis!L$49*AD_tis!$BF30</f>
        <v>0</v>
      </c>
      <c r="M30" s="4">
        <f>+AD_tis!M30*AD_tis!M$49*AD_tis!$BF30</f>
        <v>0</v>
      </c>
      <c r="N30" s="4">
        <f>+AD_tis!N30*AD_tis!N$49*AD_tis!$BF30</f>
        <v>0</v>
      </c>
      <c r="O30" s="4">
        <f>+AD_tis!O30*AD_tis!O$49*AD_tis!$BF30</f>
        <v>0</v>
      </c>
      <c r="P30" s="4">
        <f>+AD_tis!P30*AD_tis!P$49*AD_tis!$BF30</f>
        <v>0</v>
      </c>
      <c r="Q30" s="4">
        <f>+AD_tis!Q30*AD_tis!Q$49*AD_tis!$BF30</f>
        <v>0</v>
      </c>
      <c r="R30" s="13">
        <f>+AD_tis!R30*AD_tis!R$49*AD_tis!$BF30</f>
        <v>0</v>
      </c>
      <c r="S30" s="4">
        <f>+AD_tis!S30*AD_tis!S$49*AD_tis!$BF30</f>
        <v>0</v>
      </c>
      <c r="T30" s="4">
        <f>+AD_tis!T30*AD_tis!T$49*AD_tis!$BF30</f>
        <v>0</v>
      </c>
      <c r="U30" s="4">
        <f>+AD_tis!U30*AD_tis!U$49*AD_tis!$BF30</f>
        <v>0</v>
      </c>
      <c r="V30" s="4">
        <f>+AD_tis!V30*AD_tis!V$49*AD_tis!$BF30</f>
        <v>0</v>
      </c>
      <c r="W30" s="4">
        <f>+AD_tis!W30*AD_tis!W$49*AD_tis!$BF30</f>
        <v>0</v>
      </c>
      <c r="X30" s="4">
        <f>+AD_tis!X30*AD_tis!X$49*AD_tis!$BF30</f>
        <v>0</v>
      </c>
      <c r="Y30" s="4">
        <f>+AD_tis!Y30*AD_tis!Y$49*AD_tis!$BF30</f>
        <v>0</v>
      </c>
      <c r="Z30" s="4">
        <f>+AD_tis!Z30*AD_tis!Z$49*AD_tis!$BF30</f>
        <v>0</v>
      </c>
      <c r="AA30" s="4">
        <f>+AD_tis!AA30*AD_tis!AA$49*AD_tis!$BF30</f>
        <v>0</v>
      </c>
      <c r="AB30" s="4">
        <f>+AD_tis!AB30*AD_tis!AB$49*AD_tis!$BF30</f>
        <v>0</v>
      </c>
      <c r="AC30" s="12">
        <f>+AD_tis!AC30*AD_tis!AC$49*AD_tis!$BF30</f>
        <v>0</v>
      </c>
      <c r="AD30" s="4">
        <f>+AD_tis!AD30*AD_tis!AD$49*AD_tis!$BF30</f>
        <v>0</v>
      </c>
      <c r="AE30" s="4">
        <f>+AD_tis!AE30*AD_tis!AE$49*AD_tis!$BF30</f>
        <v>0</v>
      </c>
      <c r="AF30" s="4">
        <f>+AD_tis!AF30*AD_tis!AF$49*AD_tis!$BF30</f>
        <v>0</v>
      </c>
      <c r="AG30" s="4">
        <f>+AD_tis!AG30*AD_tis!AG$49*AD_tis!$BF30</f>
        <v>0</v>
      </c>
      <c r="AH30" s="4">
        <f>+AD_tis!AH30*AD_tis!AH$49*AD_tis!$BF30</f>
        <v>0</v>
      </c>
      <c r="AI30" s="4">
        <f>+AD_tis!AI30*AD_tis!AI$49*AD_tis!$BF30</f>
        <v>0</v>
      </c>
      <c r="AJ30" s="4">
        <f>+AD_tis!AJ30*AD_tis!AJ$49*AD_tis!$BF30</f>
        <v>0</v>
      </c>
      <c r="AK30" s="4">
        <f>+AD_tis!AK30*AD_tis!AK$49*AD_tis!$BF30</f>
        <v>0</v>
      </c>
      <c r="AL30" s="4">
        <f>+AD_tis!AL30*AD_tis!AL$49*AD_tis!$BF30</f>
        <v>0</v>
      </c>
      <c r="AM30" s="13">
        <f>+AD_tis!AM30*AD_tis!AM$49*AD_tis!$BF30</f>
        <v>0</v>
      </c>
      <c r="AN30" s="4">
        <f>+AD_tis!AN30*AD_tis!AN$49*AD_tis!$BF30</f>
        <v>0</v>
      </c>
      <c r="AO30" s="4">
        <f>+AD_tis!AO30*AD_tis!AO$49*AD_tis!$BF30</f>
        <v>0</v>
      </c>
      <c r="AP30" s="4">
        <f>+AD_tis!AP30*AD_tis!AP$49*AD_tis!$BF30</f>
        <v>0</v>
      </c>
      <c r="AQ30" s="4">
        <f>+AD_tis!AQ30*AD_tis!AQ$49*AD_tis!$BF30</f>
        <v>0</v>
      </c>
      <c r="AR30" s="4">
        <f>+AD_tis!AR30*AD_tis!AR$49*AD_tis!$BF30</f>
        <v>0</v>
      </c>
      <c r="AS30" s="4">
        <f>+AD_tis!AS30*AD_tis!AS$49*AD_tis!$BF30</f>
        <v>0</v>
      </c>
      <c r="AT30" s="4">
        <f>+AD_tis!AT30*AD_tis!AT$49*AD_tis!$BF30</f>
        <v>0</v>
      </c>
      <c r="AU30" s="4">
        <f>+AD_tis!AU30*AD_tis!AU$49*AD_tis!$BF30</f>
        <v>0</v>
      </c>
      <c r="AV30" s="4">
        <f>+AD_tis!AV30*AD_tis!AV$49*AD_tis!$BF30</f>
        <v>0</v>
      </c>
      <c r="AW30" s="12">
        <f>+AD_tis!AW30*AD_tis!AW$49*AD_tis!$BF30</f>
        <v>0</v>
      </c>
      <c r="AX30" s="13">
        <f>+AD_tis!AX30*AD_tis!AX$49*AD_tis!$BF30</f>
        <v>0</v>
      </c>
      <c r="AY30" s="4">
        <f>+AD_tis!AY30*AD_tis!AY$49*AD_tis!$BF30</f>
        <v>0</v>
      </c>
      <c r="AZ30" s="4">
        <f>+AD_tis!AZ30*AD_tis!AZ$49*AD_tis!$BF30</f>
        <v>0</v>
      </c>
      <c r="BA30" s="12">
        <f>+AD_tis!BA30*AD_tis!BA$49*AD_tis!$BF30</f>
        <v>0</v>
      </c>
      <c r="BB30" s="4">
        <f>+AD_tis!BB30*AD_tis!BB$49*AD_tis!$BF30</f>
        <v>0</v>
      </c>
      <c r="BC30" s="13">
        <f>+AD_tis!BC30*AD_tis!BC$49*AD_tis!$BF30</f>
        <v>0</v>
      </c>
    </row>
    <row r="31" spans="1:55" ht="18.75" customHeight="1" x14ac:dyDescent="0.25">
      <c r="A31" s="5" t="s">
        <v>82</v>
      </c>
      <c r="B31" s="12">
        <f>+AD_tis!B31*AD_tis!B$49*AD_tis!$BF31</f>
        <v>0</v>
      </c>
      <c r="C31" s="4">
        <f>+AD_tis!C31*AD_tis!C$49*AD_tis!$BF31</f>
        <v>0</v>
      </c>
      <c r="D31" s="4">
        <f>+AD_tis!D31*AD_tis!D$49*AD_tis!$BF31</f>
        <v>0</v>
      </c>
      <c r="E31" s="4">
        <f>+AD_tis!E31*AD_tis!E$49*AD_tis!$BF31</f>
        <v>0</v>
      </c>
      <c r="F31" s="4">
        <f>+AD_tis!F31*AD_tis!F$49*AD_tis!$BF31</f>
        <v>0</v>
      </c>
      <c r="G31" s="4">
        <f>+AD_tis!G31*AD_tis!G$49*AD_tis!$BF31</f>
        <v>0</v>
      </c>
      <c r="H31" s="4">
        <f>+AD_tis!H31*AD_tis!H$49*AD_tis!$BF31</f>
        <v>0</v>
      </c>
      <c r="I31" s="4">
        <f>+AD_tis!I31*AD_tis!I$49*AD_tis!$BF31</f>
        <v>0</v>
      </c>
      <c r="J31" s="4">
        <f>+AD_tis!J31*AD_tis!J$49*AD_tis!$BF31</f>
        <v>0</v>
      </c>
      <c r="K31" s="4">
        <f>+AD_tis!K31*AD_tis!K$49*AD_tis!$BF31</f>
        <v>0</v>
      </c>
      <c r="L31" s="4">
        <f>+AD_tis!L31*AD_tis!L$49*AD_tis!$BF31</f>
        <v>0</v>
      </c>
      <c r="M31" s="4">
        <f>+AD_tis!M31*AD_tis!M$49*AD_tis!$BF31</f>
        <v>0</v>
      </c>
      <c r="N31" s="4">
        <f>+AD_tis!N31*AD_tis!N$49*AD_tis!$BF31</f>
        <v>0</v>
      </c>
      <c r="O31" s="4">
        <f>+AD_tis!O31*AD_tis!O$49*AD_tis!$BF31</f>
        <v>0</v>
      </c>
      <c r="P31" s="4">
        <f>+AD_tis!P31*AD_tis!P$49*AD_tis!$BF31</f>
        <v>0</v>
      </c>
      <c r="Q31" s="4">
        <f>+AD_tis!Q31*AD_tis!Q$49*AD_tis!$BF31</f>
        <v>0</v>
      </c>
      <c r="R31" s="13">
        <f>+AD_tis!R31*AD_tis!R$49*AD_tis!$BF31</f>
        <v>0</v>
      </c>
      <c r="S31" s="4">
        <f>+AD_tis!S31*AD_tis!S$49*AD_tis!$BF31</f>
        <v>0</v>
      </c>
      <c r="T31" s="4">
        <f>+AD_tis!T31*AD_tis!T$49*AD_tis!$BF31</f>
        <v>0</v>
      </c>
      <c r="U31" s="4">
        <f>+AD_tis!U31*AD_tis!U$49*AD_tis!$BF31</f>
        <v>0</v>
      </c>
      <c r="V31" s="4">
        <f>+AD_tis!V31*AD_tis!V$49*AD_tis!$BF31</f>
        <v>0</v>
      </c>
      <c r="W31" s="4">
        <f>+AD_tis!W31*AD_tis!W$49*AD_tis!$BF31</f>
        <v>0</v>
      </c>
      <c r="X31" s="4">
        <f>+AD_tis!X31*AD_tis!X$49*AD_tis!$BF31</f>
        <v>0</v>
      </c>
      <c r="Y31" s="4">
        <f>+AD_tis!Y31*AD_tis!Y$49*AD_tis!$BF31</f>
        <v>0</v>
      </c>
      <c r="Z31" s="4">
        <f>+AD_tis!Z31*AD_tis!Z$49*AD_tis!$BF31</f>
        <v>0</v>
      </c>
      <c r="AA31" s="4">
        <f>+AD_tis!AA31*AD_tis!AA$49*AD_tis!$BF31</f>
        <v>0</v>
      </c>
      <c r="AB31" s="4">
        <f>+AD_tis!AB31*AD_tis!AB$49*AD_tis!$BF31</f>
        <v>0</v>
      </c>
      <c r="AC31" s="12">
        <f>+AD_tis!AC31*AD_tis!AC$49*AD_tis!$BF31</f>
        <v>0</v>
      </c>
      <c r="AD31" s="4">
        <f>+AD_tis!AD31*AD_tis!AD$49*AD_tis!$BF31</f>
        <v>0</v>
      </c>
      <c r="AE31" s="4">
        <f>+AD_tis!AE31*AD_tis!AE$49*AD_tis!$BF31</f>
        <v>0</v>
      </c>
      <c r="AF31" s="4">
        <f>+AD_tis!AF31*AD_tis!AF$49*AD_tis!$BF31</f>
        <v>0</v>
      </c>
      <c r="AG31" s="4">
        <f>+AD_tis!AG31*AD_tis!AG$49*AD_tis!$BF31</f>
        <v>0</v>
      </c>
      <c r="AH31" s="4">
        <f>+AD_tis!AH31*AD_tis!AH$49*AD_tis!$BF31</f>
        <v>0</v>
      </c>
      <c r="AI31" s="4">
        <f>+AD_tis!AI31*AD_tis!AI$49*AD_tis!$BF31</f>
        <v>0</v>
      </c>
      <c r="AJ31" s="4">
        <f>+AD_tis!AJ31*AD_tis!AJ$49*AD_tis!$BF31</f>
        <v>0</v>
      </c>
      <c r="AK31" s="4">
        <f>+AD_tis!AK31*AD_tis!AK$49*AD_tis!$BF31</f>
        <v>0</v>
      </c>
      <c r="AL31" s="4">
        <f>+AD_tis!AL31*AD_tis!AL$49*AD_tis!$BF31</f>
        <v>0</v>
      </c>
      <c r="AM31" s="13">
        <f>+AD_tis!AM31*AD_tis!AM$49*AD_tis!$BF31</f>
        <v>0</v>
      </c>
      <c r="AN31" s="4">
        <f>+AD_tis!AN31*AD_tis!AN$49*AD_tis!$BF31</f>
        <v>0</v>
      </c>
      <c r="AO31" s="4">
        <f>+AD_tis!AO31*AD_tis!AO$49*AD_tis!$BF31</f>
        <v>0</v>
      </c>
      <c r="AP31" s="4">
        <f>+AD_tis!AP31*AD_tis!AP$49*AD_tis!$BF31</f>
        <v>0</v>
      </c>
      <c r="AQ31" s="4">
        <f>+AD_tis!AQ31*AD_tis!AQ$49*AD_tis!$BF31</f>
        <v>0</v>
      </c>
      <c r="AR31" s="4">
        <f>+AD_tis!AR31*AD_tis!AR$49*AD_tis!$BF31</f>
        <v>0</v>
      </c>
      <c r="AS31" s="4">
        <f>+AD_tis!AS31*AD_tis!AS$49*AD_tis!$BF31</f>
        <v>0</v>
      </c>
      <c r="AT31" s="4">
        <f>+AD_tis!AT31*AD_tis!AT$49*AD_tis!$BF31</f>
        <v>0</v>
      </c>
      <c r="AU31" s="4">
        <f>+AD_tis!AU31*AD_tis!AU$49*AD_tis!$BF31</f>
        <v>0</v>
      </c>
      <c r="AV31" s="4">
        <f>+AD_tis!AV31*AD_tis!AV$49*AD_tis!$BF31</f>
        <v>0</v>
      </c>
      <c r="AW31" s="12">
        <f>+AD_tis!AW31*AD_tis!AW$49*AD_tis!$BF31</f>
        <v>0</v>
      </c>
      <c r="AX31" s="13">
        <f>+AD_tis!AX31*AD_tis!AX$49*AD_tis!$BF31</f>
        <v>0</v>
      </c>
      <c r="AY31" s="4">
        <f>+AD_tis!AY31*AD_tis!AY$49*AD_tis!$BF31</f>
        <v>0</v>
      </c>
      <c r="AZ31" s="4">
        <f>+AD_tis!AZ31*AD_tis!AZ$49*AD_tis!$BF31</f>
        <v>0</v>
      </c>
      <c r="BA31" s="12">
        <f>+AD_tis!BA31*AD_tis!BA$49*AD_tis!$BF31</f>
        <v>0</v>
      </c>
      <c r="BB31" s="4">
        <f>+AD_tis!BB31*AD_tis!BB$49*AD_tis!$BF31</f>
        <v>0</v>
      </c>
      <c r="BC31" s="13">
        <f>+AD_tis!BC31*AD_tis!BC$49*AD_tis!$BF31</f>
        <v>0</v>
      </c>
    </row>
    <row r="32" spans="1:55" ht="18.75" customHeight="1" x14ac:dyDescent="0.25">
      <c r="A32" s="5" t="s">
        <v>83</v>
      </c>
      <c r="B32" s="12">
        <f>+AD_tis!B32*AD_tis!B$49*AD_tis!$BF32</f>
        <v>0</v>
      </c>
      <c r="C32" s="4">
        <f>+AD_tis!C32*AD_tis!C$49*AD_tis!$BF32</f>
        <v>0</v>
      </c>
      <c r="D32" s="4">
        <f>+AD_tis!D32*AD_tis!D$49*AD_tis!$BF32</f>
        <v>0</v>
      </c>
      <c r="E32" s="4">
        <f>+AD_tis!E32*AD_tis!E$49*AD_tis!$BF32</f>
        <v>0</v>
      </c>
      <c r="F32" s="4">
        <f>+AD_tis!F32*AD_tis!F$49*AD_tis!$BF32</f>
        <v>0</v>
      </c>
      <c r="G32" s="4">
        <f>+AD_tis!G32*AD_tis!G$49*AD_tis!$BF32</f>
        <v>0</v>
      </c>
      <c r="H32" s="4">
        <f>+AD_tis!H32*AD_tis!H$49*AD_tis!$BF32</f>
        <v>0</v>
      </c>
      <c r="I32" s="4">
        <f>+AD_tis!I32*AD_tis!I$49*AD_tis!$BF32</f>
        <v>0</v>
      </c>
      <c r="J32" s="4">
        <f>+AD_tis!J32*AD_tis!J$49*AD_tis!$BF32</f>
        <v>0</v>
      </c>
      <c r="K32" s="4">
        <f>+AD_tis!K32*AD_tis!K$49*AD_tis!$BF32</f>
        <v>0</v>
      </c>
      <c r="L32" s="4">
        <f>+AD_tis!L32*AD_tis!L$49*AD_tis!$BF32</f>
        <v>0</v>
      </c>
      <c r="M32" s="4">
        <f>+AD_tis!M32*AD_tis!M$49*AD_tis!$BF32</f>
        <v>0</v>
      </c>
      <c r="N32" s="4">
        <f>+AD_tis!N32*AD_tis!N$49*AD_tis!$BF32</f>
        <v>0</v>
      </c>
      <c r="O32" s="4">
        <f>+AD_tis!O32*AD_tis!O$49*AD_tis!$BF32</f>
        <v>0</v>
      </c>
      <c r="P32" s="4">
        <f>+AD_tis!P32*AD_tis!P$49*AD_tis!$BF32</f>
        <v>0</v>
      </c>
      <c r="Q32" s="4">
        <f>+AD_tis!Q32*AD_tis!Q$49*AD_tis!$BF32</f>
        <v>0</v>
      </c>
      <c r="R32" s="13">
        <f>+AD_tis!R32*AD_tis!R$49*AD_tis!$BF32</f>
        <v>0</v>
      </c>
      <c r="S32" s="4">
        <f>+AD_tis!S32*AD_tis!S$49*AD_tis!$BF32</f>
        <v>0</v>
      </c>
      <c r="T32" s="4">
        <f>+AD_tis!T32*AD_tis!T$49*AD_tis!$BF32</f>
        <v>0</v>
      </c>
      <c r="U32" s="4">
        <f>+AD_tis!U32*AD_tis!U$49*AD_tis!$BF32</f>
        <v>0</v>
      </c>
      <c r="V32" s="4">
        <f>+AD_tis!V32*AD_tis!V$49*AD_tis!$BF32</f>
        <v>0</v>
      </c>
      <c r="W32" s="4">
        <f>+AD_tis!W32*AD_tis!W$49*AD_tis!$BF32</f>
        <v>0</v>
      </c>
      <c r="X32" s="4">
        <f>+AD_tis!X32*AD_tis!X$49*AD_tis!$BF32</f>
        <v>0</v>
      </c>
      <c r="Y32" s="4">
        <f>+AD_tis!Y32*AD_tis!Y$49*AD_tis!$BF32</f>
        <v>0</v>
      </c>
      <c r="Z32" s="4">
        <f>+AD_tis!Z32*AD_tis!Z$49*AD_tis!$BF32</f>
        <v>0</v>
      </c>
      <c r="AA32" s="4">
        <f>+AD_tis!AA32*AD_tis!AA$49*AD_tis!$BF32</f>
        <v>0</v>
      </c>
      <c r="AB32" s="4">
        <f>+AD_tis!AB32*AD_tis!AB$49*AD_tis!$BF32</f>
        <v>0</v>
      </c>
      <c r="AC32" s="12">
        <f>+AD_tis!AC32*AD_tis!AC$49*AD_tis!$BF32</f>
        <v>0</v>
      </c>
      <c r="AD32" s="4">
        <f>+AD_tis!AD32*AD_tis!AD$49*AD_tis!$BF32</f>
        <v>0</v>
      </c>
      <c r="AE32" s="4">
        <f>+AD_tis!AE32*AD_tis!AE$49*AD_tis!$BF32</f>
        <v>0</v>
      </c>
      <c r="AF32" s="4">
        <f>+AD_tis!AF32*AD_tis!AF$49*AD_tis!$BF32</f>
        <v>0</v>
      </c>
      <c r="AG32" s="4">
        <f>+AD_tis!AG32*AD_tis!AG$49*AD_tis!$BF32</f>
        <v>0</v>
      </c>
      <c r="AH32" s="4">
        <f>+AD_tis!AH32*AD_tis!AH$49*AD_tis!$BF32</f>
        <v>0</v>
      </c>
      <c r="AI32" s="4">
        <f>+AD_tis!AI32*AD_tis!AI$49*AD_tis!$BF32</f>
        <v>0</v>
      </c>
      <c r="AJ32" s="4">
        <f>+AD_tis!AJ32*AD_tis!AJ$49*AD_tis!$BF32</f>
        <v>0</v>
      </c>
      <c r="AK32" s="4">
        <f>+AD_tis!AK32*AD_tis!AK$49*AD_tis!$BF32</f>
        <v>0</v>
      </c>
      <c r="AL32" s="4">
        <f>+AD_tis!AL32*AD_tis!AL$49*AD_tis!$BF32</f>
        <v>0</v>
      </c>
      <c r="AM32" s="13">
        <f>+AD_tis!AM32*AD_tis!AM$49*AD_tis!$BF32</f>
        <v>0</v>
      </c>
      <c r="AN32" s="4">
        <f>+AD_tis!AN32*AD_tis!AN$49*AD_tis!$BF32</f>
        <v>0</v>
      </c>
      <c r="AO32" s="4">
        <f>+AD_tis!AO32*AD_tis!AO$49*AD_tis!$BF32</f>
        <v>0</v>
      </c>
      <c r="AP32" s="4">
        <f>+AD_tis!AP32*AD_tis!AP$49*AD_tis!$BF32</f>
        <v>0</v>
      </c>
      <c r="AQ32" s="4">
        <f>+AD_tis!AQ32*AD_tis!AQ$49*AD_tis!$BF32</f>
        <v>0</v>
      </c>
      <c r="AR32" s="4">
        <f>+AD_tis!AR32*AD_tis!AR$49*AD_tis!$BF32</f>
        <v>0</v>
      </c>
      <c r="AS32" s="4">
        <f>+AD_tis!AS32*AD_tis!AS$49*AD_tis!$BF32</f>
        <v>0</v>
      </c>
      <c r="AT32" s="4">
        <f>+AD_tis!AT32*AD_tis!AT$49*AD_tis!$BF32</f>
        <v>0</v>
      </c>
      <c r="AU32" s="4">
        <f>+AD_tis!AU32*AD_tis!AU$49*AD_tis!$BF32</f>
        <v>0</v>
      </c>
      <c r="AV32" s="4">
        <f>+AD_tis!AV32*AD_tis!AV$49*AD_tis!$BF32</f>
        <v>0</v>
      </c>
      <c r="AW32" s="12">
        <f>+AD_tis!AW32*AD_tis!AW$49*AD_tis!$BF32</f>
        <v>0</v>
      </c>
      <c r="AX32" s="13">
        <f>+AD_tis!AX32*AD_tis!AX$49*AD_tis!$BF32</f>
        <v>0</v>
      </c>
      <c r="AY32" s="4">
        <f>+AD_tis!AY32*AD_tis!AY$49*AD_tis!$BF32</f>
        <v>0</v>
      </c>
      <c r="AZ32" s="4">
        <f>+AD_tis!AZ32*AD_tis!AZ$49*AD_tis!$BF32</f>
        <v>0</v>
      </c>
      <c r="BA32" s="12">
        <f>+AD_tis!BA32*AD_tis!BA$49*AD_tis!$BF32</f>
        <v>0</v>
      </c>
      <c r="BB32" s="4">
        <f>+AD_tis!BB32*AD_tis!BB$49*AD_tis!$BF32</f>
        <v>0</v>
      </c>
      <c r="BC32" s="13">
        <f>+AD_tis!BC32*AD_tis!BC$49*AD_tis!$BF32</f>
        <v>0</v>
      </c>
    </row>
    <row r="33" spans="1:55" ht="18.75" customHeight="1" x14ac:dyDescent="0.25">
      <c r="A33" s="5" t="s">
        <v>84</v>
      </c>
      <c r="B33" s="12">
        <f>+AD_tis!B33*AD_tis!B$49*AD_tis!$BF33</f>
        <v>0</v>
      </c>
      <c r="C33" s="4">
        <f>+AD_tis!C33*AD_tis!C$49*AD_tis!$BF33</f>
        <v>0</v>
      </c>
      <c r="D33" s="4">
        <f>+AD_tis!D33*AD_tis!D$49*AD_tis!$BF33</f>
        <v>0</v>
      </c>
      <c r="E33" s="4">
        <f>+AD_tis!E33*AD_tis!E$49*AD_tis!$BF33</f>
        <v>0</v>
      </c>
      <c r="F33" s="4">
        <f>+AD_tis!F33*AD_tis!F$49*AD_tis!$BF33</f>
        <v>0</v>
      </c>
      <c r="G33" s="4">
        <f>+AD_tis!G33*AD_tis!G$49*AD_tis!$BF33</f>
        <v>0</v>
      </c>
      <c r="H33" s="4">
        <f>+AD_tis!H33*AD_tis!H$49*AD_tis!$BF33</f>
        <v>0</v>
      </c>
      <c r="I33" s="4">
        <f>+AD_tis!I33*AD_tis!I$49*AD_tis!$BF33</f>
        <v>0</v>
      </c>
      <c r="J33" s="4">
        <f>+AD_tis!J33*AD_tis!J$49*AD_tis!$BF33</f>
        <v>0</v>
      </c>
      <c r="K33" s="4">
        <f>+AD_tis!K33*AD_tis!K$49*AD_tis!$BF33</f>
        <v>0</v>
      </c>
      <c r="L33" s="4">
        <f>+AD_tis!L33*AD_tis!L$49*AD_tis!$BF33</f>
        <v>0</v>
      </c>
      <c r="M33" s="4">
        <f>+AD_tis!M33*AD_tis!M$49*AD_tis!$BF33</f>
        <v>0</v>
      </c>
      <c r="N33" s="4">
        <f>+AD_tis!N33*AD_tis!N$49*AD_tis!$BF33</f>
        <v>0</v>
      </c>
      <c r="O33" s="4">
        <f>+AD_tis!O33*AD_tis!O$49*AD_tis!$BF33</f>
        <v>0</v>
      </c>
      <c r="P33" s="4">
        <f>+AD_tis!P33*AD_tis!P$49*AD_tis!$BF33</f>
        <v>0</v>
      </c>
      <c r="Q33" s="4">
        <f>+AD_tis!Q33*AD_tis!Q$49*AD_tis!$BF33</f>
        <v>0</v>
      </c>
      <c r="R33" s="13">
        <f>+AD_tis!R33*AD_tis!R$49*AD_tis!$BF33</f>
        <v>0</v>
      </c>
      <c r="S33" s="4">
        <f>+AD_tis!S33*AD_tis!S$49*AD_tis!$BF33</f>
        <v>0</v>
      </c>
      <c r="T33" s="4">
        <f>+AD_tis!T33*AD_tis!T$49*AD_tis!$BF33</f>
        <v>0</v>
      </c>
      <c r="U33" s="4">
        <f>+AD_tis!U33*AD_tis!U$49*AD_tis!$BF33</f>
        <v>0</v>
      </c>
      <c r="V33" s="4">
        <f>+AD_tis!V33*AD_tis!V$49*AD_tis!$BF33</f>
        <v>0</v>
      </c>
      <c r="W33" s="4">
        <f>+AD_tis!W33*AD_tis!W$49*AD_tis!$BF33</f>
        <v>0</v>
      </c>
      <c r="X33" s="4">
        <f>+AD_tis!X33*AD_tis!X$49*AD_tis!$BF33</f>
        <v>0</v>
      </c>
      <c r="Y33" s="4">
        <f>+AD_tis!Y33*AD_tis!Y$49*AD_tis!$BF33</f>
        <v>0</v>
      </c>
      <c r="Z33" s="4">
        <f>+AD_tis!Z33*AD_tis!Z$49*AD_tis!$BF33</f>
        <v>0</v>
      </c>
      <c r="AA33" s="4">
        <f>+AD_tis!AA33*AD_tis!AA$49*AD_tis!$BF33</f>
        <v>0</v>
      </c>
      <c r="AB33" s="4">
        <f>+AD_tis!AB33*AD_tis!AB$49*AD_tis!$BF33</f>
        <v>0</v>
      </c>
      <c r="AC33" s="12">
        <f>+AD_tis!AC33*AD_tis!AC$49*AD_tis!$BF33</f>
        <v>0</v>
      </c>
      <c r="AD33" s="4">
        <f>+AD_tis!AD33*AD_tis!AD$49*AD_tis!$BF33</f>
        <v>0</v>
      </c>
      <c r="AE33" s="4">
        <f>+AD_tis!AE33*AD_tis!AE$49*AD_tis!$BF33</f>
        <v>0</v>
      </c>
      <c r="AF33" s="4">
        <f>+AD_tis!AF33*AD_tis!AF$49*AD_tis!$BF33</f>
        <v>0</v>
      </c>
      <c r="AG33" s="4">
        <f>+AD_tis!AG33*AD_tis!AG$49*AD_tis!$BF33</f>
        <v>0</v>
      </c>
      <c r="AH33" s="4">
        <f>+AD_tis!AH33*AD_tis!AH$49*AD_tis!$BF33</f>
        <v>0</v>
      </c>
      <c r="AI33" s="4">
        <f>+AD_tis!AI33*AD_tis!AI$49*AD_tis!$BF33</f>
        <v>0</v>
      </c>
      <c r="AJ33" s="4">
        <f>+AD_tis!AJ33*AD_tis!AJ$49*AD_tis!$BF33</f>
        <v>0</v>
      </c>
      <c r="AK33" s="4">
        <f>+AD_tis!AK33*AD_tis!AK$49*AD_tis!$BF33</f>
        <v>0</v>
      </c>
      <c r="AL33" s="4">
        <f>+AD_tis!AL33*AD_tis!AL$49*AD_tis!$BF33</f>
        <v>0</v>
      </c>
      <c r="AM33" s="13">
        <f>+AD_tis!AM33*AD_tis!AM$49*AD_tis!$BF33</f>
        <v>0</v>
      </c>
      <c r="AN33" s="4">
        <f>+AD_tis!AN33*AD_tis!AN$49*AD_tis!$BF33</f>
        <v>0</v>
      </c>
      <c r="AO33" s="4">
        <f>+AD_tis!AO33*AD_tis!AO$49*AD_tis!$BF33</f>
        <v>0</v>
      </c>
      <c r="AP33" s="4">
        <f>+AD_tis!AP33*AD_tis!AP$49*AD_tis!$BF33</f>
        <v>0</v>
      </c>
      <c r="AQ33" s="4">
        <f>+AD_tis!AQ33*AD_tis!AQ$49*AD_tis!$BF33</f>
        <v>0</v>
      </c>
      <c r="AR33" s="4">
        <f>+AD_tis!AR33*AD_tis!AR$49*AD_tis!$BF33</f>
        <v>0</v>
      </c>
      <c r="AS33" s="4">
        <f>+AD_tis!AS33*AD_tis!AS$49*AD_tis!$BF33</f>
        <v>0</v>
      </c>
      <c r="AT33" s="4">
        <f>+AD_tis!AT33*AD_tis!AT$49*AD_tis!$BF33</f>
        <v>0</v>
      </c>
      <c r="AU33" s="4">
        <f>+AD_tis!AU33*AD_tis!AU$49*AD_tis!$BF33</f>
        <v>0</v>
      </c>
      <c r="AV33" s="4">
        <f>+AD_tis!AV33*AD_tis!AV$49*AD_tis!$BF33</f>
        <v>0</v>
      </c>
      <c r="AW33" s="12">
        <f>+AD_tis!AW33*AD_tis!AW$49*AD_tis!$BF33</f>
        <v>0</v>
      </c>
      <c r="AX33" s="13">
        <f>+AD_tis!AX33*AD_tis!AX$49*AD_tis!$BF33</f>
        <v>0</v>
      </c>
      <c r="AY33" s="4">
        <f>+AD_tis!AY33*AD_tis!AY$49*AD_tis!$BF33</f>
        <v>0</v>
      </c>
      <c r="AZ33" s="4">
        <f>+AD_tis!AZ33*AD_tis!AZ$49*AD_tis!$BF33</f>
        <v>0</v>
      </c>
      <c r="BA33" s="12">
        <f>+AD_tis!BA33*AD_tis!BA$49*AD_tis!$BF33</f>
        <v>0</v>
      </c>
      <c r="BB33" s="4">
        <f>+AD_tis!BB33*AD_tis!BB$49*AD_tis!$BF33</f>
        <v>0</v>
      </c>
      <c r="BC33" s="13">
        <f>+AD_tis!BC33*AD_tis!BC$49*AD_tis!$BF33</f>
        <v>0</v>
      </c>
    </row>
    <row r="34" spans="1:55" ht="18.75" customHeight="1" x14ac:dyDescent="0.25">
      <c r="A34" s="5" t="s">
        <v>85</v>
      </c>
      <c r="B34" s="12">
        <f>+AD_tis!B34*AD_tis!B$49*AD_tis!$BF34</f>
        <v>0</v>
      </c>
      <c r="C34" s="4">
        <f>+AD_tis!C34*AD_tis!C$49*AD_tis!$BF34</f>
        <v>0</v>
      </c>
      <c r="D34" s="4">
        <f>+AD_tis!D34*AD_tis!D$49*AD_tis!$BF34</f>
        <v>0</v>
      </c>
      <c r="E34" s="4">
        <f>+AD_tis!E34*AD_tis!E$49*AD_tis!$BF34</f>
        <v>0</v>
      </c>
      <c r="F34" s="4">
        <f>+AD_tis!F34*AD_tis!F$49*AD_tis!$BF34</f>
        <v>0</v>
      </c>
      <c r="G34" s="4">
        <f>+AD_tis!G34*AD_tis!G$49*AD_tis!$BF34</f>
        <v>0</v>
      </c>
      <c r="H34" s="4">
        <f>+AD_tis!H34*AD_tis!H$49*AD_tis!$BF34</f>
        <v>0</v>
      </c>
      <c r="I34" s="4">
        <f>+AD_tis!I34*AD_tis!I$49*AD_tis!$BF34</f>
        <v>0</v>
      </c>
      <c r="J34" s="4">
        <f>+AD_tis!J34*AD_tis!J$49*AD_tis!$BF34</f>
        <v>0</v>
      </c>
      <c r="K34" s="4">
        <f>+AD_tis!K34*AD_tis!K$49*AD_tis!$BF34</f>
        <v>0</v>
      </c>
      <c r="L34" s="4">
        <f>+AD_tis!L34*AD_tis!L$49*AD_tis!$BF34</f>
        <v>0</v>
      </c>
      <c r="M34" s="4">
        <f>+AD_tis!M34*AD_tis!M$49*AD_tis!$BF34</f>
        <v>0</v>
      </c>
      <c r="N34" s="4">
        <f>+AD_tis!N34*AD_tis!N$49*AD_tis!$BF34</f>
        <v>0</v>
      </c>
      <c r="O34" s="4">
        <f>+AD_tis!O34*AD_tis!O$49*AD_tis!$BF34</f>
        <v>0</v>
      </c>
      <c r="P34" s="4">
        <f>+AD_tis!P34*AD_tis!P$49*AD_tis!$BF34</f>
        <v>0</v>
      </c>
      <c r="Q34" s="4">
        <f>+AD_tis!Q34*AD_tis!Q$49*AD_tis!$BF34</f>
        <v>0</v>
      </c>
      <c r="R34" s="13">
        <f>+AD_tis!R34*AD_tis!R$49*AD_tis!$BF34</f>
        <v>0</v>
      </c>
      <c r="S34" s="4">
        <f>+AD_tis!S34*AD_tis!S$49*AD_tis!$BF34</f>
        <v>0</v>
      </c>
      <c r="T34" s="4">
        <f>+AD_tis!T34*AD_tis!T$49*AD_tis!$BF34</f>
        <v>0</v>
      </c>
      <c r="U34" s="4">
        <f>+AD_tis!U34*AD_tis!U$49*AD_tis!$BF34</f>
        <v>1</v>
      </c>
      <c r="V34" s="4">
        <f>+AD_tis!V34*AD_tis!V$49*AD_tis!$BF34</f>
        <v>0</v>
      </c>
      <c r="W34" s="4">
        <f>+AD_tis!W34*AD_tis!W$49*AD_tis!$BF34</f>
        <v>0</v>
      </c>
      <c r="X34" s="4">
        <f>+AD_tis!X34*AD_tis!X$49*AD_tis!$BF34</f>
        <v>0</v>
      </c>
      <c r="Y34" s="4">
        <f>+AD_tis!Y34*AD_tis!Y$49*AD_tis!$BF34</f>
        <v>0</v>
      </c>
      <c r="Z34" s="4">
        <f>+AD_tis!Z34*AD_tis!Z$49*AD_tis!$BF34</f>
        <v>0</v>
      </c>
      <c r="AA34" s="4">
        <f>+AD_tis!AA34*AD_tis!AA$49*AD_tis!$BF34</f>
        <v>0</v>
      </c>
      <c r="AB34" s="4">
        <f>+AD_tis!AB34*AD_tis!AB$49*AD_tis!$BF34</f>
        <v>0</v>
      </c>
      <c r="AC34" s="12">
        <f>+AD_tis!AC34*AD_tis!AC$49*AD_tis!$BF34</f>
        <v>0</v>
      </c>
      <c r="AD34" s="4">
        <f>+AD_tis!AD34*AD_tis!AD$49*AD_tis!$BF34</f>
        <v>0</v>
      </c>
      <c r="AE34" s="4">
        <f>+AD_tis!AE34*AD_tis!AE$49*AD_tis!$BF34</f>
        <v>0</v>
      </c>
      <c r="AF34" s="4">
        <f>+AD_tis!AF34*AD_tis!AF$49*AD_tis!$BF34</f>
        <v>0</v>
      </c>
      <c r="AG34" s="4">
        <f>+AD_tis!AG34*AD_tis!AG$49*AD_tis!$BF34</f>
        <v>0</v>
      </c>
      <c r="AH34" s="4">
        <f>+AD_tis!AH34*AD_tis!AH$49*AD_tis!$BF34</f>
        <v>0</v>
      </c>
      <c r="AI34" s="4">
        <f>+AD_tis!AI34*AD_tis!AI$49*AD_tis!$BF34</f>
        <v>0</v>
      </c>
      <c r="AJ34" s="4">
        <f>+AD_tis!AJ34*AD_tis!AJ$49*AD_tis!$BF34</f>
        <v>0</v>
      </c>
      <c r="AK34" s="4">
        <f>+AD_tis!AK34*AD_tis!AK$49*AD_tis!$BF34</f>
        <v>0</v>
      </c>
      <c r="AL34" s="4">
        <f>+AD_tis!AL34*AD_tis!AL$49*AD_tis!$BF34</f>
        <v>0</v>
      </c>
      <c r="AM34" s="13">
        <f>+AD_tis!AM34*AD_tis!AM$49*AD_tis!$BF34</f>
        <v>0</v>
      </c>
      <c r="AN34" s="4">
        <f>+AD_tis!AN34*AD_tis!AN$49*AD_tis!$BF34</f>
        <v>0</v>
      </c>
      <c r="AO34" s="4">
        <f>+AD_tis!AO34*AD_tis!AO$49*AD_tis!$BF34</f>
        <v>0</v>
      </c>
      <c r="AP34" s="4">
        <f>+AD_tis!AP34*AD_tis!AP$49*AD_tis!$BF34</f>
        <v>0</v>
      </c>
      <c r="AQ34" s="4">
        <f>+AD_tis!AQ34*AD_tis!AQ$49*AD_tis!$BF34</f>
        <v>0</v>
      </c>
      <c r="AR34" s="4">
        <f>+AD_tis!AR34*AD_tis!AR$49*AD_tis!$BF34</f>
        <v>0</v>
      </c>
      <c r="AS34" s="4">
        <f>+AD_tis!AS34*AD_tis!AS$49*AD_tis!$BF34</f>
        <v>0</v>
      </c>
      <c r="AT34" s="4">
        <f>+AD_tis!AT34*AD_tis!AT$49*AD_tis!$BF34</f>
        <v>0</v>
      </c>
      <c r="AU34" s="4">
        <f>+AD_tis!AU34*AD_tis!AU$49*AD_tis!$BF34</f>
        <v>0</v>
      </c>
      <c r="AV34" s="4">
        <f>+AD_tis!AV34*AD_tis!AV$49*AD_tis!$BF34</f>
        <v>0</v>
      </c>
      <c r="AW34" s="12">
        <f>+AD_tis!AW34*AD_tis!AW$49*AD_tis!$BF34</f>
        <v>0</v>
      </c>
      <c r="AX34" s="13">
        <f>+AD_tis!AX34*AD_tis!AX$49*AD_tis!$BF34</f>
        <v>0</v>
      </c>
      <c r="AY34" s="4">
        <f>+AD_tis!AY34*AD_tis!AY$49*AD_tis!$BF34</f>
        <v>0</v>
      </c>
      <c r="AZ34" s="4">
        <f>+AD_tis!AZ34*AD_tis!AZ$49*AD_tis!$BF34</f>
        <v>0</v>
      </c>
      <c r="BA34" s="12">
        <f>+AD_tis!BA34*AD_tis!BA$49*AD_tis!$BF34</f>
        <v>0</v>
      </c>
      <c r="BB34" s="4">
        <f>+AD_tis!BB34*AD_tis!BB$49*AD_tis!$BF34</f>
        <v>0</v>
      </c>
      <c r="BC34" s="13">
        <f>+AD_tis!BC34*AD_tis!BC$49*AD_tis!$BF34</f>
        <v>0</v>
      </c>
    </row>
    <row r="35" spans="1:55" ht="18.75" customHeight="1" x14ac:dyDescent="0.25">
      <c r="A35" s="5" t="s">
        <v>86</v>
      </c>
      <c r="B35" s="12">
        <f>+AD_tis!B35*AD_tis!B$49*AD_tis!$BF35</f>
        <v>0</v>
      </c>
      <c r="C35" s="4">
        <f>+AD_tis!C35*AD_tis!C$49*AD_tis!$BF35</f>
        <v>0</v>
      </c>
      <c r="D35" s="4">
        <f>+AD_tis!D35*AD_tis!D$49*AD_tis!$BF35</f>
        <v>0</v>
      </c>
      <c r="E35" s="4">
        <f>+AD_tis!E35*AD_tis!E$49*AD_tis!$BF35</f>
        <v>0</v>
      </c>
      <c r="F35" s="4">
        <f>+AD_tis!F35*AD_tis!F$49*AD_tis!$BF35</f>
        <v>0</v>
      </c>
      <c r="G35" s="4">
        <f>+AD_tis!G35*AD_tis!G$49*AD_tis!$BF35</f>
        <v>0</v>
      </c>
      <c r="H35" s="4">
        <f>+AD_tis!H35*AD_tis!H$49*AD_tis!$BF35</f>
        <v>0</v>
      </c>
      <c r="I35" s="4">
        <f>+AD_tis!I35*AD_tis!I$49*AD_tis!$BF35</f>
        <v>0</v>
      </c>
      <c r="J35" s="4">
        <f>+AD_tis!J35*AD_tis!J$49*AD_tis!$BF35</f>
        <v>0</v>
      </c>
      <c r="K35" s="4">
        <f>+AD_tis!K35*AD_tis!K$49*AD_tis!$BF35</f>
        <v>1</v>
      </c>
      <c r="L35" s="4">
        <f>+AD_tis!L35*AD_tis!L$49*AD_tis!$BF35</f>
        <v>0</v>
      </c>
      <c r="M35" s="4">
        <f>+AD_tis!M35*AD_tis!M$49*AD_tis!$BF35</f>
        <v>0</v>
      </c>
      <c r="N35" s="4">
        <f>+AD_tis!N35*AD_tis!N$49*AD_tis!$BF35</f>
        <v>0</v>
      </c>
      <c r="O35" s="4">
        <f>+AD_tis!O35*AD_tis!O$49*AD_tis!$BF35</f>
        <v>0</v>
      </c>
      <c r="P35" s="4">
        <f>+AD_tis!P35*AD_tis!P$49*AD_tis!$BF35</f>
        <v>0</v>
      </c>
      <c r="Q35" s="4">
        <f>+AD_tis!Q35*AD_tis!Q$49*AD_tis!$BF35</f>
        <v>0</v>
      </c>
      <c r="R35" s="13">
        <f>+AD_tis!R35*AD_tis!R$49*AD_tis!$BF35</f>
        <v>0</v>
      </c>
      <c r="S35" s="4">
        <f>+AD_tis!S35*AD_tis!S$49*AD_tis!$BF35</f>
        <v>0</v>
      </c>
      <c r="T35" s="4">
        <f>+AD_tis!T35*AD_tis!T$49*AD_tis!$BF35</f>
        <v>0</v>
      </c>
      <c r="U35" s="4">
        <f>+AD_tis!U35*AD_tis!U$49*AD_tis!$BF35</f>
        <v>0</v>
      </c>
      <c r="V35" s="4">
        <f>+AD_tis!V35*AD_tis!V$49*AD_tis!$BF35</f>
        <v>0</v>
      </c>
      <c r="W35" s="4">
        <f>+AD_tis!W35*AD_tis!W$49*AD_tis!$BF35</f>
        <v>0</v>
      </c>
      <c r="X35" s="4">
        <f>+AD_tis!X35*AD_tis!X$49*AD_tis!$BF35</f>
        <v>0</v>
      </c>
      <c r="Y35" s="4">
        <f>+AD_tis!Y35*AD_tis!Y$49*AD_tis!$BF35</f>
        <v>0</v>
      </c>
      <c r="Z35" s="4">
        <f>+AD_tis!Z35*AD_tis!Z$49*AD_tis!$BF35</f>
        <v>0</v>
      </c>
      <c r="AA35" s="4">
        <f>+AD_tis!AA35*AD_tis!AA$49*AD_tis!$BF35</f>
        <v>0</v>
      </c>
      <c r="AB35" s="4">
        <f>+AD_tis!AB35*AD_tis!AB$49*AD_tis!$BF35</f>
        <v>0</v>
      </c>
      <c r="AC35" s="12">
        <f>+AD_tis!AC35*AD_tis!AC$49*AD_tis!$BF35</f>
        <v>0</v>
      </c>
      <c r="AD35" s="4">
        <f>+AD_tis!AD35*AD_tis!AD$49*AD_tis!$BF35</f>
        <v>0</v>
      </c>
      <c r="AE35" s="4">
        <f>+AD_tis!AE35*AD_tis!AE$49*AD_tis!$BF35</f>
        <v>0</v>
      </c>
      <c r="AF35" s="4">
        <f>+AD_tis!AF35*AD_tis!AF$49*AD_tis!$BF35</f>
        <v>0</v>
      </c>
      <c r="AG35" s="4">
        <f>+AD_tis!AG35*AD_tis!AG$49*AD_tis!$BF35</f>
        <v>0</v>
      </c>
      <c r="AH35" s="4">
        <f>+AD_tis!AH35*AD_tis!AH$49*AD_tis!$BF35</f>
        <v>0</v>
      </c>
      <c r="AI35" s="4">
        <f>+AD_tis!AI35*AD_tis!AI$49*AD_tis!$BF35</f>
        <v>0</v>
      </c>
      <c r="AJ35" s="4">
        <f>+AD_tis!AJ35*AD_tis!AJ$49*AD_tis!$BF35</f>
        <v>0</v>
      </c>
      <c r="AK35" s="4">
        <f>+AD_tis!AK35*AD_tis!AK$49*AD_tis!$BF35</f>
        <v>0</v>
      </c>
      <c r="AL35" s="4">
        <f>+AD_tis!AL35*AD_tis!AL$49*AD_tis!$BF35</f>
        <v>0</v>
      </c>
      <c r="AM35" s="13">
        <f>+AD_tis!AM35*AD_tis!AM$49*AD_tis!$BF35</f>
        <v>0</v>
      </c>
      <c r="AN35" s="4">
        <f>+AD_tis!AN35*AD_tis!AN$49*AD_tis!$BF35</f>
        <v>0</v>
      </c>
      <c r="AO35" s="4">
        <f>+AD_tis!AO35*AD_tis!AO$49*AD_tis!$BF35</f>
        <v>0</v>
      </c>
      <c r="AP35" s="4">
        <f>+AD_tis!AP35*AD_tis!AP$49*AD_tis!$BF35</f>
        <v>0</v>
      </c>
      <c r="AQ35" s="4">
        <f>+AD_tis!AQ35*AD_tis!AQ$49*AD_tis!$BF35</f>
        <v>0</v>
      </c>
      <c r="AR35" s="4">
        <f>+AD_tis!AR35*AD_tis!AR$49*AD_tis!$BF35</f>
        <v>0</v>
      </c>
      <c r="AS35" s="4">
        <f>+AD_tis!AS35*AD_tis!AS$49*AD_tis!$BF35</f>
        <v>0</v>
      </c>
      <c r="AT35" s="4">
        <f>+AD_tis!AT35*AD_tis!AT$49*AD_tis!$BF35</f>
        <v>0</v>
      </c>
      <c r="AU35" s="4">
        <f>+AD_tis!AU35*AD_tis!AU$49*AD_tis!$BF35</f>
        <v>0</v>
      </c>
      <c r="AV35" s="4">
        <f>+AD_tis!AV35*AD_tis!AV$49*AD_tis!$BF35</f>
        <v>0</v>
      </c>
      <c r="AW35" s="12">
        <f>+AD_tis!AW35*AD_tis!AW$49*AD_tis!$BF35</f>
        <v>0</v>
      </c>
      <c r="AX35" s="13">
        <f>+AD_tis!AX35*AD_tis!AX$49*AD_tis!$BF35</f>
        <v>0</v>
      </c>
      <c r="AY35" s="4">
        <f>+AD_tis!AY35*AD_tis!AY$49*AD_tis!$BF35</f>
        <v>0</v>
      </c>
      <c r="AZ35" s="4">
        <f>+AD_tis!AZ35*AD_tis!AZ$49*AD_tis!$BF35</f>
        <v>0</v>
      </c>
      <c r="BA35" s="12">
        <f>+AD_tis!BA35*AD_tis!BA$49*AD_tis!$BF35</f>
        <v>0</v>
      </c>
      <c r="BB35" s="4">
        <f>+AD_tis!BB35*AD_tis!BB$49*AD_tis!$BF35</f>
        <v>0</v>
      </c>
      <c r="BC35" s="13">
        <f>+AD_tis!BC35*AD_tis!BC$49*AD_tis!$BF35</f>
        <v>0</v>
      </c>
    </row>
    <row r="36" spans="1:55" ht="18.75" customHeight="1" x14ac:dyDescent="0.25">
      <c r="A36" s="5" t="s">
        <v>87</v>
      </c>
      <c r="B36" s="12">
        <f>+AD_tis!B36*AD_tis!B$49*AD_tis!$BF36</f>
        <v>0</v>
      </c>
      <c r="C36" s="4">
        <f>+AD_tis!C36*AD_tis!C$49*AD_tis!$BF36</f>
        <v>0</v>
      </c>
      <c r="D36" s="4">
        <f>+AD_tis!D36*AD_tis!D$49*AD_tis!$BF36</f>
        <v>0</v>
      </c>
      <c r="E36" s="4">
        <f>+AD_tis!E36*AD_tis!E$49*AD_tis!$BF36</f>
        <v>0</v>
      </c>
      <c r="F36" s="4">
        <f>+AD_tis!F36*AD_tis!F$49*AD_tis!$BF36</f>
        <v>0</v>
      </c>
      <c r="G36" s="4">
        <f>+AD_tis!G36*AD_tis!G$49*AD_tis!$BF36</f>
        <v>0</v>
      </c>
      <c r="H36" s="4">
        <f>+AD_tis!H36*AD_tis!H$49*AD_tis!$BF36</f>
        <v>0</v>
      </c>
      <c r="I36" s="4">
        <f>+AD_tis!I36*AD_tis!I$49*AD_tis!$BF36</f>
        <v>0</v>
      </c>
      <c r="J36" s="4">
        <f>+AD_tis!J36*AD_tis!J$49*AD_tis!$BF36</f>
        <v>0</v>
      </c>
      <c r="K36" s="4">
        <f>+AD_tis!K36*AD_tis!K$49*AD_tis!$BF36</f>
        <v>0</v>
      </c>
      <c r="L36" s="4">
        <f>+AD_tis!L36*AD_tis!L$49*AD_tis!$BF36</f>
        <v>0</v>
      </c>
      <c r="M36" s="4">
        <f>+AD_tis!M36*AD_tis!M$49*AD_tis!$BF36</f>
        <v>0</v>
      </c>
      <c r="N36" s="4">
        <f>+AD_tis!N36*AD_tis!N$49*AD_tis!$BF36</f>
        <v>0</v>
      </c>
      <c r="O36" s="4">
        <f>+AD_tis!O36*AD_tis!O$49*AD_tis!$BF36</f>
        <v>0</v>
      </c>
      <c r="P36" s="4">
        <f>+AD_tis!P36*AD_tis!P$49*AD_tis!$BF36</f>
        <v>0</v>
      </c>
      <c r="Q36" s="4">
        <f>+AD_tis!Q36*AD_tis!Q$49*AD_tis!$BF36</f>
        <v>0</v>
      </c>
      <c r="R36" s="13">
        <f>+AD_tis!R36*AD_tis!R$49*AD_tis!$BF36</f>
        <v>0</v>
      </c>
      <c r="S36" s="4">
        <f>+AD_tis!S36*AD_tis!S$49*AD_tis!$BF36</f>
        <v>0</v>
      </c>
      <c r="T36" s="4">
        <f>+AD_tis!T36*AD_tis!T$49*AD_tis!$BF36</f>
        <v>0</v>
      </c>
      <c r="U36" s="4">
        <f>+AD_tis!U36*AD_tis!U$49*AD_tis!$BF36</f>
        <v>0</v>
      </c>
      <c r="V36" s="4">
        <f>+AD_tis!V36*AD_tis!V$49*AD_tis!$BF36</f>
        <v>0</v>
      </c>
      <c r="W36" s="4">
        <f>+AD_tis!W36*AD_tis!W$49*AD_tis!$BF36</f>
        <v>0</v>
      </c>
      <c r="X36" s="4">
        <f>+AD_tis!X36*AD_tis!X$49*AD_tis!$BF36</f>
        <v>0</v>
      </c>
      <c r="Y36" s="4">
        <f>+AD_tis!Y36*AD_tis!Y$49*AD_tis!$BF36</f>
        <v>0</v>
      </c>
      <c r="Z36" s="4">
        <f>+AD_tis!Z36*AD_tis!Z$49*AD_tis!$BF36</f>
        <v>0</v>
      </c>
      <c r="AA36" s="4">
        <f>+AD_tis!AA36*AD_tis!AA$49*AD_tis!$BF36</f>
        <v>0</v>
      </c>
      <c r="AB36" s="4">
        <f>+AD_tis!AB36*AD_tis!AB$49*AD_tis!$BF36</f>
        <v>0</v>
      </c>
      <c r="AC36" s="12">
        <f>+AD_tis!AC36*AD_tis!AC$49*AD_tis!$BF36</f>
        <v>0</v>
      </c>
      <c r="AD36" s="4">
        <f>+AD_tis!AD36*AD_tis!AD$49*AD_tis!$BF36</f>
        <v>0</v>
      </c>
      <c r="AE36" s="4">
        <f>+AD_tis!AE36*AD_tis!AE$49*AD_tis!$BF36</f>
        <v>0</v>
      </c>
      <c r="AF36" s="4">
        <f>+AD_tis!AF36*AD_tis!AF$49*AD_tis!$BF36</f>
        <v>0</v>
      </c>
      <c r="AG36" s="4">
        <f>+AD_tis!AG36*AD_tis!AG$49*AD_tis!$BF36</f>
        <v>0</v>
      </c>
      <c r="AH36" s="4">
        <f>+AD_tis!AH36*AD_tis!AH$49*AD_tis!$BF36</f>
        <v>0</v>
      </c>
      <c r="AI36" s="4">
        <f>+AD_tis!AI36*AD_tis!AI$49*AD_tis!$BF36</f>
        <v>0</v>
      </c>
      <c r="AJ36" s="4">
        <f>+AD_tis!AJ36*AD_tis!AJ$49*AD_tis!$BF36</f>
        <v>0</v>
      </c>
      <c r="AK36" s="4">
        <f>+AD_tis!AK36*AD_tis!AK$49*AD_tis!$BF36</f>
        <v>0</v>
      </c>
      <c r="AL36" s="4">
        <f>+AD_tis!AL36*AD_tis!AL$49*AD_tis!$BF36</f>
        <v>0</v>
      </c>
      <c r="AM36" s="13">
        <f>+AD_tis!AM36*AD_tis!AM$49*AD_tis!$BF36</f>
        <v>0</v>
      </c>
      <c r="AN36" s="4">
        <f>+AD_tis!AN36*AD_tis!AN$49*AD_tis!$BF36</f>
        <v>0</v>
      </c>
      <c r="AO36" s="4">
        <f>+AD_tis!AO36*AD_tis!AO$49*AD_tis!$BF36</f>
        <v>0</v>
      </c>
      <c r="AP36" s="4">
        <f>+AD_tis!AP36*AD_tis!AP$49*AD_tis!$BF36</f>
        <v>0</v>
      </c>
      <c r="AQ36" s="4">
        <f>+AD_tis!AQ36*AD_tis!AQ$49*AD_tis!$BF36</f>
        <v>0</v>
      </c>
      <c r="AR36" s="4">
        <f>+AD_tis!AR36*AD_tis!AR$49*AD_tis!$BF36</f>
        <v>0</v>
      </c>
      <c r="AS36" s="4">
        <f>+AD_tis!AS36*AD_tis!AS$49*AD_tis!$BF36</f>
        <v>0</v>
      </c>
      <c r="AT36" s="4">
        <f>+AD_tis!AT36*AD_tis!AT$49*AD_tis!$BF36</f>
        <v>0</v>
      </c>
      <c r="AU36" s="4">
        <f>+AD_tis!AU36*AD_tis!AU$49*AD_tis!$BF36</f>
        <v>0</v>
      </c>
      <c r="AV36" s="4">
        <f>+AD_tis!AV36*AD_tis!AV$49*AD_tis!$BF36</f>
        <v>0</v>
      </c>
      <c r="AW36" s="12">
        <f>+AD_tis!AW36*AD_tis!AW$49*AD_tis!$BF36</f>
        <v>0</v>
      </c>
      <c r="AX36" s="13">
        <f>+AD_tis!AX36*AD_tis!AX$49*AD_tis!$BF36</f>
        <v>0</v>
      </c>
      <c r="AY36" s="4">
        <f>+AD_tis!AY36*AD_tis!AY$49*AD_tis!$BF36</f>
        <v>0</v>
      </c>
      <c r="AZ36" s="4">
        <f>+AD_tis!AZ36*AD_tis!AZ$49*AD_tis!$BF36</f>
        <v>0</v>
      </c>
      <c r="BA36" s="12">
        <f>+AD_tis!BA36*AD_tis!BA$49*AD_tis!$BF36</f>
        <v>0</v>
      </c>
      <c r="BB36" s="4">
        <f>+AD_tis!BB36*AD_tis!BB$49*AD_tis!$BF36</f>
        <v>0</v>
      </c>
      <c r="BC36" s="13">
        <f>+AD_tis!BC36*AD_tis!BC$49*AD_tis!$BF36</f>
        <v>0</v>
      </c>
    </row>
    <row r="37" spans="1:55" ht="18.75" customHeight="1" x14ac:dyDescent="0.25">
      <c r="A37" s="5" t="s">
        <v>88</v>
      </c>
      <c r="B37" s="12">
        <f>+AD_tis!B37*AD_tis!B$49*AD_tis!$BF37</f>
        <v>0</v>
      </c>
      <c r="C37" s="4">
        <f>+AD_tis!C37*AD_tis!C$49*AD_tis!$BF37</f>
        <v>0</v>
      </c>
      <c r="D37" s="4">
        <f>+AD_tis!D37*AD_tis!D$49*AD_tis!$BF37</f>
        <v>0</v>
      </c>
      <c r="E37" s="4">
        <f>+AD_tis!E37*AD_tis!E$49*AD_tis!$BF37</f>
        <v>0</v>
      </c>
      <c r="F37" s="4">
        <f>+AD_tis!F37*AD_tis!F$49*AD_tis!$BF37</f>
        <v>0</v>
      </c>
      <c r="G37" s="4">
        <f>+AD_tis!G37*AD_tis!G$49*AD_tis!$BF37</f>
        <v>0</v>
      </c>
      <c r="H37" s="4">
        <f>+AD_tis!H37*AD_tis!H$49*AD_tis!$BF37</f>
        <v>0</v>
      </c>
      <c r="I37" s="4">
        <f>+AD_tis!I37*AD_tis!I$49*AD_tis!$BF37</f>
        <v>0</v>
      </c>
      <c r="J37" s="4">
        <f>+AD_tis!J37*AD_tis!J$49*AD_tis!$BF37</f>
        <v>0</v>
      </c>
      <c r="K37" s="4">
        <f>+AD_tis!K37*AD_tis!K$49*AD_tis!$BF37</f>
        <v>0</v>
      </c>
      <c r="L37" s="4">
        <f>+AD_tis!L37*AD_tis!L$49*AD_tis!$BF37</f>
        <v>0</v>
      </c>
      <c r="M37" s="4">
        <f>+AD_tis!M37*AD_tis!M$49*AD_tis!$BF37</f>
        <v>0</v>
      </c>
      <c r="N37" s="4">
        <f>+AD_tis!N37*AD_tis!N$49*AD_tis!$BF37</f>
        <v>0</v>
      </c>
      <c r="O37" s="4">
        <f>+AD_tis!O37*AD_tis!O$49*AD_tis!$BF37</f>
        <v>0</v>
      </c>
      <c r="P37" s="4">
        <f>+AD_tis!P37*AD_tis!P$49*AD_tis!$BF37</f>
        <v>0</v>
      </c>
      <c r="Q37" s="4">
        <f>+AD_tis!Q37*AD_tis!Q$49*AD_tis!$BF37</f>
        <v>0</v>
      </c>
      <c r="R37" s="13">
        <f>+AD_tis!R37*AD_tis!R$49*AD_tis!$BF37</f>
        <v>0</v>
      </c>
      <c r="S37" s="4">
        <f>+AD_tis!S37*AD_tis!S$49*AD_tis!$BF37</f>
        <v>0</v>
      </c>
      <c r="T37" s="4">
        <f>+AD_tis!T37*AD_tis!T$49*AD_tis!$BF37</f>
        <v>0</v>
      </c>
      <c r="U37" s="4">
        <f>+AD_tis!U37*AD_tis!U$49*AD_tis!$BF37</f>
        <v>0</v>
      </c>
      <c r="V37" s="4">
        <f>+AD_tis!V37*AD_tis!V$49*AD_tis!$BF37</f>
        <v>0</v>
      </c>
      <c r="W37" s="4">
        <f>+AD_tis!W37*AD_tis!W$49*AD_tis!$BF37</f>
        <v>0</v>
      </c>
      <c r="X37" s="4">
        <f>+AD_tis!X37*AD_tis!X$49*AD_tis!$BF37</f>
        <v>0</v>
      </c>
      <c r="Y37" s="4">
        <f>+AD_tis!Y37*AD_tis!Y$49*AD_tis!$BF37</f>
        <v>0</v>
      </c>
      <c r="Z37" s="4">
        <f>+AD_tis!Z37*AD_tis!Z$49*AD_tis!$BF37</f>
        <v>0</v>
      </c>
      <c r="AA37" s="4">
        <f>+AD_tis!AA37*AD_tis!AA$49*AD_tis!$BF37</f>
        <v>0</v>
      </c>
      <c r="AB37" s="4">
        <f>+AD_tis!AB37*AD_tis!AB$49*AD_tis!$BF37</f>
        <v>0</v>
      </c>
      <c r="AC37" s="12">
        <f>+AD_tis!AC37*AD_tis!AC$49*AD_tis!$BF37</f>
        <v>0</v>
      </c>
      <c r="AD37" s="4">
        <f>+AD_tis!AD37*AD_tis!AD$49*AD_tis!$BF37</f>
        <v>0</v>
      </c>
      <c r="AE37" s="4">
        <f>+AD_tis!AE37*AD_tis!AE$49*AD_tis!$BF37</f>
        <v>0</v>
      </c>
      <c r="AF37" s="4">
        <f>+AD_tis!AF37*AD_tis!AF$49*AD_tis!$BF37</f>
        <v>0</v>
      </c>
      <c r="AG37" s="4">
        <f>+AD_tis!AG37*AD_tis!AG$49*AD_tis!$BF37</f>
        <v>0</v>
      </c>
      <c r="AH37" s="4">
        <f>+AD_tis!AH37*AD_tis!AH$49*AD_tis!$BF37</f>
        <v>0</v>
      </c>
      <c r="AI37" s="4">
        <f>+AD_tis!AI37*AD_tis!AI$49*AD_tis!$BF37</f>
        <v>0</v>
      </c>
      <c r="AJ37" s="4">
        <f>+AD_tis!AJ37*AD_tis!AJ$49*AD_tis!$BF37</f>
        <v>0</v>
      </c>
      <c r="AK37" s="4">
        <f>+AD_tis!AK37*AD_tis!AK$49*AD_tis!$BF37</f>
        <v>0</v>
      </c>
      <c r="AL37" s="4">
        <f>+AD_tis!AL37*AD_tis!AL$49*AD_tis!$BF37</f>
        <v>0</v>
      </c>
      <c r="AM37" s="13">
        <f>+AD_tis!AM37*AD_tis!AM$49*AD_tis!$BF37</f>
        <v>0</v>
      </c>
      <c r="AN37" s="4">
        <f>+AD_tis!AN37*AD_tis!AN$49*AD_tis!$BF37</f>
        <v>0</v>
      </c>
      <c r="AO37" s="4">
        <f>+AD_tis!AO37*AD_tis!AO$49*AD_tis!$BF37</f>
        <v>0</v>
      </c>
      <c r="AP37" s="4">
        <f>+AD_tis!AP37*AD_tis!AP$49*AD_tis!$BF37</f>
        <v>0</v>
      </c>
      <c r="AQ37" s="4">
        <f>+AD_tis!AQ37*AD_tis!AQ$49*AD_tis!$BF37</f>
        <v>0</v>
      </c>
      <c r="AR37" s="4">
        <f>+AD_tis!AR37*AD_tis!AR$49*AD_tis!$BF37</f>
        <v>0</v>
      </c>
      <c r="AS37" s="4">
        <f>+AD_tis!AS37*AD_tis!AS$49*AD_tis!$BF37</f>
        <v>0</v>
      </c>
      <c r="AT37" s="4">
        <f>+AD_tis!AT37*AD_tis!AT$49*AD_tis!$BF37</f>
        <v>0</v>
      </c>
      <c r="AU37" s="4">
        <f>+AD_tis!AU37*AD_tis!AU$49*AD_tis!$BF37</f>
        <v>0</v>
      </c>
      <c r="AV37" s="4">
        <f>+AD_tis!AV37*AD_tis!AV$49*AD_tis!$BF37</f>
        <v>0</v>
      </c>
      <c r="AW37" s="12">
        <f>+AD_tis!AW37*AD_tis!AW$49*AD_tis!$BF37</f>
        <v>0</v>
      </c>
      <c r="AX37" s="13">
        <f>+AD_tis!AX37*AD_tis!AX$49*AD_tis!$BF37</f>
        <v>0</v>
      </c>
      <c r="AY37" s="4">
        <f>+AD_tis!AY37*AD_tis!AY$49*AD_tis!$BF37</f>
        <v>0</v>
      </c>
      <c r="AZ37" s="4">
        <f>+AD_tis!AZ37*AD_tis!AZ$49*AD_tis!$BF37</f>
        <v>0</v>
      </c>
      <c r="BA37" s="12">
        <f>+AD_tis!BA37*AD_tis!BA$49*AD_tis!$BF37</f>
        <v>0</v>
      </c>
      <c r="BB37" s="4">
        <f>+AD_tis!BB37*AD_tis!BB$49*AD_tis!$BF37</f>
        <v>0</v>
      </c>
      <c r="BC37" s="13">
        <f>+AD_tis!BC37*AD_tis!BC$49*AD_tis!$BF37</f>
        <v>0</v>
      </c>
    </row>
    <row r="38" spans="1:55" ht="18.75" customHeight="1" x14ac:dyDescent="0.25">
      <c r="A38" s="5" t="s">
        <v>89</v>
      </c>
      <c r="B38" s="12">
        <f>+AD_tis!B38*AD_tis!B$49*AD_tis!$BF38</f>
        <v>0</v>
      </c>
      <c r="C38" s="4">
        <f>+AD_tis!C38*AD_tis!C$49*AD_tis!$BF38</f>
        <v>0</v>
      </c>
      <c r="D38" s="4">
        <f>+AD_tis!D38*AD_tis!D$49*AD_tis!$BF38</f>
        <v>0</v>
      </c>
      <c r="E38" s="4">
        <f>+AD_tis!E38*AD_tis!E$49*AD_tis!$BF38</f>
        <v>0</v>
      </c>
      <c r="F38" s="4">
        <f>+AD_tis!F38*AD_tis!F$49*AD_tis!$BF38</f>
        <v>0</v>
      </c>
      <c r="G38" s="4">
        <f>+AD_tis!G38*AD_tis!G$49*AD_tis!$BF38</f>
        <v>0</v>
      </c>
      <c r="H38" s="4">
        <f>+AD_tis!H38*AD_tis!H$49*AD_tis!$BF38</f>
        <v>0</v>
      </c>
      <c r="I38" s="4">
        <f>+AD_tis!I38*AD_tis!I$49*AD_tis!$BF38</f>
        <v>0</v>
      </c>
      <c r="J38" s="4">
        <f>+AD_tis!J38*AD_tis!J$49*AD_tis!$BF38</f>
        <v>0</v>
      </c>
      <c r="K38" s="4">
        <f>+AD_tis!K38*AD_tis!K$49*AD_tis!$BF38</f>
        <v>0</v>
      </c>
      <c r="L38" s="4">
        <f>+AD_tis!L38*AD_tis!L$49*AD_tis!$BF38</f>
        <v>0</v>
      </c>
      <c r="M38" s="4">
        <f>+AD_tis!M38*AD_tis!M$49*AD_tis!$BF38</f>
        <v>0</v>
      </c>
      <c r="N38" s="4">
        <f>+AD_tis!N38*AD_tis!N$49*AD_tis!$BF38</f>
        <v>0</v>
      </c>
      <c r="O38" s="4">
        <f>+AD_tis!O38*AD_tis!O$49*AD_tis!$BF38</f>
        <v>0</v>
      </c>
      <c r="P38" s="4">
        <f>+AD_tis!P38*AD_tis!P$49*AD_tis!$BF38</f>
        <v>0</v>
      </c>
      <c r="Q38" s="4">
        <f>+AD_tis!Q38*AD_tis!Q$49*AD_tis!$BF38</f>
        <v>0</v>
      </c>
      <c r="R38" s="13">
        <f>+AD_tis!R38*AD_tis!R$49*AD_tis!$BF38</f>
        <v>0</v>
      </c>
      <c r="S38" s="4">
        <f>+AD_tis!S38*AD_tis!S$49*AD_tis!$BF38</f>
        <v>0</v>
      </c>
      <c r="T38" s="4">
        <f>+AD_tis!T38*AD_tis!T$49*AD_tis!$BF38</f>
        <v>0</v>
      </c>
      <c r="U38" s="4">
        <f>+AD_tis!U38*AD_tis!U$49*AD_tis!$BF38</f>
        <v>0</v>
      </c>
      <c r="V38" s="4">
        <f>+AD_tis!V38*AD_tis!V$49*AD_tis!$BF38</f>
        <v>0</v>
      </c>
      <c r="W38" s="4">
        <f>+AD_tis!W38*AD_tis!W$49*AD_tis!$BF38</f>
        <v>0</v>
      </c>
      <c r="X38" s="4">
        <f>+AD_tis!X38*AD_tis!X$49*AD_tis!$BF38</f>
        <v>0</v>
      </c>
      <c r="Y38" s="4">
        <f>+AD_tis!Y38*AD_tis!Y$49*AD_tis!$BF38</f>
        <v>0</v>
      </c>
      <c r="Z38" s="4">
        <f>+AD_tis!Z38*AD_tis!Z$49*AD_tis!$BF38</f>
        <v>0</v>
      </c>
      <c r="AA38" s="4">
        <f>+AD_tis!AA38*AD_tis!AA$49*AD_tis!$BF38</f>
        <v>0</v>
      </c>
      <c r="AB38" s="4">
        <f>+AD_tis!AB38*AD_tis!AB$49*AD_tis!$BF38</f>
        <v>0</v>
      </c>
      <c r="AC38" s="12">
        <f>+AD_tis!AC38*AD_tis!AC$49*AD_tis!$BF38</f>
        <v>0</v>
      </c>
      <c r="AD38" s="4">
        <f>+AD_tis!AD38*AD_tis!AD$49*AD_tis!$BF38</f>
        <v>0</v>
      </c>
      <c r="AE38" s="4">
        <f>+AD_tis!AE38*AD_tis!AE$49*AD_tis!$BF38</f>
        <v>0</v>
      </c>
      <c r="AF38" s="4">
        <f>+AD_tis!AF38*AD_tis!AF$49*AD_tis!$BF38</f>
        <v>0</v>
      </c>
      <c r="AG38" s="4">
        <f>+AD_tis!AG38*AD_tis!AG$49*AD_tis!$BF38</f>
        <v>0</v>
      </c>
      <c r="AH38" s="4">
        <f>+AD_tis!AH38*AD_tis!AH$49*AD_tis!$BF38</f>
        <v>0</v>
      </c>
      <c r="AI38" s="4">
        <f>+AD_tis!AI38*AD_tis!AI$49*AD_tis!$BF38</f>
        <v>0</v>
      </c>
      <c r="AJ38" s="4">
        <f>+AD_tis!AJ38*AD_tis!AJ$49*AD_tis!$BF38</f>
        <v>0</v>
      </c>
      <c r="AK38" s="4">
        <f>+AD_tis!AK38*AD_tis!AK$49*AD_tis!$BF38</f>
        <v>0</v>
      </c>
      <c r="AL38" s="4">
        <f>+AD_tis!AL38*AD_tis!AL$49*AD_tis!$BF38</f>
        <v>0</v>
      </c>
      <c r="AM38" s="13">
        <f>+AD_tis!AM38*AD_tis!AM$49*AD_tis!$BF38</f>
        <v>0</v>
      </c>
      <c r="AN38" s="4">
        <f>+AD_tis!AN38*AD_tis!AN$49*AD_tis!$BF38</f>
        <v>0</v>
      </c>
      <c r="AO38" s="4">
        <f>+AD_tis!AO38*AD_tis!AO$49*AD_tis!$BF38</f>
        <v>0</v>
      </c>
      <c r="AP38" s="4">
        <f>+AD_tis!AP38*AD_tis!AP$49*AD_tis!$BF38</f>
        <v>0</v>
      </c>
      <c r="AQ38" s="4">
        <f>+AD_tis!AQ38*AD_tis!AQ$49*AD_tis!$BF38</f>
        <v>0</v>
      </c>
      <c r="AR38" s="4">
        <f>+AD_tis!AR38*AD_tis!AR$49*AD_tis!$BF38</f>
        <v>0</v>
      </c>
      <c r="AS38" s="4">
        <f>+AD_tis!AS38*AD_tis!AS$49*AD_tis!$BF38</f>
        <v>0</v>
      </c>
      <c r="AT38" s="4">
        <f>+AD_tis!AT38*AD_tis!AT$49*AD_tis!$BF38</f>
        <v>0</v>
      </c>
      <c r="AU38" s="4">
        <f>+AD_tis!AU38*AD_tis!AU$49*AD_tis!$BF38</f>
        <v>0</v>
      </c>
      <c r="AV38" s="4">
        <f>+AD_tis!AV38*AD_tis!AV$49*AD_tis!$BF38</f>
        <v>0</v>
      </c>
      <c r="AW38" s="12">
        <f>+AD_tis!AW38*AD_tis!AW$49*AD_tis!$BF38</f>
        <v>0</v>
      </c>
      <c r="AX38" s="13">
        <f>+AD_tis!AX38*AD_tis!AX$49*AD_tis!$BF38</f>
        <v>0</v>
      </c>
      <c r="AY38" s="4">
        <f>+AD_tis!AY38*AD_tis!AY$49*AD_tis!$BF38</f>
        <v>0</v>
      </c>
      <c r="AZ38" s="4">
        <f>+AD_tis!AZ38*AD_tis!AZ$49*AD_tis!$BF38</f>
        <v>0</v>
      </c>
      <c r="BA38" s="12">
        <f>+AD_tis!BA38*AD_tis!BA$49*AD_tis!$BF38</f>
        <v>0</v>
      </c>
      <c r="BB38" s="4">
        <f>+AD_tis!BB38*AD_tis!BB$49*AD_tis!$BF38</f>
        <v>0</v>
      </c>
      <c r="BC38" s="13">
        <f>+AD_tis!BC38*AD_tis!BC$49*AD_tis!$BF38</f>
        <v>0</v>
      </c>
    </row>
    <row r="39" spans="1:55" ht="18.75" customHeight="1" x14ac:dyDescent="0.25">
      <c r="A39" s="5" t="s">
        <v>90</v>
      </c>
      <c r="B39" s="12">
        <f>+AD_tis!B39*AD_tis!B$49*AD_tis!$BF39</f>
        <v>0</v>
      </c>
      <c r="C39" s="4">
        <f>+AD_tis!C39*AD_tis!C$49*AD_tis!$BF39</f>
        <v>0</v>
      </c>
      <c r="D39" s="4">
        <f>+AD_tis!D39*AD_tis!D$49*AD_tis!$BF39</f>
        <v>0</v>
      </c>
      <c r="E39" s="4">
        <f>+AD_tis!E39*AD_tis!E$49*AD_tis!$BF39</f>
        <v>0</v>
      </c>
      <c r="F39" s="4">
        <f>+AD_tis!F39*AD_tis!F$49*AD_tis!$BF39</f>
        <v>0</v>
      </c>
      <c r="G39" s="4">
        <f>+AD_tis!G39*AD_tis!G$49*AD_tis!$BF39</f>
        <v>0</v>
      </c>
      <c r="H39" s="4">
        <f>+AD_tis!H39*AD_tis!H$49*AD_tis!$BF39</f>
        <v>0</v>
      </c>
      <c r="I39" s="4">
        <f>+AD_tis!I39*AD_tis!I$49*AD_tis!$BF39</f>
        <v>0</v>
      </c>
      <c r="J39" s="4">
        <f>+AD_tis!J39*AD_tis!J$49*AD_tis!$BF39</f>
        <v>0</v>
      </c>
      <c r="K39" s="4">
        <f>+AD_tis!K39*AD_tis!K$49*AD_tis!$BF39</f>
        <v>0</v>
      </c>
      <c r="L39" s="4">
        <f>+AD_tis!L39*AD_tis!L$49*AD_tis!$BF39</f>
        <v>0</v>
      </c>
      <c r="M39" s="4">
        <f>+AD_tis!M39*AD_tis!M$49*AD_tis!$BF39</f>
        <v>0</v>
      </c>
      <c r="N39" s="4">
        <f>+AD_tis!N39*AD_tis!N$49*AD_tis!$BF39</f>
        <v>0</v>
      </c>
      <c r="O39" s="4">
        <f>+AD_tis!O39*AD_tis!O$49*AD_tis!$BF39</f>
        <v>0</v>
      </c>
      <c r="P39" s="4">
        <f>+AD_tis!P39*AD_tis!P$49*AD_tis!$BF39</f>
        <v>0</v>
      </c>
      <c r="Q39" s="4">
        <f>+AD_tis!Q39*AD_tis!Q$49*AD_tis!$BF39</f>
        <v>0</v>
      </c>
      <c r="R39" s="13">
        <f>+AD_tis!R39*AD_tis!R$49*AD_tis!$BF39</f>
        <v>0</v>
      </c>
      <c r="S39" s="4">
        <f>+AD_tis!S39*AD_tis!S$49*AD_tis!$BF39</f>
        <v>0</v>
      </c>
      <c r="T39" s="4">
        <f>+AD_tis!T39*AD_tis!T$49*AD_tis!$BF39</f>
        <v>0</v>
      </c>
      <c r="U39" s="4">
        <f>+AD_tis!U39*AD_tis!U$49*AD_tis!$BF39</f>
        <v>0</v>
      </c>
      <c r="V39" s="4">
        <f>+AD_tis!V39*AD_tis!V$49*AD_tis!$BF39</f>
        <v>0</v>
      </c>
      <c r="W39" s="4">
        <f>+AD_tis!W39*AD_tis!W$49*AD_tis!$BF39</f>
        <v>0</v>
      </c>
      <c r="X39" s="4">
        <f>+AD_tis!X39*AD_tis!X$49*AD_tis!$BF39</f>
        <v>0</v>
      </c>
      <c r="Y39" s="4">
        <f>+AD_tis!Y39*AD_tis!Y$49*AD_tis!$BF39</f>
        <v>0</v>
      </c>
      <c r="Z39" s="4">
        <f>+AD_tis!Z39*AD_tis!Z$49*AD_tis!$BF39</f>
        <v>0</v>
      </c>
      <c r="AA39" s="4">
        <f>+AD_tis!AA39*AD_tis!AA$49*AD_tis!$BF39</f>
        <v>0</v>
      </c>
      <c r="AB39" s="4">
        <f>+AD_tis!AB39*AD_tis!AB$49*AD_tis!$BF39</f>
        <v>0</v>
      </c>
      <c r="AC39" s="12">
        <f>+AD_tis!AC39*AD_tis!AC$49*AD_tis!$BF39</f>
        <v>0</v>
      </c>
      <c r="AD39" s="4">
        <f>+AD_tis!AD39*AD_tis!AD$49*AD_tis!$BF39</f>
        <v>0</v>
      </c>
      <c r="AE39" s="4">
        <f>+AD_tis!AE39*AD_tis!AE$49*AD_tis!$BF39</f>
        <v>0</v>
      </c>
      <c r="AF39" s="4">
        <f>+AD_tis!AF39*AD_tis!AF$49*AD_tis!$BF39</f>
        <v>0</v>
      </c>
      <c r="AG39" s="4">
        <f>+AD_tis!AG39*AD_tis!AG$49*AD_tis!$BF39</f>
        <v>0</v>
      </c>
      <c r="AH39" s="4">
        <f>+AD_tis!AH39*AD_tis!AH$49*AD_tis!$BF39</f>
        <v>0</v>
      </c>
      <c r="AI39" s="4">
        <f>+AD_tis!AI39*AD_tis!AI$49*AD_tis!$BF39</f>
        <v>0</v>
      </c>
      <c r="AJ39" s="4">
        <f>+AD_tis!AJ39*AD_tis!AJ$49*AD_tis!$BF39</f>
        <v>0</v>
      </c>
      <c r="AK39" s="4">
        <f>+AD_tis!AK39*AD_tis!AK$49*AD_tis!$BF39</f>
        <v>0</v>
      </c>
      <c r="AL39" s="4">
        <f>+AD_tis!AL39*AD_tis!AL$49*AD_tis!$BF39</f>
        <v>0</v>
      </c>
      <c r="AM39" s="13">
        <f>+AD_tis!AM39*AD_tis!AM$49*AD_tis!$BF39</f>
        <v>0</v>
      </c>
      <c r="AN39" s="4">
        <f>+AD_tis!AN39*AD_tis!AN$49*AD_tis!$BF39</f>
        <v>0</v>
      </c>
      <c r="AO39" s="4">
        <f>+AD_tis!AO39*AD_tis!AO$49*AD_tis!$BF39</f>
        <v>0</v>
      </c>
      <c r="AP39" s="4">
        <f>+AD_tis!AP39*AD_tis!AP$49*AD_tis!$BF39</f>
        <v>0</v>
      </c>
      <c r="AQ39" s="4">
        <f>+AD_tis!AQ39*AD_tis!AQ$49*AD_tis!$BF39</f>
        <v>0</v>
      </c>
      <c r="AR39" s="4">
        <f>+AD_tis!AR39*AD_tis!AR$49*AD_tis!$BF39</f>
        <v>0</v>
      </c>
      <c r="AS39" s="4">
        <f>+AD_tis!AS39*AD_tis!AS$49*AD_tis!$BF39</f>
        <v>0</v>
      </c>
      <c r="AT39" s="4">
        <f>+AD_tis!AT39*AD_tis!AT$49*AD_tis!$BF39</f>
        <v>0</v>
      </c>
      <c r="AU39" s="4">
        <f>+AD_tis!AU39*AD_tis!AU$49*AD_tis!$BF39</f>
        <v>0</v>
      </c>
      <c r="AV39" s="4">
        <f>+AD_tis!AV39*AD_tis!AV$49*AD_tis!$BF39</f>
        <v>0</v>
      </c>
      <c r="AW39" s="12">
        <f>+AD_tis!AW39*AD_tis!AW$49*AD_tis!$BF39</f>
        <v>0</v>
      </c>
      <c r="AX39" s="13">
        <f>+AD_tis!AX39*AD_tis!AX$49*AD_tis!$BF39</f>
        <v>0</v>
      </c>
      <c r="AY39" s="4">
        <f>+AD_tis!AY39*AD_tis!AY$49*AD_tis!$BF39</f>
        <v>0</v>
      </c>
      <c r="AZ39" s="4">
        <f>+AD_tis!AZ39*AD_tis!AZ$49*AD_tis!$BF39</f>
        <v>0</v>
      </c>
      <c r="BA39" s="12">
        <f>+AD_tis!BA39*AD_tis!BA$49*AD_tis!$BF39</f>
        <v>0</v>
      </c>
      <c r="BB39" s="4">
        <f>+AD_tis!BB39*AD_tis!BB$49*AD_tis!$BF39</f>
        <v>0</v>
      </c>
      <c r="BC39" s="13">
        <f>+AD_tis!BC39*AD_tis!BC$49*AD_tis!$BF39</f>
        <v>0</v>
      </c>
    </row>
    <row r="40" spans="1:55" ht="18.75" customHeight="1" x14ac:dyDescent="0.25">
      <c r="A40" s="5" t="s">
        <v>91</v>
      </c>
      <c r="B40" s="12">
        <f>+AD_tis!B40*AD_tis!B$49*AD_tis!$BF40</f>
        <v>0</v>
      </c>
      <c r="C40" s="4">
        <f>+AD_tis!C40*AD_tis!C$49*AD_tis!$BF40</f>
        <v>0</v>
      </c>
      <c r="D40" s="4">
        <f>+AD_tis!D40*AD_tis!D$49*AD_tis!$BF40</f>
        <v>0</v>
      </c>
      <c r="E40" s="4">
        <f>+AD_tis!E40*AD_tis!E$49*AD_tis!$BF40</f>
        <v>0</v>
      </c>
      <c r="F40" s="4">
        <f>+AD_tis!F40*AD_tis!F$49*AD_tis!$BF40</f>
        <v>0</v>
      </c>
      <c r="G40" s="4">
        <f>+AD_tis!G40*AD_tis!G$49*AD_tis!$BF40</f>
        <v>0</v>
      </c>
      <c r="H40" s="4">
        <f>+AD_tis!H40*AD_tis!H$49*AD_tis!$BF40</f>
        <v>0</v>
      </c>
      <c r="I40" s="4">
        <f>+AD_tis!I40*AD_tis!I$49*AD_tis!$BF40</f>
        <v>0</v>
      </c>
      <c r="J40" s="4">
        <f>+AD_tis!J40*AD_tis!J$49*AD_tis!$BF40</f>
        <v>0</v>
      </c>
      <c r="K40" s="4">
        <f>+AD_tis!K40*AD_tis!K$49*AD_tis!$BF40</f>
        <v>0</v>
      </c>
      <c r="L40" s="4">
        <f>+AD_tis!L40*AD_tis!L$49*AD_tis!$BF40</f>
        <v>0</v>
      </c>
      <c r="M40" s="4">
        <f>+AD_tis!M40*AD_tis!M$49*AD_tis!$BF40</f>
        <v>0</v>
      </c>
      <c r="N40" s="4">
        <f>+AD_tis!N40*AD_tis!N$49*AD_tis!$BF40</f>
        <v>0</v>
      </c>
      <c r="O40" s="4">
        <f>+AD_tis!O40*AD_tis!O$49*AD_tis!$BF40</f>
        <v>0</v>
      </c>
      <c r="P40" s="4">
        <f>+AD_tis!P40*AD_tis!P$49*AD_tis!$BF40</f>
        <v>0</v>
      </c>
      <c r="Q40" s="4">
        <f>+AD_tis!Q40*AD_tis!Q$49*AD_tis!$BF40</f>
        <v>0</v>
      </c>
      <c r="R40" s="13">
        <f>+AD_tis!R40*AD_tis!R$49*AD_tis!$BF40</f>
        <v>0</v>
      </c>
      <c r="S40" s="4">
        <f>+AD_tis!S40*AD_tis!S$49*AD_tis!$BF40</f>
        <v>0</v>
      </c>
      <c r="T40" s="4">
        <f>+AD_tis!T40*AD_tis!T$49*AD_tis!$BF40</f>
        <v>0</v>
      </c>
      <c r="U40" s="4">
        <f>+AD_tis!U40*AD_tis!U$49*AD_tis!$BF40</f>
        <v>0</v>
      </c>
      <c r="V40" s="4">
        <f>+AD_tis!V40*AD_tis!V$49*AD_tis!$BF40</f>
        <v>0</v>
      </c>
      <c r="W40" s="4">
        <f>+AD_tis!W40*AD_tis!W$49*AD_tis!$BF40</f>
        <v>0</v>
      </c>
      <c r="X40" s="4">
        <f>+AD_tis!X40*AD_tis!X$49*AD_tis!$BF40</f>
        <v>0</v>
      </c>
      <c r="Y40" s="4">
        <f>+AD_tis!Y40*AD_tis!Y$49*AD_tis!$BF40</f>
        <v>0</v>
      </c>
      <c r="Z40" s="4">
        <f>+AD_tis!Z40*AD_tis!Z$49*AD_tis!$BF40</f>
        <v>0</v>
      </c>
      <c r="AA40" s="4">
        <f>+AD_tis!AA40*AD_tis!AA$49*AD_tis!$BF40</f>
        <v>0</v>
      </c>
      <c r="AB40" s="4">
        <f>+AD_tis!AB40*AD_tis!AB$49*AD_tis!$BF40</f>
        <v>0</v>
      </c>
      <c r="AC40" s="12">
        <f>+AD_tis!AC40*AD_tis!AC$49*AD_tis!$BF40</f>
        <v>0</v>
      </c>
      <c r="AD40" s="4">
        <f>+AD_tis!AD40*AD_tis!AD$49*AD_tis!$BF40</f>
        <v>0</v>
      </c>
      <c r="AE40" s="4">
        <f>+AD_tis!AE40*AD_tis!AE$49*AD_tis!$BF40</f>
        <v>0</v>
      </c>
      <c r="AF40" s="4">
        <f>+AD_tis!AF40*AD_tis!AF$49*AD_tis!$BF40</f>
        <v>0</v>
      </c>
      <c r="AG40" s="4">
        <f>+AD_tis!AG40*AD_tis!AG$49*AD_tis!$BF40</f>
        <v>0</v>
      </c>
      <c r="AH40" s="4">
        <f>+AD_tis!AH40*AD_tis!AH$49*AD_tis!$BF40</f>
        <v>0</v>
      </c>
      <c r="AI40" s="4">
        <f>+AD_tis!AI40*AD_tis!AI$49*AD_tis!$BF40</f>
        <v>0</v>
      </c>
      <c r="AJ40" s="4">
        <f>+AD_tis!AJ40*AD_tis!AJ$49*AD_tis!$BF40</f>
        <v>0</v>
      </c>
      <c r="AK40" s="4">
        <f>+AD_tis!AK40*AD_tis!AK$49*AD_tis!$BF40</f>
        <v>0</v>
      </c>
      <c r="AL40" s="4">
        <f>+AD_tis!AL40*AD_tis!AL$49*AD_tis!$BF40</f>
        <v>0</v>
      </c>
      <c r="AM40" s="13">
        <f>+AD_tis!AM40*AD_tis!AM$49*AD_tis!$BF40</f>
        <v>0</v>
      </c>
      <c r="AN40" s="4">
        <f>+AD_tis!AN40*AD_tis!AN$49*AD_tis!$BF40</f>
        <v>0</v>
      </c>
      <c r="AO40" s="4">
        <f>+AD_tis!AO40*AD_tis!AO$49*AD_tis!$BF40</f>
        <v>0</v>
      </c>
      <c r="AP40" s="4">
        <f>+AD_tis!AP40*AD_tis!AP$49*AD_tis!$BF40</f>
        <v>0</v>
      </c>
      <c r="AQ40" s="4">
        <f>+AD_tis!AQ40*AD_tis!AQ$49*AD_tis!$BF40</f>
        <v>0</v>
      </c>
      <c r="AR40" s="4">
        <f>+AD_tis!AR40*AD_tis!AR$49*AD_tis!$BF40</f>
        <v>0</v>
      </c>
      <c r="AS40" s="4">
        <f>+AD_tis!AS40*AD_tis!AS$49*AD_tis!$BF40</f>
        <v>0</v>
      </c>
      <c r="AT40" s="4">
        <f>+AD_tis!AT40*AD_tis!AT$49*AD_tis!$BF40</f>
        <v>0</v>
      </c>
      <c r="AU40" s="4">
        <f>+AD_tis!AU40*AD_tis!AU$49*AD_tis!$BF40</f>
        <v>0</v>
      </c>
      <c r="AV40" s="4">
        <f>+AD_tis!AV40*AD_tis!AV$49*AD_tis!$BF40</f>
        <v>0</v>
      </c>
      <c r="AW40" s="12">
        <f>+AD_tis!AW40*AD_tis!AW$49*AD_tis!$BF40</f>
        <v>0</v>
      </c>
      <c r="AX40" s="13">
        <f>+AD_tis!AX40*AD_tis!AX$49*AD_tis!$BF40</f>
        <v>0</v>
      </c>
      <c r="AY40" s="4">
        <f>+AD_tis!AY40*AD_tis!AY$49*AD_tis!$BF40</f>
        <v>0</v>
      </c>
      <c r="AZ40" s="4">
        <f>+AD_tis!AZ40*AD_tis!AZ$49*AD_tis!$BF40</f>
        <v>0</v>
      </c>
      <c r="BA40" s="12">
        <f>+AD_tis!BA40*AD_tis!BA$49*AD_tis!$BF40</f>
        <v>0</v>
      </c>
      <c r="BB40" s="4">
        <f>+AD_tis!BB40*AD_tis!BB$49*AD_tis!$BF40</f>
        <v>0</v>
      </c>
      <c r="BC40" s="13">
        <f>+AD_tis!BC40*AD_tis!BC$49*AD_tis!$BF40</f>
        <v>0</v>
      </c>
    </row>
    <row r="41" spans="1:55" ht="18.75" customHeight="1" x14ac:dyDescent="0.25">
      <c r="A41" s="5" t="s">
        <v>92</v>
      </c>
      <c r="B41" s="12">
        <f>+AD_tis!B41*AD_tis!B$49*AD_tis!$BF41</f>
        <v>0</v>
      </c>
      <c r="C41" s="4">
        <f>+AD_tis!C41*AD_tis!C$49*AD_tis!$BF41</f>
        <v>0</v>
      </c>
      <c r="D41" s="4">
        <f>+AD_tis!D41*AD_tis!D$49*AD_tis!$BF41</f>
        <v>0</v>
      </c>
      <c r="E41" s="4">
        <f>+AD_tis!E41*AD_tis!E$49*AD_tis!$BF41</f>
        <v>0</v>
      </c>
      <c r="F41" s="4">
        <f>+AD_tis!F41*AD_tis!F$49*AD_tis!$BF41</f>
        <v>0</v>
      </c>
      <c r="G41" s="4">
        <f>+AD_tis!G41*AD_tis!G$49*AD_tis!$BF41</f>
        <v>0</v>
      </c>
      <c r="H41" s="4">
        <f>+AD_tis!H41*AD_tis!H$49*AD_tis!$BF41</f>
        <v>0</v>
      </c>
      <c r="I41" s="4">
        <f>+AD_tis!I41*AD_tis!I$49*AD_tis!$BF41</f>
        <v>0</v>
      </c>
      <c r="J41" s="4">
        <f>+AD_tis!J41*AD_tis!J$49*AD_tis!$BF41</f>
        <v>0</v>
      </c>
      <c r="K41" s="4">
        <f>+AD_tis!K41*AD_tis!K$49*AD_tis!$BF41</f>
        <v>0</v>
      </c>
      <c r="L41" s="4">
        <f>+AD_tis!L41*AD_tis!L$49*AD_tis!$BF41</f>
        <v>0</v>
      </c>
      <c r="M41" s="4">
        <f>+AD_tis!M41*AD_tis!M$49*AD_tis!$BF41</f>
        <v>0</v>
      </c>
      <c r="N41" s="4">
        <f>+AD_tis!N41*AD_tis!N$49*AD_tis!$BF41</f>
        <v>0</v>
      </c>
      <c r="O41" s="4">
        <f>+AD_tis!O41*AD_tis!O$49*AD_tis!$BF41</f>
        <v>0</v>
      </c>
      <c r="P41" s="4">
        <f>+AD_tis!P41*AD_tis!P$49*AD_tis!$BF41</f>
        <v>0</v>
      </c>
      <c r="Q41" s="4">
        <f>+AD_tis!Q41*AD_tis!Q$49*AD_tis!$BF41</f>
        <v>0</v>
      </c>
      <c r="R41" s="13">
        <f>+AD_tis!R41*AD_tis!R$49*AD_tis!$BF41</f>
        <v>0</v>
      </c>
      <c r="S41" s="4">
        <f>+AD_tis!S41*AD_tis!S$49*AD_tis!$BF41</f>
        <v>0</v>
      </c>
      <c r="T41" s="4">
        <f>+AD_tis!T41*AD_tis!T$49*AD_tis!$BF41</f>
        <v>0</v>
      </c>
      <c r="U41" s="4">
        <f>+AD_tis!U41*AD_tis!U$49*AD_tis!$BF41</f>
        <v>1</v>
      </c>
      <c r="V41" s="4">
        <f>+AD_tis!V41*AD_tis!V$49*AD_tis!$BF41</f>
        <v>0</v>
      </c>
      <c r="W41" s="4">
        <f>+AD_tis!W41*AD_tis!W$49*AD_tis!$BF41</f>
        <v>0</v>
      </c>
      <c r="X41" s="4">
        <f>+AD_tis!X41*AD_tis!X$49*AD_tis!$BF41</f>
        <v>0</v>
      </c>
      <c r="Y41" s="4">
        <f>+AD_tis!Y41*AD_tis!Y$49*AD_tis!$BF41</f>
        <v>0</v>
      </c>
      <c r="Z41" s="4">
        <f>+AD_tis!Z41*AD_tis!Z$49*AD_tis!$BF41</f>
        <v>0</v>
      </c>
      <c r="AA41" s="4">
        <f>+AD_tis!AA41*AD_tis!AA$49*AD_tis!$BF41</f>
        <v>0</v>
      </c>
      <c r="AB41" s="4">
        <f>+AD_tis!AB41*AD_tis!AB$49*AD_tis!$BF41</f>
        <v>0</v>
      </c>
      <c r="AC41" s="12">
        <f>+AD_tis!AC41*AD_tis!AC$49*AD_tis!$BF41</f>
        <v>0</v>
      </c>
      <c r="AD41" s="4">
        <f>+AD_tis!AD41*AD_tis!AD$49*AD_tis!$BF41</f>
        <v>0</v>
      </c>
      <c r="AE41" s="4">
        <f>+AD_tis!AE41*AD_tis!AE$49*AD_tis!$BF41</f>
        <v>0</v>
      </c>
      <c r="AF41" s="4">
        <f>+AD_tis!AF41*AD_tis!AF$49*AD_tis!$BF41</f>
        <v>0</v>
      </c>
      <c r="AG41" s="4">
        <f>+AD_tis!AG41*AD_tis!AG$49*AD_tis!$BF41</f>
        <v>0</v>
      </c>
      <c r="AH41" s="4">
        <f>+AD_tis!AH41*AD_tis!AH$49*AD_tis!$BF41</f>
        <v>0</v>
      </c>
      <c r="AI41" s="4">
        <f>+AD_tis!AI41*AD_tis!AI$49*AD_tis!$BF41</f>
        <v>0</v>
      </c>
      <c r="AJ41" s="4">
        <f>+AD_tis!AJ41*AD_tis!AJ$49*AD_tis!$BF41</f>
        <v>0</v>
      </c>
      <c r="AK41" s="4">
        <f>+AD_tis!AK41*AD_tis!AK$49*AD_tis!$BF41</f>
        <v>0</v>
      </c>
      <c r="AL41" s="4">
        <f>+AD_tis!AL41*AD_tis!AL$49*AD_tis!$BF41</f>
        <v>0</v>
      </c>
      <c r="AM41" s="13">
        <f>+AD_tis!AM41*AD_tis!AM$49*AD_tis!$BF41</f>
        <v>0</v>
      </c>
      <c r="AN41" s="4">
        <f>+AD_tis!AN41*AD_tis!AN$49*AD_tis!$BF41</f>
        <v>0</v>
      </c>
      <c r="AO41" s="4">
        <f>+AD_tis!AO41*AD_tis!AO$49*AD_tis!$BF41</f>
        <v>0</v>
      </c>
      <c r="AP41" s="4">
        <f>+AD_tis!AP41*AD_tis!AP$49*AD_tis!$BF41</f>
        <v>0</v>
      </c>
      <c r="AQ41" s="4">
        <f>+AD_tis!AQ41*AD_tis!AQ$49*AD_tis!$BF41</f>
        <v>0</v>
      </c>
      <c r="AR41" s="4">
        <f>+AD_tis!AR41*AD_tis!AR$49*AD_tis!$BF41</f>
        <v>0</v>
      </c>
      <c r="AS41" s="4">
        <f>+AD_tis!AS41*AD_tis!AS$49*AD_tis!$BF41</f>
        <v>0</v>
      </c>
      <c r="AT41" s="4">
        <f>+AD_tis!AT41*AD_tis!AT$49*AD_tis!$BF41</f>
        <v>0</v>
      </c>
      <c r="AU41" s="4">
        <f>+AD_tis!AU41*AD_tis!AU$49*AD_tis!$BF41</f>
        <v>0</v>
      </c>
      <c r="AV41" s="4">
        <f>+AD_tis!AV41*AD_tis!AV$49*AD_tis!$BF41</f>
        <v>0</v>
      </c>
      <c r="AW41" s="12">
        <f>+AD_tis!AW41*AD_tis!AW$49*AD_tis!$BF41</f>
        <v>0</v>
      </c>
      <c r="AX41" s="13">
        <f>+AD_tis!AX41*AD_tis!AX$49*AD_tis!$BF41</f>
        <v>0</v>
      </c>
      <c r="AY41" s="4">
        <f>+AD_tis!AY41*AD_tis!AY$49*AD_tis!$BF41</f>
        <v>0</v>
      </c>
      <c r="AZ41" s="4">
        <f>+AD_tis!AZ41*AD_tis!AZ$49*AD_tis!$BF41</f>
        <v>0</v>
      </c>
      <c r="BA41" s="12">
        <f>+AD_tis!BA41*AD_tis!BA$49*AD_tis!$BF41</f>
        <v>0</v>
      </c>
      <c r="BB41" s="4">
        <f>+AD_tis!BB41*AD_tis!BB$49*AD_tis!$BF41</f>
        <v>0</v>
      </c>
      <c r="BC41" s="13">
        <f>+AD_tis!BC41*AD_tis!BC$49*AD_tis!$BF41</f>
        <v>0</v>
      </c>
    </row>
    <row r="42" spans="1:55" ht="18.75" customHeight="1" x14ac:dyDescent="0.25">
      <c r="A42" s="5" t="s">
        <v>93</v>
      </c>
      <c r="B42" s="12">
        <f>+AD_tis!B42*AD_tis!B$49*AD_tis!$BF42</f>
        <v>0</v>
      </c>
      <c r="C42" s="4">
        <f>+AD_tis!C42*AD_tis!C$49*AD_tis!$BF42</f>
        <v>0</v>
      </c>
      <c r="D42" s="4">
        <f>+AD_tis!D42*AD_tis!D$49*AD_tis!$BF42</f>
        <v>0</v>
      </c>
      <c r="E42" s="4">
        <f>+AD_tis!E42*AD_tis!E$49*AD_tis!$BF42</f>
        <v>0</v>
      </c>
      <c r="F42" s="4">
        <f>+AD_tis!F42*AD_tis!F$49*AD_tis!$BF42</f>
        <v>0</v>
      </c>
      <c r="G42" s="4">
        <f>+AD_tis!G42*AD_tis!G$49*AD_tis!$BF42</f>
        <v>0</v>
      </c>
      <c r="H42" s="4">
        <f>+AD_tis!H42*AD_tis!H$49*AD_tis!$BF42</f>
        <v>0</v>
      </c>
      <c r="I42" s="4">
        <f>+AD_tis!I42*AD_tis!I$49*AD_tis!$BF42</f>
        <v>0</v>
      </c>
      <c r="J42" s="4">
        <f>+AD_tis!J42*AD_tis!J$49*AD_tis!$BF42</f>
        <v>0</v>
      </c>
      <c r="K42" s="4">
        <f>+AD_tis!K42*AD_tis!K$49*AD_tis!$BF42</f>
        <v>0</v>
      </c>
      <c r="L42" s="4">
        <f>+AD_tis!L42*AD_tis!L$49*AD_tis!$BF42</f>
        <v>0</v>
      </c>
      <c r="M42" s="4">
        <f>+AD_tis!M42*AD_tis!M$49*AD_tis!$BF42</f>
        <v>0</v>
      </c>
      <c r="N42" s="4">
        <f>+AD_tis!N42*AD_tis!N$49*AD_tis!$BF42</f>
        <v>0</v>
      </c>
      <c r="O42" s="4">
        <f>+AD_tis!O42*AD_tis!O$49*AD_tis!$BF42</f>
        <v>0</v>
      </c>
      <c r="P42" s="4">
        <f>+AD_tis!P42*AD_tis!P$49*AD_tis!$BF42</f>
        <v>0</v>
      </c>
      <c r="Q42" s="4">
        <f>+AD_tis!Q42*AD_tis!Q$49*AD_tis!$BF42</f>
        <v>0</v>
      </c>
      <c r="R42" s="13">
        <f>+AD_tis!R42*AD_tis!R$49*AD_tis!$BF42</f>
        <v>0</v>
      </c>
      <c r="S42" s="4">
        <f>+AD_tis!S42*AD_tis!S$49*AD_tis!$BF42</f>
        <v>0</v>
      </c>
      <c r="T42" s="4">
        <f>+AD_tis!T42*AD_tis!T$49*AD_tis!$BF42</f>
        <v>0</v>
      </c>
      <c r="U42" s="4">
        <f>+AD_tis!U42*AD_tis!U$49*AD_tis!$BF42</f>
        <v>0</v>
      </c>
      <c r="V42" s="4">
        <f>+AD_tis!V42*AD_tis!V$49*AD_tis!$BF42</f>
        <v>0</v>
      </c>
      <c r="W42" s="4">
        <f>+AD_tis!W42*AD_tis!W$49*AD_tis!$BF42</f>
        <v>0</v>
      </c>
      <c r="X42" s="4">
        <f>+AD_tis!X42*AD_tis!X$49*AD_tis!$BF42</f>
        <v>0</v>
      </c>
      <c r="Y42" s="4">
        <f>+AD_tis!Y42*AD_tis!Y$49*AD_tis!$BF42</f>
        <v>0</v>
      </c>
      <c r="Z42" s="4">
        <f>+AD_tis!Z42*AD_tis!Z$49*AD_tis!$BF42</f>
        <v>0</v>
      </c>
      <c r="AA42" s="4">
        <f>+AD_tis!AA42*AD_tis!AA$49*AD_tis!$BF42</f>
        <v>0</v>
      </c>
      <c r="AB42" s="4">
        <f>+AD_tis!AB42*AD_tis!AB$49*AD_tis!$BF42</f>
        <v>0</v>
      </c>
      <c r="AC42" s="12">
        <f>+AD_tis!AC42*AD_tis!AC$49*AD_tis!$BF42</f>
        <v>0</v>
      </c>
      <c r="AD42" s="4">
        <f>+AD_tis!AD42*AD_tis!AD$49*AD_tis!$BF42</f>
        <v>0</v>
      </c>
      <c r="AE42" s="4">
        <f>+AD_tis!AE42*AD_tis!AE$49*AD_tis!$BF42</f>
        <v>0</v>
      </c>
      <c r="AF42" s="4">
        <f>+AD_tis!AF42*AD_tis!AF$49*AD_tis!$BF42</f>
        <v>0</v>
      </c>
      <c r="AG42" s="4">
        <f>+AD_tis!AG42*AD_tis!AG$49*AD_tis!$BF42</f>
        <v>0</v>
      </c>
      <c r="AH42" s="4">
        <f>+AD_tis!AH42*AD_tis!AH$49*AD_tis!$BF42</f>
        <v>0</v>
      </c>
      <c r="AI42" s="4">
        <f>+AD_tis!AI42*AD_tis!AI$49*AD_tis!$BF42</f>
        <v>0</v>
      </c>
      <c r="AJ42" s="4">
        <f>+AD_tis!AJ42*AD_tis!AJ$49*AD_tis!$BF42</f>
        <v>0</v>
      </c>
      <c r="AK42" s="4">
        <f>+AD_tis!AK42*AD_tis!AK$49*AD_tis!$BF42</f>
        <v>0</v>
      </c>
      <c r="AL42" s="4">
        <f>+AD_tis!AL42*AD_tis!AL$49*AD_tis!$BF42</f>
        <v>0</v>
      </c>
      <c r="AM42" s="13">
        <f>+AD_tis!AM42*AD_tis!AM$49*AD_tis!$BF42</f>
        <v>0</v>
      </c>
      <c r="AN42" s="4">
        <f>+AD_tis!AN42*AD_tis!AN$49*AD_tis!$BF42</f>
        <v>0</v>
      </c>
      <c r="AO42" s="4">
        <f>+AD_tis!AO42*AD_tis!AO$49*AD_tis!$BF42</f>
        <v>0</v>
      </c>
      <c r="AP42" s="4">
        <f>+AD_tis!AP42*AD_tis!AP$49*AD_tis!$BF42</f>
        <v>0</v>
      </c>
      <c r="AQ42" s="4">
        <f>+AD_tis!AQ42*AD_tis!AQ$49*AD_tis!$BF42</f>
        <v>0</v>
      </c>
      <c r="AR42" s="4">
        <f>+AD_tis!AR42*AD_tis!AR$49*AD_tis!$BF42</f>
        <v>0</v>
      </c>
      <c r="AS42" s="4">
        <f>+AD_tis!AS42*AD_tis!AS$49*AD_tis!$BF42</f>
        <v>0</v>
      </c>
      <c r="AT42" s="4">
        <f>+AD_tis!AT42*AD_tis!AT$49*AD_tis!$BF42</f>
        <v>0</v>
      </c>
      <c r="AU42" s="4">
        <f>+AD_tis!AU42*AD_tis!AU$49*AD_tis!$BF42</f>
        <v>0</v>
      </c>
      <c r="AV42" s="4">
        <f>+AD_tis!AV42*AD_tis!AV$49*AD_tis!$BF42</f>
        <v>0</v>
      </c>
      <c r="AW42" s="12">
        <f>+AD_tis!AW42*AD_tis!AW$49*AD_tis!$BF42</f>
        <v>0</v>
      </c>
      <c r="AX42" s="13">
        <f>+AD_tis!AX42*AD_tis!AX$49*AD_tis!$BF42</f>
        <v>0</v>
      </c>
      <c r="AY42" s="4">
        <f>+AD_tis!AY42*AD_tis!AY$49*AD_tis!$BF42</f>
        <v>0</v>
      </c>
      <c r="AZ42" s="4">
        <f>+AD_tis!AZ42*AD_tis!AZ$49*AD_tis!$BF42</f>
        <v>0</v>
      </c>
      <c r="BA42" s="12">
        <f>+AD_tis!BA42*AD_tis!BA$49*AD_tis!$BF42</f>
        <v>0</v>
      </c>
      <c r="BB42" s="4">
        <f>+AD_tis!BB42*AD_tis!BB$49*AD_tis!$BF42</f>
        <v>0</v>
      </c>
      <c r="BC42" s="13">
        <f>+AD_tis!BC42*AD_tis!BC$49*AD_tis!$BF42</f>
        <v>0</v>
      </c>
    </row>
    <row r="43" spans="1:55" ht="18.75" customHeight="1" x14ac:dyDescent="0.25">
      <c r="A43" s="5" t="s">
        <v>94</v>
      </c>
      <c r="B43" s="12">
        <f>+AD_tis!B43*AD_tis!B$49*AD_tis!$BF43</f>
        <v>0</v>
      </c>
      <c r="C43" s="4">
        <f>+AD_tis!C43*AD_tis!C$49*AD_tis!$BF43</f>
        <v>0</v>
      </c>
      <c r="D43" s="4">
        <f>+AD_tis!D43*AD_tis!D$49*AD_tis!$BF43</f>
        <v>0</v>
      </c>
      <c r="E43" s="4">
        <f>+AD_tis!E43*AD_tis!E$49*AD_tis!$BF43</f>
        <v>0</v>
      </c>
      <c r="F43" s="4">
        <f>+AD_tis!F43*AD_tis!F$49*AD_tis!$BF43</f>
        <v>0</v>
      </c>
      <c r="G43" s="4">
        <f>+AD_tis!G43*AD_tis!G$49*AD_tis!$BF43</f>
        <v>0</v>
      </c>
      <c r="H43" s="4">
        <f>+AD_tis!H43*AD_tis!H$49*AD_tis!$BF43</f>
        <v>0</v>
      </c>
      <c r="I43" s="4">
        <f>+AD_tis!I43*AD_tis!I$49*AD_tis!$BF43</f>
        <v>0</v>
      </c>
      <c r="J43" s="4">
        <f>+AD_tis!J43*AD_tis!J$49*AD_tis!$BF43</f>
        <v>0</v>
      </c>
      <c r="K43" s="4">
        <f>+AD_tis!K43*AD_tis!K$49*AD_tis!$BF43</f>
        <v>1</v>
      </c>
      <c r="L43" s="4">
        <f>+AD_tis!L43*AD_tis!L$49*AD_tis!$BF43</f>
        <v>0</v>
      </c>
      <c r="M43" s="4">
        <f>+AD_tis!M43*AD_tis!M$49*AD_tis!$BF43</f>
        <v>0</v>
      </c>
      <c r="N43" s="4">
        <f>+AD_tis!N43*AD_tis!N$49*AD_tis!$BF43</f>
        <v>0</v>
      </c>
      <c r="O43" s="4">
        <f>+AD_tis!O43*AD_tis!O$49*AD_tis!$BF43</f>
        <v>0</v>
      </c>
      <c r="P43" s="4">
        <f>+AD_tis!P43*AD_tis!P$49*AD_tis!$BF43</f>
        <v>0</v>
      </c>
      <c r="Q43" s="4">
        <f>+AD_tis!Q43*AD_tis!Q$49*AD_tis!$BF43</f>
        <v>0</v>
      </c>
      <c r="R43" s="13">
        <f>+AD_tis!R43*AD_tis!R$49*AD_tis!$BF43</f>
        <v>0</v>
      </c>
      <c r="S43" s="4">
        <f>+AD_tis!S43*AD_tis!S$49*AD_tis!$BF43</f>
        <v>0</v>
      </c>
      <c r="T43" s="4">
        <f>+AD_tis!T43*AD_tis!T$49*AD_tis!$BF43</f>
        <v>0</v>
      </c>
      <c r="U43" s="4">
        <f>+AD_tis!U43*AD_tis!U$49*AD_tis!$BF43</f>
        <v>0</v>
      </c>
      <c r="V43" s="4">
        <f>+AD_tis!V43*AD_tis!V$49*AD_tis!$BF43</f>
        <v>0</v>
      </c>
      <c r="W43" s="4">
        <f>+AD_tis!W43*AD_tis!W$49*AD_tis!$BF43</f>
        <v>0</v>
      </c>
      <c r="X43" s="4">
        <f>+AD_tis!X43*AD_tis!X$49*AD_tis!$BF43</f>
        <v>0</v>
      </c>
      <c r="Y43" s="4">
        <f>+AD_tis!Y43*AD_tis!Y$49*AD_tis!$BF43</f>
        <v>0</v>
      </c>
      <c r="Z43" s="4">
        <f>+AD_tis!Z43*AD_tis!Z$49*AD_tis!$BF43</f>
        <v>0</v>
      </c>
      <c r="AA43" s="4">
        <f>+AD_tis!AA43*AD_tis!AA$49*AD_tis!$BF43</f>
        <v>0</v>
      </c>
      <c r="AB43" s="4">
        <f>+AD_tis!AB43*AD_tis!AB$49*AD_tis!$BF43</f>
        <v>0</v>
      </c>
      <c r="AC43" s="12">
        <f>+AD_tis!AC43*AD_tis!AC$49*AD_tis!$BF43</f>
        <v>0</v>
      </c>
      <c r="AD43" s="4">
        <f>+AD_tis!AD43*AD_tis!AD$49*AD_tis!$BF43</f>
        <v>0</v>
      </c>
      <c r="AE43" s="4">
        <f>+AD_tis!AE43*AD_tis!AE$49*AD_tis!$BF43</f>
        <v>0</v>
      </c>
      <c r="AF43" s="4">
        <f>+AD_tis!AF43*AD_tis!AF$49*AD_tis!$BF43</f>
        <v>0</v>
      </c>
      <c r="AG43" s="4">
        <f>+AD_tis!AG43*AD_tis!AG$49*AD_tis!$BF43</f>
        <v>0</v>
      </c>
      <c r="AH43" s="4">
        <f>+AD_tis!AH43*AD_tis!AH$49*AD_tis!$BF43</f>
        <v>0</v>
      </c>
      <c r="AI43" s="4">
        <f>+AD_tis!AI43*AD_tis!AI$49*AD_tis!$BF43</f>
        <v>0</v>
      </c>
      <c r="AJ43" s="4">
        <f>+AD_tis!AJ43*AD_tis!AJ$49*AD_tis!$BF43</f>
        <v>0</v>
      </c>
      <c r="AK43" s="4">
        <f>+AD_tis!AK43*AD_tis!AK$49*AD_tis!$BF43</f>
        <v>0</v>
      </c>
      <c r="AL43" s="4">
        <f>+AD_tis!AL43*AD_tis!AL$49*AD_tis!$BF43</f>
        <v>0</v>
      </c>
      <c r="AM43" s="13">
        <f>+AD_tis!AM43*AD_tis!AM$49*AD_tis!$BF43</f>
        <v>0</v>
      </c>
      <c r="AN43" s="4">
        <f>+AD_tis!AN43*AD_tis!AN$49*AD_tis!$BF43</f>
        <v>0</v>
      </c>
      <c r="AO43" s="4">
        <f>+AD_tis!AO43*AD_tis!AO$49*AD_tis!$BF43</f>
        <v>0</v>
      </c>
      <c r="AP43" s="4">
        <f>+AD_tis!AP43*AD_tis!AP$49*AD_tis!$BF43</f>
        <v>0</v>
      </c>
      <c r="AQ43" s="4">
        <f>+AD_tis!AQ43*AD_tis!AQ$49*AD_tis!$BF43</f>
        <v>0</v>
      </c>
      <c r="AR43" s="4">
        <f>+AD_tis!AR43*AD_tis!AR$49*AD_tis!$BF43</f>
        <v>0</v>
      </c>
      <c r="AS43" s="4">
        <f>+AD_tis!AS43*AD_tis!AS$49*AD_tis!$BF43</f>
        <v>0</v>
      </c>
      <c r="AT43" s="4">
        <f>+AD_tis!AT43*AD_tis!AT$49*AD_tis!$BF43</f>
        <v>0</v>
      </c>
      <c r="AU43" s="4">
        <f>+AD_tis!AU43*AD_tis!AU$49*AD_tis!$BF43</f>
        <v>0</v>
      </c>
      <c r="AV43" s="4">
        <f>+AD_tis!AV43*AD_tis!AV$49*AD_tis!$BF43</f>
        <v>0</v>
      </c>
      <c r="AW43" s="12">
        <f>+AD_tis!AW43*AD_tis!AW$49*AD_tis!$BF43</f>
        <v>0</v>
      </c>
      <c r="AX43" s="13">
        <f>+AD_tis!AX43*AD_tis!AX$49*AD_tis!$BF43</f>
        <v>0</v>
      </c>
      <c r="AY43" s="4">
        <f>+AD_tis!AY43*AD_tis!AY$49*AD_tis!$BF43</f>
        <v>0</v>
      </c>
      <c r="AZ43" s="4">
        <f>+AD_tis!AZ43*AD_tis!AZ$49*AD_tis!$BF43</f>
        <v>0</v>
      </c>
      <c r="BA43" s="12">
        <f>+AD_tis!BA43*AD_tis!BA$49*AD_tis!$BF43</f>
        <v>0</v>
      </c>
      <c r="BB43" s="4">
        <f>+AD_tis!BB43*AD_tis!BB$49*AD_tis!$BF43</f>
        <v>0</v>
      </c>
      <c r="BC43" s="13">
        <f>+AD_tis!BC43*AD_tis!BC$49*AD_tis!$BF43</f>
        <v>0</v>
      </c>
    </row>
    <row r="44" spans="1:55" ht="18.75" customHeight="1" x14ac:dyDescent="0.25">
      <c r="A44" s="5" t="s">
        <v>95</v>
      </c>
      <c r="B44" s="12">
        <f>+AD_tis!B44*AD_tis!B$49*AD_tis!$BF44</f>
        <v>0</v>
      </c>
      <c r="C44" s="4">
        <f>+AD_tis!C44*AD_tis!C$49*AD_tis!$BF44</f>
        <v>0</v>
      </c>
      <c r="D44" s="4">
        <f>+AD_tis!D44*AD_tis!D$49*AD_tis!$BF44</f>
        <v>0</v>
      </c>
      <c r="E44" s="4">
        <f>+AD_tis!E44*AD_tis!E$49*AD_tis!$BF44</f>
        <v>0</v>
      </c>
      <c r="F44" s="4">
        <f>+AD_tis!F44*AD_tis!F$49*AD_tis!$BF44</f>
        <v>0</v>
      </c>
      <c r="G44" s="4">
        <f>+AD_tis!G44*AD_tis!G$49*AD_tis!$BF44</f>
        <v>0</v>
      </c>
      <c r="H44" s="4">
        <f>+AD_tis!H44*AD_tis!H$49*AD_tis!$BF44</f>
        <v>0</v>
      </c>
      <c r="I44" s="4">
        <f>+AD_tis!I44*AD_tis!I$49*AD_tis!$BF44</f>
        <v>0</v>
      </c>
      <c r="J44" s="4">
        <f>+AD_tis!J44*AD_tis!J$49*AD_tis!$BF44</f>
        <v>0</v>
      </c>
      <c r="K44" s="4">
        <f>+AD_tis!K44*AD_tis!K$49*AD_tis!$BF44</f>
        <v>1</v>
      </c>
      <c r="L44" s="4">
        <f>+AD_tis!L44*AD_tis!L$49*AD_tis!$BF44</f>
        <v>0</v>
      </c>
      <c r="M44" s="4">
        <f>+AD_tis!M44*AD_tis!M$49*AD_tis!$BF44</f>
        <v>0</v>
      </c>
      <c r="N44" s="4">
        <f>+AD_tis!N44*AD_tis!N$49*AD_tis!$BF44</f>
        <v>0</v>
      </c>
      <c r="O44" s="4">
        <f>+AD_tis!O44*AD_tis!O$49*AD_tis!$BF44</f>
        <v>0</v>
      </c>
      <c r="P44" s="4">
        <f>+AD_tis!P44*AD_tis!P$49*AD_tis!$BF44</f>
        <v>0</v>
      </c>
      <c r="Q44" s="4">
        <f>+AD_tis!Q44*AD_tis!Q$49*AD_tis!$BF44</f>
        <v>0</v>
      </c>
      <c r="R44" s="13">
        <f>+AD_tis!R44*AD_tis!R$49*AD_tis!$BF44</f>
        <v>0</v>
      </c>
      <c r="S44" s="4">
        <f>+AD_tis!S44*AD_tis!S$49*AD_tis!$BF44</f>
        <v>0</v>
      </c>
      <c r="T44" s="4">
        <f>+AD_tis!T44*AD_tis!T$49*AD_tis!$BF44</f>
        <v>0</v>
      </c>
      <c r="U44" s="4">
        <f>+AD_tis!U44*AD_tis!U$49*AD_tis!$BF44</f>
        <v>0</v>
      </c>
      <c r="V44" s="4">
        <f>+AD_tis!V44*AD_tis!V$49*AD_tis!$BF44</f>
        <v>0</v>
      </c>
      <c r="W44" s="4">
        <f>+AD_tis!W44*AD_tis!W$49*AD_tis!$BF44</f>
        <v>0</v>
      </c>
      <c r="X44" s="4">
        <f>+AD_tis!X44*AD_tis!X$49*AD_tis!$BF44</f>
        <v>0</v>
      </c>
      <c r="Y44" s="4">
        <f>+AD_tis!Y44*AD_tis!Y$49*AD_tis!$BF44</f>
        <v>0</v>
      </c>
      <c r="Z44" s="4">
        <f>+AD_tis!Z44*AD_tis!Z$49*AD_tis!$BF44</f>
        <v>0</v>
      </c>
      <c r="AA44" s="4">
        <f>+AD_tis!AA44*AD_tis!AA$49*AD_tis!$BF44</f>
        <v>0</v>
      </c>
      <c r="AB44" s="4">
        <f>+AD_tis!AB44*AD_tis!AB$49*AD_tis!$BF44</f>
        <v>0</v>
      </c>
      <c r="AC44" s="12">
        <f>+AD_tis!AC44*AD_tis!AC$49*AD_tis!$BF44</f>
        <v>0</v>
      </c>
      <c r="AD44" s="4">
        <f>+AD_tis!AD44*AD_tis!AD$49*AD_tis!$BF44</f>
        <v>0</v>
      </c>
      <c r="AE44" s="4">
        <f>+AD_tis!AE44*AD_tis!AE$49*AD_tis!$BF44</f>
        <v>0</v>
      </c>
      <c r="AF44" s="4">
        <f>+AD_tis!AF44*AD_tis!AF$49*AD_tis!$BF44</f>
        <v>0</v>
      </c>
      <c r="AG44" s="4">
        <f>+AD_tis!AG44*AD_tis!AG$49*AD_tis!$BF44</f>
        <v>0</v>
      </c>
      <c r="AH44" s="4">
        <f>+AD_tis!AH44*AD_tis!AH$49*AD_tis!$BF44</f>
        <v>0</v>
      </c>
      <c r="AI44" s="4">
        <f>+AD_tis!AI44*AD_tis!AI$49*AD_tis!$BF44</f>
        <v>0</v>
      </c>
      <c r="AJ44" s="4">
        <f>+AD_tis!AJ44*AD_tis!AJ$49*AD_tis!$BF44</f>
        <v>0</v>
      </c>
      <c r="AK44" s="4">
        <f>+AD_tis!AK44*AD_tis!AK$49*AD_tis!$BF44</f>
        <v>0</v>
      </c>
      <c r="AL44" s="4">
        <f>+AD_tis!AL44*AD_tis!AL$49*AD_tis!$BF44</f>
        <v>0</v>
      </c>
      <c r="AM44" s="13">
        <f>+AD_tis!AM44*AD_tis!AM$49*AD_tis!$BF44</f>
        <v>0</v>
      </c>
      <c r="AN44" s="4">
        <f>+AD_tis!AN44*AD_tis!AN$49*AD_tis!$BF44</f>
        <v>0</v>
      </c>
      <c r="AO44" s="4">
        <f>+AD_tis!AO44*AD_tis!AO$49*AD_tis!$BF44</f>
        <v>0</v>
      </c>
      <c r="AP44" s="4">
        <f>+AD_tis!AP44*AD_tis!AP$49*AD_tis!$BF44</f>
        <v>0</v>
      </c>
      <c r="AQ44" s="4">
        <f>+AD_tis!AQ44*AD_tis!AQ$49*AD_tis!$BF44</f>
        <v>0</v>
      </c>
      <c r="AR44" s="4">
        <f>+AD_tis!AR44*AD_tis!AR$49*AD_tis!$BF44</f>
        <v>0</v>
      </c>
      <c r="AS44" s="4">
        <f>+AD_tis!AS44*AD_tis!AS$49*AD_tis!$BF44</f>
        <v>0</v>
      </c>
      <c r="AT44" s="4">
        <f>+AD_tis!AT44*AD_tis!AT$49*AD_tis!$BF44</f>
        <v>0</v>
      </c>
      <c r="AU44" s="4">
        <f>+AD_tis!AU44*AD_tis!AU$49*AD_tis!$BF44</f>
        <v>0</v>
      </c>
      <c r="AV44" s="4">
        <f>+AD_tis!AV44*AD_tis!AV$49*AD_tis!$BF44</f>
        <v>0</v>
      </c>
      <c r="AW44" s="12">
        <f>+AD_tis!AW44*AD_tis!AW$49*AD_tis!$BF44</f>
        <v>0</v>
      </c>
      <c r="AX44" s="13">
        <f>+AD_tis!AX44*AD_tis!AX$49*AD_tis!$BF44</f>
        <v>0</v>
      </c>
      <c r="AY44" s="4">
        <f>+AD_tis!AY44*AD_tis!AY$49*AD_tis!$BF44</f>
        <v>0</v>
      </c>
      <c r="AZ44" s="4">
        <f>+AD_tis!AZ44*AD_tis!AZ$49*AD_tis!$BF44</f>
        <v>0</v>
      </c>
      <c r="BA44" s="12">
        <f>+AD_tis!BA44*AD_tis!BA$49*AD_tis!$BF44</f>
        <v>0</v>
      </c>
      <c r="BB44" s="4">
        <f>+AD_tis!BB44*AD_tis!BB$49*AD_tis!$BF44</f>
        <v>0</v>
      </c>
      <c r="BC44" s="13">
        <f>+AD_tis!BC44*AD_tis!BC$49*AD_tis!$BF44</f>
        <v>0</v>
      </c>
    </row>
    <row r="45" spans="1:55" ht="18.75" customHeight="1" x14ac:dyDescent="0.25">
      <c r="A45" s="5" t="s">
        <v>96</v>
      </c>
      <c r="B45" s="12">
        <f>+AD_tis!B45*AD_tis!B$49*AD_tis!$BF45</f>
        <v>0</v>
      </c>
      <c r="C45" s="4">
        <f>+AD_tis!C45*AD_tis!C$49*AD_tis!$BF45</f>
        <v>0</v>
      </c>
      <c r="D45" s="4">
        <f>+AD_tis!D45*AD_tis!D$49*AD_tis!$BF45</f>
        <v>0</v>
      </c>
      <c r="E45" s="4">
        <f>+AD_tis!E45*AD_tis!E$49*AD_tis!$BF45</f>
        <v>0</v>
      </c>
      <c r="F45" s="4">
        <f>+AD_tis!F45*AD_tis!F$49*AD_tis!$BF45</f>
        <v>0</v>
      </c>
      <c r="G45" s="4">
        <f>+AD_tis!G45*AD_tis!G$49*AD_tis!$BF45</f>
        <v>1</v>
      </c>
      <c r="H45" s="4">
        <f>+AD_tis!H45*AD_tis!H$49*AD_tis!$BF45</f>
        <v>0</v>
      </c>
      <c r="I45" s="4">
        <f>+AD_tis!I45*AD_tis!I$49*AD_tis!$BF45</f>
        <v>0</v>
      </c>
      <c r="J45" s="4">
        <f>+AD_tis!J45*AD_tis!J$49*AD_tis!$BF45</f>
        <v>0</v>
      </c>
      <c r="K45" s="4">
        <f>+AD_tis!K45*AD_tis!K$49*AD_tis!$BF45</f>
        <v>0</v>
      </c>
      <c r="L45" s="4">
        <f>+AD_tis!L45*AD_tis!L$49*AD_tis!$BF45</f>
        <v>0</v>
      </c>
      <c r="M45" s="4">
        <f>+AD_tis!M45*AD_tis!M$49*AD_tis!$BF45</f>
        <v>0</v>
      </c>
      <c r="N45" s="4">
        <f>+AD_tis!N45*AD_tis!N$49*AD_tis!$BF45</f>
        <v>0</v>
      </c>
      <c r="O45" s="4">
        <f>+AD_tis!O45*AD_tis!O$49*AD_tis!$BF45</f>
        <v>0</v>
      </c>
      <c r="P45" s="4">
        <f>+AD_tis!P45*AD_tis!P$49*AD_tis!$BF45</f>
        <v>0</v>
      </c>
      <c r="Q45" s="4">
        <f>+AD_tis!Q45*AD_tis!Q$49*AD_tis!$BF45</f>
        <v>0</v>
      </c>
      <c r="R45" s="13">
        <f>+AD_tis!R45*AD_tis!R$49*AD_tis!$BF45</f>
        <v>0</v>
      </c>
      <c r="S45" s="4">
        <f>+AD_tis!S45*AD_tis!S$49*AD_tis!$BF45</f>
        <v>0</v>
      </c>
      <c r="T45" s="4">
        <f>+AD_tis!T45*AD_tis!T$49*AD_tis!$BF45</f>
        <v>0</v>
      </c>
      <c r="U45" s="4">
        <f>+AD_tis!U45*AD_tis!U$49*AD_tis!$BF45</f>
        <v>0</v>
      </c>
      <c r="V45" s="4">
        <f>+AD_tis!V45*AD_tis!V$49*AD_tis!$BF45</f>
        <v>0</v>
      </c>
      <c r="W45" s="4">
        <f>+AD_tis!W45*AD_tis!W$49*AD_tis!$BF45</f>
        <v>0</v>
      </c>
      <c r="X45" s="4">
        <f>+AD_tis!X45*AD_tis!X$49*AD_tis!$BF45</f>
        <v>0</v>
      </c>
      <c r="Y45" s="4">
        <f>+AD_tis!Y45*AD_tis!Y$49*AD_tis!$BF45</f>
        <v>0</v>
      </c>
      <c r="Z45" s="4">
        <f>+AD_tis!Z45*AD_tis!Z$49*AD_tis!$BF45</f>
        <v>0</v>
      </c>
      <c r="AA45" s="4">
        <f>+AD_tis!AA45*AD_tis!AA$49*AD_tis!$BF45</f>
        <v>0</v>
      </c>
      <c r="AB45" s="4">
        <f>+AD_tis!AB45*AD_tis!AB$49*AD_tis!$BF45</f>
        <v>0</v>
      </c>
      <c r="AC45" s="12">
        <f>+AD_tis!AC45*AD_tis!AC$49*AD_tis!$BF45</f>
        <v>0</v>
      </c>
      <c r="AD45" s="4">
        <f>+AD_tis!AD45*AD_tis!AD$49*AD_tis!$BF45</f>
        <v>0</v>
      </c>
      <c r="AE45" s="4">
        <f>+AD_tis!AE45*AD_tis!AE$49*AD_tis!$BF45</f>
        <v>0</v>
      </c>
      <c r="AF45" s="4">
        <f>+AD_tis!AF45*AD_tis!AF$49*AD_tis!$BF45</f>
        <v>0</v>
      </c>
      <c r="AG45" s="4">
        <f>+AD_tis!AG45*AD_tis!AG$49*AD_tis!$BF45</f>
        <v>0</v>
      </c>
      <c r="AH45" s="4">
        <f>+AD_tis!AH45*AD_tis!AH$49*AD_tis!$BF45</f>
        <v>0</v>
      </c>
      <c r="AI45" s="4">
        <f>+AD_tis!AI45*AD_tis!AI$49*AD_tis!$BF45</f>
        <v>0</v>
      </c>
      <c r="AJ45" s="4">
        <f>+AD_tis!AJ45*AD_tis!AJ$49*AD_tis!$BF45</f>
        <v>0</v>
      </c>
      <c r="AK45" s="4">
        <f>+AD_tis!AK45*AD_tis!AK$49*AD_tis!$BF45</f>
        <v>0</v>
      </c>
      <c r="AL45" s="4">
        <f>+AD_tis!AL45*AD_tis!AL$49*AD_tis!$BF45</f>
        <v>0</v>
      </c>
      <c r="AM45" s="13">
        <f>+AD_tis!AM45*AD_tis!AM$49*AD_tis!$BF45</f>
        <v>0</v>
      </c>
      <c r="AN45" s="4">
        <f>+AD_tis!AN45*AD_tis!AN$49*AD_tis!$BF45</f>
        <v>0</v>
      </c>
      <c r="AO45" s="4">
        <f>+AD_tis!AO45*AD_tis!AO$49*AD_tis!$BF45</f>
        <v>0</v>
      </c>
      <c r="AP45" s="4">
        <f>+AD_tis!AP45*AD_tis!AP$49*AD_tis!$BF45</f>
        <v>0</v>
      </c>
      <c r="AQ45" s="4">
        <f>+AD_tis!AQ45*AD_tis!AQ$49*AD_tis!$BF45</f>
        <v>0</v>
      </c>
      <c r="AR45" s="4">
        <f>+AD_tis!AR45*AD_tis!AR$49*AD_tis!$BF45</f>
        <v>0</v>
      </c>
      <c r="AS45" s="4">
        <f>+AD_tis!AS45*AD_tis!AS$49*AD_tis!$BF45</f>
        <v>0</v>
      </c>
      <c r="AT45" s="4">
        <f>+AD_tis!AT45*AD_tis!AT$49*AD_tis!$BF45</f>
        <v>0</v>
      </c>
      <c r="AU45" s="4">
        <f>+AD_tis!AU45*AD_tis!AU$49*AD_tis!$BF45</f>
        <v>0</v>
      </c>
      <c r="AV45" s="4">
        <f>+AD_tis!AV45*AD_tis!AV$49*AD_tis!$BF45</f>
        <v>0</v>
      </c>
      <c r="AW45" s="12">
        <f>+AD_tis!AW45*AD_tis!AW$49*AD_tis!$BF45</f>
        <v>0</v>
      </c>
      <c r="AX45" s="13">
        <f>+AD_tis!AX45*AD_tis!AX$49*AD_tis!$BF45</f>
        <v>0</v>
      </c>
      <c r="AY45" s="4">
        <f>+AD_tis!AY45*AD_tis!AY$49*AD_tis!$BF45</f>
        <v>0</v>
      </c>
      <c r="AZ45" s="4">
        <f>+AD_tis!AZ45*AD_tis!AZ$49*AD_tis!$BF45</f>
        <v>0</v>
      </c>
      <c r="BA45" s="12">
        <f>+AD_tis!BA45*AD_tis!BA$49*AD_tis!$BF45</f>
        <v>0</v>
      </c>
      <c r="BB45" s="4">
        <f>+AD_tis!BB45*AD_tis!BB$49*AD_tis!$BF45</f>
        <v>0</v>
      </c>
      <c r="BC45" s="13">
        <f>+AD_tis!BC45*AD_tis!BC$49*AD_tis!$BF45</f>
        <v>0</v>
      </c>
    </row>
    <row r="46" spans="1:55" ht="18.75" customHeight="1" x14ac:dyDescent="0.25">
      <c r="A46" s="6" t="s">
        <v>97</v>
      </c>
      <c r="B46" s="12">
        <f>+AD_tis!B46*AD_tis!B$49*AD_tis!$BF46</f>
        <v>0</v>
      </c>
      <c r="C46" s="4">
        <f>+AD_tis!C46*AD_tis!C$49*AD_tis!$BF46</f>
        <v>0</v>
      </c>
      <c r="D46" s="4">
        <f>+AD_tis!D46*AD_tis!D$49*AD_tis!$BF46</f>
        <v>0</v>
      </c>
      <c r="E46" s="4">
        <f>+AD_tis!E46*AD_tis!E$49*AD_tis!$BF46</f>
        <v>0</v>
      </c>
      <c r="F46" s="4">
        <f>+AD_tis!F46*AD_tis!F$49*AD_tis!$BF46</f>
        <v>0</v>
      </c>
      <c r="G46" s="4">
        <f>+AD_tis!G46*AD_tis!G$49*AD_tis!$BF46</f>
        <v>0</v>
      </c>
      <c r="H46" s="4">
        <f>+AD_tis!H46*AD_tis!H$49*AD_tis!$BF46</f>
        <v>0</v>
      </c>
      <c r="I46" s="4">
        <f>+AD_tis!I46*AD_tis!I$49*AD_tis!$BF46</f>
        <v>0</v>
      </c>
      <c r="J46" s="4">
        <f>+AD_tis!J46*AD_tis!J$49*AD_tis!$BF46</f>
        <v>0</v>
      </c>
      <c r="K46" s="4">
        <f>+AD_tis!K46*AD_tis!K$49*AD_tis!$BF46</f>
        <v>1</v>
      </c>
      <c r="L46" s="4">
        <f>+AD_tis!L46*AD_tis!L$49*AD_tis!$BF46</f>
        <v>0</v>
      </c>
      <c r="M46" s="4">
        <f>+AD_tis!M46*AD_tis!M$49*AD_tis!$BF46</f>
        <v>0</v>
      </c>
      <c r="N46" s="4">
        <f>+AD_tis!N46*AD_tis!N$49*AD_tis!$BF46</f>
        <v>0</v>
      </c>
      <c r="O46" s="4">
        <f>+AD_tis!O46*AD_tis!O$49*AD_tis!$BF46</f>
        <v>0</v>
      </c>
      <c r="P46" s="4">
        <f>+AD_tis!P46*AD_tis!P$49*AD_tis!$BF46</f>
        <v>0</v>
      </c>
      <c r="Q46" s="4">
        <f>+AD_tis!Q46*AD_tis!Q$49*AD_tis!$BF46</f>
        <v>0</v>
      </c>
      <c r="R46" s="13">
        <f>+AD_tis!R46*AD_tis!R$49*AD_tis!$BF46</f>
        <v>0</v>
      </c>
      <c r="S46" s="4">
        <f>+AD_tis!S46*AD_tis!S$49*AD_tis!$BF46</f>
        <v>0</v>
      </c>
      <c r="T46" s="4">
        <f>+AD_tis!T46*AD_tis!T$49*AD_tis!$BF46</f>
        <v>0</v>
      </c>
      <c r="U46" s="4">
        <f>+AD_tis!U46*AD_tis!U$49*AD_tis!$BF46</f>
        <v>0</v>
      </c>
      <c r="V46" s="4">
        <f>+AD_tis!V46*AD_tis!V$49*AD_tis!$BF46</f>
        <v>0</v>
      </c>
      <c r="W46" s="4">
        <f>+AD_tis!W46*AD_tis!W$49*AD_tis!$BF46</f>
        <v>0</v>
      </c>
      <c r="X46" s="4">
        <f>+AD_tis!X46*AD_tis!X$49*AD_tis!$BF46</f>
        <v>0</v>
      </c>
      <c r="Y46" s="4">
        <f>+AD_tis!Y46*AD_tis!Y$49*AD_tis!$BF46</f>
        <v>0</v>
      </c>
      <c r="Z46" s="4">
        <f>+AD_tis!Z46*AD_tis!Z$49*AD_tis!$BF46</f>
        <v>0</v>
      </c>
      <c r="AA46" s="4">
        <f>+AD_tis!AA46*AD_tis!AA$49*AD_tis!$BF46</f>
        <v>0</v>
      </c>
      <c r="AB46" s="4">
        <f>+AD_tis!AB46*AD_tis!AB$49*AD_tis!$BF46</f>
        <v>0</v>
      </c>
      <c r="AC46" s="12">
        <f>+AD_tis!AC46*AD_tis!AC$49*AD_tis!$BF46</f>
        <v>0</v>
      </c>
      <c r="AD46" s="4">
        <f>+AD_tis!AD46*AD_tis!AD$49*AD_tis!$BF46</f>
        <v>0</v>
      </c>
      <c r="AE46" s="4">
        <f>+AD_tis!AE46*AD_tis!AE$49*AD_tis!$BF46</f>
        <v>0</v>
      </c>
      <c r="AF46" s="4">
        <f>+AD_tis!AF46*AD_tis!AF$49*AD_tis!$BF46</f>
        <v>0</v>
      </c>
      <c r="AG46" s="4">
        <f>+AD_tis!AG46*AD_tis!AG$49*AD_tis!$BF46</f>
        <v>0</v>
      </c>
      <c r="AH46" s="4">
        <f>+AD_tis!AH46*AD_tis!AH$49*AD_tis!$BF46</f>
        <v>0</v>
      </c>
      <c r="AI46" s="4">
        <f>+AD_tis!AI46*AD_tis!AI$49*AD_tis!$BF46</f>
        <v>0</v>
      </c>
      <c r="AJ46" s="4">
        <f>+AD_tis!AJ46*AD_tis!AJ$49*AD_tis!$BF46</f>
        <v>0</v>
      </c>
      <c r="AK46" s="4">
        <f>+AD_tis!AK46*AD_tis!AK$49*AD_tis!$BF46</f>
        <v>0</v>
      </c>
      <c r="AL46" s="4">
        <f>+AD_tis!AL46*AD_tis!AL$49*AD_tis!$BF46</f>
        <v>0</v>
      </c>
      <c r="AM46" s="13">
        <f>+AD_tis!AM46*AD_tis!AM$49*AD_tis!$BF46</f>
        <v>0</v>
      </c>
      <c r="AN46" s="4">
        <f>+AD_tis!AN46*AD_tis!AN$49*AD_tis!$BF46</f>
        <v>0</v>
      </c>
      <c r="AO46" s="4">
        <f>+AD_tis!AO46*AD_tis!AO$49*AD_tis!$BF46</f>
        <v>0</v>
      </c>
      <c r="AP46" s="4">
        <f>+AD_tis!AP46*AD_tis!AP$49*AD_tis!$BF46</f>
        <v>0</v>
      </c>
      <c r="AQ46" s="4">
        <f>+AD_tis!AQ46*AD_tis!AQ$49*AD_tis!$BF46</f>
        <v>0</v>
      </c>
      <c r="AR46" s="4">
        <f>+AD_tis!AR46*AD_tis!AR$49*AD_tis!$BF46</f>
        <v>0</v>
      </c>
      <c r="AS46" s="4">
        <f>+AD_tis!AS46*AD_tis!AS$49*AD_tis!$BF46</f>
        <v>0</v>
      </c>
      <c r="AT46" s="4">
        <f>+AD_tis!AT46*AD_tis!AT$49*AD_tis!$BF46</f>
        <v>0</v>
      </c>
      <c r="AU46" s="4">
        <f>+AD_tis!AU46*AD_tis!AU$49*AD_tis!$BF46</f>
        <v>0</v>
      </c>
      <c r="AV46" s="4">
        <f>+AD_tis!AV46*AD_tis!AV$49*AD_tis!$BF46</f>
        <v>0</v>
      </c>
      <c r="AW46" s="12">
        <f>+AD_tis!AW46*AD_tis!AW$49*AD_tis!$BF46</f>
        <v>0</v>
      </c>
      <c r="AX46" s="13">
        <f>+AD_tis!AX46*AD_tis!AX$49*AD_tis!$BF46</f>
        <v>0</v>
      </c>
      <c r="AY46" s="4">
        <f>+AD_tis!AY46*AD_tis!AY$49*AD_tis!$BF46</f>
        <v>0</v>
      </c>
      <c r="AZ46" s="4">
        <f>+AD_tis!AZ46*AD_tis!AZ$49*AD_tis!$BF46</f>
        <v>0</v>
      </c>
      <c r="BA46" s="12">
        <f>+AD_tis!BA46*AD_tis!BA$49*AD_tis!$BF46</f>
        <v>0</v>
      </c>
      <c r="BB46" s="4">
        <f>+AD_tis!BB46*AD_tis!BB$49*AD_tis!$BF46</f>
        <v>0</v>
      </c>
      <c r="BC46" s="13">
        <f>+AD_tis!BC46*AD_tis!BC$49*AD_tis!$BF46</f>
        <v>0</v>
      </c>
    </row>
  </sheetData>
  <conditionalFormatting sqref="B2:BC46">
    <cfRule type="cellIs" dxfId="14" priority="1" operator="equal">
      <formula>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BC46"/>
  <sheetViews>
    <sheetView workbookViewId="0">
      <selection activeCell="N5" sqref="N5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</cols>
  <sheetData>
    <row r="1" spans="1:55" ht="18.7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8.75" customHeight="1" x14ac:dyDescent="0.25">
      <c r="A2" s="3" t="str">
        <f>"T"&amp;_xlfn.SEQUENCE(36,1,1,1)</f>
        <v>T1</v>
      </c>
      <c r="B2" s="9">
        <f>+AD_tis!B2*AD_tis!B$50*AD_tis!$BG2</f>
        <v>0</v>
      </c>
      <c r="C2" s="10">
        <f>+AD_tis!C2*AD_tis!C$50*AD_tis!$BG2</f>
        <v>0</v>
      </c>
      <c r="D2" s="10">
        <f>+AD_tis!D2*AD_tis!D$50*AD_tis!$BG2</f>
        <v>0</v>
      </c>
      <c r="E2" s="10">
        <f>+AD_tis!E2*AD_tis!E$50*AD_tis!$BG2</f>
        <v>0</v>
      </c>
      <c r="F2" s="10">
        <f>+AD_tis!F2*AD_tis!F$50*AD_tis!$BG2</f>
        <v>0</v>
      </c>
      <c r="G2" s="10">
        <f>+AD_tis!G2*AD_tis!G$50*AD_tis!$BG2</f>
        <v>0</v>
      </c>
      <c r="H2" s="10">
        <f>+AD_tis!H2*AD_tis!H$50*AD_tis!$BG2</f>
        <v>0</v>
      </c>
      <c r="I2" s="10">
        <f>+AD_tis!I2*AD_tis!I$50*AD_tis!$BG2</f>
        <v>0</v>
      </c>
      <c r="J2" s="10">
        <f>+AD_tis!J2*AD_tis!J$50*AD_tis!$BG2</f>
        <v>0</v>
      </c>
      <c r="K2" s="10">
        <f>+AD_tis!K2*AD_tis!K$50*AD_tis!$BG2</f>
        <v>0</v>
      </c>
      <c r="L2" s="10">
        <f>+AD_tis!L2*AD_tis!L$50*AD_tis!$BG2</f>
        <v>0</v>
      </c>
      <c r="M2" s="10">
        <f>+AD_tis!M2*AD_tis!M$50*AD_tis!$BG2</f>
        <v>0</v>
      </c>
      <c r="N2" s="10">
        <f>+AD_tis!N2*AD_tis!N$50*AD_tis!$BG2</f>
        <v>0</v>
      </c>
      <c r="O2" s="10">
        <f>+AD_tis!O2*AD_tis!O$50*AD_tis!$BG2</f>
        <v>0</v>
      </c>
      <c r="P2" s="10">
        <f>+AD_tis!P2*AD_tis!P$50*AD_tis!$BG2</f>
        <v>0</v>
      </c>
      <c r="Q2" s="10">
        <f>+AD_tis!Q2*AD_tis!Q$50*AD_tis!$BG2</f>
        <v>0</v>
      </c>
      <c r="R2" s="11">
        <f>+AD_tis!R2*AD_tis!R$50*AD_tis!$BG2</f>
        <v>0</v>
      </c>
      <c r="S2" s="10">
        <f>+AD_tis!S2*AD_tis!S$50*AD_tis!$BG2</f>
        <v>0</v>
      </c>
      <c r="T2" s="10">
        <f>+AD_tis!T2*AD_tis!T$50*AD_tis!$BG2</f>
        <v>0</v>
      </c>
      <c r="U2" s="10">
        <f>+AD_tis!U2*AD_tis!U$50*AD_tis!$BG2</f>
        <v>0</v>
      </c>
      <c r="V2" s="10">
        <f>+AD_tis!V2*AD_tis!V$50*AD_tis!$BG2</f>
        <v>0</v>
      </c>
      <c r="W2" s="10">
        <f>+AD_tis!W2*AD_tis!W$50*AD_tis!$BG2</f>
        <v>0</v>
      </c>
      <c r="X2" s="10">
        <f>+AD_tis!X2*AD_tis!X$50*AD_tis!$BG2</f>
        <v>0</v>
      </c>
      <c r="Y2" s="10">
        <f>+AD_tis!Y2*AD_tis!Y$50*AD_tis!$BG2</f>
        <v>0</v>
      </c>
      <c r="Z2" s="10">
        <f>+AD_tis!Z2*AD_tis!Z$50*AD_tis!$BG2</f>
        <v>0</v>
      </c>
      <c r="AA2" s="10">
        <f>+AD_tis!AA2*AD_tis!AA$50*AD_tis!$BG2</f>
        <v>0</v>
      </c>
      <c r="AB2" s="10">
        <f>+AD_tis!AB2*AD_tis!AB$50*AD_tis!$BG2</f>
        <v>0</v>
      </c>
      <c r="AC2" s="9">
        <f>+AD_tis!AC2*AD_tis!AC$50*AD_tis!$BG2</f>
        <v>0</v>
      </c>
      <c r="AD2" s="10">
        <f>+AD_tis!AD2*AD_tis!AD$50*AD_tis!$BG2</f>
        <v>0</v>
      </c>
      <c r="AE2" s="10">
        <f>+AD_tis!AE2*AD_tis!AE$50*AD_tis!$BG2</f>
        <v>0</v>
      </c>
      <c r="AF2" s="10">
        <f>+AD_tis!AF2*AD_tis!AF$50*AD_tis!$BG2</f>
        <v>0</v>
      </c>
      <c r="AG2" s="10">
        <f>+AD_tis!AG2*AD_tis!AG$50*AD_tis!$BG2</f>
        <v>0</v>
      </c>
      <c r="AH2" s="10">
        <f>+AD_tis!AH2*AD_tis!AH$50*AD_tis!$BG2</f>
        <v>0</v>
      </c>
      <c r="AI2" s="10">
        <f>+AD_tis!AI2*AD_tis!AI$50*AD_tis!$BG2</f>
        <v>0</v>
      </c>
      <c r="AJ2" s="10">
        <f>+AD_tis!AJ2*AD_tis!AJ$50*AD_tis!$BG2</f>
        <v>0</v>
      </c>
      <c r="AK2" s="10">
        <f>+AD_tis!AK2*AD_tis!AK$50*AD_tis!$BG2</f>
        <v>0</v>
      </c>
      <c r="AL2" s="10">
        <f>+AD_tis!AL2*AD_tis!AL$50*AD_tis!$BG2</f>
        <v>0</v>
      </c>
      <c r="AM2" s="11">
        <f>+AD_tis!AM2*AD_tis!AM$50*AD_tis!$BG2</f>
        <v>0</v>
      </c>
      <c r="AN2" s="10">
        <f>+AD_tis!AN2*AD_tis!AN$50*AD_tis!$BG2</f>
        <v>0</v>
      </c>
      <c r="AO2" s="10">
        <f>+AD_tis!AO2*AD_tis!AO$50*AD_tis!$BG2</f>
        <v>0</v>
      </c>
      <c r="AP2" s="10">
        <f>+AD_tis!AP2*AD_tis!AP$50*AD_tis!$BG2</f>
        <v>0</v>
      </c>
      <c r="AQ2" s="10">
        <f>+AD_tis!AQ2*AD_tis!AQ$50*AD_tis!$BG2</f>
        <v>0</v>
      </c>
      <c r="AR2" s="10">
        <f>+AD_tis!AR2*AD_tis!AR$50*AD_tis!$BG2</f>
        <v>0</v>
      </c>
      <c r="AS2" s="10">
        <f>+AD_tis!AS2*AD_tis!AS$50*AD_tis!$BG2</f>
        <v>0</v>
      </c>
      <c r="AT2" s="10">
        <f>+AD_tis!AT2*AD_tis!AT$50*AD_tis!$BG2</f>
        <v>0</v>
      </c>
      <c r="AU2" s="10">
        <f>+AD_tis!AU2*AD_tis!AU$50*AD_tis!$BG2</f>
        <v>0</v>
      </c>
      <c r="AV2" s="10">
        <f>+AD_tis!AV2*AD_tis!AV$50*AD_tis!$BG2</f>
        <v>0</v>
      </c>
      <c r="AW2" s="9">
        <f>+AD_tis!AW2*AD_tis!AW$50*AD_tis!$BG2</f>
        <v>0</v>
      </c>
      <c r="AX2" s="11">
        <f>+AD_tis!AX2*AD_tis!AX$50*AD_tis!$BG2</f>
        <v>0</v>
      </c>
      <c r="AY2" s="10">
        <f>+AD_tis!AY2*AD_tis!AY$50*AD_tis!$BG2</f>
        <v>0</v>
      </c>
      <c r="AZ2" s="10">
        <f>+AD_tis!AZ2*AD_tis!AZ$50*AD_tis!$BG2</f>
        <v>0</v>
      </c>
      <c r="BA2" s="9">
        <f>+AD_tis!BA2*AD_tis!BA$50*AD_tis!$BG2</f>
        <v>0</v>
      </c>
      <c r="BB2" s="10">
        <f>+AD_tis!BB2*AD_tis!BB$50*AD_tis!$BG2</f>
        <v>0</v>
      </c>
      <c r="BC2" s="11">
        <f>+AD_tis!BC2*AD_tis!BC$50*AD_tis!$BG2</f>
        <v>0</v>
      </c>
    </row>
    <row r="3" spans="1:55" ht="18.75" customHeight="1" x14ac:dyDescent="0.25">
      <c r="A3" s="5" t="s">
        <v>54</v>
      </c>
      <c r="B3" s="12">
        <f>+AD_tis!B3*AD_tis!B$50*AD_tis!$BG3</f>
        <v>0</v>
      </c>
      <c r="C3" s="4">
        <f>+AD_tis!C3*AD_tis!C$50*AD_tis!$BG3</f>
        <v>0</v>
      </c>
      <c r="D3" s="4">
        <f>+AD_tis!D3*AD_tis!D$50*AD_tis!$BG3</f>
        <v>0</v>
      </c>
      <c r="E3" s="4">
        <f>+AD_tis!E3*AD_tis!E$50*AD_tis!$BG3</f>
        <v>0</v>
      </c>
      <c r="F3" s="4">
        <f>+AD_tis!F3*AD_tis!F$50*AD_tis!$BG3</f>
        <v>0</v>
      </c>
      <c r="G3" s="4">
        <f>+AD_tis!G3*AD_tis!G$50*AD_tis!$BG3</f>
        <v>0</v>
      </c>
      <c r="H3" s="4">
        <f>+AD_tis!H3*AD_tis!H$50*AD_tis!$BG3</f>
        <v>0</v>
      </c>
      <c r="I3" s="4">
        <f>+AD_tis!I3*AD_tis!I$50*AD_tis!$BG3</f>
        <v>0</v>
      </c>
      <c r="J3" s="4">
        <f>+AD_tis!J3*AD_tis!J$50*AD_tis!$BG3</f>
        <v>0</v>
      </c>
      <c r="K3" s="4">
        <f>+AD_tis!K3*AD_tis!K$50*AD_tis!$BG3</f>
        <v>0</v>
      </c>
      <c r="L3" s="4">
        <f>+AD_tis!L3*AD_tis!L$50*AD_tis!$BG3</f>
        <v>0</v>
      </c>
      <c r="M3" s="4">
        <f>+AD_tis!M3*AD_tis!M$50*AD_tis!$BG3</f>
        <v>0</v>
      </c>
      <c r="N3" s="4">
        <f>+AD_tis!N3*AD_tis!N$50*AD_tis!$BG3</f>
        <v>0</v>
      </c>
      <c r="O3" s="4">
        <f>+AD_tis!O3*AD_tis!O$50*AD_tis!$BG3</f>
        <v>0</v>
      </c>
      <c r="P3" s="4">
        <f>+AD_tis!P3*AD_tis!P$50*AD_tis!$BG3</f>
        <v>0</v>
      </c>
      <c r="Q3" s="4">
        <f>+AD_tis!Q3*AD_tis!Q$50*AD_tis!$BG3</f>
        <v>0</v>
      </c>
      <c r="R3" s="13">
        <f>+AD_tis!R3*AD_tis!R$50*AD_tis!$BG3</f>
        <v>0</v>
      </c>
      <c r="S3" s="4">
        <f>+AD_tis!S3*AD_tis!S$50*AD_tis!$BG3</f>
        <v>0</v>
      </c>
      <c r="T3" s="4">
        <f>+AD_tis!T3*AD_tis!T$50*AD_tis!$BG3</f>
        <v>0</v>
      </c>
      <c r="U3" s="4">
        <f>+AD_tis!U3*AD_tis!U$50*AD_tis!$BG3</f>
        <v>0</v>
      </c>
      <c r="V3" s="4">
        <f>+AD_tis!V3*AD_tis!V$50*AD_tis!$BG3</f>
        <v>0</v>
      </c>
      <c r="W3" s="4">
        <f>+AD_tis!W3*AD_tis!W$50*AD_tis!$BG3</f>
        <v>0</v>
      </c>
      <c r="X3" s="4">
        <f>+AD_tis!X3*AD_tis!X$50*AD_tis!$BG3</f>
        <v>0</v>
      </c>
      <c r="Y3" s="4">
        <f>+AD_tis!Y3*AD_tis!Y$50*AD_tis!$BG3</f>
        <v>0</v>
      </c>
      <c r="Z3" s="4">
        <f>+AD_tis!Z3*AD_tis!Z$50*AD_tis!$BG3</f>
        <v>0</v>
      </c>
      <c r="AA3" s="4">
        <f>+AD_tis!AA3*AD_tis!AA$50*AD_tis!$BG3</f>
        <v>0</v>
      </c>
      <c r="AB3" s="4">
        <f>+AD_tis!AB3*AD_tis!AB$50*AD_tis!$BG3</f>
        <v>0</v>
      </c>
      <c r="AC3" s="12">
        <f>+AD_tis!AC3*AD_tis!AC$50*AD_tis!$BG3</f>
        <v>0</v>
      </c>
      <c r="AD3" s="4">
        <f>+AD_tis!AD3*AD_tis!AD$50*AD_tis!$BG3</f>
        <v>0</v>
      </c>
      <c r="AE3" s="4">
        <f>+AD_tis!AE3*AD_tis!AE$50*AD_tis!$BG3</f>
        <v>0</v>
      </c>
      <c r="AF3" s="4">
        <f>+AD_tis!AF3*AD_tis!AF$50*AD_tis!$BG3</f>
        <v>0</v>
      </c>
      <c r="AG3" s="4">
        <f>+AD_tis!AG3*AD_tis!AG$50*AD_tis!$BG3</f>
        <v>0</v>
      </c>
      <c r="AH3" s="4">
        <f>+AD_tis!AH3*AD_tis!AH$50*AD_tis!$BG3</f>
        <v>0</v>
      </c>
      <c r="AI3" s="4">
        <f>+AD_tis!AI3*AD_tis!AI$50*AD_tis!$BG3</f>
        <v>0</v>
      </c>
      <c r="AJ3" s="4">
        <f>+AD_tis!AJ3*AD_tis!AJ$50*AD_tis!$BG3</f>
        <v>0</v>
      </c>
      <c r="AK3" s="4">
        <f>+AD_tis!AK3*AD_tis!AK$50*AD_tis!$BG3</f>
        <v>0</v>
      </c>
      <c r="AL3" s="4">
        <f>+AD_tis!AL3*AD_tis!AL$50*AD_tis!$BG3</f>
        <v>0</v>
      </c>
      <c r="AM3" s="13">
        <f>+AD_tis!AM3*AD_tis!AM$50*AD_tis!$BG3</f>
        <v>0</v>
      </c>
      <c r="AN3" s="4">
        <f>+AD_tis!AN3*AD_tis!AN$50*AD_tis!$BG3</f>
        <v>0</v>
      </c>
      <c r="AO3" s="4">
        <f>+AD_tis!AO3*AD_tis!AO$50*AD_tis!$BG3</f>
        <v>0</v>
      </c>
      <c r="AP3" s="4">
        <f>+AD_tis!AP3*AD_tis!AP$50*AD_tis!$BG3</f>
        <v>0</v>
      </c>
      <c r="AQ3" s="4">
        <f>+AD_tis!AQ3*AD_tis!AQ$50*AD_tis!$BG3</f>
        <v>0</v>
      </c>
      <c r="AR3" s="4">
        <f>+AD_tis!AR3*AD_tis!AR$50*AD_tis!$BG3</f>
        <v>0</v>
      </c>
      <c r="AS3" s="4">
        <f>+AD_tis!AS3*AD_tis!AS$50*AD_tis!$BG3</f>
        <v>0</v>
      </c>
      <c r="AT3" s="4">
        <f>+AD_tis!AT3*AD_tis!AT$50*AD_tis!$BG3</f>
        <v>0</v>
      </c>
      <c r="AU3" s="4">
        <f>+AD_tis!AU3*AD_tis!AU$50*AD_tis!$BG3</f>
        <v>0</v>
      </c>
      <c r="AV3" s="4">
        <f>+AD_tis!AV3*AD_tis!AV$50*AD_tis!$BG3</f>
        <v>0</v>
      </c>
      <c r="AW3" s="12">
        <f>+AD_tis!AW3*AD_tis!AW$50*AD_tis!$BG3</f>
        <v>0</v>
      </c>
      <c r="AX3" s="13">
        <f>+AD_tis!AX3*AD_tis!AX$50*AD_tis!$BG3</f>
        <v>0</v>
      </c>
      <c r="AY3" s="4">
        <f>+AD_tis!AY3*AD_tis!AY$50*AD_tis!$BG3</f>
        <v>0</v>
      </c>
      <c r="AZ3" s="4">
        <f>+AD_tis!AZ3*AD_tis!AZ$50*AD_tis!$BG3</f>
        <v>0</v>
      </c>
      <c r="BA3" s="12">
        <f>+AD_tis!BA3*AD_tis!BA$50*AD_tis!$BG3</f>
        <v>0</v>
      </c>
      <c r="BB3" s="4">
        <f>+AD_tis!BB3*AD_tis!BB$50*AD_tis!$BG3</f>
        <v>0</v>
      </c>
      <c r="BC3" s="13">
        <f>+AD_tis!BC3*AD_tis!BC$50*AD_tis!$BG3</f>
        <v>0</v>
      </c>
    </row>
    <row r="4" spans="1:55" ht="18.75" customHeight="1" x14ac:dyDescent="0.25">
      <c r="A4" s="5" t="s">
        <v>55</v>
      </c>
      <c r="B4" s="12">
        <f>+AD_tis!B4*AD_tis!B$50*AD_tis!$BG4</f>
        <v>0</v>
      </c>
      <c r="C4" s="4">
        <f>+AD_tis!C4*AD_tis!C$50*AD_tis!$BG4</f>
        <v>0</v>
      </c>
      <c r="D4" s="4">
        <f>+AD_tis!D4*AD_tis!D$50*AD_tis!$BG4</f>
        <v>0</v>
      </c>
      <c r="E4" s="4">
        <f>+AD_tis!E4*AD_tis!E$50*AD_tis!$BG4</f>
        <v>1</v>
      </c>
      <c r="F4" s="4">
        <f>+AD_tis!F4*AD_tis!F$50*AD_tis!$BG4</f>
        <v>0</v>
      </c>
      <c r="G4" s="4">
        <f>+AD_tis!G4*AD_tis!G$50*AD_tis!$BG4</f>
        <v>1</v>
      </c>
      <c r="H4" s="4">
        <f>+AD_tis!H4*AD_tis!H$50*AD_tis!$BG4</f>
        <v>0</v>
      </c>
      <c r="I4" s="4">
        <f>+AD_tis!I4*AD_tis!I$50*AD_tis!$BG4</f>
        <v>0</v>
      </c>
      <c r="J4" s="4">
        <f>+AD_tis!J4*AD_tis!J$50*AD_tis!$BG4</f>
        <v>0</v>
      </c>
      <c r="K4" s="4">
        <f>+AD_tis!K4*AD_tis!K$50*AD_tis!$BG4</f>
        <v>0</v>
      </c>
      <c r="L4" s="4">
        <f>+AD_tis!L4*AD_tis!L$50*AD_tis!$BG4</f>
        <v>1</v>
      </c>
      <c r="M4" s="4">
        <f>+AD_tis!M4*AD_tis!M$50*AD_tis!$BG4</f>
        <v>1</v>
      </c>
      <c r="N4" s="4">
        <f>+AD_tis!N4*AD_tis!N$50*AD_tis!$BG4</f>
        <v>1</v>
      </c>
      <c r="O4" s="4">
        <f>+AD_tis!O4*AD_tis!O$50*AD_tis!$BG4</f>
        <v>0</v>
      </c>
      <c r="P4" s="4">
        <f>+AD_tis!P4*AD_tis!P$50*AD_tis!$BG4</f>
        <v>0</v>
      </c>
      <c r="Q4" s="4">
        <f>+AD_tis!Q4*AD_tis!Q$50*AD_tis!$BG4</f>
        <v>0</v>
      </c>
      <c r="R4" s="13">
        <f>+AD_tis!R4*AD_tis!R$50*AD_tis!$BG4</f>
        <v>0</v>
      </c>
      <c r="S4" s="4">
        <f>+AD_tis!S4*AD_tis!S$50*AD_tis!$BG4</f>
        <v>0</v>
      </c>
      <c r="T4" s="4">
        <f>+AD_tis!T4*AD_tis!T$50*AD_tis!$BG4</f>
        <v>0</v>
      </c>
      <c r="U4" s="4">
        <f>+AD_tis!U4*AD_tis!U$50*AD_tis!$BG4</f>
        <v>0</v>
      </c>
      <c r="V4" s="4">
        <f>+AD_tis!V4*AD_tis!V$50*AD_tis!$BG4</f>
        <v>0</v>
      </c>
      <c r="W4" s="4">
        <f>+AD_tis!W4*AD_tis!W$50*AD_tis!$BG4</f>
        <v>0</v>
      </c>
      <c r="X4" s="4">
        <f>+AD_tis!X4*AD_tis!X$50*AD_tis!$BG4</f>
        <v>0</v>
      </c>
      <c r="Y4" s="4">
        <f>+AD_tis!Y4*AD_tis!Y$50*AD_tis!$BG4</f>
        <v>0</v>
      </c>
      <c r="Z4" s="4">
        <f>+AD_tis!Z4*AD_tis!Z$50*AD_tis!$BG4</f>
        <v>0</v>
      </c>
      <c r="AA4" s="4">
        <f>+AD_tis!AA4*AD_tis!AA$50*AD_tis!$BG4</f>
        <v>0</v>
      </c>
      <c r="AB4" s="4">
        <f>+AD_tis!AB4*AD_tis!AB$50*AD_tis!$BG4</f>
        <v>0</v>
      </c>
      <c r="AC4" s="12">
        <f>+AD_tis!AC4*AD_tis!AC$50*AD_tis!$BG4</f>
        <v>0</v>
      </c>
      <c r="AD4" s="4">
        <f>+AD_tis!AD4*AD_tis!AD$50*AD_tis!$BG4</f>
        <v>0</v>
      </c>
      <c r="AE4" s="4">
        <f>+AD_tis!AE4*AD_tis!AE$50*AD_tis!$BG4</f>
        <v>0</v>
      </c>
      <c r="AF4" s="4">
        <f>+AD_tis!AF4*AD_tis!AF$50*AD_tis!$BG4</f>
        <v>0</v>
      </c>
      <c r="AG4" s="4">
        <f>+AD_tis!AG4*AD_tis!AG$50*AD_tis!$BG4</f>
        <v>0</v>
      </c>
      <c r="AH4" s="4">
        <f>+AD_tis!AH4*AD_tis!AH$50*AD_tis!$BG4</f>
        <v>0</v>
      </c>
      <c r="AI4" s="4">
        <f>+AD_tis!AI4*AD_tis!AI$50*AD_tis!$BG4</f>
        <v>0</v>
      </c>
      <c r="AJ4" s="4">
        <f>+AD_tis!AJ4*AD_tis!AJ$50*AD_tis!$BG4</f>
        <v>0</v>
      </c>
      <c r="AK4" s="4">
        <f>+AD_tis!AK4*AD_tis!AK$50*AD_tis!$BG4</f>
        <v>0</v>
      </c>
      <c r="AL4" s="4">
        <f>+AD_tis!AL4*AD_tis!AL$50*AD_tis!$BG4</f>
        <v>1</v>
      </c>
      <c r="AM4" s="13">
        <f>+AD_tis!AM4*AD_tis!AM$50*AD_tis!$BG4</f>
        <v>0</v>
      </c>
      <c r="AN4" s="4">
        <f>+AD_tis!AN4*AD_tis!AN$50*AD_tis!$BG4</f>
        <v>0</v>
      </c>
      <c r="AO4" s="4">
        <f>+AD_tis!AO4*AD_tis!AO$50*AD_tis!$BG4</f>
        <v>0</v>
      </c>
      <c r="AP4" s="4">
        <f>+AD_tis!AP4*AD_tis!AP$50*AD_tis!$BG4</f>
        <v>0</v>
      </c>
      <c r="AQ4" s="4">
        <f>+AD_tis!AQ4*AD_tis!AQ$50*AD_tis!$BG4</f>
        <v>0</v>
      </c>
      <c r="AR4" s="4">
        <f>+AD_tis!AR4*AD_tis!AR$50*AD_tis!$BG4</f>
        <v>0</v>
      </c>
      <c r="AS4" s="4">
        <f>+AD_tis!AS4*AD_tis!AS$50*AD_tis!$BG4</f>
        <v>0</v>
      </c>
      <c r="AT4" s="4">
        <f>+AD_tis!AT4*AD_tis!AT$50*AD_tis!$BG4</f>
        <v>0</v>
      </c>
      <c r="AU4" s="4">
        <f>+AD_tis!AU4*AD_tis!AU$50*AD_tis!$BG4</f>
        <v>0</v>
      </c>
      <c r="AV4" s="4">
        <f>+AD_tis!AV4*AD_tis!AV$50*AD_tis!$BG4</f>
        <v>0</v>
      </c>
      <c r="AW4" s="12">
        <f>+AD_tis!AW4*AD_tis!AW$50*AD_tis!$BG4</f>
        <v>0</v>
      </c>
      <c r="AX4" s="13">
        <f>+AD_tis!AX4*AD_tis!AX$50*AD_tis!$BG4</f>
        <v>0</v>
      </c>
      <c r="AY4" s="4">
        <f>+AD_tis!AY4*AD_tis!AY$50*AD_tis!$BG4</f>
        <v>0</v>
      </c>
      <c r="AZ4" s="4">
        <f>+AD_tis!AZ4*AD_tis!AZ$50*AD_tis!$BG4</f>
        <v>0</v>
      </c>
      <c r="BA4" s="12">
        <f>+AD_tis!BA4*AD_tis!BA$50*AD_tis!$BG4</f>
        <v>0</v>
      </c>
      <c r="BB4" s="4">
        <f>+AD_tis!BB4*AD_tis!BB$50*AD_tis!$BG4</f>
        <v>0</v>
      </c>
      <c r="BC4" s="13">
        <f>+AD_tis!BC4*AD_tis!BC$50*AD_tis!$BG4</f>
        <v>0</v>
      </c>
    </row>
    <row r="5" spans="1:55" ht="18.75" customHeight="1" x14ac:dyDescent="0.25">
      <c r="A5" s="5" t="s">
        <v>56</v>
      </c>
      <c r="B5" s="12">
        <f>+AD_tis!B5*AD_tis!B$50*AD_tis!$BG5</f>
        <v>0</v>
      </c>
      <c r="C5" s="4">
        <f>+AD_tis!C5*AD_tis!C$50*AD_tis!$BG5</f>
        <v>0</v>
      </c>
      <c r="D5" s="4">
        <f>+AD_tis!D5*AD_tis!D$50*AD_tis!$BG5</f>
        <v>0</v>
      </c>
      <c r="E5" s="4">
        <f>+AD_tis!E5*AD_tis!E$50*AD_tis!$BG5</f>
        <v>0</v>
      </c>
      <c r="F5" s="4">
        <f>+AD_tis!F5*AD_tis!F$50*AD_tis!$BG5</f>
        <v>0</v>
      </c>
      <c r="G5" s="4">
        <f>+AD_tis!G5*AD_tis!G$50*AD_tis!$BG5</f>
        <v>0</v>
      </c>
      <c r="H5" s="4">
        <f>+AD_tis!H5*AD_tis!H$50*AD_tis!$BG5</f>
        <v>0</v>
      </c>
      <c r="I5" s="4">
        <f>+AD_tis!I5*AD_tis!I$50*AD_tis!$BG5</f>
        <v>0</v>
      </c>
      <c r="J5" s="4">
        <f>+AD_tis!J5*AD_tis!J$50*AD_tis!$BG5</f>
        <v>0</v>
      </c>
      <c r="K5" s="4">
        <f>+AD_tis!K5*AD_tis!K$50*AD_tis!$BG5</f>
        <v>0</v>
      </c>
      <c r="L5" s="4">
        <f>+AD_tis!L5*AD_tis!L$50*AD_tis!$BG5</f>
        <v>0</v>
      </c>
      <c r="M5" s="4">
        <f>+AD_tis!M5*AD_tis!M$50*AD_tis!$BG5</f>
        <v>0</v>
      </c>
      <c r="N5" s="4">
        <f>+AD_tis!N5*AD_tis!N$50*AD_tis!$BG5</f>
        <v>0</v>
      </c>
      <c r="O5" s="4">
        <f>+AD_tis!O5*AD_tis!O$50*AD_tis!$BG5</f>
        <v>0</v>
      </c>
      <c r="P5" s="4">
        <f>+AD_tis!P5*AD_tis!P$50*AD_tis!$BG5</f>
        <v>0</v>
      </c>
      <c r="Q5" s="4">
        <f>+AD_tis!Q5*AD_tis!Q$50*AD_tis!$BG5</f>
        <v>0</v>
      </c>
      <c r="R5" s="13">
        <f>+AD_tis!R5*AD_tis!R$50*AD_tis!$BG5</f>
        <v>0</v>
      </c>
      <c r="S5" s="4">
        <f>+AD_tis!S5*AD_tis!S$50*AD_tis!$BG5</f>
        <v>0</v>
      </c>
      <c r="T5" s="4">
        <f>+AD_tis!T5*AD_tis!T$50*AD_tis!$BG5</f>
        <v>0</v>
      </c>
      <c r="U5" s="4">
        <f>+AD_tis!U5*AD_tis!U$50*AD_tis!$BG5</f>
        <v>0</v>
      </c>
      <c r="V5" s="4">
        <f>+AD_tis!V5*AD_tis!V$50*AD_tis!$BG5</f>
        <v>0</v>
      </c>
      <c r="W5" s="4">
        <f>+AD_tis!W5*AD_tis!W$50*AD_tis!$BG5</f>
        <v>0</v>
      </c>
      <c r="X5" s="4">
        <f>+AD_tis!X5*AD_tis!X$50*AD_tis!$BG5</f>
        <v>0</v>
      </c>
      <c r="Y5" s="4">
        <f>+AD_tis!Y5*AD_tis!Y$50*AD_tis!$BG5</f>
        <v>0</v>
      </c>
      <c r="Z5" s="4">
        <f>+AD_tis!Z5*AD_tis!Z$50*AD_tis!$BG5</f>
        <v>0</v>
      </c>
      <c r="AA5" s="4">
        <f>+AD_tis!AA5*AD_tis!AA$50*AD_tis!$BG5</f>
        <v>0</v>
      </c>
      <c r="AB5" s="4">
        <f>+AD_tis!AB5*AD_tis!AB$50*AD_tis!$BG5</f>
        <v>0</v>
      </c>
      <c r="AC5" s="12">
        <f>+AD_tis!AC5*AD_tis!AC$50*AD_tis!$BG5</f>
        <v>0</v>
      </c>
      <c r="AD5" s="4">
        <f>+AD_tis!AD5*AD_tis!AD$50*AD_tis!$BG5</f>
        <v>0</v>
      </c>
      <c r="AE5" s="4">
        <f>+AD_tis!AE5*AD_tis!AE$50*AD_tis!$BG5</f>
        <v>0</v>
      </c>
      <c r="AF5" s="4">
        <f>+AD_tis!AF5*AD_tis!AF$50*AD_tis!$BG5</f>
        <v>0</v>
      </c>
      <c r="AG5" s="4">
        <f>+AD_tis!AG5*AD_tis!AG$50*AD_tis!$BG5</f>
        <v>0</v>
      </c>
      <c r="AH5" s="4">
        <f>+AD_tis!AH5*AD_tis!AH$50*AD_tis!$BG5</f>
        <v>0</v>
      </c>
      <c r="AI5" s="4">
        <f>+AD_tis!AI5*AD_tis!AI$50*AD_tis!$BG5</f>
        <v>0</v>
      </c>
      <c r="AJ5" s="4">
        <f>+AD_tis!AJ5*AD_tis!AJ$50*AD_tis!$BG5</f>
        <v>0</v>
      </c>
      <c r="AK5" s="4">
        <f>+AD_tis!AK5*AD_tis!AK$50*AD_tis!$BG5</f>
        <v>0</v>
      </c>
      <c r="AL5" s="4">
        <f>+AD_tis!AL5*AD_tis!AL$50*AD_tis!$BG5</f>
        <v>0</v>
      </c>
      <c r="AM5" s="13">
        <f>+AD_tis!AM5*AD_tis!AM$50*AD_tis!$BG5</f>
        <v>0</v>
      </c>
      <c r="AN5" s="4">
        <f>+AD_tis!AN5*AD_tis!AN$50*AD_tis!$BG5</f>
        <v>0</v>
      </c>
      <c r="AO5" s="4">
        <f>+AD_tis!AO5*AD_tis!AO$50*AD_tis!$BG5</f>
        <v>0</v>
      </c>
      <c r="AP5" s="4">
        <f>+AD_tis!AP5*AD_tis!AP$50*AD_tis!$BG5</f>
        <v>0</v>
      </c>
      <c r="AQ5" s="4">
        <f>+AD_tis!AQ5*AD_tis!AQ$50*AD_tis!$BG5</f>
        <v>0</v>
      </c>
      <c r="AR5" s="4">
        <f>+AD_tis!AR5*AD_tis!AR$50*AD_tis!$BG5</f>
        <v>0</v>
      </c>
      <c r="AS5" s="4">
        <f>+AD_tis!AS5*AD_tis!AS$50*AD_tis!$BG5</f>
        <v>0</v>
      </c>
      <c r="AT5" s="4">
        <f>+AD_tis!AT5*AD_tis!AT$50*AD_tis!$BG5</f>
        <v>0</v>
      </c>
      <c r="AU5" s="4">
        <f>+AD_tis!AU5*AD_tis!AU$50*AD_tis!$BG5</f>
        <v>0</v>
      </c>
      <c r="AV5" s="4">
        <f>+AD_tis!AV5*AD_tis!AV$50*AD_tis!$BG5</f>
        <v>0</v>
      </c>
      <c r="AW5" s="12">
        <f>+AD_tis!AW5*AD_tis!AW$50*AD_tis!$BG5</f>
        <v>0</v>
      </c>
      <c r="AX5" s="13">
        <f>+AD_tis!AX5*AD_tis!AX$50*AD_tis!$BG5</f>
        <v>0</v>
      </c>
      <c r="AY5" s="4">
        <f>+AD_tis!AY5*AD_tis!AY$50*AD_tis!$BG5</f>
        <v>0</v>
      </c>
      <c r="AZ5" s="4">
        <f>+AD_tis!AZ5*AD_tis!AZ$50*AD_tis!$BG5</f>
        <v>0</v>
      </c>
      <c r="BA5" s="12">
        <f>+AD_tis!BA5*AD_tis!BA$50*AD_tis!$BG5</f>
        <v>0</v>
      </c>
      <c r="BB5" s="4">
        <f>+AD_tis!BB5*AD_tis!BB$50*AD_tis!$BG5</f>
        <v>0</v>
      </c>
      <c r="BC5" s="13">
        <f>+AD_tis!BC5*AD_tis!BC$50*AD_tis!$BG5</f>
        <v>0</v>
      </c>
    </row>
    <row r="6" spans="1:55" ht="18.75" customHeight="1" x14ac:dyDescent="0.25">
      <c r="A6" s="5" t="s">
        <v>57</v>
      </c>
      <c r="B6" s="12">
        <f>+AD_tis!B6*AD_tis!B$50*AD_tis!$BG6</f>
        <v>0</v>
      </c>
      <c r="C6" s="4">
        <f>+AD_tis!C6*AD_tis!C$50*AD_tis!$BG6</f>
        <v>0</v>
      </c>
      <c r="D6" s="4">
        <f>+AD_tis!D6*AD_tis!D$50*AD_tis!$BG6</f>
        <v>1</v>
      </c>
      <c r="E6" s="4">
        <f>+AD_tis!E6*AD_tis!E$50*AD_tis!$BG6</f>
        <v>0</v>
      </c>
      <c r="F6" s="4">
        <f>+AD_tis!F6*AD_tis!F$50*AD_tis!$BG6</f>
        <v>0</v>
      </c>
      <c r="G6" s="4">
        <f>+AD_tis!G6*AD_tis!G$50*AD_tis!$BG6</f>
        <v>1</v>
      </c>
      <c r="H6" s="4">
        <f>+AD_tis!H6*AD_tis!H$50*AD_tis!$BG6</f>
        <v>0</v>
      </c>
      <c r="I6" s="4">
        <f>+AD_tis!I6*AD_tis!I$50*AD_tis!$BG6</f>
        <v>0</v>
      </c>
      <c r="J6" s="4">
        <f>+AD_tis!J6*AD_tis!J$50*AD_tis!$BG6</f>
        <v>0</v>
      </c>
      <c r="K6" s="4">
        <f>+AD_tis!K6*AD_tis!K$50*AD_tis!$BG6</f>
        <v>0</v>
      </c>
      <c r="L6" s="4">
        <f>+AD_tis!L6*AD_tis!L$50*AD_tis!$BG6</f>
        <v>1</v>
      </c>
      <c r="M6" s="4">
        <f>+AD_tis!M6*AD_tis!M$50*AD_tis!$BG6</f>
        <v>1</v>
      </c>
      <c r="N6" s="4">
        <f>+AD_tis!N6*AD_tis!N$50*AD_tis!$BG6</f>
        <v>1</v>
      </c>
      <c r="O6" s="4">
        <f>+AD_tis!O6*AD_tis!O$50*AD_tis!$BG6</f>
        <v>0</v>
      </c>
      <c r="P6" s="4">
        <f>+AD_tis!P6*AD_tis!P$50*AD_tis!$BG6</f>
        <v>0</v>
      </c>
      <c r="Q6" s="4">
        <f>+AD_tis!Q6*AD_tis!Q$50*AD_tis!$BG6</f>
        <v>0</v>
      </c>
      <c r="R6" s="13">
        <f>+AD_tis!R6*AD_tis!R$50*AD_tis!$BG6</f>
        <v>0</v>
      </c>
      <c r="S6" s="4">
        <f>+AD_tis!S6*AD_tis!S$50*AD_tis!$BG6</f>
        <v>0</v>
      </c>
      <c r="T6" s="4">
        <f>+AD_tis!T6*AD_tis!T$50*AD_tis!$BG6</f>
        <v>0</v>
      </c>
      <c r="U6" s="4">
        <f>+AD_tis!U6*AD_tis!U$50*AD_tis!$BG6</f>
        <v>0</v>
      </c>
      <c r="V6" s="4">
        <f>+AD_tis!V6*AD_tis!V$50*AD_tis!$BG6</f>
        <v>0</v>
      </c>
      <c r="W6" s="4">
        <f>+AD_tis!W6*AD_tis!W$50*AD_tis!$BG6</f>
        <v>0</v>
      </c>
      <c r="X6" s="4">
        <f>+AD_tis!X6*AD_tis!X$50*AD_tis!$BG6</f>
        <v>0</v>
      </c>
      <c r="Y6" s="4">
        <f>+AD_tis!Y6*AD_tis!Y$50*AD_tis!$BG6</f>
        <v>0</v>
      </c>
      <c r="Z6" s="4">
        <f>+AD_tis!Z6*AD_tis!Z$50*AD_tis!$BG6</f>
        <v>0</v>
      </c>
      <c r="AA6" s="4">
        <f>+AD_tis!AA6*AD_tis!AA$50*AD_tis!$BG6</f>
        <v>0</v>
      </c>
      <c r="AB6" s="4">
        <f>+AD_tis!AB6*AD_tis!AB$50*AD_tis!$BG6</f>
        <v>0</v>
      </c>
      <c r="AC6" s="12">
        <f>+AD_tis!AC6*AD_tis!AC$50*AD_tis!$BG6</f>
        <v>0</v>
      </c>
      <c r="AD6" s="4">
        <f>+AD_tis!AD6*AD_tis!AD$50*AD_tis!$BG6</f>
        <v>0</v>
      </c>
      <c r="AE6" s="4">
        <f>+AD_tis!AE6*AD_tis!AE$50*AD_tis!$BG6</f>
        <v>0</v>
      </c>
      <c r="AF6" s="4">
        <f>+AD_tis!AF6*AD_tis!AF$50*AD_tis!$BG6</f>
        <v>0</v>
      </c>
      <c r="AG6" s="4">
        <f>+AD_tis!AG6*AD_tis!AG$50*AD_tis!$BG6</f>
        <v>0</v>
      </c>
      <c r="AH6" s="4">
        <f>+AD_tis!AH6*AD_tis!AH$50*AD_tis!$BG6</f>
        <v>0</v>
      </c>
      <c r="AI6" s="4">
        <f>+AD_tis!AI6*AD_tis!AI$50*AD_tis!$BG6</f>
        <v>0</v>
      </c>
      <c r="AJ6" s="4">
        <f>+AD_tis!AJ6*AD_tis!AJ$50*AD_tis!$BG6</f>
        <v>0</v>
      </c>
      <c r="AK6" s="4">
        <f>+AD_tis!AK6*AD_tis!AK$50*AD_tis!$BG6</f>
        <v>0</v>
      </c>
      <c r="AL6" s="4">
        <f>+AD_tis!AL6*AD_tis!AL$50*AD_tis!$BG6</f>
        <v>0</v>
      </c>
      <c r="AM6" s="13">
        <f>+AD_tis!AM6*AD_tis!AM$50*AD_tis!$BG6</f>
        <v>0</v>
      </c>
      <c r="AN6" s="4">
        <f>+AD_tis!AN6*AD_tis!AN$50*AD_tis!$BG6</f>
        <v>0</v>
      </c>
      <c r="AO6" s="4">
        <f>+AD_tis!AO6*AD_tis!AO$50*AD_tis!$BG6</f>
        <v>0</v>
      </c>
      <c r="AP6" s="4">
        <f>+AD_tis!AP6*AD_tis!AP$50*AD_tis!$BG6</f>
        <v>0</v>
      </c>
      <c r="AQ6" s="4">
        <f>+AD_tis!AQ6*AD_tis!AQ$50*AD_tis!$BG6</f>
        <v>0</v>
      </c>
      <c r="AR6" s="4">
        <f>+AD_tis!AR6*AD_tis!AR$50*AD_tis!$BG6</f>
        <v>0</v>
      </c>
      <c r="AS6" s="4">
        <f>+AD_tis!AS6*AD_tis!AS$50*AD_tis!$BG6</f>
        <v>0</v>
      </c>
      <c r="AT6" s="4">
        <f>+AD_tis!AT6*AD_tis!AT$50*AD_tis!$BG6</f>
        <v>0</v>
      </c>
      <c r="AU6" s="4">
        <f>+AD_tis!AU6*AD_tis!AU$50*AD_tis!$BG6</f>
        <v>0</v>
      </c>
      <c r="AV6" s="4">
        <f>+AD_tis!AV6*AD_tis!AV$50*AD_tis!$BG6</f>
        <v>0</v>
      </c>
      <c r="AW6" s="12">
        <f>+AD_tis!AW6*AD_tis!AW$50*AD_tis!$BG6</f>
        <v>0</v>
      </c>
      <c r="AX6" s="13">
        <f>+AD_tis!AX6*AD_tis!AX$50*AD_tis!$BG6</f>
        <v>0</v>
      </c>
      <c r="AY6" s="4">
        <f>+AD_tis!AY6*AD_tis!AY$50*AD_tis!$BG6</f>
        <v>0</v>
      </c>
      <c r="AZ6" s="4">
        <f>+AD_tis!AZ6*AD_tis!AZ$50*AD_tis!$BG6</f>
        <v>0</v>
      </c>
      <c r="BA6" s="12">
        <f>+AD_tis!BA6*AD_tis!BA$50*AD_tis!$BG6</f>
        <v>0</v>
      </c>
      <c r="BB6" s="4">
        <f>+AD_tis!BB6*AD_tis!BB$50*AD_tis!$BG6</f>
        <v>0</v>
      </c>
      <c r="BC6" s="13">
        <f>+AD_tis!BC6*AD_tis!BC$50*AD_tis!$BG6</f>
        <v>0</v>
      </c>
    </row>
    <row r="7" spans="1:55" ht="18.75" customHeight="1" x14ac:dyDescent="0.25">
      <c r="A7" s="5" t="s">
        <v>58</v>
      </c>
      <c r="B7" s="12">
        <f>+AD_tis!B7*AD_tis!B$50*AD_tis!$BG7</f>
        <v>0</v>
      </c>
      <c r="C7" s="4">
        <f>+AD_tis!C7*AD_tis!C$50*AD_tis!$BG7</f>
        <v>0</v>
      </c>
      <c r="D7" s="4">
        <f>+AD_tis!D7*AD_tis!D$50*AD_tis!$BG7</f>
        <v>0</v>
      </c>
      <c r="E7" s="4">
        <f>+AD_tis!E7*AD_tis!E$50*AD_tis!$BG7</f>
        <v>0</v>
      </c>
      <c r="F7" s="4">
        <f>+AD_tis!F7*AD_tis!F$50*AD_tis!$BG7</f>
        <v>0</v>
      </c>
      <c r="G7" s="4">
        <f>+AD_tis!G7*AD_tis!G$50*AD_tis!$BG7</f>
        <v>1</v>
      </c>
      <c r="H7" s="4">
        <f>+AD_tis!H7*AD_tis!H$50*AD_tis!$BG7</f>
        <v>1</v>
      </c>
      <c r="I7" s="4">
        <f>+AD_tis!I7*AD_tis!I$50*AD_tis!$BG7</f>
        <v>1</v>
      </c>
      <c r="J7" s="4">
        <f>+AD_tis!J7*AD_tis!J$50*AD_tis!$BG7</f>
        <v>0</v>
      </c>
      <c r="K7" s="4">
        <f>+AD_tis!K7*AD_tis!K$50*AD_tis!$BG7</f>
        <v>0</v>
      </c>
      <c r="L7" s="4">
        <f>+AD_tis!L7*AD_tis!L$50*AD_tis!$BG7</f>
        <v>1</v>
      </c>
      <c r="M7" s="4">
        <f>+AD_tis!M7*AD_tis!M$50*AD_tis!$BG7</f>
        <v>1</v>
      </c>
      <c r="N7" s="4">
        <f>+AD_tis!N7*AD_tis!N$50*AD_tis!$BG7</f>
        <v>1</v>
      </c>
      <c r="O7" s="4">
        <f>+AD_tis!O7*AD_tis!O$50*AD_tis!$BG7</f>
        <v>0</v>
      </c>
      <c r="P7" s="4">
        <f>+AD_tis!P7*AD_tis!P$50*AD_tis!$BG7</f>
        <v>0</v>
      </c>
      <c r="Q7" s="4">
        <f>+AD_tis!Q7*AD_tis!Q$50*AD_tis!$BG7</f>
        <v>0</v>
      </c>
      <c r="R7" s="13">
        <f>+AD_tis!R7*AD_tis!R$50*AD_tis!$BG7</f>
        <v>0</v>
      </c>
      <c r="S7" s="4">
        <f>+AD_tis!S7*AD_tis!S$50*AD_tis!$BG7</f>
        <v>0</v>
      </c>
      <c r="T7" s="4">
        <f>+AD_tis!T7*AD_tis!T$50*AD_tis!$BG7</f>
        <v>0</v>
      </c>
      <c r="U7" s="4">
        <f>+AD_tis!U7*AD_tis!U$50*AD_tis!$BG7</f>
        <v>0</v>
      </c>
      <c r="V7" s="4">
        <f>+AD_tis!V7*AD_tis!V$50*AD_tis!$BG7</f>
        <v>0</v>
      </c>
      <c r="W7" s="4">
        <f>+AD_tis!W7*AD_tis!W$50*AD_tis!$BG7</f>
        <v>0</v>
      </c>
      <c r="X7" s="4">
        <f>+AD_tis!X7*AD_tis!X$50*AD_tis!$BG7</f>
        <v>0</v>
      </c>
      <c r="Y7" s="4">
        <f>+AD_tis!Y7*AD_tis!Y$50*AD_tis!$BG7</f>
        <v>0</v>
      </c>
      <c r="Z7" s="4">
        <f>+AD_tis!Z7*AD_tis!Z$50*AD_tis!$BG7</f>
        <v>0</v>
      </c>
      <c r="AA7" s="4">
        <f>+AD_tis!AA7*AD_tis!AA$50*AD_tis!$BG7</f>
        <v>0</v>
      </c>
      <c r="AB7" s="4">
        <f>+AD_tis!AB7*AD_tis!AB$50*AD_tis!$BG7</f>
        <v>0</v>
      </c>
      <c r="AC7" s="12">
        <f>+AD_tis!AC7*AD_tis!AC$50*AD_tis!$BG7</f>
        <v>0</v>
      </c>
      <c r="AD7" s="4">
        <f>+AD_tis!AD7*AD_tis!AD$50*AD_tis!$BG7</f>
        <v>0</v>
      </c>
      <c r="AE7" s="4">
        <f>+AD_tis!AE7*AD_tis!AE$50*AD_tis!$BG7</f>
        <v>0</v>
      </c>
      <c r="AF7" s="4">
        <f>+AD_tis!AF7*AD_tis!AF$50*AD_tis!$BG7</f>
        <v>0</v>
      </c>
      <c r="AG7" s="4">
        <f>+AD_tis!AG7*AD_tis!AG$50*AD_tis!$BG7</f>
        <v>0</v>
      </c>
      <c r="AH7" s="4">
        <f>+AD_tis!AH7*AD_tis!AH$50*AD_tis!$BG7</f>
        <v>0</v>
      </c>
      <c r="AI7" s="4">
        <f>+AD_tis!AI7*AD_tis!AI$50*AD_tis!$BG7</f>
        <v>0</v>
      </c>
      <c r="AJ7" s="4">
        <f>+AD_tis!AJ7*AD_tis!AJ$50*AD_tis!$BG7</f>
        <v>0</v>
      </c>
      <c r="AK7" s="4">
        <f>+AD_tis!AK7*AD_tis!AK$50*AD_tis!$BG7</f>
        <v>0</v>
      </c>
      <c r="AL7" s="4">
        <f>+AD_tis!AL7*AD_tis!AL$50*AD_tis!$BG7</f>
        <v>1</v>
      </c>
      <c r="AM7" s="13">
        <f>+AD_tis!AM7*AD_tis!AM$50*AD_tis!$BG7</f>
        <v>0</v>
      </c>
      <c r="AN7" s="4">
        <f>+AD_tis!AN7*AD_tis!AN$50*AD_tis!$BG7</f>
        <v>0</v>
      </c>
      <c r="AO7" s="4">
        <f>+AD_tis!AO7*AD_tis!AO$50*AD_tis!$BG7</f>
        <v>0</v>
      </c>
      <c r="AP7" s="4">
        <f>+AD_tis!AP7*AD_tis!AP$50*AD_tis!$BG7</f>
        <v>0</v>
      </c>
      <c r="AQ7" s="4">
        <f>+AD_tis!AQ7*AD_tis!AQ$50*AD_tis!$BG7</f>
        <v>0</v>
      </c>
      <c r="AR7" s="4">
        <f>+AD_tis!AR7*AD_tis!AR$50*AD_tis!$BG7</f>
        <v>0</v>
      </c>
      <c r="AS7" s="4">
        <f>+AD_tis!AS7*AD_tis!AS$50*AD_tis!$BG7</f>
        <v>0</v>
      </c>
      <c r="AT7" s="4">
        <f>+AD_tis!AT7*AD_tis!AT$50*AD_tis!$BG7</f>
        <v>0</v>
      </c>
      <c r="AU7" s="4">
        <f>+AD_tis!AU7*AD_tis!AU$50*AD_tis!$BG7</f>
        <v>0</v>
      </c>
      <c r="AV7" s="4">
        <f>+AD_tis!AV7*AD_tis!AV$50*AD_tis!$BG7</f>
        <v>0</v>
      </c>
      <c r="AW7" s="12">
        <f>+AD_tis!AW7*AD_tis!AW$50*AD_tis!$BG7</f>
        <v>0</v>
      </c>
      <c r="AX7" s="13">
        <f>+AD_tis!AX7*AD_tis!AX$50*AD_tis!$BG7</f>
        <v>0</v>
      </c>
      <c r="AY7" s="4">
        <f>+AD_tis!AY7*AD_tis!AY$50*AD_tis!$BG7</f>
        <v>0</v>
      </c>
      <c r="AZ7" s="4">
        <f>+AD_tis!AZ7*AD_tis!AZ$50*AD_tis!$BG7</f>
        <v>0</v>
      </c>
      <c r="BA7" s="12">
        <f>+AD_tis!BA7*AD_tis!BA$50*AD_tis!$BG7</f>
        <v>0</v>
      </c>
      <c r="BB7" s="4">
        <f>+AD_tis!BB7*AD_tis!BB$50*AD_tis!$BG7</f>
        <v>0</v>
      </c>
      <c r="BC7" s="13">
        <f>+AD_tis!BC7*AD_tis!BC$50*AD_tis!$BG7</f>
        <v>0</v>
      </c>
    </row>
    <row r="8" spans="1:55" ht="18.75" customHeight="1" x14ac:dyDescent="0.25">
      <c r="A8" s="5" t="s">
        <v>59</v>
      </c>
      <c r="B8" s="12">
        <f>+AD_tis!B8*AD_tis!B$50*AD_tis!$BG8</f>
        <v>0</v>
      </c>
      <c r="C8" s="4">
        <f>+AD_tis!C8*AD_tis!C$50*AD_tis!$BG8</f>
        <v>0</v>
      </c>
      <c r="D8" s="4">
        <f>+AD_tis!D8*AD_tis!D$50*AD_tis!$BG8</f>
        <v>0</v>
      </c>
      <c r="E8" s="4">
        <f>+AD_tis!E8*AD_tis!E$50*AD_tis!$BG8</f>
        <v>0</v>
      </c>
      <c r="F8" s="4">
        <f>+AD_tis!F8*AD_tis!F$50*AD_tis!$BG8</f>
        <v>0</v>
      </c>
      <c r="G8" s="4">
        <f>+AD_tis!G8*AD_tis!G$50*AD_tis!$BG8</f>
        <v>0</v>
      </c>
      <c r="H8" s="4">
        <f>+AD_tis!H8*AD_tis!H$50*AD_tis!$BG8</f>
        <v>0</v>
      </c>
      <c r="I8" s="4">
        <f>+AD_tis!I8*AD_tis!I$50*AD_tis!$BG8</f>
        <v>0</v>
      </c>
      <c r="J8" s="4">
        <f>+AD_tis!J8*AD_tis!J$50*AD_tis!$BG8</f>
        <v>0</v>
      </c>
      <c r="K8" s="4">
        <f>+AD_tis!K8*AD_tis!K$50*AD_tis!$BG8</f>
        <v>0</v>
      </c>
      <c r="L8" s="4">
        <f>+AD_tis!L8*AD_tis!L$50*AD_tis!$BG8</f>
        <v>0</v>
      </c>
      <c r="M8" s="4">
        <f>+AD_tis!M8*AD_tis!M$50*AD_tis!$BG8</f>
        <v>0</v>
      </c>
      <c r="N8" s="4">
        <f>+AD_tis!N8*AD_tis!N$50*AD_tis!$BG8</f>
        <v>0</v>
      </c>
      <c r="O8" s="4">
        <f>+AD_tis!O8*AD_tis!O$50*AD_tis!$BG8</f>
        <v>0</v>
      </c>
      <c r="P8" s="4">
        <f>+AD_tis!P8*AD_tis!P$50*AD_tis!$BG8</f>
        <v>0</v>
      </c>
      <c r="Q8" s="4">
        <f>+AD_tis!Q8*AD_tis!Q$50*AD_tis!$BG8</f>
        <v>0</v>
      </c>
      <c r="R8" s="13">
        <f>+AD_tis!R8*AD_tis!R$50*AD_tis!$BG8</f>
        <v>0</v>
      </c>
      <c r="S8" s="4">
        <f>+AD_tis!S8*AD_tis!S$50*AD_tis!$BG8</f>
        <v>0</v>
      </c>
      <c r="T8" s="4">
        <f>+AD_tis!T8*AD_tis!T$50*AD_tis!$BG8</f>
        <v>0</v>
      </c>
      <c r="U8" s="4">
        <f>+AD_tis!U8*AD_tis!U$50*AD_tis!$BG8</f>
        <v>0</v>
      </c>
      <c r="V8" s="4">
        <f>+AD_tis!V8*AD_tis!V$50*AD_tis!$BG8</f>
        <v>0</v>
      </c>
      <c r="W8" s="4">
        <f>+AD_tis!W8*AD_tis!W$50*AD_tis!$BG8</f>
        <v>0</v>
      </c>
      <c r="X8" s="4">
        <f>+AD_tis!X8*AD_tis!X$50*AD_tis!$BG8</f>
        <v>0</v>
      </c>
      <c r="Y8" s="4">
        <f>+AD_tis!Y8*AD_tis!Y$50*AD_tis!$BG8</f>
        <v>0</v>
      </c>
      <c r="Z8" s="4">
        <f>+AD_tis!Z8*AD_tis!Z$50*AD_tis!$BG8</f>
        <v>0</v>
      </c>
      <c r="AA8" s="4">
        <f>+AD_tis!AA8*AD_tis!AA$50*AD_tis!$BG8</f>
        <v>0</v>
      </c>
      <c r="AB8" s="4">
        <f>+AD_tis!AB8*AD_tis!AB$50*AD_tis!$BG8</f>
        <v>0</v>
      </c>
      <c r="AC8" s="12">
        <f>+AD_tis!AC8*AD_tis!AC$50*AD_tis!$BG8</f>
        <v>0</v>
      </c>
      <c r="AD8" s="4">
        <f>+AD_tis!AD8*AD_tis!AD$50*AD_tis!$BG8</f>
        <v>0</v>
      </c>
      <c r="AE8" s="4">
        <f>+AD_tis!AE8*AD_tis!AE$50*AD_tis!$BG8</f>
        <v>0</v>
      </c>
      <c r="AF8" s="4">
        <f>+AD_tis!AF8*AD_tis!AF$50*AD_tis!$BG8</f>
        <v>0</v>
      </c>
      <c r="AG8" s="4">
        <f>+AD_tis!AG8*AD_tis!AG$50*AD_tis!$BG8</f>
        <v>0</v>
      </c>
      <c r="AH8" s="4">
        <f>+AD_tis!AH8*AD_tis!AH$50*AD_tis!$BG8</f>
        <v>0</v>
      </c>
      <c r="AI8" s="4">
        <f>+AD_tis!AI8*AD_tis!AI$50*AD_tis!$BG8</f>
        <v>0</v>
      </c>
      <c r="AJ8" s="4">
        <f>+AD_tis!AJ8*AD_tis!AJ$50*AD_tis!$BG8</f>
        <v>0</v>
      </c>
      <c r="AK8" s="4">
        <f>+AD_tis!AK8*AD_tis!AK$50*AD_tis!$BG8</f>
        <v>0</v>
      </c>
      <c r="AL8" s="4">
        <f>+AD_tis!AL8*AD_tis!AL$50*AD_tis!$BG8</f>
        <v>0</v>
      </c>
      <c r="AM8" s="13">
        <f>+AD_tis!AM8*AD_tis!AM$50*AD_tis!$BG8</f>
        <v>0</v>
      </c>
      <c r="AN8" s="4">
        <f>+AD_tis!AN8*AD_tis!AN$50*AD_tis!$BG8</f>
        <v>0</v>
      </c>
      <c r="AO8" s="4">
        <f>+AD_tis!AO8*AD_tis!AO$50*AD_tis!$BG8</f>
        <v>0</v>
      </c>
      <c r="AP8" s="4">
        <f>+AD_tis!AP8*AD_tis!AP$50*AD_tis!$BG8</f>
        <v>0</v>
      </c>
      <c r="AQ8" s="4">
        <f>+AD_tis!AQ8*AD_tis!AQ$50*AD_tis!$BG8</f>
        <v>0</v>
      </c>
      <c r="AR8" s="4">
        <f>+AD_tis!AR8*AD_tis!AR$50*AD_tis!$BG8</f>
        <v>0</v>
      </c>
      <c r="AS8" s="4">
        <f>+AD_tis!AS8*AD_tis!AS$50*AD_tis!$BG8</f>
        <v>0</v>
      </c>
      <c r="AT8" s="4">
        <f>+AD_tis!AT8*AD_tis!AT$50*AD_tis!$BG8</f>
        <v>0</v>
      </c>
      <c r="AU8" s="4">
        <f>+AD_tis!AU8*AD_tis!AU$50*AD_tis!$BG8</f>
        <v>0</v>
      </c>
      <c r="AV8" s="4">
        <f>+AD_tis!AV8*AD_tis!AV$50*AD_tis!$BG8</f>
        <v>0</v>
      </c>
      <c r="AW8" s="12">
        <f>+AD_tis!AW8*AD_tis!AW$50*AD_tis!$BG8</f>
        <v>0</v>
      </c>
      <c r="AX8" s="13">
        <f>+AD_tis!AX8*AD_tis!AX$50*AD_tis!$BG8</f>
        <v>0</v>
      </c>
      <c r="AY8" s="4">
        <f>+AD_tis!AY8*AD_tis!AY$50*AD_tis!$BG8</f>
        <v>0</v>
      </c>
      <c r="AZ8" s="4">
        <f>+AD_tis!AZ8*AD_tis!AZ$50*AD_tis!$BG8</f>
        <v>0</v>
      </c>
      <c r="BA8" s="12">
        <f>+AD_tis!BA8*AD_tis!BA$50*AD_tis!$BG8</f>
        <v>0</v>
      </c>
      <c r="BB8" s="4">
        <f>+AD_tis!BB8*AD_tis!BB$50*AD_tis!$BG8</f>
        <v>0</v>
      </c>
      <c r="BC8" s="13">
        <f>+AD_tis!BC8*AD_tis!BC$50*AD_tis!$BG8</f>
        <v>0</v>
      </c>
    </row>
    <row r="9" spans="1:55" ht="18.75" customHeight="1" x14ac:dyDescent="0.25">
      <c r="A9" s="5" t="s">
        <v>60</v>
      </c>
      <c r="B9" s="12">
        <f>+AD_tis!B9*AD_tis!B$50*AD_tis!$BG9</f>
        <v>0</v>
      </c>
      <c r="C9" s="4">
        <f>+AD_tis!C9*AD_tis!C$50*AD_tis!$BG9</f>
        <v>0</v>
      </c>
      <c r="D9" s="4">
        <f>+AD_tis!D9*AD_tis!D$50*AD_tis!$BG9</f>
        <v>0</v>
      </c>
      <c r="E9" s="4">
        <f>+AD_tis!E9*AD_tis!E$50*AD_tis!$BG9</f>
        <v>0</v>
      </c>
      <c r="F9" s="4">
        <f>+AD_tis!F9*AD_tis!F$50*AD_tis!$BG9</f>
        <v>0</v>
      </c>
      <c r="G9" s="4">
        <f>+AD_tis!G9*AD_tis!G$50*AD_tis!$BG9</f>
        <v>0</v>
      </c>
      <c r="H9" s="4">
        <f>+AD_tis!H9*AD_tis!H$50*AD_tis!$BG9</f>
        <v>0</v>
      </c>
      <c r="I9" s="4">
        <f>+AD_tis!I9*AD_tis!I$50*AD_tis!$BG9</f>
        <v>0</v>
      </c>
      <c r="J9" s="4">
        <f>+AD_tis!J9*AD_tis!J$50*AD_tis!$BG9</f>
        <v>0</v>
      </c>
      <c r="K9" s="4">
        <f>+AD_tis!K9*AD_tis!K$50*AD_tis!$BG9</f>
        <v>0</v>
      </c>
      <c r="L9" s="4">
        <f>+AD_tis!L9*AD_tis!L$50*AD_tis!$BG9</f>
        <v>0</v>
      </c>
      <c r="M9" s="4">
        <f>+AD_tis!M9*AD_tis!M$50*AD_tis!$BG9</f>
        <v>0</v>
      </c>
      <c r="N9" s="4">
        <f>+AD_tis!N9*AD_tis!N$50*AD_tis!$BG9</f>
        <v>0</v>
      </c>
      <c r="O9" s="4">
        <f>+AD_tis!O9*AD_tis!O$50*AD_tis!$BG9</f>
        <v>0</v>
      </c>
      <c r="P9" s="4">
        <f>+AD_tis!P9*AD_tis!P$50*AD_tis!$BG9</f>
        <v>0</v>
      </c>
      <c r="Q9" s="4">
        <f>+AD_tis!Q9*AD_tis!Q$50*AD_tis!$BG9</f>
        <v>0</v>
      </c>
      <c r="R9" s="13">
        <f>+AD_tis!R9*AD_tis!R$50*AD_tis!$BG9</f>
        <v>0</v>
      </c>
      <c r="S9" s="4">
        <f>+AD_tis!S9*AD_tis!S$50*AD_tis!$BG9</f>
        <v>0</v>
      </c>
      <c r="T9" s="4">
        <f>+AD_tis!T9*AD_tis!T$50*AD_tis!$BG9</f>
        <v>0</v>
      </c>
      <c r="U9" s="4">
        <f>+AD_tis!U9*AD_tis!U$50*AD_tis!$BG9</f>
        <v>0</v>
      </c>
      <c r="V9" s="4">
        <f>+AD_tis!V9*AD_tis!V$50*AD_tis!$BG9</f>
        <v>0</v>
      </c>
      <c r="W9" s="4">
        <f>+AD_tis!W9*AD_tis!W$50*AD_tis!$BG9</f>
        <v>0</v>
      </c>
      <c r="X9" s="4">
        <f>+AD_tis!X9*AD_tis!X$50*AD_tis!$BG9</f>
        <v>0</v>
      </c>
      <c r="Y9" s="4">
        <f>+AD_tis!Y9*AD_tis!Y$50*AD_tis!$BG9</f>
        <v>0</v>
      </c>
      <c r="Z9" s="4">
        <f>+AD_tis!Z9*AD_tis!Z$50*AD_tis!$BG9</f>
        <v>0</v>
      </c>
      <c r="AA9" s="4">
        <f>+AD_tis!AA9*AD_tis!AA$50*AD_tis!$BG9</f>
        <v>0</v>
      </c>
      <c r="AB9" s="4">
        <f>+AD_tis!AB9*AD_tis!AB$50*AD_tis!$BG9</f>
        <v>0</v>
      </c>
      <c r="AC9" s="12">
        <f>+AD_tis!AC9*AD_tis!AC$50*AD_tis!$BG9</f>
        <v>0</v>
      </c>
      <c r="AD9" s="4">
        <f>+AD_tis!AD9*AD_tis!AD$50*AD_tis!$BG9</f>
        <v>0</v>
      </c>
      <c r="AE9" s="4">
        <f>+AD_tis!AE9*AD_tis!AE$50*AD_tis!$BG9</f>
        <v>0</v>
      </c>
      <c r="AF9" s="4">
        <f>+AD_tis!AF9*AD_tis!AF$50*AD_tis!$BG9</f>
        <v>0</v>
      </c>
      <c r="AG9" s="4">
        <f>+AD_tis!AG9*AD_tis!AG$50*AD_tis!$BG9</f>
        <v>0</v>
      </c>
      <c r="AH9" s="4">
        <f>+AD_tis!AH9*AD_tis!AH$50*AD_tis!$BG9</f>
        <v>0</v>
      </c>
      <c r="AI9" s="4">
        <f>+AD_tis!AI9*AD_tis!AI$50*AD_tis!$BG9</f>
        <v>0</v>
      </c>
      <c r="AJ9" s="4">
        <f>+AD_tis!AJ9*AD_tis!AJ$50*AD_tis!$BG9</f>
        <v>0</v>
      </c>
      <c r="AK9" s="4">
        <f>+AD_tis!AK9*AD_tis!AK$50*AD_tis!$BG9</f>
        <v>0</v>
      </c>
      <c r="AL9" s="4">
        <f>+AD_tis!AL9*AD_tis!AL$50*AD_tis!$BG9</f>
        <v>0</v>
      </c>
      <c r="AM9" s="13">
        <f>+AD_tis!AM9*AD_tis!AM$50*AD_tis!$BG9</f>
        <v>0</v>
      </c>
      <c r="AN9" s="4">
        <f>+AD_tis!AN9*AD_tis!AN$50*AD_tis!$BG9</f>
        <v>0</v>
      </c>
      <c r="AO9" s="4">
        <f>+AD_tis!AO9*AD_tis!AO$50*AD_tis!$BG9</f>
        <v>0</v>
      </c>
      <c r="AP9" s="4">
        <f>+AD_tis!AP9*AD_tis!AP$50*AD_tis!$BG9</f>
        <v>0</v>
      </c>
      <c r="AQ9" s="4">
        <f>+AD_tis!AQ9*AD_tis!AQ$50*AD_tis!$BG9</f>
        <v>0</v>
      </c>
      <c r="AR9" s="4">
        <f>+AD_tis!AR9*AD_tis!AR$50*AD_tis!$BG9</f>
        <v>0</v>
      </c>
      <c r="AS9" s="4">
        <f>+AD_tis!AS9*AD_tis!AS$50*AD_tis!$BG9</f>
        <v>0</v>
      </c>
      <c r="AT9" s="4">
        <f>+AD_tis!AT9*AD_tis!AT$50*AD_tis!$BG9</f>
        <v>0</v>
      </c>
      <c r="AU9" s="4">
        <f>+AD_tis!AU9*AD_tis!AU$50*AD_tis!$BG9</f>
        <v>0</v>
      </c>
      <c r="AV9" s="4">
        <f>+AD_tis!AV9*AD_tis!AV$50*AD_tis!$BG9</f>
        <v>0</v>
      </c>
      <c r="AW9" s="12">
        <f>+AD_tis!AW9*AD_tis!AW$50*AD_tis!$BG9</f>
        <v>0</v>
      </c>
      <c r="AX9" s="13">
        <f>+AD_tis!AX9*AD_tis!AX$50*AD_tis!$BG9</f>
        <v>0</v>
      </c>
      <c r="AY9" s="4">
        <f>+AD_tis!AY9*AD_tis!AY$50*AD_tis!$BG9</f>
        <v>0</v>
      </c>
      <c r="AZ9" s="4">
        <f>+AD_tis!AZ9*AD_tis!AZ$50*AD_tis!$BG9</f>
        <v>0</v>
      </c>
      <c r="BA9" s="12">
        <f>+AD_tis!BA9*AD_tis!BA$50*AD_tis!$BG9</f>
        <v>0</v>
      </c>
      <c r="BB9" s="4">
        <f>+AD_tis!BB9*AD_tis!BB$50*AD_tis!$BG9</f>
        <v>0</v>
      </c>
      <c r="BC9" s="13">
        <f>+AD_tis!BC9*AD_tis!BC$50*AD_tis!$BG9</f>
        <v>0</v>
      </c>
    </row>
    <row r="10" spans="1:55" ht="18.75" customHeight="1" x14ac:dyDescent="0.25">
      <c r="A10" s="5" t="s">
        <v>61</v>
      </c>
      <c r="B10" s="12">
        <f>+AD_tis!B10*AD_tis!B$50*AD_tis!$BG10</f>
        <v>0</v>
      </c>
      <c r="C10" s="4">
        <f>+AD_tis!C10*AD_tis!C$50*AD_tis!$BG10</f>
        <v>0</v>
      </c>
      <c r="D10" s="4">
        <f>+AD_tis!D10*AD_tis!D$50*AD_tis!$BG10</f>
        <v>0</v>
      </c>
      <c r="E10" s="4">
        <f>+AD_tis!E10*AD_tis!E$50*AD_tis!$BG10</f>
        <v>0</v>
      </c>
      <c r="F10" s="4">
        <f>+AD_tis!F10*AD_tis!F$50*AD_tis!$BG10</f>
        <v>0</v>
      </c>
      <c r="G10" s="4">
        <f>+AD_tis!G10*AD_tis!G$50*AD_tis!$BG10</f>
        <v>0</v>
      </c>
      <c r="H10" s="4">
        <f>+AD_tis!H10*AD_tis!H$50*AD_tis!$BG10</f>
        <v>0</v>
      </c>
      <c r="I10" s="4">
        <f>+AD_tis!I10*AD_tis!I$50*AD_tis!$BG10</f>
        <v>0</v>
      </c>
      <c r="J10" s="4">
        <f>+AD_tis!J10*AD_tis!J$50*AD_tis!$BG10</f>
        <v>0</v>
      </c>
      <c r="K10" s="4">
        <f>+AD_tis!K10*AD_tis!K$50*AD_tis!$BG10</f>
        <v>0</v>
      </c>
      <c r="L10" s="4">
        <f>+AD_tis!L10*AD_tis!L$50*AD_tis!$BG10</f>
        <v>0</v>
      </c>
      <c r="M10" s="4">
        <f>+AD_tis!M10*AD_tis!M$50*AD_tis!$BG10</f>
        <v>0</v>
      </c>
      <c r="N10" s="4">
        <f>+AD_tis!N10*AD_tis!N$50*AD_tis!$BG10</f>
        <v>0</v>
      </c>
      <c r="O10" s="4">
        <f>+AD_tis!O10*AD_tis!O$50*AD_tis!$BG10</f>
        <v>0</v>
      </c>
      <c r="P10" s="4">
        <f>+AD_tis!P10*AD_tis!P$50*AD_tis!$BG10</f>
        <v>0</v>
      </c>
      <c r="Q10" s="4">
        <f>+AD_tis!Q10*AD_tis!Q$50*AD_tis!$BG10</f>
        <v>0</v>
      </c>
      <c r="R10" s="13">
        <f>+AD_tis!R10*AD_tis!R$50*AD_tis!$BG10</f>
        <v>0</v>
      </c>
      <c r="S10" s="4">
        <f>+AD_tis!S10*AD_tis!S$50*AD_tis!$BG10</f>
        <v>0</v>
      </c>
      <c r="T10" s="4">
        <f>+AD_tis!T10*AD_tis!T$50*AD_tis!$BG10</f>
        <v>0</v>
      </c>
      <c r="U10" s="4">
        <f>+AD_tis!U10*AD_tis!U$50*AD_tis!$BG10</f>
        <v>0</v>
      </c>
      <c r="V10" s="4">
        <f>+AD_tis!V10*AD_tis!V$50*AD_tis!$BG10</f>
        <v>0</v>
      </c>
      <c r="W10" s="4">
        <f>+AD_tis!W10*AD_tis!W$50*AD_tis!$BG10</f>
        <v>0</v>
      </c>
      <c r="X10" s="4">
        <f>+AD_tis!X10*AD_tis!X$50*AD_tis!$BG10</f>
        <v>0</v>
      </c>
      <c r="Y10" s="4">
        <f>+AD_tis!Y10*AD_tis!Y$50*AD_tis!$BG10</f>
        <v>0</v>
      </c>
      <c r="Z10" s="4">
        <f>+AD_tis!Z10*AD_tis!Z$50*AD_tis!$BG10</f>
        <v>0</v>
      </c>
      <c r="AA10" s="4">
        <f>+AD_tis!AA10*AD_tis!AA$50*AD_tis!$BG10</f>
        <v>0</v>
      </c>
      <c r="AB10" s="4">
        <f>+AD_tis!AB10*AD_tis!AB$50*AD_tis!$BG10</f>
        <v>0</v>
      </c>
      <c r="AC10" s="12">
        <f>+AD_tis!AC10*AD_tis!AC$50*AD_tis!$BG10</f>
        <v>0</v>
      </c>
      <c r="AD10" s="4">
        <f>+AD_tis!AD10*AD_tis!AD$50*AD_tis!$BG10</f>
        <v>0</v>
      </c>
      <c r="AE10" s="4">
        <f>+AD_tis!AE10*AD_tis!AE$50*AD_tis!$BG10</f>
        <v>0</v>
      </c>
      <c r="AF10" s="4">
        <f>+AD_tis!AF10*AD_tis!AF$50*AD_tis!$BG10</f>
        <v>0</v>
      </c>
      <c r="AG10" s="4">
        <f>+AD_tis!AG10*AD_tis!AG$50*AD_tis!$BG10</f>
        <v>0</v>
      </c>
      <c r="AH10" s="4">
        <f>+AD_tis!AH10*AD_tis!AH$50*AD_tis!$BG10</f>
        <v>0</v>
      </c>
      <c r="AI10" s="4">
        <f>+AD_tis!AI10*AD_tis!AI$50*AD_tis!$BG10</f>
        <v>0</v>
      </c>
      <c r="AJ10" s="4">
        <f>+AD_tis!AJ10*AD_tis!AJ$50*AD_tis!$BG10</f>
        <v>0</v>
      </c>
      <c r="AK10" s="4">
        <f>+AD_tis!AK10*AD_tis!AK$50*AD_tis!$BG10</f>
        <v>0</v>
      </c>
      <c r="AL10" s="4">
        <f>+AD_tis!AL10*AD_tis!AL$50*AD_tis!$BG10</f>
        <v>0</v>
      </c>
      <c r="AM10" s="13">
        <f>+AD_tis!AM10*AD_tis!AM$50*AD_tis!$BG10</f>
        <v>0</v>
      </c>
      <c r="AN10" s="4">
        <f>+AD_tis!AN10*AD_tis!AN$50*AD_tis!$BG10</f>
        <v>0</v>
      </c>
      <c r="AO10" s="4">
        <f>+AD_tis!AO10*AD_tis!AO$50*AD_tis!$BG10</f>
        <v>0</v>
      </c>
      <c r="AP10" s="4">
        <f>+AD_tis!AP10*AD_tis!AP$50*AD_tis!$BG10</f>
        <v>0</v>
      </c>
      <c r="AQ10" s="4">
        <f>+AD_tis!AQ10*AD_tis!AQ$50*AD_tis!$BG10</f>
        <v>0</v>
      </c>
      <c r="AR10" s="4">
        <f>+AD_tis!AR10*AD_tis!AR$50*AD_tis!$BG10</f>
        <v>0</v>
      </c>
      <c r="AS10" s="4">
        <f>+AD_tis!AS10*AD_tis!AS$50*AD_tis!$BG10</f>
        <v>0</v>
      </c>
      <c r="AT10" s="4">
        <f>+AD_tis!AT10*AD_tis!AT$50*AD_tis!$BG10</f>
        <v>0</v>
      </c>
      <c r="AU10" s="4">
        <f>+AD_tis!AU10*AD_tis!AU$50*AD_tis!$BG10</f>
        <v>0</v>
      </c>
      <c r="AV10" s="4">
        <f>+AD_tis!AV10*AD_tis!AV$50*AD_tis!$BG10</f>
        <v>0</v>
      </c>
      <c r="AW10" s="12">
        <f>+AD_tis!AW10*AD_tis!AW$50*AD_tis!$BG10</f>
        <v>0</v>
      </c>
      <c r="AX10" s="13">
        <f>+AD_tis!AX10*AD_tis!AX$50*AD_tis!$BG10</f>
        <v>0</v>
      </c>
      <c r="AY10" s="4">
        <f>+AD_tis!AY10*AD_tis!AY$50*AD_tis!$BG10</f>
        <v>0</v>
      </c>
      <c r="AZ10" s="4">
        <f>+AD_tis!AZ10*AD_tis!AZ$50*AD_tis!$BG10</f>
        <v>0</v>
      </c>
      <c r="BA10" s="12">
        <f>+AD_tis!BA10*AD_tis!BA$50*AD_tis!$BG10</f>
        <v>0</v>
      </c>
      <c r="BB10" s="4">
        <f>+AD_tis!BB10*AD_tis!BB$50*AD_tis!$BG10</f>
        <v>0</v>
      </c>
      <c r="BC10" s="13">
        <f>+AD_tis!BC10*AD_tis!BC$50*AD_tis!$BG10</f>
        <v>0</v>
      </c>
    </row>
    <row r="11" spans="1:55" ht="18.75" customHeight="1" x14ac:dyDescent="0.25">
      <c r="A11" s="5" t="s">
        <v>62</v>
      </c>
      <c r="B11" s="12">
        <f>+AD_tis!B11*AD_tis!B$50*AD_tis!$BG11</f>
        <v>0</v>
      </c>
      <c r="C11" s="4">
        <f>+AD_tis!C11*AD_tis!C$50*AD_tis!$BG11</f>
        <v>0</v>
      </c>
      <c r="D11" s="4">
        <f>+AD_tis!D11*AD_tis!D$50*AD_tis!$BG11</f>
        <v>0</v>
      </c>
      <c r="E11" s="4">
        <f>+AD_tis!E11*AD_tis!E$50*AD_tis!$BG11</f>
        <v>0</v>
      </c>
      <c r="F11" s="4">
        <f>+AD_tis!F11*AD_tis!F$50*AD_tis!$BG11</f>
        <v>1</v>
      </c>
      <c r="G11" s="4">
        <f>+AD_tis!G11*AD_tis!G$50*AD_tis!$BG11</f>
        <v>1</v>
      </c>
      <c r="H11" s="4">
        <f>+AD_tis!H11*AD_tis!H$50*AD_tis!$BG11</f>
        <v>0</v>
      </c>
      <c r="I11" s="4">
        <f>+AD_tis!I11*AD_tis!I$50*AD_tis!$BG11</f>
        <v>0</v>
      </c>
      <c r="J11" s="4">
        <f>+AD_tis!J11*AD_tis!J$50*AD_tis!$BG11</f>
        <v>0</v>
      </c>
      <c r="K11" s="4">
        <f>+AD_tis!K11*AD_tis!K$50*AD_tis!$BG11</f>
        <v>0</v>
      </c>
      <c r="L11" s="4">
        <f>+AD_tis!L11*AD_tis!L$50*AD_tis!$BG11</f>
        <v>0</v>
      </c>
      <c r="M11" s="4">
        <f>+AD_tis!M11*AD_tis!M$50*AD_tis!$BG11</f>
        <v>1</v>
      </c>
      <c r="N11" s="4">
        <f>+AD_tis!N11*AD_tis!N$50*AD_tis!$BG11</f>
        <v>1</v>
      </c>
      <c r="O11" s="4">
        <f>+AD_tis!O11*AD_tis!O$50*AD_tis!$BG11</f>
        <v>0</v>
      </c>
      <c r="P11" s="4">
        <f>+AD_tis!P11*AD_tis!P$50*AD_tis!$BG11</f>
        <v>0</v>
      </c>
      <c r="Q11" s="4">
        <f>+AD_tis!Q11*AD_tis!Q$50*AD_tis!$BG11</f>
        <v>0</v>
      </c>
      <c r="R11" s="13">
        <f>+AD_tis!R11*AD_tis!R$50*AD_tis!$BG11</f>
        <v>0</v>
      </c>
      <c r="S11" s="4">
        <f>+AD_tis!S11*AD_tis!S$50*AD_tis!$BG11</f>
        <v>0</v>
      </c>
      <c r="T11" s="4">
        <f>+AD_tis!T11*AD_tis!T$50*AD_tis!$BG11</f>
        <v>0</v>
      </c>
      <c r="U11" s="4">
        <f>+AD_tis!U11*AD_tis!U$50*AD_tis!$BG11</f>
        <v>0</v>
      </c>
      <c r="V11" s="4">
        <f>+AD_tis!V11*AD_tis!V$50*AD_tis!$BG11</f>
        <v>0</v>
      </c>
      <c r="W11" s="4">
        <f>+AD_tis!W11*AD_tis!W$50*AD_tis!$BG11</f>
        <v>0</v>
      </c>
      <c r="X11" s="4">
        <f>+AD_tis!X11*AD_tis!X$50*AD_tis!$BG11</f>
        <v>0</v>
      </c>
      <c r="Y11" s="4">
        <f>+AD_tis!Y11*AD_tis!Y$50*AD_tis!$BG11</f>
        <v>0</v>
      </c>
      <c r="Z11" s="4">
        <f>+AD_tis!Z11*AD_tis!Z$50*AD_tis!$BG11</f>
        <v>0</v>
      </c>
      <c r="AA11" s="4">
        <f>+AD_tis!AA11*AD_tis!AA$50*AD_tis!$BG11</f>
        <v>0</v>
      </c>
      <c r="AB11" s="4">
        <f>+AD_tis!AB11*AD_tis!AB$50*AD_tis!$BG11</f>
        <v>0</v>
      </c>
      <c r="AC11" s="12">
        <f>+AD_tis!AC11*AD_tis!AC$50*AD_tis!$BG11</f>
        <v>0</v>
      </c>
      <c r="AD11" s="4">
        <f>+AD_tis!AD11*AD_tis!AD$50*AD_tis!$BG11</f>
        <v>0</v>
      </c>
      <c r="AE11" s="4">
        <f>+AD_tis!AE11*AD_tis!AE$50*AD_tis!$BG11</f>
        <v>0</v>
      </c>
      <c r="AF11" s="4">
        <f>+AD_tis!AF11*AD_tis!AF$50*AD_tis!$BG11</f>
        <v>0</v>
      </c>
      <c r="AG11" s="4">
        <f>+AD_tis!AG11*AD_tis!AG$50*AD_tis!$BG11</f>
        <v>0</v>
      </c>
      <c r="AH11" s="4">
        <f>+AD_tis!AH11*AD_tis!AH$50*AD_tis!$BG11</f>
        <v>0</v>
      </c>
      <c r="AI11" s="4">
        <f>+AD_tis!AI11*AD_tis!AI$50*AD_tis!$BG11</f>
        <v>0</v>
      </c>
      <c r="AJ11" s="4">
        <f>+AD_tis!AJ11*AD_tis!AJ$50*AD_tis!$BG11</f>
        <v>0</v>
      </c>
      <c r="AK11" s="4">
        <f>+AD_tis!AK11*AD_tis!AK$50*AD_tis!$BG11</f>
        <v>0</v>
      </c>
      <c r="AL11" s="4">
        <f>+AD_tis!AL11*AD_tis!AL$50*AD_tis!$BG11</f>
        <v>0</v>
      </c>
      <c r="AM11" s="13">
        <f>+AD_tis!AM11*AD_tis!AM$50*AD_tis!$BG11</f>
        <v>0</v>
      </c>
      <c r="AN11" s="4">
        <f>+AD_tis!AN11*AD_tis!AN$50*AD_tis!$BG11</f>
        <v>0</v>
      </c>
      <c r="AO11" s="4">
        <f>+AD_tis!AO11*AD_tis!AO$50*AD_tis!$BG11</f>
        <v>0</v>
      </c>
      <c r="AP11" s="4">
        <f>+AD_tis!AP11*AD_tis!AP$50*AD_tis!$BG11</f>
        <v>0</v>
      </c>
      <c r="AQ11" s="4">
        <f>+AD_tis!AQ11*AD_tis!AQ$50*AD_tis!$BG11</f>
        <v>0</v>
      </c>
      <c r="AR11" s="4">
        <f>+AD_tis!AR11*AD_tis!AR$50*AD_tis!$BG11</f>
        <v>0</v>
      </c>
      <c r="AS11" s="4">
        <f>+AD_tis!AS11*AD_tis!AS$50*AD_tis!$BG11</f>
        <v>0</v>
      </c>
      <c r="AT11" s="4">
        <f>+AD_tis!AT11*AD_tis!AT$50*AD_tis!$BG11</f>
        <v>0</v>
      </c>
      <c r="AU11" s="4">
        <f>+AD_tis!AU11*AD_tis!AU$50*AD_tis!$BG11</f>
        <v>0</v>
      </c>
      <c r="AV11" s="4">
        <f>+AD_tis!AV11*AD_tis!AV$50*AD_tis!$BG11</f>
        <v>0</v>
      </c>
      <c r="AW11" s="12">
        <f>+AD_tis!AW11*AD_tis!AW$50*AD_tis!$BG11</f>
        <v>0</v>
      </c>
      <c r="AX11" s="13">
        <f>+AD_tis!AX11*AD_tis!AX$50*AD_tis!$BG11</f>
        <v>0</v>
      </c>
      <c r="AY11" s="4">
        <f>+AD_tis!AY11*AD_tis!AY$50*AD_tis!$BG11</f>
        <v>0</v>
      </c>
      <c r="AZ11" s="4">
        <f>+AD_tis!AZ11*AD_tis!AZ$50*AD_tis!$BG11</f>
        <v>0</v>
      </c>
      <c r="BA11" s="12">
        <f>+AD_tis!BA11*AD_tis!BA$50*AD_tis!$BG11</f>
        <v>0</v>
      </c>
      <c r="BB11" s="4">
        <f>+AD_tis!BB11*AD_tis!BB$50*AD_tis!$BG11</f>
        <v>0</v>
      </c>
      <c r="BC11" s="13">
        <f>+AD_tis!BC11*AD_tis!BC$50*AD_tis!$BG11</f>
        <v>0</v>
      </c>
    </row>
    <row r="12" spans="1:55" ht="18.75" customHeight="1" x14ac:dyDescent="0.25">
      <c r="A12" s="5" t="s">
        <v>63</v>
      </c>
      <c r="B12" s="12">
        <f>+AD_tis!B12*AD_tis!B$50*AD_tis!$BG12</f>
        <v>0</v>
      </c>
      <c r="C12" s="4">
        <f>+AD_tis!C12*AD_tis!C$50*AD_tis!$BG12</f>
        <v>0</v>
      </c>
      <c r="D12" s="4">
        <f>+AD_tis!D12*AD_tis!D$50*AD_tis!$BG12</f>
        <v>0</v>
      </c>
      <c r="E12" s="4">
        <f>+AD_tis!E12*AD_tis!E$50*AD_tis!$BG12</f>
        <v>0</v>
      </c>
      <c r="F12" s="4">
        <f>+AD_tis!F12*AD_tis!F$50*AD_tis!$BG12</f>
        <v>0</v>
      </c>
      <c r="G12" s="4">
        <f>+AD_tis!G12*AD_tis!G$50*AD_tis!$BG12</f>
        <v>0</v>
      </c>
      <c r="H12" s="4">
        <f>+AD_tis!H12*AD_tis!H$50*AD_tis!$BG12</f>
        <v>0</v>
      </c>
      <c r="I12" s="4">
        <f>+AD_tis!I12*AD_tis!I$50*AD_tis!$BG12</f>
        <v>0</v>
      </c>
      <c r="J12" s="4">
        <f>+AD_tis!J12*AD_tis!J$50*AD_tis!$BG12</f>
        <v>0</v>
      </c>
      <c r="K12" s="4">
        <f>+AD_tis!K12*AD_tis!K$50*AD_tis!$BG12</f>
        <v>0</v>
      </c>
      <c r="L12" s="4">
        <f>+AD_tis!L12*AD_tis!L$50*AD_tis!$BG12</f>
        <v>0</v>
      </c>
      <c r="M12" s="4">
        <f>+AD_tis!M12*AD_tis!M$50*AD_tis!$BG12</f>
        <v>0</v>
      </c>
      <c r="N12" s="4">
        <f>+AD_tis!N12*AD_tis!N$50*AD_tis!$BG12</f>
        <v>0</v>
      </c>
      <c r="O12" s="4">
        <f>+AD_tis!O12*AD_tis!O$50*AD_tis!$BG12</f>
        <v>0</v>
      </c>
      <c r="P12" s="4">
        <f>+AD_tis!P12*AD_tis!P$50*AD_tis!$BG12</f>
        <v>0</v>
      </c>
      <c r="Q12" s="4">
        <f>+AD_tis!Q12*AD_tis!Q$50*AD_tis!$BG12</f>
        <v>0</v>
      </c>
      <c r="R12" s="13">
        <f>+AD_tis!R12*AD_tis!R$50*AD_tis!$BG12</f>
        <v>0</v>
      </c>
      <c r="S12" s="4">
        <f>+AD_tis!S12*AD_tis!S$50*AD_tis!$BG12</f>
        <v>0</v>
      </c>
      <c r="T12" s="4">
        <f>+AD_tis!T12*AD_tis!T$50*AD_tis!$BG12</f>
        <v>0</v>
      </c>
      <c r="U12" s="4">
        <f>+AD_tis!U12*AD_tis!U$50*AD_tis!$BG12</f>
        <v>0</v>
      </c>
      <c r="V12" s="4">
        <f>+AD_tis!V12*AD_tis!V$50*AD_tis!$BG12</f>
        <v>0</v>
      </c>
      <c r="W12" s="4">
        <f>+AD_tis!W12*AD_tis!W$50*AD_tis!$BG12</f>
        <v>0</v>
      </c>
      <c r="X12" s="4">
        <f>+AD_tis!X12*AD_tis!X$50*AD_tis!$BG12</f>
        <v>0</v>
      </c>
      <c r="Y12" s="4">
        <f>+AD_tis!Y12*AD_tis!Y$50*AD_tis!$BG12</f>
        <v>0</v>
      </c>
      <c r="Z12" s="4">
        <f>+AD_tis!Z12*AD_tis!Z$50*AD_tis!$BG12</f>
        <v>0</v>
      </c>
      <c r="AA12" s="4">
        <f>+AD_tis!AA12*AD_tis!AA$50*AD_tis!$BG12</f>
        <v>0</v>
      </c>
      <c r="AB12" s="4">
        <f>+AD_tis!AB12*AD_tis!AB$50*AD_tis!$BG12</f>
        <v>0</v>
      </c>
      <c r="AC12" s="12">
        <f>+AD_tis!AC12*AD_tis!AC$50*AD_tis!$BG12</f>
        <v>0</v>
      </c>
      <c r="AD12" s="4">
        <f>+AD_tis!AD12*AD_tis!AD$50*AD_tis!$BG12</f>
        <v>0</v>
      </c>
      <c r="AE12" s="4">
        <f>+AD_tis!AE12*AD_tis!AE$50*AD_tis!$BG12</f>
        <v>0</v>
      </c>
      <c r="AF12" s="4">
        <f>+AD_tis!AF12*AD_tis!AF$50*AD_tis!$BG12</f>
        <v>0</v>
      </c>
      <c r="AG12" s="4">
        <f>+AD_tis!AG12*AD_tis!AG$50*AD_tis!$BG12</f>
        <v>0</v>
      </c>
      <c r="AH12" s="4">
        <f>+AD_tis!AH12*AD_tis!AH$50*AD_tis!$BG12</f>
        <v>0</v>
      </c>
      <c r="AI12" s="4">
        <f>+AD_tis!AI12*AD_tis!AI$50*AD_tis!$BG12</f>
        <v>0</v>
      </c>
      <c r="AJ12" s="4">
        <f>+AD_tis!AJ12*AD_tis!AJ$50*AD_tis!$BG12</f>
        <v>0</v>
      </c>
      <c r="AK12" s="4">
        <f>+AD_tis!AK12*AD_tis!AK$50*AD_tis!$BG12</f>
        <v>0</v>
      </c>
      <c r="AL12" s="4">
        <f>+AD_tis!AL12*AD_tis!AL$50*AD_tis!$BG12</f>
        <v>0</v>
      </c>
      <c r="AM12" s="13">
        <f>+AD_tis!AM12*AD_tis!AM$50*AD_tis!$BG12</f>
        <v>0</v>
      </c>
      <c r="AN12" s="4">
        <f>+AD_tis!AN12*AD_tis!AN$50*AD_tis!$BG12</f>
        <v>0</v>
      </c>
      <c r="AO12" s="4">
        <f>+AD_tis!AO12*AD_tis!AO$50*AD_tis!$BG12</f>
        <v>0</v>
      </c>
      <c r="AP12" s="4">
        <f>+AD_tis!AP12*AD_tis!AP$50*AD_tis!$BG12</f>
        <v>0</v>
      </c>
      <c r="AQ12" s="4">
        <f>+AD_tis!AQ12*AD_tis!AQ$50*AD_tis!$BG12</f>
        <v>0</v>
      </c>
      <c r="AR12" s="4">
        <f>+AD_tis!AR12*AD_tis!AR$50*AD_tis!$BG12</f>
        <v>0</v>
      </c>
      <c r="AS12" s="4">
        <f>+AD_tis!AS12*AD_tis!AS$50*AD_tis!$BG12</f>
        <v>0</v>
      </c>
      <c r="AT12" s="4">
        <f>+AD_tis!AT12*AD_tis!AT$50*AD_tis!$BG12</f>
        <v>0</v>
      </c>
      <c r="AU12" s="4">
        <f>+AD_tis!AU12*AD_tis!AU$50*AD_tis!$BG12</f>
        <v>0</v>
      </c>
      <c r="AV12" s="4">
        <f>+AD_tis!AV12*AD_tis!AV$50*AD_tis!$BG12</f>
        <v>0</v>
      </c>
      <c r="AW12" s="12">
        <f>+AD_tis!AW12*AD_tis!AW$50*AD_tis!$BG12</f>
        <v>0</v>
      </c>
      <c r="AX12" s="13">
        <f>+AD_tis!AX12*AD_tis!AX$50*AD_tis!$BG12</f>
        <v>0</v>
      </c>
      <c r="AY12" s="4">
        <f>+AD_tis!AY12*AD_tis!AY$50*AD_tis!$BG12</f>
        <v>0</v>
      </c>
      <c r="AZ12" s="4">
        <f>+AD_tis!AZ12*AD_tis!AZ$50*AD_tis!$BG12</f>
        <v>0</v>
      </c>
      <c r="BA12" s="12">
        <f>+AD_tis!BA12*AD_tis!BA$50*AD_tis!$BG12</f>
        <v>0</v>
      </c>
      <c r="BB12" s="4">
        <f>+AD_tis!BB12*AD_tis!BB$50*AD_tis!$BG12</f>
        <v>0</v>
      </c>
      <c r="BC12" s="13">
        <f>+AD_tis!BC12*AD_tis!BC$50*AD_tis!$BG12</f>
        <v>0</v>
      </c>
    </row>
    <row r="13" spans="1:55" ht="18.75" customHeight="1" x14ac:dyDescent="0.25">
      <c r="A13" s="5" t="s">
        <v>64</v>
      </c>
      <c r="B13" s="12">
        <f>+AD_tis!B13*AD_tis!B$50*AD_tis!$BG13</f>
        <v>0</v>
      </c>
      <c r="C13" s="4">
        <f>+AD_tis!C13*AD_tis!C$50*AD_tis!$BG13</f>
        <v>0</v>
      </c>
      <c r="D13" s="4">
        <f>+AD_tis!D13*AD_tis!D$50*AD_tis!$BG13</f>
        <v>0</v>
      </c>
      <c r="E13" s="4">
        <f>+AD_tis!E13*AD_tis!E$50*AD_tis!$BG13</f>
        <v>0</v>
      </c>
      <c r="F13" s="4">
        <f>+AD_tis!F13*AD_tis!F$50*AD_tis!$BG13</f>
        <v>1</v>
      </c>
      <c r="G13" s="4">
        <f>+AD_tis!G13*AD_tis!G$50*AD_tis!$BG13</f>
        <v>1</v>
      </c>
      <c r="H13" s="4">
        <f>+AD_tis!H13*AD_tis!H$50*AD_tis!$BG13</f>
        <v>0</v>
      </c>
      <c r="I13" s="4">
        <f>+AD_tis!I13*AD_tis!I$50*AD_tis!$BG13</f>
        <v>0</v>
      </c>
      <c r="J13" s="4">
        <f>+AD_tis!J13*AD_tis!J$50*AD_tis!$BG13</f>
        <v>0</v>
      </c>
      <c r="K13" s="4">
        <f>+AD_tis!K13*AD_tis!K$50*AD_tis!$BG13</f>
        <v>0</v>
      </c>
      <c r="L13" s="4">
        <f>+AD_tis!L13*AD_tis!L$50*AD_tis!$BG13</f>
        <v>0</v>
      </c>
      <c r="M13" s="4">
        <f>+AD_tis!M13*AD_tis!M$50*AD_tis!$BG13</f>
        <v>1</v>
      </c>
      <c r="N13" s="4">
        <f>+AD_tis!N13*AD_tis!N$50*AD_tis!$BG13</f>
        <v>1</v>
      </c>
      <c r="O13" s="4">
        <f>+AD_tis!O13*AD_tis!O$50*AD_tis!$BG13</f>
        <v>0</v>
      </c>
      <c r="P13" s="4">
        <f>+AD_tis!P13*AD_tis!P$50*AD_tis!$BG13</f>
        <v>0</v>
      </c>
      <c r="Q13" s="4">
        <f>+AD_tis!Q13*AD_tis!Q$50*AD_tis!$BG13</f>
        <v>0</v>
      </c>
      <c r="R13" s="13">
        <f>+AD_tis!R13*AD_tis!R$50*AD_tis!$BG13</f>
        <v>0</v>
      </c>
      <c r="S13" s="4">
        <f>+AD_tis!S13*AD_tis!S$50*AD_tis!$BG13</f>
        <v>0</v>
      </c>
      <c r="T13" s="4">
        <f>+AD_tis!T13*AD_tis!T$50*AD_tis!$BG13</f>
        <v>0</v>
      </c>
      <c r="U13" s="4">
        <f>+AD_tis!U13*AD_tis!U$50*AD_tis!$BG13</f>
        <v>0</v>
      </c>
      <c r="V13" s="4">
        <f>+AD_tis!V13*AD_tis!V$50*AD_tis!$BG13</f>
        <v>0</v>
      </c>
      <c r="W13" s="4">
        <f>+AD_tis!W13*AD_tis!W$50*AD_tis!$BG13</f>
        <v>0</v>
      </c>
      <c r="X13" s="4">
        <f>+AD_tis!X13*AD_tis!X$50*AD_tis!$BG13</f>
        <v>0</v>
      </c>
      <c r="Y13" s="4">
        <f>+AD_tis!Y13*AD_tis!Y$50*AD_tis!$BG13</f>
        <v>0</v>
      </c>
      <c r="Z13" s="4">
        <f>+AD_tis!Z13*AD_tis!Z$50*AD_tis!$BG13</f>
        <v>0</v>
      </c>
      <c r="AA13" s="4">
        <f>+AD_tis!AA13*AD_tis!AA$50*AD_tis!$BG13</f>
        <v>0</v>
      </c>
      <c r="AB13" s="4">
        <f>+AD_tis!AB13*AD_tis!AB$50*AD_tis!$BG13</f>
        <v>0</v>
      </c>
      <c r="AC13" s="12">
        <f>+AD_tis!AC13*AD_tis!AC$50*AD_tis!$BG13</f>
        <v>0</v>
      </c>
      <c r="AD13" s="4">
        <f>+AD_tis!AD13*AD_tis!AD$50*AD_tis!$BG13</f>
        <v>0</v>
      </c>
      <c r="AE13" s="4">
        <f>+AD_tis!AE13*AD_tis!AE$50*AD_tis!$BG13</f>
        <v>0</v>
      </c>
      <c r="AF13" s="4">
        <f>+AD_tis!AF13*AD_tis!AF$50*AD_tis!$BG13</f>
        <v>0</v>
      </c>
      <c r="AG13" s="4">
        <f>+AD_tis!AG13*AD_tis!AG$50*AD_tis!$BG13</f>
        <v>0</v>
      </c>
      <c r="AH13" s="4">
        <f>+AD_tis!AH13*AD_tis!AH$50*AD_tis!$BG13</f>
        <v>0</v>
      </c>
      <c r="AI13" s="4">
        <f>+AD_tis!AI13*AD_tis!AI$50*AD_tis!$BG13</f>
        <v>0</v>
      </c>
      <c r="AJ13" s="4">
        <f>+AD_tis!AJ13*AD_tis!AJ$50*AD_tis!$BG13</f>
        <v>0</v>
      </c>
      <c r="AK13" s="4">
        <f>+AD_tis!AK13*AD_tis!AK$50*AD_tis!$BG13</f>
        <v>0</v>
      </c>
      <c r="AL13" s="4">
        <f>+AD_tis!AL13*AD_tis!AL$50*AD_tis!$BG13</f>
        <v>0</v>
      </c>
      <c r="AM13" s="13">
        <f>+AD_tis!AM13*AD_tis!AM$50*AD_tis!$BG13</f>
        <v>0</v>
      </c>
      <c r="AN13" s="4">
        <f>+AD_tis!AN13*AD_tis!AN$50*AD_tis!$BG13</f>
        <v>0</v>
      </c>
      <c r="AO13" s="4">
        <f>+AD_tis!AO13*AD_tis!AO$50*AD_tis!$BG13</f>
        <v>0</v>
      </c>
      <c r="AP13" s="4">
        <f>+AD_tis!AP13*AD_tis!AP$50*AD_tis!$BG13</f>
        <v>0</v>
      </c>
      <c r="AQ13" s="4">
        <f>+AD_tis!AQ13*AD_tis!AQ$50*AD_tis!$BG13</f>
        <v>0</v>
      </c>
      <c r="AR13" s="4">
        <f>+AD_tis!AR13*AD_tis!AR$50*AD_tis!$BG13</f>
        <v>0</v>
      </c>
      <c r="AS13" s="4">
        <f>+AD_tis!AS13*AD_tis!AS$50*AD_tis!$BG13</f>
        <v>0</v>
      </c>
      <c r="AT13" s="4">
        <f>+AD_tis!AT13*AD_tis!AT$50*AD_tis!$BG13</f>
        <v>0</v>
      </c>
      <c r="AU13" s="4">
        <f>+AD_tis!AU13*AD_tis!AU$50*AD_tis!$BG13</f>
        <v>0</v>
      </c>
      <c r="AV13" s="4">
        <f>+AD_tis!AV13*AD_tis!AV$50*AD_tis!$BG13</f>
        <v>0</v>
      </c>
      <c r="AW13" s="12">
        <f>+AD_tis!AW13*AD_tis!AW$50*AD_tis!$BG13</f>
        <v>0</v>
      </c>
      <c r="AX13" s="13">
        <f>+AD_tis!AX13*AD_tis!AX$50*AD_tis!$BG13</f>
        <v>0</v>
      </c>
      <c r="AY13" s="4">
        <f>+AD_tis!AY13*AD_tis!AY$50*AD_tis!$BG13</f>
        <v>0</v>
      </c>
      <c r="AZ13" s="4">
        <f>+AD_tis!AZ13*AD_tis!AZ$50*AD_tis!$BG13</f>
        <v>0</v>
      </c>
      <c r="BA13" s="12">
        <f>+AD_tis!BA13*AD_tis!BA$50*AD_tis!$BG13</f>
        <v>0</v>
      </c>
      <c r="BB13" s="4">
        <f>+AD_tis!BB13*AD_tis!BB$50*AD_tis!$BG13</f>
        <v>0</v>
      </c>
      <c r="BC13" s="13">
        <f>+AD_tis!BC13*AD_tis!BC$50*AD_tis!$BG13</f>
        <v>0</v>
      </c>
    </row>
    <row r="14" spans="1:55" ht="18.75" customHeight="1" x14ac:dyDescent="0.25">
      <c r="A14" s="5" t="s">
        <v>65</v>
      </c>
      <c r="B14" s="12">
        <f>+AD_tis!B14*AD_tis!B$50*AD_tis!$BG14</f>
        <v>0</v>
      </c>
      <c r="C14" s="4">
        <f>+AD_tis!C14*AD_tis!C$50*AD_tis!$BG14</f>
        <v>0</v>
      </c>
      <c r="D14" s="4">
        <f>+AD_tis!D14*AD_tis!D$50*AD_tis!$BG14</f>
        <v>0</v>
      </c>
      <c r="E14" s="4">
        <f>+AD_tis!E14*AD_tis!E$50*AD_tis!$BG14</f>
        <v>0</v>
      </c>
      <c r="F14" s="4">
        <f>+AD_tis!F14*AD_tis!F$50*AD_tis!$BG14</f>
        <v>0</v>
      </c>
      <c r="G14" s="4">
        <f>+AD_tis!G14*AD_tis!G$50*AD_tis!$BG14</f>
        <v>0</v>
      </c>
      <c r="H14" s="4">
        <f>+AD_tis!H14*AD_tis!H$50*AD_tis!$BG14</f>
        <v>0</v>
      </c>
      <c r="I14" s="4">
        <f>+AD_tis!I14*AD_tis!I$50*AD_tis!$BG14</f>
        <v>0</v>
      </c>
      <c r="J14" s="4">
        <f>+AD_tis!J14*AD_tis!J$50*AD_tis!$BG14</f>
        <v>0</v>
      </c>
      <c r="K14" s="4">
        <f>+AD_tis!K14*AD_tis!K$50*AD_tis!$BG14</f>
        <v>0</v>
      </c>
      <c r="L14" s="4">
        <f>+AD_tis!L14*AD_tis!L$50*AD_tis!$BG14</f>
        <v>0</v>
      </c>
      <c r="M14" s="4">
        <f>+AD_tis!M14*AD_tis!M$50*AD_tis!$BG14</f>
        <v>0</v>
      </c>
      <c r="N14" s="4">
        <f>+AD_tis!N14*AD_tis!N$50*AD_tis!$BG14</f>
        <v>0</v>
      </c>
      <c r="O14" s="4">
        <f>+AD_tis!O14*AD_tis!O$50*AD_tis!$BG14</f>
        <v>0</v>
      </c>
      <c r="P14" s="4">
        <f>+AD_tis!P14*AD_tis!P$50*AD_tis!$BG14</f>
        <v>0</v>
      </c>
      <c r="Q14" s="4">
        <f>+AD_tis!Q14*AD_tis!Q$50*AD_tis!$BG14</f>
        <v>0</v>
      </c>
      <c r="R14" s="13">
        <f>+AD_tis!R14*AD_tis!R$50*AD_tis!$BG14</f>
        <v>0</v>
      </c>
      <c r="S14" s="4">
        <f>+AD_tis!S14*AD_tis!S$50*AD_tis!$BG14</f>
        <v>0</v>
      </c>
      <c r="T14" s="4">
        <f>+AD_tis!T14*AD_tis!T$50*AD_tis!$BG14</f>
        <v>0</v>
      </c>
      <c r="U14" s="4">
        <f>+AD_tis!U14*AD_tis!U$50*AD_tis!$BG14</f>
        <v>0</v>
      </c>
      <c r="V14" s="4">
        <f>+AD_tis!V14*AD_tis!V$50*AD_tis!$BG14</f>
        <v>0</v>
      </c>
      <c r="W14" s="4">
        <f>+AD_tis!W14*AD_tis!W$50*AD_tis!$BG14</f>
        <v>0</v>
      </c>
      <c r="X14" s="4">
        <f>+AD_tis!X14*AD_tis!X$50*AD_tis!$BG14</f>
        <v>0</v>
      </c>
      <c r="Y14" s="4">
        <f>+AD_tis!Y14*AD_tis!Y$50*AD_tis!$BG14</f>
        <v>0</v>
      </c>
      <c r="Z14" s="4">
        <f>+AD_tis!Z14*AD_tis!Z$50*AD_tis!$BG14</f>
        <v>0</v>
      </c>
      <c r="AA14" s="4">
        <f>+AD_tis!AA14*AD_tis!AA$50*AD_tis!$BG14</f>
        <v>0</v>
      </c>
      <c r="AB14" s="4">
        <f>+AD_tis!AB14*AD_tis!AB$50*AD_tis!$BG14</f>
        <v>0</v>
      </c>
      <c r="AC14" s="12">
        <f>+AD_tis!AC14*AD_tis!AC$50*AD_tis!$BG14</f>
        <v>0</v>
      </c>
      <c r="AD14" s="4">
        <f>+AD_tis!AD14*AD_tis!AD$50*AD_tis!$BG14</f>
        <v>0</v>
      </c>
      <c r="AE14" s="4">
        <f>+AD_tis!AE14*AD_tis!AE$50*AD_tis!$BG14</f>
        <v>0</v>
      </c>
      <c r="AF14" s="4">
        <f>+AD_tis!AF14*AD_tis!AF$50*AD_tis!$BG14</f>
        <v>0</v>
      </c>
      <c r="AG14" s="4">
        <f>+AD_tis!AG14*AD_tis!AG$50*AD_tis!$BG14</f>
        <v>0</v>
      </c>
      <c r="AH14" s="4">
        <f>+AD_tis!AH14*AD_tis!AH$50*AD_tis!$BG14</f>
        <v>0</v>
      </c>
      <c r="AI14" s="4">
        <f>+AD_tis!AI14*AD_tis!AI$50*AD_tis!$BG14</f>
        <v>0</v>
      </c>
      <c r="AJ14" s="4">
        <f>+AD_tis!AJ14*AD_tis!AJ$50*AD_tis!$BG14</f>
        <v>0</v>
      </c>
      <c r="AK14" s="4">
        <f>+AD_tis!AK14*AD_tis!AK$50*AD_tis!$BG14</f>
        <v>0</v>
      </c>
      <c r="AL14" s="4">
        <f>+AD_tis!AL14*AD_tis!AL$50*AD_tis!$BG14</f>
        <v>0</v>
      </c>
      <c r="AM14" s="13">
        <f>+AD_tis!AM14*AD_tis!AM$50*AD_tis!$BG14</f>
        <v>0</v>
      </c>
      <c r="AN14" s="4">
        <f>+AD_tis!AN14*AD_tis!AN$50*AD_tis!$BG14</f>
        <v>0</v>
      </c>
      <c r="AO14" s="4">
        <f>+AD_tis!AO14*AD_tis!AO$50*AD_tis!$BG14</f>
        <v>0</v>
      </c>
      <c r="AP14" s="4">
        <f>+AD_tis!AP14*AD_tis!AP$50*AD_tis!$BG14</f>
        <v>0</v>
      </c>
      <c r="AQ14" s="4">
        <f>+AD_tis!AQ14*AD_tis!AQ$50*AD_tis!$BG14</f>
        <v>0</v>
      </c>
      <c r="AR14" s="4">
        <f>+AD_tis!AR14*AD_tis!AR$50*AD_tis!$BG14</f>
        <v>0</v>
      </c>
      <c r="AS14" s="4">
        <f>+AD_tis!AS14*AD_tis!AS$50*AD_tis!$BG14</f>
        <v>0</v>
      </c>
      <c r="AT14" s="4">
        <f>+AD_tis!AT14*AD_tis!AT$50*AD_tis!$BG14</f>
        <v>0</v>
      </c>
      <c r="AU14" s="4">
        <f>+AD_tis!AU14*AD_tis!AU$50*AD_tis!$BG14</f>
        <v>0</v>
      </c>
      <c r="AV14" s="4">
        <f>+AD_tis!AV14*AD_tis!AV$50*AD_tis!$BG14</f>
        <v>0</v>
      </c>
      <c r="AW14" s="12">
        <f>+AD_tis!AW14*AD_tis!AW$50*AD_tis!$BG14</f>
        <v>0</v>
      </c>
      <c r="AX14" s="13">
        <f>+AD_tis!AX14*AD_tis!AX$50*AD_tis!$BG14</f>
        <v>0</v>
      </c>
      <c r="AY14" s="4">
        <f>+AD_tis!AY14*AD_tis!AY$50*AD_tis!$BG14</f>
        <v>0</v>
      </c>
      <c r="AZ14" s="4">
        <f>+AD_tis!AZ14*AD_tis!AZ$50*AD_tis!$BG14</f>
        <v>0</v>
      </c>
      <c r="BA14" s="12">
        <f>+AD_tis!BA14*AD_tis!BA$50*AD_tis!$BG14</f>
        <v>0</v>
      </c>
      <c r="BB14" s="4">
        <f>+AD_tis!BB14*AD_tis!BB$50*AD_tis!$BG14</f>
        <v>0</v>
      </c>
      <c r="BC14" s="13">
        <f>+AD_tis!BC14*AD_tis!BC$50*AD_tis!$BG14</f>
        <v>0</v>
      </c>
    </row>
    <row r="15" spans="1:55" ht="18.75" customHeight="1" x14ac:dyDescent="0.25">
      <c r="A15" s="5" t="s">
        <v>66</v>
      </c>
      <c r="B15" s="12">
        <f>+AD_tis!B15*AD_tis!B$50*AD_tis!$BG15</f>
        <v>0</v>
      </c>
      <c r="C15" s="4">
        <f>+AD_tis!C15*AD_tis!C$50*AD_tis!$BG15</f>
        <v>0</v>
      </c>
      <c r="D15" s="4">
        <f>+AD_tis!D15*AD_tis!D$50*AD_tis!$BG15</f>
        <v>0</v>
      </c>
      <c r="E15" s="4">
        <f>+AD_tis!E15*AD_tis!E$50*AD_tis!$BG15</f>
        <v>0</v>
      </c>
      <c r="F15" s="4">
        <f>+AD_tis!F15*AD_tis!F$50*AD_tis!$BG15</f>
        <v>0</v>
      </c>
      <c r="G15" s="4">
        <f>+AD_tis!G15*AD_tis!G$50*AD_tis!$BG15</f>
        <v>0</v>
      </c>
      <c r="H15" s="4">
        <f>+AD_tis!H15*AD_tis!H$50*AD_tis!$BG15</f>
        <v>0</v>
      </c>
      <c r="I15" s="4">
        <f>+AD_tis!I15*AD_tis!I$50*AD_tis!$BG15</f>
        <v>0</v>
      </c>
      <c r="J15" s="4">
        <f>+AD_tis!J15*AD_tis!J$50*AD_tis!$BG15</f>
        <v>0</v>
      </c>
      <c r="K15" s="4">
        <f>+AD_tis!K15*AD_tis!K$50*AD_tis!$BG15</f>
        <v>0</v>
      </c>
      <c r="L15" s="4">
        <f>+AD_tis!L15*AD_tis!L$50*AD_tis!$BG15</f>
        <v>0</v>
      </c>
      <c r="M15" s="4">
        <f>+AD_tis!M15*AD_tis!M$50*AD_tis!$BG15</f>
        <v>0</v>
      </c>
      <c r="N15" s="4">
        <f>+AD_tis!N15*AD_tis!N$50*AD_tis!$BG15</f>
        <v>0</v>
      </c>
      <c r="O15" s="4">
        <f>+AD_tis!O15*AD_tis!O$50*AD_tis!$BG15</f>
        <v>0</v>
      </c>
      <c r="P15" s="4">
        <f>+AD_tis!P15*AD_tis!P$50*AD_tis!$BG15</f>
        <v>0</v>
      </c>
      <c r="Q15" s="4">
        <f>+AD_tis!Q15*AD_tis!Q$50*AD_tis!$BG15</f>
        <v>0</v>
      </c>
      <c r="R15" s="13">
        <f>+AD_tis!R15*AD_tis!R$50*AD_tis!$BG15</f>
        <v>0</v>
      </c>
      <c r="S15" s="4">
        <f>+AD_tis!S15*AD_tis!S$50*AD_tis!$BG15</f>
        <v>0</v>
      </c>
      <c r="T15" s="4">
        <f>+AD_tis!T15*AD_tis!T$50*AD_tis!$BG15</f>
        <v>0</v>
      </c>
      <c r="U15" s="4">
        <f>+AD_tis!U15*AD_tis!U$50*AD_tis!$BG15</f>
        <v>0</v>
      </c>
      <c r="V15" s="4">
        <f>+AD_tis!V15*AD_tis!V$50*AD_tis!$BG15</f>
        <v>0</v>
      </c>
      <c r="W15" s="4">
        <f>+AD_tis!W15*AD_tis!W$50*AD_tis!$BG15</f>
        <v>0</v>
      </c>
      <c r="X15" s="4">
        <f>+AD_tis!X15*AD_tis!X$50*AD_tis!$BG15</f>
        <v>0</v>
      </c>
      <c r="Y15" s="4">
        <f>+AD_tis!Y15*AD_tis!Y$50*AD_tis!$BG15</f>
        <v>0</v>
      </c>
      <c r="Z15" s="4">
        <f>+AD_tis!Z15*AD_tis!Z$50*AD_tis!$BG15</f>
        <v>0</v>
      </c>
      <c r="AA15" s="4">
        <f>+AD_tis!AA15*AD_tis!AA$50*AD_tis!$BG15</f>
        <v>0</v>
      </c>
      <c r="AB15" s="4">
        <f>+AD_tis!AB15*AD_tis!AB$50*AD_tis!$BG15</f>
        <v>0</v>
      </c>
      <c r="AC15" s="12">
        <f>+AD_tis!AC15*AD_tis!AC$50*AD_tis!$BG15</f>
        <v>0</v>
      </c>
      <c r="AD15" s="4">
        <f>+AD_tis!AD15*AD_tis!AD$50*AD_tis!$BG15</f>
        <v>0</v>
      </c>
      <c r="AE15" s="4">
        <f>+AD_tis!AE15*AD_tis!AE$50*AD_tis!$BG15</f>
        <v>0</v>
      </c>
      <c r="AF15" s="4">
        <f>+AD_tis!AF15*AD_tis!AF$50*AD_tis!$BG15</f>
        <v>0</v>
      </c>
      <c r="AG15" s="4">
        <f>+AD_tis!AG15*AD_tis!AG$50*AD_tis!$BG15</f>
        <v>0</v>
      </c>
      <c r="AH15" s="4">
        <f>+AD_tis!AH15*AD_tis!AH$50*AD_tis!$BG15</f>
        <v>0</v>
      </c>
      <c r="AI15" s="4">
        <f>+AD_tis!AI15*AD_tis!AI$50*AD_tis!$BG15</f>
        <v>0</v>
      </c>
      <c r="AJ15" s="4">
        <f>+AD_tis!AJ15*AD_tis!AJ$50*AD_tis!$BG15</f>
        <v>0</v>
      </c>
      <c r="AK15" s="4">
        <f>+AD_tis!AK15*AD_tis!AK$50*AD_tis!$BG15</f>
        <v>0</v>
      </c>
      <c r="AL15" s="4">
        <f>+AD_tis!AL15*AD_tis!AL$50*AD_tis!$BG15</f>
        <v>0</v>
      </c>
      <c r="AM15" s="13">
        <f>+AD_tis!AM15*AD_tis!AM$50*AD_tis!$BG15</f>
        <v>0</v>
      </c>
      <c r="AN15" s="4">
        <f>+AD_tis!AN15*AD_tis!AN$50*AD_tis!$BG15</f>
        <v>0</v>
      </c>
      <c r="AO15" s="4">
        <f>+AD_tis!AO15*AD_tis!AO$50*AD_tis!$BG15</f>
        <v>0</v>
      </c>
      <c r="AP15" s="4">
        <f>+AD_tis!AP15*AD_tis!AP$50*AD_tis!$BG15</f>
        <v>0</v>
      </c>
      <c r="AQ15" s="4">
        <f>+AD_tis!AQ15*AD_tis!AQ$50*AD_tis!$BG15</f>
        <v>0</v>
      </c>
      <c r="AR15" s="4">
        <f>+AD_tis!AR15*AD_tis!AR$50*AD_tis!$BG15</f>
        <v>0</v>
      </c>
      <c r="AS15" s="4">
        <f>+AD_tis!AS15*AD_tis!AS$50*AD_tis!$BG15</f>
        <v>0</v>
      </c>
      <c r="AT15" s="4">
        <f>+AD_tis!AT15*AD_tis!AT$50*AD_tis!$BG15</f>
        <v>0</v>
      </c>
      <c r="AU15" s="4">
        <f>+AD_tis!AU15*AD_tis!AU$50*AD_tis!$BG15</f>
        <v>0</v>
      </c>
      <c r="AV15" s="4">
        <f>+AD_tis!AV15*AD_tis!AV$50*AD_tis!$BG15</f>
        <v>0</v>
      </c>
      <c r="AW15" s="12">
        <f>+AD_tis!AW15*AD_tis!AW$50*AD_tis!$BG15</f>
        <v>0</v>
      </c>
      <c r="AX15" s="13">
        <f>+AD_tis!AX15*AD_tis!AX$50*AD_tis!$BG15</f>
        <v>0</v>
      </c>
      <c r="AY15" s="4">
        <f>+AD_tis!AY15*AD_tis!AY$50*AD_tis!$BG15</f>
        <v>0</v>
      </c>
      <c r="AZ15" s="4">
        <f>+AD_tis!AZ15*AD_tis!AZ$50*AD_tis!$BG15</f>
        <v>0</v>
      </c>
      <c r="BA15" s="12">
        <f>+AD_tis!BA15*AD_tis!BA$50*AD_tis!$BG15</f>
        <v>0</v>
      </c>
      <c r="BB15" s="4">
        <f>+AD_tis!BB15*AD_tis!BB$50*AD_tis!$BG15</f>
        <v>0</v>
      </c>
      <c r="BC15" s="13">
        <f>+AD_tis!BC15*AD_tis!BC$50*AD_tis!$BG15</f>
        <v>0</v>
      </c>
    </row>
    <row r="16" spans="1:55" ht="18.75" customHeight="1" x14ac:dyDescent="0.25">
      <c r="A16" s="5" t="s">
        <v>67</v>
      </c>
      <c r="B16" s="12">
        <f>+AD_tis!B16*AD_tis!B$50*AD_tis!$BG16</f>
        <v>0</v>
      </c>
      <c r="C16" s="4">
        <f>+AD_tis!C16*AD_tis!C$50*AD_tis!$BG16</f>
        <v>0</v>
      </c>
      <c r="D16" s="4">
        <f>+AD_tis!D16*AD_tis!D$50*AD_tis!$BG16</f>
        <v>0</v>
      </c>
      <c r="E16" s="4">
        <f>+AD_tis!E16*AD_tis!E$50*AD_tis!$BG16</f>
        <v>0</v>
      </c>
      <c r="F16" s="4">
        <f>+AD_tis!F16*AD_tis!F$50*AD_tis!$BG16</f>
        <v>0</v>
      </c>
      <c r="G16" s="4">
        <f>+AD_tis!G16*AD_tis!G$50*AD_tis!$BG16</f>
        <v>1</v>
      </c>
      <c r="H16" s="4">
        <f>+AD_tis!H16*AD_tis!H$50*AD_tis!$BG16</f>
        <v>0</v>
      </c>
      <c r="I16" s="4">
        <f>+AD_tis!I16*AD_tis!I$50*AD_tis!$BG16</f>
        <v>0</v>
      </c>
      <c r="J16" s="4">
        <f>+AD_tis!J16*AD_tis!J$50*AD_tis!$BG16</f>
        <v>0</v>
      </c>
      <c r="K16" s="4">
        <f>+AD_tis!K16*AD_tis!K$50*AD_tis!$BG16</f>
        <v>0</v>
      </c>
      <c r="L16" s="4">
        <f>+AD_tis!L16*AD_tis!L$50*AD_tis!$BG16</f>
        <v>1</v>
      </c>
      <c r="M16" s="4">
        <f>+AD_tis!M16*AD_tis!M$50*AD_tis!$BG16</f>
        <v>1</v>
      </c>
      <c r="N16" s="4">
        <f>+AD_tis!N16*AD_tis!N$50*AD_tis!$BG16</f>
        <v>1</v>
      </c>
      <c r="O16" s="4">
        <f>+AD_tis!O16*AD_tis!O$50*AD_tis!$BG16</f>
        <v>0</v>
      </c>
      <c r="P16" s="4">
        <f>+AD_tis!P16*AD_tis!P$50*AD_tis!$BG16</f>
        <v>0</v>
      </c>
      <c r="Q16" s="4">
        <f>+AD_tis!Q16*AD_tis!Q$50*AD_tis!$BG16</f>
        <v>0</v>
      </c>
      <c r="R16" s="13">
        <f>+AD_tis!R16*AD_tis!R$50*AD_tis!$BG16</f>
        <v>0</v>
      </c>
      <c r="S16" s="4">
        <f>+AD_tis!S16*AD_tis!S$50*AD_tis!$BG16</f>
        <v>0</v>
      </c>
      <c r="T16" s="4">
        <f>+AD_tis!T16*AD_tis!T$50*AD_tis!$BG16</f>
        <v>0</v>
      </c>
      <c r="U16" s="4">
        <f>+AD_tis!U16*AD_tis!U$50*AD_tis!$BG16</f>
        <v>0</v>
      </c>
      <c r="V16" s="4">
        <f>+AD_tis!V16*AD_tis!V$50*AD_tis!$BG16</f>
        <v>0</v>
      </c>
      <c r="W16" s="4">
        <f>+AD_tis!W16*AD_tis!W$50*AD_tis!$BG16</f>
        <v>0</v>
      </c>
      <c r="X16" s="4">
        <f>+AD_tis!X16*AD_tis!X$50*AD_tis!$BG16</f>
        <v>0</v>
      </c>
      <c r="Y16" s="4">
        <f>+AD_tis!Y16*AD_tis!Y$50*AD_tis!$BG16</f>
        <v>0</v>
      </c>
      <c r="Z16" s="4">
        <f>+AD_tis!Z16*AD_tis!Z$50*AD_tis!$BG16</f>
        <v>0</v>
      </c>
      <c r="AA16" s="4">
        <f>+AD_tis!AA16*AD_tis!AA$50*AD_tis!$BG16</f>
        <v>0</v>
      </c>
      <c r="AB16" s="4">
        <f>+AD_tis!AB16*AD_tis!AB$50*AD_tis!$BG16</f>
        <v>0</v>
      </c>
      <c r="AC16" s="12">
        <f>+AD_tis!AC16*AD_tis!AC$50*AD_tis!$BG16</f>
        <v>0</v>
      </c>
      <c r="AD16" s="4">
        <f>+AD_tis!AD16*AD_tis!AD$50*AD_tis!$BG16</f>
        <v>0</v>
      </c>
      <c r="AE16" s="4">
        <f>+AD_tis!AE16*AD_tis!AE$50*AD_tis!$BG16</f>
        <v>0</v>
      </c>
      <c r="AF16" s="4">
        <f>+AD_tis!AF16*AD_tis!AF$50*AD_tis!$BG16</f>
        <v>0</v>
      </c>
      <c r="AG16" s="4">
        <f>+AD_tis!AG16*AD_tis!AG$50*AD_tis!$BG16</f>
        <v>0</v>
      </c>
      <c r="AH16" s="4">
        <f>+AD_tis!AH16*AD_tis!AH$50*AD_tis!$BG16</f>
        <v>0</v>
      </c>
      <c r="AI16" s="4">
        <f>+AD_tis!AI16*AD_tis!AI$50*AD_tis!$BG16</f>
        <v>0</v>
      </c>
      <c r="AJ16" s="4">
        <f>+AD_tis!AJ16*AD_tis!AJ$50*AD_tis!$BG16</f>
        <v>0</v>
      </c>
      <c r="AK16" s="4">
        <f>+AD_tis!AK16*AD_tis!AK$50*AD_tis!$BG16</f>
        <v>0</v>
      </c>
      <c r="AL16" s="4">
        <f>+AD_tis!AL16*AD_tis!AL$50*AD_tis!$BG16</f>
        <v>0</v>
      </c>
      <c r="AM16" s="13">
        <f>+AD_tis!AM16*AD_tis!AM$50*AD_tis!$BG16</f>
        <v>0</v>
      </c>
      <c r="AN16" s="4">
        <f>+AD_tis!AN16*AD_tis!AN$50*AD_tis!$BG16</f>
        <v>0</v>
      </c>
      <c r="AO16" s="4">
        <f>+AD_tis!AO16*AD_tis!AO$50*AD_tis!$BG16</f>
        <v>0</v>
      </c>
      <c r="AP16" s="4">
        <f>+AD_tis!AP16*AD_tis!AP$50*AD_tis!$BG16</f>
        <v>0</v>
      </c>
      <c r="AQ16" s="4">
        <f>+AD_tis!AQ16*AD_tis!AQ$50*AD_tis!$BG16</f>
        <v>0</v>
      </c>
      <c r="AR16" s="4">
        <f>+AD_tis!AR16*AD_tis!AR$50*AD_tis!$BG16</f>
        <v>0</v>
      </c>
      <c r="AS16" s="4">
        <f>+AD_tis!AS16*AD_tis!AS$50*AD_tis!$BG16</f>
        <v>0</v>
      </c>
      <c r="AT16" s="4">
        <f>+AD_tis!AT16*AD_tis!AT$50*AD_tis!$BG16</f>
        <v>0</v>
      </c>
      <c r="AU16" s="4">
        <f>+AD_tis!AU16*AD_tis!AU$50*AD_tis!$BG16</f>
        <v>0</v>
      </c>
      <c r="AV16" s="4">
        <f>+AD_tis!AV16*AD_tis!AV$50*AD_tis!$BG16</f>
        <v>0</v>
      </c>
      <c r="AW16" s="12">
        <f>+AD_tis!AW16*AD_tis!AW$50*AD_tis!$BG16</f>
        <v>0</v>
      </c>
      <c r="AX16" s="13">
        <f>+AD_tis!AX16*AD_tis!AX$50*AD_tis!$BG16</f>
        <v>0</v>
      </c>
      <c r="AY16" s="4">
        <f>+AD_tis!AY16*AD_tis!AY$50*AD_tis!$BG16</f>
        <v>0</v>
      </c>
      <c r="AZ16" s="4">
        <f>+AD_tis!AZ16*AD_tis!AZ$50*AD_tis!$BG16</f>
        <v>0</v>
      </c>
      <c r="BA16" s="12">
        <f>+AD_tis!BA16*AD_tis!BA$50*AD_tis!$BG16</f>
        <v>0</v>
      </c>
      <c r="BB16" s="4">
        <f>+AD_tis!BB16*AD_tis!BB$50*AD_tis!$BG16</f>
        <v>0</v>
      </c>
      <c r="BC16" s="13">
        <f>+AD_tis!BC16*AD_tis!BC$50*AD_tis!$BG16</f>
        <v>0</v>
      </c>
    </row>
    <row r="17" spans="1:55" ht="18.75" customHeight="1" x14ac:dyDescent="0.25">
      <c r="A17" s="5" t="s">
        <v>68</v>
      </c>
      <c r="B17" s="12">
        <f>+AD_tis!B17*AD_tis!B$50*AD_tis!$BG17</f>
        <v>0</v>
      </c>
      <c r="C17" s="4">
        <f>+AD_tis!C17*AD_tis!C$50*AD_tis!$BG17</f>
        <v>0</v>
      </c>
      <c r="D17" s="4">
        <f>+AD_tis!D17*AD_tis!D$50*AD_tis!$BG17</f>
        <v>0</v>
      </c>
      <c r="E17" s="4">
        <f>+AD_tis!E17*AD_tis!E$50*AD_tis!$BG17</f>
        <v>0</v>
      </c>
      <c r="F17" s="4">
        <f>+AD_tis!F17*AD_tis!F$50*AD_tis!$BG17</f>
        <v>0</v>
      </c>
      <c r="G17" s="4">
        <f>+AD_tis!G17*AD_tis!G$50*AD_tis!$BG17</f>
        <v>0</v>
      </c>
      <c r="H17" s="4">
        <f>+AD_tis!H17*AD_tis!H$50*AD_tis!$BG17</f>
        <v>0</v>
      </c>
      <c r="I17" s="4">
        <f>+AD_tis!I17*AD_tis!I$50*AD_tis!$BG17</f>
        <v>0</v>
      </c>
      <c r="J17" s="4">
        <f>+AD_tis!J17*AD_tis!J$50*AD_tis!$BG17</f>
        <v>0</v>
      </c>
      <c r="K17" s="4">
        <f>+AD_tis!K17*AD_tis!K$50*AD_tis!$BG17</f>
        <v>0</v>
      </c>
      <c r="L17" s="4">
        <f>+AD_tis!L17*AD_tis!L$50*AD_tis!$BG17</f>
        <v>0</v>
      </c>
      <c r="M17" s="4">
        <f>+AD_tis!M17*AD_tis!M$50*AD_tis!$BG17</f>
        <v>0</v>
      </c>
      <c r="N17" s="4">
        <f>+AD_tis!N17*AD_tis!N$50*AD_tis!$BG17</f>
        <v>0</v>
      </c>
      <c r="O17" s="4">
        <f>+AD_tis!O17*AD_tis!O$50*AD_tis!$BG17</f>
        <v>0</v>
      </c>
      <c r="P17" s="4">
        <f>+AD_tis!P17*AD_tis!P$50*AD_tis!$BG17</f>
        <v>0</v>
      </c>
      <c r="Q17" s="4">
        <f>+AD_tis!Q17*AD_tis!Q$50*AD_tis!$BG17</f>
        <v>0</v>
      </c>
      <c r="R17" s="13">
        <f>+AD_tis!R17*AD_tis!R$50*AD_tis!$BG17</f>
        <v>0</v>
      </c>
      <c r="S17" s="4">
        <f>+AD_tis!S17*AD_tis!S$50*AD_tis!$BG17</f>
        <v>0</v>
      </c>
      <c r="T17" s="4">
        <f>+AD_tis!T17*AD_tis!T$50*AD_tis!$BG17</f>
        <v>0</v>
      </c>
      <c r="U17" s="4">
        <f>+AD_tis!U17*AD_tis!U$50*AD_tis!$BG17</f>
        <v>0</v>
      </c>
      <c r="V17" s="4">
        <f>+AD_tis!V17*AD_tis!V$50*AD_tis!$BG17</f>
        <v>0</v>
      </c>
      <c r="W17" s="4">
        <f>+AD_tis!W17*AD_tis!W$50*AD_tis!$BG17</f>
        <v>0</v>
      </c>
      <c r="X17" s="4">
        <f>+AD_tis!X17*AD_tis!X$50*AD_tis!$BG17</f>
        <v>0</v>
      </c>
      <c r="Y17" s="4">
        <f>+AD_tis!Y17*AD_tis!Y$50*AD_tis!$BG17</f>
        <v>0</v>
      </c>
      <c r="Z17" s="4">
        <f>+AD_tis!Z17*AD_tis!Z$50*AD_tis!$BG17</f>
        <v>0</v>
      </c>
      <c r="AA17" s="4">
        <f>+AD_tis!AA17*AD_tis!AA$50*AD_tis!$BG17</f>
        <v>0</v>
      </c>
      <c r="AB17" s="4">
        <f>+AD_tis!AB17*AD_tis!AB$50*AD_tis!$BG17</f>
        <v>0</v>
      </c>
      <c r="AC17" s="12">
        <f>+AD_tis!AC17*AD_tis!AC$50*AD_tis!$BG17</f>
        <v>0</v>
      </c>
      <c r="AD17" s="4">
        <f>+AD_tis!AD17*AD_tis!AD$50*AD_tis!$BG17</f>
        <v>0</v>
      </c>
      <c r="AE17" s="4">
        <f>+AD_tis!AE17*AD_tis!AE$50*AD_tis!$BG17</f>
        <v>0</v>
      </c>
      <c r="AF17" s="4">
        <f>+AD_tis!AF17*AD_tis!AF$50*AD_tis!$BG17</f>
        <v>0</v>
      </c>
      <c r="AG17" s="4">
        <f>+AD_tis!AG17*AD_tis!AG$50*AD_tis!$BG17</f>
        <v>0</v>
      </c>
      <c r="AH17" s="4">
        <f>+AD_tis!AH17*AD_tis!AH$50*AD_tis!$BG17</f>
        <v>0</v>
      </c>
      <c r="AI17" s="4">
        <f>+AD_tis!AI17*AD_tis!AI$50*AD_tis!$BG17</f>
        <v>0</v>
      </c>
      <c r="AJ17" s="4">
        <f>+AD_tis!AJ17*AD_tis!AJ$50*AD_tis!$BG17</f>
        <v>0</v>
      </c>
      <c r="AK17" s="4">
        <f>+AD_tis!AK17*AD_tis!AK$50*AD_tis!$BG17</f>
        <v>0</v>
      </c>
      <c r="AL17" s="4">
        <f>+AD_tis!AL17*AD_tis!AL$50*AD_tis!$BG17</f>
        <v>0</v>
      </c>
      <c r="AM17" s="13">
        <f>+AD_tis!AM17*AD_tis!AM$50*AD_tis!$BG17</f>
        <v>0</v>
      </c>
      <c r="AN17" s="4">
        <f>+AD_tis!AN17*AD_tis!AN$50*AD_tis!$BG17</f>
        <v>0</v>
      </c>
      <c r="AO17" s="4">
        <f>+AD_tis!AO17*AD_tis!AO$50*AD_tis!$BG17</f>
        <v>0</v>
      </c>
      <c r="AP17" s="4">
        <f>+AD_tis!AP17*AD_tis!AP$50*AD_tis!$BG17</f>
        <v>0</v>
      </c>
      <c r="AQ17" s="4">
        <f>+AD_tis!AQ17*AD_tis!AQ$50*AD_tis!$BG17</f>
        <v>0</v>
      </c>
      <c r="AR17" s="4">
        <f>+AD_tis!AR17*AD_tis!AR$50*AD_tis!$BG17</f>
        <v>0</v>
      </c>
      <c r="AS17" s="4">
        <f>+AD_tis!AS17*AD_tis!AS$50*AD_tis!$BG17</f>
        <v>0</v>
      </c>
      <c r="AT17" s="4">
        <f>+AD_tis!AT17*AD_tis!AT$50*AD_tis!$BG17</f>
        <v>0</v>
      </c>
      <c r="AU17" s="4">
        <f>+AD_tis!AU17*AD_tis!AU$50*AD_tis!$BG17</f>
        <v>0</v>
      </c>
      <c r="AV17" s="4">
        <f>+AD_tis!AV17*AD_tis!AV$50*AD_tis!$BG17</f>
        <v>0</v>
      </c>
      <c r="AW17" s="12">
        <f>+AD_tis!AW17*AD_tis!AW$50*AD_tis!$BG17</f>
        <v>0</v>
      </c>
      <c r="AX17" s="13">
        <f>+AD_tis!AX17*AD_tis!AX$50*AD_tis!$BG17</f>
        <v>0</v>
      </c>
      <c r="AY17" s="4">
        <f>+AD_tis!AY17*AD_tis!AY$50*AD_tis!$BG17</f>
        <v>0</v>
      </c>
      <c r="AZ17" s="4">
        <f>+AD_tis!AZ17*AD_tis!AZ$50*AD_tis!$BG17</f>
        <v>0</v>
      </c>
      <c r="BA17" s="12">
        <f>+AD_tis!BA17*AD_tis!BA$50*AD_tis!$BG17</f>
        <v>0</v>
      </c>
      <c r="BB17" s="4">
        <f>+AD_tis!BB17*AD_tis!BB$50*AD_tis!$BG17</f>
        <v>0</v>
      </c>
      <c r="BC17" s="13">
        <f>+AD_tis!BC17*AD_tis!BC$50*AD_tis!$BG17</f>
        <v>0</v>
      </c>
    </row>
    <row r="18" spans="1:55" ht="18.75" customHeight="1" x14ac:dyDescent="0.25">
      <c r="A18" s="5" t="s">
        <v>69</v>
      </c>
      <c r="B18" s="12">
        <f>+AD_tis!B18*AD_tis!B$50*AD_tis!$BG18</f>
        <v>0</v>
      </c>
      <c r="C18" s="4">
        <f>+AD_tis!C18*AD_tis!C$50*AD_tis!$BG18</f>
        <v>0</v>
      </c>
      <c r="D18" s="4">
        <f>+AD_tis!D18*AD_tis!D$50*AD_tis!$BG18</f>
        <v>0</v>
      </c>
      <c r="E18" s="4">
        <f>+AD_tis!E18*AD_tis!E$50*AD_tis!$BG18</f>
        <v>0</v>
      </c>
      <c r="F18" s="4">
        <f>+AD_tis!F18*AD_tis!F$50*AD_tis!$BG18</f>
        <v>0</v>
      </c>
      <c r="G18" s="4">
        <f>+AD_tis!G18*AD_tis!G$50*AD_tis!$BG18</f>
        <v>0</v>
      </c>
      <c r="H18" s="4">
        <f>+AD_tis!H18*AD_tis!H$50*AD_tis!$BG18</f>
        <v>0</v>
      </c>
      <c r="I18" s="4">
        <f>+AD_tis!I18*AD_tis!I$50*AD_tis!$BG18</f>
        <v>0</v>
      </c>
      <c r="J18" s="4">
        <f>+AD_tis!J18*AD_tis!J$50*AD_tis!$BG18</f>
        <v>0</v>
      </c>
      <c r="K18" s="4">
        <f>+AD_tis!K18*AD_tis!K$50*AD_tis!$BG18</f>
        <v>0</v>
      </c>
      <c r="L18" s="4">
        <f>+AD_tis!L18*AD_tis!L$50*AD_tis!$BG18</f>
        <v>0</v>
      </c>
      <c r="M18" s="4">
        <f>+AD_tis!M18*AD_tis!M$50*AD_tis!$BG18</f>
        <v>0</v>
      </c>
      <c r="N18" s="4">
        <f>+AD_tis!N18*AD_tis!N$50*AD_tis!$BG18</f>
        <v>0</v>
      </c>
      <c r="O18" s="4">
        <f>+AD_tis!O18*AD_tis!O$50*AD_tis!$BG18</f>
        <v>0</v>
      </c>
      <c r="P18" s="4">
        <f>+AD_tis!P18*AD_tis!P$50*AD_tis!$BG18</f>
        <v>0</v>
      </c>
      <c r="Q18" s="4">
        <f>+AD_tis!Q18*AD_tis!Q$50*AD_tis!$BG18</f>
        <v>0</v>
      </c>
      <c r="R18" s="13">
        <f>+AD_tis!R18*AD_tis!R$50*AD_tis!$BG18</f>
        <v>0</v>
      </c>
      <c r="S18" s="4">
        <f>+AD_tis!S18*AD_tis!S$50*AD_tis!$BG18</f>
        <v>0</v>
      </c>
      <c r="T18" s="4">
        <f>+AD_tis!T18*AD_tis!T$50*AD_tis!$BG18</f>
        <v>0</v>
      </c>
      <c r="U18" s="4">
        <f>+AD_tis!U18*AD_tis!U$50*AD_tis!$BG18</f>
        <v>0</v>
      </c>
      <c r="V18" s="4">
        <f>+AD_tis!V18*AD_tis!V$50*AD_tis!$BG18</f>
        <v>0</v>
      </c>
      <c r="W18" s="4">
        <f>+AD_tis!W18*AD_tis!W$50*AD_tis!$BG18</f>
        <v>0</v>
      </c>
      <c r="X18" s="4">
        <f>+AD_tis!X18*AD_tis!X$50*AD_tis!$BG18</f>
        <v>0</v>
      </c>
      <c r="Y18" s="4">
        <f>+AD_tis!Y18*AD_tis!Y$50*AD_tis!$BG18</f>
        <v>0</v>
      </c>
      <c r="Z18" s="4">
        <f>+AD_tis!Z18*AD_tis!Z$50*AD_tis!$BG18</f>
        <v>0</v>
      </c>
      <c r="AA18" s="4">
        <f>+AD_tis!AA18*AD_tis!AA$50*AD_tis!$BG18</f>
        <v>0</v>
      </c>
      <c r="AB18" s="4">
        <f>+AD_tis!AB18*AD_tis!AB$50*AD_tis!$BG18</f>
        <v>0</v>
      </c>
      <c r="AC18" s="12">
        <f>+AD_tis!AC18*AD_tis!AC$50*AD_tis!$BG18</f>
        <v>0</v>
      </c>
      <c r="AD18" s="4">
        <f>+AD_tis!AD18*AD_tis!AD$50*AD_tis!$BG18</f>
        <v>0</v>
      </c>
      <c r="AE18" s="4">
        <f>+AD_tis!AE18*AD_tis!AE$50*AD_tis!$BG18</f>
        <v>0</v>
      </c>
      <c r="AF18" s="4">
        <f>+AD_tis!AF18*AD_tis!AF$50*AD_tis!$BG18</f>
        <v>0</v>
      </c>
      <c r="AG18" s="4">
        <f>+AD_tis!AG18*AD_tis!AG$50*AD_tis!$BG18</f>
        <v>0</v>
      </c>
      <c r="AH18" s="4">
        <f>+AD_tis!AH18*AD_tis!AH$50*AD_tis!$BG18</f>
        <v>0</v>
      </c>
      <c r="AI18" s="4">
        <f>+AD_tis!AI18*AD_tis!AI$50*AD_tis!$BG18</f>
        <v>0</v>
      </c>
      <c r="AJ18" s="4">
        <f>+AD_tis!AJ18*AD_tis!AJ$50*AD_tis!$BG18</f>
        <v>0</v>
      </c>
      <c r="AK18" s="4">
        <f>+AD_tis!AK18*AD_tis!AK$50*AD_tis!$BG18</f>
        <v>0</v>
      </c>
      <c r="AL18" s="4">
        <f>+AD_tis!AL18*AD_tis!AL$50*AD_tis!$BG18</f>
        <v>0</v>
      </c>
      <c r="AM18" s="13">
        <f>+AD_tis!AM18*AD_tis!AM$50*AD_tis!$BG18</f>
        <v>0</v>
      </c>
      <c r="AN18" s="4">
        <f>+AD_tis!AN18*AD_tis!AN$50*AD_tis!$BG18</f>
        <v>0</v>
      </c>
      <c r="AO18" s="4">
        <f>+AD_tis!AO18*AD_tis!AO$50*AD_tis!$BG18</f>
        <v>0</v>
      </c>
      <c r="AP18" s="4">
        <f>+AD_tis!AP18*AD_tis!AP$50*AD_tis!$BG18</f>
        <v>0</v>
      </c>
      <c r="AQ18" s="4">
        <f>+AD_tis!AQ18*AD_tis!AQ$50*AD_tis!$BG18</f>
        <v>0</v>
      </c>
      <c r="AR18" s="4">
        <f>+AD_tis!AR18*AD_tis!AR$50*AD_tis!$BG18</f>
        <v>0</v>
      </c>
      <c r="AS18" s="4">
        <f>+AD_tis!AS18*AD_tis!AS$50*AD_tis!$BG18</f>
        <v>0</v>
      </c>
      <c r="AT18" s="4">
        <f>+AD_tis!AT18*AD_tis!AT$50*AD_tis!$BG18</f>
        <v>0</v>
      </c>
      <c r="AU18" s="4">
        <f>+AD_tis!AU18*AD_tis!AU$50*AD_tis!$BG18</f>
        <v>0</v>
      </c>
      <c r="AV18" s="4">
        <f>+AD_tis!AV18*AD_tis!AV$50*AD_tis!$BG18</f>
        <v>0</v>
      </c>
      <c r="AW18" s="12">
        <f>+AD_tis!AW18*AD_tis!AW$50*AD_tis!$BG18</f>
        <v>0</v>
      </c>
      <c r="AX18" s="13">
        <f>+AD_tis!AX18*AD_tis!AX$50*AD_tis!$BG18</f>
        <v>0</v>
      </c>
      <c r="AY18" s="4">
        <f>+AD_tis!AY18*AD_tis!AY$50*AD_tis!$BG18</f>
        <v>0</v>
      </c>
      <c r="AZ18" s="4">
        <f>+AD_tis!AZ18*AD_tis!AZ$50*AD_tis!$BG18</f>
        <v>0</v>
      </c>
      <c r="BA18" s="12">
        <f>+AD_tis!BA18*AD_tis!BA$50*AD_tis!$BG18</f>
        <v>0</v>
      </c>
      <c r="BB18" s="4">
        <f>+AD_tis!BB18*AD_tis!BB$50*AD_tis!$BG18</f>
        <v>0</v>
      </c>
      <c r="BC18" s="13">
        <f>+AD_tis!BC18*AD_tis!BC$50*AD_tis!$BG18</f>
        <v>0</v>
      </c>
    </row>
    <row r="19" spans="1:55" ht="18.75" customHeight="1" x14ac:dyDescent="0.25">
      <c r="A19" s="5" t="s">
        <v>70</v>
      </c>
      <c r="B19" s="12">
        <f>+AD_tis!B19*AD_tis!B$50*AD_tis!$BG19</f>
        <v>0</v>
      </c>
      <c r="C19" s="4">
        <f>+AD_tis!C19*AD_tis!C$50*AD_tis!$BG19</f>
        <v>0</v>
      </c>
      <c r="D19" s="4">
        <f>+AD_tis!D19*AD_tis!D$50*AD_tis!$BG19</f>
        <v>0</v>
      </c>
      <c r="E19" s="4">
        <f>+AD_tis!E19*AD_tis!E$50*AD_tis!$BG19</f>
        <v>0</v>
      </c>
      <c r="F19" s="4">
        <f>+AD_tis!F19*AD_tis!F$50*AD_tis!$BG19</f>
        <v>0</v>
      </c>
      <c r="G19" s="4">
        <f>+AD_tis!G19*AD_tis!G$50*AD_tis!$BG19</f>
        <v>0</v>
      </c>
      <c r="H19" s="4">
        <f>+AD_tis!H19*AD_tis!H$50*AD_tis!$BG19</f>
        <v>0</v>
      </c>
      <c r="I19" s="4">
        <f>+AD_tis!I19*AD_tis!I$50*AD_tis!$BG19</f>
        <v>0</v>
      </c>
      <c r="J19" s="4">
        <f>+AD_tis!J19*AD_tis!J$50*AD_tis!$BG19</f>
        <v>0</v>
      </c>
      <c r="K19" s="4">
        <f>+AD_tis!K19*AD_tis!K$50*AD_tis!$BG19</f>
        <v>0</v>
      </c>
      <c r="L19" s="4">
        <f>+AD_tis!L19*AD_tis!L$50*AD_tis!$BG19</f>
        <v>0</v>
      </c>
      <c r="M19" s="4">
        <f>+AD_tis!M19*AD_tis!M$50*AD_tis!$BG19</f>
        <v>0</v>
      </c>
      <c r="N19" s="4">
        <f>+AD_tis!N19*AD_tis!N$50*AD_tis!$BG19</f>
        <v>0</v>
      </c>
      <c r="O19" s="4">
        <f>+AD_tis!O19*AD_tis!O$50*AD_tis!$BG19</f>
        <v>0</v>
      </c>
      <c r="P19" s="4">
        <f>+AD_tis!P19*AD_tis!P$50*AD_tis!$BG19</f>
        <v>0</v>
      </c>
      <c r="Q19" s="4">
        <f>+AD_tis!Q19*AD_tis!Q$50*AD_tis!$BG19</f>
        <v>0</v>
      </c>
      <c r="R19" s="13">
        <f>+AD_tis!R19*AD_tis!R$50*AD_tis!$BG19</f>
        <v>0</v>
      </c>
      <c r="S19" s="4">
        <f>+AD_tis!S19*AD_tis!S$50*AD_tis!$BG19</f>
        <v>0</v>
      </c>
      <c r="T19" s="4">
        <f>+AD_tis!T19*AD_tis!T$50*AD_tis!$BG19</f>
        <v>0</v>
      </c>
      <c r="U19" s="4">
        <f>+AD_tis!U19*AD_tis!U$50*AD_tis!$BG19</f>
        <v>0</v>
      </c>
      <c r="V19" s="4">
        <f>+AD_tis!V19*AD_tis!V$50*AD_tis!$BG19</f>
        <v>0</v>
      </c>
      <c r="W19" s="4">
        <f>+AD_tis!W19*AD_tis!W$50*AD_tis!$BG19</f>
        <v>0</v>
      </c>
      <c r="X19" s="4">
        <f>+AD_tis!X19*AD_tis!X$50*AD_tis!$BG19</f>
        <v>0</v>
      </c>
      <c r="Y19" s="4">
        <f>+AD_tis!Y19*AD_tis!Y$50*AD_tis!$BG19</f>
        <v>0</v>
      </c>
      <c r="Z19" s="4">
        <f>+AD_tis!Z19*AD_tis!Z$50*AD_tis!$BG19</f>
        <v>0</v>
      </c>
      <c r="AA19" s="4">
        <f>+AD_tis!AA19*AD_tis!AA$50*AD_tis!$BG19</f>
        <v>0</v>
      </c>
      <c r="AB19" s="4">
        <f>+AD_tis!AB19*AD_tis!AB$50*AD_tis!$BG19</f>
        <v>0</v>
      </c>
      <c r="AC19" s="12">
        <f>+AD_tis!AC19*AD_tis!AC$50*AD_tis!$BG19</f>
        <v>0</v>
      </c>
      <c r="AD19" s="4">
        <f>+AD_tis!AD19*AD_tis!AD$50*AD_tis!$BG19</f>
        <v>0</v>
      </c>
      <c r="AE19" s="4">
        <f>+AD_tis!AE19*AD_tis!AE$50*AD_tis!$BG19</f>
        <v>0</v>
      </c>
      <c r="AF19" s="4">
        <f>+AD_tis!AF19*AD_tis!AF$50*AD_tis!$BG19</f>
        <v>0</v>
      </c>
      <c r="AG19" s="4">
        <f>+AD_tis!AG19*AD_tis!AG$50*AD_tis!$BG19</f>
        <v>0</v>
      </c>
      <c r="AH19" s="4">
        <f>+AD_tis!AH19*AD_tis!AH$50*AD_tis!$BG19</f>
        <v>0</v>
      </c>
      <c r="AI19" s="4">
        <f>+AD_tis!AI19*AD_tis!AI$50*AD_tis!$BG19</f>
        <v>0</v>
      </c>
      <c r="AJ19" s="4">
        <f>+AD_tis!AJ19*AD_tis!AJ$50*AD_tis!$BG19</f>
        <v>0</v>
      </c>
      <c r="AK19" s="4">
        <f>+AD_tis!AK19*AD_tis!AK$50*AD_tis!$BG19</f>
        <v>0</v>
      </c>
      <c r="AL19" s="4">
        <f>+AD_tis!AL19*AD_tis!AL$50*AD_tis!$BG19</f>
        <v>0</v>
      </c>
      <c r="AM19" s="13">
        <f>+AD_tis!AM19*AD_tis!AM$50*AD_tis!$BG19</f>
        <v>0</v>
      </c>
      <c r="AN19" s="4">
        <f>+AD_tis!AN19*AD_tis!AN$50*AD_tis!$BG19</f>
        <v>0</v>
      </c>
      <c r="AO19" s="4">
        <f>+AD_tis!AO19*AD_tis!AO$50*AD_tis!$BG19</f>
        <v>0</v>
      </c>
      <c r="AP19" s="4">
        <f>+AD_tis!AP19*AD_tis!AP$50*AD_tis!$BG19</f>
        <v>0</v>
      </c>
      <c r="AQ19" s="4">
        <f>+AD_tis!AQ19*AD_tis!AQ$50*AD_tis!$BG19</f>
        <v>0</v>
      </c>
      <c r="AR19" s="4">
        <f>+AD_tis!AR19*AD_tis!AR$50*AD_tis!$BG19</f>
        <v>0</v>
      </c>
      <c r="AS19" s="4">
        <f>+AD_tis!AS19*AD_tis!AS$50*AD_tis!$BG19</f>
        <v>0</v>
      </c>
      <c r="AT19" s="4">
        <f>+AD_tis!AT19*AD_tis!AT$50*AD_tis!$BG19</f>
        <v>0</v>
      </c>
      <c r="AU19" s="4">
        <f>+AD_tis!AU19*AD_tis!AU$50*AD_tis!$BG19</f>
        <v>0</v>
      </c>
      <c r="AV19" s="4">
        <f>+AD_tis!AV19*AD_tis!AV$50*AD_tis!$BG19</f>
        <v>0</v>
      </c>
      <c r="AW19" s="12">
        <f>+AD_tis!AW19*AD_tis!AW$50*AD_tis!$BG19</f>
        <v>0</v>
      </c>
      <c r="AX19" s="13">
        <f>+AD_tis!AX19*AD_tis!AX$50*AD_tis!$BG19</f>
        <v>0</v>
      </c>
      <c r="AY19" s="4">
        <f>+AD_tis!AY19*AD_tis!AY$50*AD_tis!$BG19</f>
        <v>0</v>
      </c>
      <c r="AZ19" s="4">
        <f>+AD_tis!AZ19*AD_tis!AZ$50*AD_tis!$BG19</f>
        <v>0</v>
      </c>
      <c r="BA19" s="12">
        <f>+AD_tis!BA19*AD_tis!BA$50*AD_tis!$BG19</f>
        <v>0</v>
      </c>
      <c r="BB19" s="4">
        <f>+AD_tis!BB19*AD_tis!BB$50*AD_tis!$BG19</f>
        <v>0</v>
      </c>
      <c r="BC19" s="13">
        <f>+AD_tis!BC19*AD_tis!BC$50*AD_tis!$BG19</f>
        <v>0</v>
      </c>
    </row>
    <row r="20" spans="1:55" ht="18.75" customHeight="1" x14ac:dyDescent="0.25">
      <c r="A20" s="5" t="s">
        <v>71</v>
      </c>
      <c r="B20" s="12">
        <f>+AD_tis!B20*AD_tis!B$50*AD_tis!$BG20</f>
        <v>0</v>
      </c>
      <c r="C20" s="4">
        <f>+AD_tis!C20*AD_tis!C$50*AD_tis!$BG20</f>
        <v>0</v>
      </c>
      <c r="D20" s="4">
        <f>+AD_tis!D20*AD_tis!D$50*AD_tis!$BG20</f>
        <v>0</v>
      </c>
      <c r="E20" s="4">
        <f>+AD_tis!E20*AD_tis!E$50*AD_tis!$BG20</f>
        <v>0</v>
      </c>
      <c r="F20" s="4">
        <f>+AD_tis!F20*AD_tis!F$50*AD_tis!$BG20</f>
        <v>0</v>
      </c>
      <c r="G20" s="4">
        <f>+AD_tis!G20*AD_tis!G$50*AD_tis!$BG20</f>
        <v>0</v>
      </c>
      <c r="H20" s="4">
        <f>+AD_tis!H20*AD_tis!H$50*AD_tis!$BG20</f>
        <v>0</v>
      </c>
      <c r="I20" s="4">
        <f>+AD_tis!I20*AD_tis!I$50*AD_tis!$BG20</f>
        <v>0</v>
      </c>
      <c r="J20" s="4">
        <f>+AD_tis!J20*AD_tis!J$50*AD_tis!$BG20</f>
        <v>0</v>
      </c>
      <c r="K20" s="4">
        <f>+AD_tis!K20*AD_tis!K$50*AD_tis!$BG20</f>
        <v>0</v>
      </c>
      <c r="L20" s="4">
        <f>+AD_tis!L20*AD_tis!L$50*AD_tis!$BG20</f>
        <v>0</v>
      </c>
      <c r="M20" s="4">
        <f>+AD_tis!M20*AD_tis!M$50*AD_tis!$BG20</f>
        <v>0</v>
      </c>
      <c r="N20" s="4">
        <f>+AD_tis!N20*AD_tis!N$50*AD_tis!$BG20</f>
        <v>0</v>
      </c>
      <c r="O20" s="4">
        <f>+AD_tis!O20*AD_tis!O$50*AD_tis!$BG20</f>
        <v>0</v>
      </c>
      <c r="P20" s="4">
        <f>+AD_tis!P20*AD_tis!P$50*AD_tis!$BG20</f>
        <v>0</v>
      </c>
      <c r="Q20" s="4">
        <f>+AD_tis!Q20*AD_tis!Q$50*AD_tis!$BG20</f>
        <v>0</v>
      </c>
      <c r="R20" s="13">
        <f>+AD_tis!R20*AD_tis!R$50*AD_tis!$BG20</f>
        <v>0</v>
      </c>
      <c r="S20" s="4">
        <f>+AD_tis!S20*AD_tis!S$50*AD_tis!$BG20</f>
        <v>0</v>
      </c>
      <c r="T20" s="4">
        <f>+AD_tis!T20*AD_tis!T$50*AD_tis!$BG20</f>
        <v>0</v>
      </c>
      <c r="U20" s="4">
        <f>+AD_tis!U20*AD_tis!U$50*AD_tis!$BG20</f>
        <v>0</v>
      </c>
      <c r="V20" s="4">
        <f>+AD_tis!V20*AD_tis!V$50*AD_tis!$BG20</f>
        <v>0</v>
      </c>
      <c r="W20" s="4">
        <f>+AD_tis!W20*AD_tis!W$50*AD_tis!$BG20</f>
        <v>0</v>
      </c>
      <c r="X20" s="4">
        <f>+AD_tis!X20*AD_tis!X$50*AD_tis!$BG20</f>
        <v>0</v>
      </c>
      <c r="Y20" s="4">
        <f>+AD_tis!Y20*AD_tis!Y$50*AD_tis!$BG20</f>
        <v>0</v>
      </c>
      <c r="Z20" s="4">
        <f>+AD_tis!Z20*AD_tis!Z$50*AD_tis!$BG20</f>
        <v>0</v>
      </c>
      <c r="AA20" s="4">
        <f>+AD_tis!AA20*AD_tis!AA$50*AD_tis!$BG20</f>
        <v>0</v>
      </c>
      <c r="AB20" s="4">
        <f>+AD_tis!AB20*AD_tis!AB$50*AD_tis!$BG20</f>
        <v>0</v>
      </c>
      <c r="AC20" s="12">
        <f>+AD_tis!AC20*AD_tis!AC$50*AD_tis!$BG20</f>
        <v>0</v>
      </c>
      <c r="AD20" s="4">
        <f>+AD_tis!AD20*AD_tis!AD$50*AD_tis!$BG20</f>
        <v>0</v>
      </c>
      <c r="AE20" s="4">
        <f>+AD_tis!AE20*AD_tis!AE$50*AD_tis!$BG20</f>
        <v>0</v>
      </c>
      <c r="AF20" s="4">
        <f>+AD_tis!AF20*AD_tis!AF$50*AD_tis!$BG20</f>
        <v>0</v>
      </c>
      <c r="AG20" s="4">
        <f>+AD_tis!AG20*AD_tis!AG$50*AD_tis!$BG20</f>
        <v>0</v>
      </c>
      <c r="AH20" s="4">
        <f>+AD_tis!AH20*AD_tis!AH$50*AD_tis!$BG20</f>
        <v>0</v>
      </c>
      <c r="AI20" s="4">
        <f>+AD_tis!AI20*AD_tis!AI$50*AD_tis!$BG20</f>
        <v>0</v>
      </c>
      <c r="AJ20" s="4">
        <f>+AD_tis!AJ20*AD_tis!AJ$50*AD_tis!$BG20</f>
        <v>0</v>
      </c>
      <c r="AK20" s="4">
        <f>+AD_tis!AK20*AD_tis!AK$50*AD_tis!$BG20</f>
        <v>0</v>
      </c>
      <c r="AL20" s="4">
        <f>+AD_tis!AL20*AD_tis!AL$50*AD_tis!$BG20</f>
        <v>0</v>
      </c>
      <c r="AM20" s="13">
        <f>+AD_tis!AM20*AD_tis!AM$50*AD_tis!$BG20</f>
        <v>0</v>
      </c>
      <c r="AN20" s="4">
        <f>+AD_tis!AN20*AD_tis!AN$50*AD_tis!$BG20</f>
        <v>0</v>
      </c>
      <c r="AO20" s="4">
        <f>+AD_tis!AO20*AD_tis!AO$50*AD_tis!$BG20</f>
        <v>0</v>
      </c>
      <c r="AP20" s="4">
        <f>+AD_tis!AP20*AD_tis!AP$50*AD_tis!$BG20</f>
        <v>0</v>
      </c>
      <c r="AQ20" s="4">
        <f>+AD_tis!AQ20*AD_tis!AQ$50*AD_tis!$BG20</f>
        <v>0</v>
      </c>
      <c r="AR20" s="4">
        <f>+AD_tis!AR20*AD_tis!AR$50*AD_tis!$BG20</f>
        <v>0</v>
      </c>
      <c r="AS20" s="4">
        <f>+AD_tis!AS20*AD_tis!AS$50*AD_tis!$BG20</f>
        <v>0</v>
      </c>
      <c r="AT20" s="4">
        <f>+AD_tis!AT20*AD_tis!AT$50*AD_tis!$BG20</f>
        <v>0</v>
      </c>
      <c r="AU20" s="4">
        <f>+AD_tis!AU20*AD_tis!AU$50*AD_tis!$BG20</f>
        <v>0</v>
      </c>
      <c r="AV20" s="4">
        <f>+AD_tis!AV20*AD_tis!AV$50*AD_tis!$BG20</f>
        <v>0</v>
      </c>
      <c r="AW20" s="12">
        <f>+AD_tis!AW20*AD_tis!AW$50*AD_tis!$BG20</f>
        <v>0</v>
      </c>
      <c r="AX20" s="13">
        <f>+AD_tis!AX20*AD_tis!AX$50*AD_tis!$BG20</f>
        <v>0</v>
      </c>
      <c r="AY20" s="4">
        <f>+AD_tis!AY20*AD_tis!AY$50*AD_tis!$BG20</f>
        <v>0</v>
      </c>
      <c r="AZ20" s="4">
        <f>+AD_tis!AZ20*AD_tis!AZ$50*AD_tis!$BG20</f>
        <v>0</v>
      </c>
      <c r="BA20" s="12">
        <f>+AD_tis!BA20*AD_tis!BA$50*AD_tis!$BG20</f>
        <v>0</v>
      </c>
      <c r="BB20" s="4">
        <f>+AD_tis!BB20*AD_tis!BB$50*AD_tis!$BG20</f>
        <v>0</v>
      </c>
      <c r="BC20" s="13">
        <f>+AD_tis!BC20*AD_tis!BC$50*AD_tis!$BG20</f>
        <v>0</v>
      </c>
    </row>
    <row r="21" spans="1:55" ht="18.75" customHeight="1" x14ac:dyDescent="0.25">
      <c r="A21" s="5" t="s">
        <v>72</v>
      </c>
      <c r="B21" s="12">
        <f>+AD_tis!B21*AD_tis!B$50*AD_tis!$BG21</f>
        <v>0</v>
      </c>
      <c r="C21" s="4">
        <f>+AD_tis!C21*AD_tis!C$50*AD_tis!$BG21</f>
        <v>0</v>
      </c>
      <c r="D21" s="4">
        <f>+AD_tis!D21*AD_tis!D$50*AD_tis!$BG21</f>
        <v>0</v>
      </c>
      <c r="E21" s="4">
        <f>+AD_tis!E21*AD_tis!E$50*AD_tis!$BG21</f>
        <v>0</v>
      </c>
      <c r="F21" s="4">
        <f>+AD_tis!F21*AD_tis!F$50*AD_tis!$BG21</f>
        <v>0</v>
      </c>
      <c r="G21" s="4">
        <f>+AD_tis!G21*AD_tis!G$50*AD_tis!$BG21</f>
        <v>0</v>
      </c>
      <c r="H21" s="4">
        <f>+AD_tis!H21*AD_tis!H$50*AD_tis!$BG21</f>
        <v>0</v>
      </c>
      <c r="I21" s="4">
        <f>+AD_tis!I21*AD_tis!I$50*AD_tis!$BG21</f>
        <v>0</v>
      </c>
      <c r="J21" s="4">
        <f>+AD_tis!J21*AD_tis!J$50*AD_tis!$BG21</f>
        <v>0</v>
      </c>
      <c r="K21" s="4">
        <f>+AD_tis!K21*AD_tis!K$50*AD_tis!$BG21</f>
        <v>0</v>
      </c>
      <c r="L21" s="4">
        <f>+AD_tis!L21*AD_tis!L$50*AD_tis!$BG21</f>
        <v>0</v>
      </c>
      <c r="M21" s="4">
        <f>+AD_tis!M21*AD_tis!M$50*AD_tis!$BG21</f>
        <v>0</v>
      </c>
      <c r="N21" s="4">
        <f>+AD_tis!N21*AD_tis!N$50*AD_tis!$BG21</f>
        <v>0</v>
      </c>
      <c r="O21" s="4">
        <f>+AD_tis!O21*AD_tis!O$50*AD_tis!$BG21</f>
        <v>0</v>
      </c>
      <c r="P21" s="4">
        <f>+AD_tis!P21*AD_tis!P$50*AD_tis!$BG21</f>
        <v>0</v>
      </c>
      <c r="Q21" s="4">
        <f>+AD_tis!Q21*AD_tis!Q$50*AD_tis!$BG21</f>
        <v>0</v>
      </c>
      <c r="R21" s="13">
        <f>+AD_tis!R21*AD_tis!R$50*AD_tis!$BG21</f>
        <v>0</v>
      </c>
      <c r="S21" s="4">
        <f>+AD_tis!S21*AD_tis!S$50*AD_tis!$BG21</f>
        <v>0</v>
      </c>
      <c r="T21" s="4">
        <f>+AD_tis!T21*AD_tis!T$50*AD_tis!$BG21</f>
        <v>0</v>
      </c>
      <c r="U21" s="4">
        <f>+AD_tis!U21*AD_tis!U$50*AD_tis!$BG21</f>
        <v>0</v>
      </c>
      <c r="V21" s="4">
        <f>+AD_tis!V21*AD_tis!V$50*AD_tis!$BG21</f>
        <v>0</v>
      </c>
      <c r="W21" s="4">
        <f>+AD_tis!W21*AD_tis!W$50*AD_tis!$BG21</f>
        <v>0</v>
      </c>
      <c r="X21" s="4">
        <f>+AD_tis!X21*AD_tis!X$50*AD_tis!$BG21</f>
        <v>0</v>
      </c>
      <c r="Y21" s="4">
        <f>+AD_tis!Y21*AD_tis!Y$50*AD_tis!$BG21</f>
        <v>0</v>
      </c>
      <c r="Z21" s="4">
        <f>+AD_tis!Z21*AD_tis!Z$50*AD_tis!$BG21</f>
        <v>0</v>
      </c>
      <c r="AA21" s="4">
        <f>+AD_tis!AA21*AD_tis!AA$50*AD_tis!$BG21</f>
        <v>0</v>
      </c>
      <c r="AB21" s="4">
        <f>+AD_tis!AB21*AD_tis!AB$50*AD_tis!$BG21</f>
        <v>0</v>
      </c>
      <c r="AC21" s="12">
        <f>+AD_tis!AC21*AD_tis!AC$50*AD_tis!$BG21</f>
        <v>0</v>
      </c>
      <c r="AD21" s="4">
        <f>+AD_tis!AD21*AD_tis!AD$50*AD_tis!$BG21</f>
        <v>0</v>
      </c>
      <c r="AE21" s="4">
        <f>+AD_tis!AE21*AD_tis!AE$50*AD_tis!$BG21</f>
        <v>0</v>
      </c>
      <c r="AF21" s="4">
        <f>+AD_tis!AF21*AD_tis!AF$50*AD_tis!$BG21</f>
        <v>0</v>
      </c>
      <c r="AG21" s="4">
        <f>+AD_tis!AG21*AD_tis!AG$50*AD_tis!$BG21</f>
        <v>0</v>
      </c>
      <c r="AH21" s="4">
        <f>+AD_tis!AH21*AD_tis!AH$50*AD_tis!$BG21</f>
        <v>0</v>
      </c>
      <c r="AI21" s="4">
        <f>+AD_tis!AI21*AD_tis!AI$50*AD_tis!$BG21</f>
        <v>0</v>
      </c>
      <c r="AJ21" s="4">
        <f>+AD_tis!AJ21*AD_tis!AJ$50*AD_tis!$BG21</f>
        <v>0</v>
      </c>
      <c r="AK21" s="4">
        <f>+AD_tis!AK21*AD_tis!AK$50*AD_tis!$BG21</f>
        <v>0</v>
      </c>
      <c r="AL21" s="4">
        <f>+AD_tis!AL21*AD_tis!AL$50*AD_tis!$BG21</f>
        <v>0</v>
      </c>
      <c r="AM21" s="13">
        <f>+AD_tis!AM21*AD_tis!AM$50*AD_tis!$BG21</f>
        <v>0</v>
      </c>
      <c r="AN21" s="4">
        <f>+AD_tis!AN21*AD_tis!AN$50*AD_tis!$BG21</f>
        <v>0</v>
      </c>
      <c r="AO21" s="4">
        <f>+AD_tis!AO21*AD_tis!AO$50*AD_tis!$BG21</f>
        <v>0</v>
      </c>
      <c r="AP21" s="4">
        <f>+AD_tis!AP21*AD_tis!AP$50*AD_tis!$BG21</f>
        <v>0</v>
      </c>
      <c r="AQ21" s="4">
        <f>+AD_tis!AQ21*AD_tis!AQ$50*AD_tis!$BG21</f>
        <v>0</v>
      </c>
      <c r="AR21" s="4">
        <f>+AD_tis!AR21*AD_tis!AR$50*AD_tis!$BG21</f>
        <v>0</v>
      </c>
      <c r="AS21" s="4">
        <f>+AD_tis!AS21*AD_tis!AS$50*AD_tis!$BG21</f>
        <v>0</v>
      </c>
      <c r="AT21" s="4">
        <f>+AD_tis!AT21*AD_tis!AT$50*AD_tis!$BG21</f>
        <v>0</v>
      </c>
      <c r="AU21" s="4">
        <f>+AD_tis!AU21*AD_tis!AU$50*AD_tis!$BG21</f>
        <v>0</v>
      </c>
      <c r="AV21" s="4">
        <f>+AD_tis!AV21*AD_tis!AV$50*AD_tis!$BG21</f>
        <v>0</v>
      </c>
      <c r="AW21" s="12">
        <f>+AD_tis!AW21*AD_tis!AW$50*AD_tis!$BG21</f>
        <v>0</v>
      </c>
      <c r="AX21" s="13">
        <f>+AD_tis!AX21*AD_tis!AX$50*AD_tis!$BG21</f>
        <v>0</v>
      </c>
      <c r="AY21" s="4">
        <f>+AD_tis!AY21*AD_tis!AY$50*AD_tis!$BG21</f>
        <v>0</v>
      </c>
      <c r="AZ21" s="4">
        <f>+AD_tis!AZ21*AD_tis!AZ$50*AD_tis!$BG21</f>
        <v>0</v>
      </c>
      <c r="BA21" s="12">
        <f>+AD_tis!BA21*AD_tis!BA$50*AD_tis!$BG21</f>
        <v>0</v>
      </c>
      <c r="BB21" s="4">
        <f>+AD_tis!BB21*AD_tis!BB$50*AD_tis!$BG21</f>
        <v>0</v>
      </c>
      <c r="BC21" s="13">
        <f>+AD_tis!BC21*AD_tis!BC$50*AD_tis!$BG21</f>
        <v>0</v>
      </c>
    </row>
    <row r="22" spans="1:55" ht="18.75" customHeight="1" x14ac:dyDescent="0.25">
      <c r="A22" s="5" t="s">
        <v>73</v>
      </c>
      <c r="B22" s="12">
        <f>+AD_tis!B22*AD_tis!B$50*AD_tis!$BG22</f>
        <v>0</v>
      </c>
      <c r="C22" s="4">
        <f>+AD_tis!C22*AD_tis!C$50*AD_tis!$BG22</f>
        <v>0</v>
      </c>
      <c r="D22" s="4">
        <f>+AD_tis!D22*AD_tis!D$50*AD_tis!$BG22</f>
        <v>0</v>
      </c>
      <c r="E22" s="4">
        <f>+AD_tis!E22*AD_tis!E$50*AD_tis!$BG22</f>
        <v>0</v>
      </c>
      <c r="F22" s="4">
        <f>+AD_tis!F22*AD_tis!F$50*AD_tis!$BG22</f>
        <v>0</v>
      </c>
      <c r="G22" s="4">
        <f>+AD_tis!G22*AD_tis!G$50*AD_tis!$BG22</f>
        <v>0</v>
      </c>
      <c r="H22" s="4">
        <f>+AD_tis!H22*AD_tis!H$50*AD_tis!$BG22</f>
        <v>0</v>
      </c>
      <c r="I22" s="4">
        <f>+AD_tis!I22*AD_tis!I$50*AD_tis!$BG22</f>
        <v>0</v>
      </c>
      <c r="J22" s="4">
        <f>+AD_tis!J22*AD_tis!J$50*AD_tis!$BG22</f>
        <v>0</v>
      </c>
      <c r="K22" s="4">
        <f>+AD_tis!K22*AD_tis!K$50*AD_tis!$BG22</f>
        <v>0</v>
      </c>
      <c r="L22" s="4">
        <f>+AD_tis!L22*AD_tis!L$50*AD_tis!$BG22</f>
        <v>0</v>
      </c>
      <c r="M22" s="4">
        <f>+AD_tis!M22*AD_tis!M$50*AD_tis!$BG22</f>
        <v>0</v>
      </c>
      <c r="N22" s="4">
        <f>+AD_tis!N22*AD_tis!N$50*AD_tis!$BG22</f>
        <v>0</v>
      </c>
      <c r="O22" s="4">
        <f>+AD_tis!O22*AD_tis!O$50*AD_tis!$BG22</f>
        <v>0</v>
      </c>
      <c r="P22" s="4">
        <f>+AD_tis!P22*AD_tis!P$50*AD_tis!$BG22</f>
        <v>0</v>
      </c>
      <c r="Q22" s="4">
        <f>+AD_tis!Q22*AD_tis!Q$50*AD_tis!$BG22</f>
        <v>0</v>
      </c>
      <c r="R22" s="13">
        <f>+AD_tis!R22*AD_tis!R$50*AD_tis!$BG22</f>
        <v>0</v>
      </c>
      <c r="S22" s="4">
        <f>+AD_tis!S22*AD_tis!S$50*AD_tis!$BG22</f>
        <v>0</v>
      </c>
      <c r="T22" s="4">
        <f>+AD_tis!T22*AD_tis!T$50*AD_tis!$BG22</f>
        <v>0</v>
      </c>
      <c r="U22" s="4">
        <f>+AD_tis!U22*AD_tis!U$50*AD_tis!$BG22</f>
        <v>0</v>
      </c>
      <c r="V22" s="4">
        <f>+AD_tis!V22*AD_tis!V$50*AD_tis!$BG22</f>
        <v>0</v>
      </c>
      <c r="W22" s="4">
        <f>+AD_tis!W22*AD_tis!W$50*AD_tis!$BG22</f>
        <v>0</v>
      </c>
      <c r="X22" s="4">
        <f>+AD_tis!X22*AD_tis!X$50*AD_tis!$BG22</f>
        <v>0</v>
      </c>
      <c r="Y22" s="4">
        <f>+AD_tis!Y22*AD_tis!Y$50*AD_tis!$BG22</f>
        <v>0</v>
      </c>
      <c r="Z22" s="4">
        <f>+AD_tis!Z22*AD_tis!Z$50*AD_tis!$BG22</f>
        <v>0</v>
      </c>
      <c r="AA22" s="4">
        <f>+AD_tis!AA22*AD_tis!AA$50*AD_tis!$BG22</f>
        <v>0</v>
      </c>
      <c r="AB22" s="4">
        <f>+AD_tis!AB22*AD_tis!AB$50*AD_tis!$BG22</f>
        <v>0</v>
      </c>
      <c r="AC22" s="12">
        <f>+AD_tis!AC22*AD_tis!AC$50*AD_tis!$BG22</f>
        <v>0</v>
      </c>
      <c r="AD22" s="4">
        <f>+AD_tis!AD22*AD_tis!AD$50*AD_tis!$BG22</f>
        <v>0</v>
      </c>
      <c r="AE22" s="4">
        <f>+AD_tis!AE22*AD_tis!AE$50*AD_tis!$BG22</f>
        <v>0</v>
      </c>
      <c r="AF22" s="4">
        <f>+AD_tis!AF22*AD_tis!AF$50*AD_tis!$BG22</f>
        <v>0</v>
      </c>
      <c r="AG22" s="4">
        <f>+AD_tis!AG22*AD_tis!AG$50*AD_tis!$BG22</f>
        <v>0</v>
      </c>
      <c r="AH22" s="4">
        <f>+AD_tis!AH22*AD_tis!AH$50*AD_tis!$BG22</f>
        <v>0</v>
      </c>
      <c r="AI22" s="4">
        <f>+AD_tis!AI22*AD_tis!AI$50*AD_tis!$BG22</f>
        <v>0</v>
      </c>
      <c r="AJ22" s="4">
        <f>+AD_tis!AJ22*AD_tis!AJ$50*AD_tis!$BG22</f>
        <v>0</v>
      </c>
      <c r="AK22" s="4">
        <f>+AD_tis!AK22*AD_tis!AK$50*AD_tis!$BG22</f>
        <v>0</v>
      </c>
      <c r="AL22" s="4">
        <f>+AD_tis!AL22*AD_tis!AL$50*AD_tis!$BG22</f>
        <v>0</v>
      </c>
      <c r="AM22" s="13">
        <f>+AD_tis!AM22*AD_tis!AM$50*AD_tis!$BG22</f>
        <v>0</v>
      </c>
      <c r="AN22" s="4">
        <f>+AD_tis!AN22*AD_tis!AN$50*AD_tis!$BG22</f>
        <v>0</v>
      </c>
      <c r="AO22" s="4">
        <f>+AD_tis!AO22*AD_tis!AO$50*AD_tis!$BG22</f>
        <v>0</v>
      </c>
      <c r="AP22" s="4">
        <f>+AD_tis!AP22*AD_tis!AP$50*AD_tis!$BG22</f>
        <v>0</v>
      </c>
      <c r="AQ22" s="4">
        <f>+AD_tis!AQ22*AD_tis!AQ$50*AD_tis!$BG22</f>
        <v>0</v>
      </c>
      <c r="AR22" s="4">
        <f>+AD_tis!AR22*AD_tis!AR$50*AD_tis!$BG22</f>
        <v>0</v>
      </c>
      <c r="AS22" s="4">
        <f>+AD_tis!AS22*AD_tis!AS$50*AD_tis!$BG22</f>
        <v>0</v>
      </c>
      <c r="AT22" s="4">
        <f>+AD_tis!AT22*AD_tis!AT$50*AD_tis!$BG22</f>
        <v>0</v>
      </c>
      <c r="AU22" s="4">
        <f>+AD_tis!AU22*AD_tis!AU$50*AD_tis!$BG22</f>
        <v>0</v>
      </c>
      <c r="AV22" s="4">
        <f>+AD_tis!AV22*AD_tis!AV$50*AD_tis!$BG22</f>
        <v>0</v>
      </c>
      <c r="AW22" s="12">
        <f>+AD_tis!AW22*AD_tis!AW$50*AD_tis!$BG22</f>
        <v>0</v>
      </c>
      <c r="AX22" s="13">
        <f>+AD_tis!AX22*AD_tis!AX$50*AD_tis!$BG22</f>
        <v>0</v>
      </c>
      <c r="AY22" s="4">
        <f>+AD_tis!AY22*AD_tis!AY$50*AD_tis!$BG22</f>
        <v>0</v>
      </c>
      <c r="AZ22" s="4">
        <f>+AD_tis!AZ22*AD_tis!AZ$50*AD_tis!$BG22</f>
        <v>0</v>
      </c>
      <c r="BA22" s="12">
        <f>+AD_tis!BA22*AD_tis!BA$50*AD_tis!$BG22</f>
        <v>0</v>
      </c>
      <c r="BB22" s="4">
        <f>+AD_tis!BB22*AD_tis!BB$50*AD_tis!$BG22</f>
        <v>0</v>
      </c>
      <c r="BC22" s="13">
        <f>+AD_tis!BC22*AD_tis!BC$50*AD_tis!$BG22</f>
        <v>0</v>
      </c>
    </row>
    <row r="23" spans="1:55" ht="18.75" customHeight="1" x14ac:dyDescent="0.25">
      <c r="A23" s="5" t="s">
        <v>74</v>
      </c>
      <c r="B23" s="12">
        <f>+AD_tis!B23*AD_tis!B$50*AD_tis!$BG23</f>
        <v>0</v>
      </c>
      <c r="C23" s="4">
        <f>+AD_tis!C23*AD_tis!C$50*AD_tis!$BG23</f>
        <v>0</v>
      </c>
      <c r="D23" s="4">
        <f>+AD_tis!D23*AD_tis!D$50*AD_tis!$BG23</f>
        <v>0</v>
      </c>
      <c r="E23" s="4">
        <f>+AD_tis!E23*AD_tis!E$50*AD_tis!$BG23</f>
        <v>0</v>
      </c>
      <c r="F23" s="4">
        <f>+AD_tis!F23*AD_tis!F$50*AD_tis!$BG23</f>
        <v>0</v>
      </c>
      <c r="G23" s="4">
        <f>+AD_tis!G23*AD_tis!G$50*AD_tis!$BG23</f>
        <v>0</v>
      </c>
      <c r="H23" s="4">
        <f>+AD_tis!H23*AD_tis!H$50*AD_tis!$BG23</f>
        <v>0</v>
      </c>
      <c r="I23" s="4">
        <f>+AD_tis!I23*AD_tis!I$50*AD_tis!$BG23</f>
        <v>0</v>
      </c>
      <c r="J23" s="4">
        <f>+AD_tis!J23*AD_tis!J$50*AD_tis!$BG23</f>
        <v>0</v>
      </c>
      <c r="K23" s="4">
        <f>+AD_tis!K23*AD_tis!K$50*AD_tis!$BG23</f>
        <v>0</v>
      </c>
      <c r="L23" s="4">
        <f>+AD_tis!L23*AD_tis!L$50*AD_tis!$BG23</f>
        <v>0</v>
      </c>
      <c r="M23" s="4">
        <f>+AD_tis!M23*AD_tis!M$50*AD_tis!$BG23</f>
        <v>0</v>
      </c>
      <c r="N23" s="4">
        <f>+AD_tis!N23*AD_tis!N$50*AD_tis!$BG23</f>
        <v>0</v>
      </c>
      <c r="O23" s="4">
        <f>+AD_tis!O23*AD_tis!O$50*AD_tis!$BG23</f>
        <v>0</v>
      </c>
      <c r="P23" s="4">
        <f>+AD_tis!P23*AD_tis!P$50*AD_tis!$BG23</f>
        <v>0</v>
      </c>
      <c r="Q23" s="4">
        <f>+AD_tis!Q23*AD_tis!Q$50*AD_tis!$BG23</f>
        <v>0</v>
      </c>
      <c r="R23" s="13">
        <f>+AD_tis!R23*AD_tis!R$50*AD_tis!$BG23</f>
        <v>0</v>
      </c>
      <c r="S23" s="4">
        <f>+AD_tis!S23*AD_tis!S$50*AD_tis!$BG23</f>
        <v>0</v>
      </c>
      <c r="T23" s="4">
        <f>+AD_tis!T23*AD_tis!T$50*AD_tis!$BG23</f>
        <v>0</v>
      </c>
      <c r="U23" s="4">
        <f>+AD_tis!U23*AD_tis!U$50*AD_tis!$BG23</f>
        <v>0</v>
      </c>
      <c r="V23" s="4">
        <f>+AD_tis!V23*AD_tis!V$50*AD_tis!$BG23</f>
        <v>0</v>
      </c>
      <c r="W23" s="4">
        <f>+AD_tis!W23*AD_tis!W$50*AD_tis!$BG23</f>
        <v>0</v>
      </c>
      <c r="X23" s="4">
        <f>+AD_tis!X23*AD_tis!X$50*AD_tis!$BG23</f>
        <v>0</v>
      </c>
      <c r="Y23" s="4">
        <f>+AD_tis!Y23*AD_tis!Y$50*AD_tis!$BG23</f>
        <v>0</v>
      </c>
      <c r="Z23" s="4">
        <f>+AD_tis!Z23*AD_tis!Z$50*AD_tis!$BG23</f>
        <v>0</v>
      </c>
      <c r="AA23" s="4">
        <f>+AD_tis!AA23*AD_tis!AA$50*AD_tis!$BG23</f>
        <v>0</v>
      </c>
      <c r="AB23" s="4">
        <f>+AD_tis!AB23*AD_tis!AB$50*AD_tis!$BG23</f>
        <v>0</v>
      </c>
      <c r="AC23" s="12">
        <f>+AD_tis!AC23*AD_tis!AC$50*AD_tis!$BG23</f>
        <v>0</v>
      </c>
      <c r="AD23" s="4">
        <f>+AD_tis!AD23*AD_tis!AD$50*AD_tis!$BG23</f>
        <v>0</v>
      </c>
      <c r="AE23" s="4">
        <f>+AD_tis!AE23*AD_tis!AE$50*AD_tis!$BG23</f>
        <v>0</v>
      </c>
      <c r="AF23" s="4">
        <f>+AD_tis!AF23*AD_tis!AF$50*AD_tis!$BG23</f>
        <v>0</v>
      </c>
      <c r="AG23" s="4">
        <f>+AD_tis!AG23*AD_tis!AG$50*AD_tis!$BG23</f>
        <v>0</v>
      </c>
      <c r="AH23" s="4">
        <f>+AD_tis!AH23*AD_tis!AH$50*AD_tis!$BG23</f>
        <v>0</v>
      </c>
      <c r="AI23" s="4">
        <f>+AD_tis!AI23*AD_tis!AI$50*AD_tis!$BG23</f>
        <v>0</v>
      </c>
      <c r="AJ23" s="4">
        <f>+AD_tis!AJ23*AD_tis!AJ$50*AD_tis!$BG23</f>
        <v>0</v>
      </c>
      <c r="AK23" s="4">
        <f>+AD_tis!AK23*AD_tis!AK$50*AD_tis!$BG23</f>
        <v>0</v>
      </c>
      <c r="AL23" s="4">
        <f>+AD_tis!AL23*AD_tis!AL$50*AD_tis!$BG23</f>
        <v>0</v>
      </c>
      <c r="AM23" s="13">
        <f>+AD_tis!AM23*AD_tis!AM$50*AD_tis!$BG23</f>
        <v>0</v>
      </c>
      <c r="AN23" s="4">
        <f>+AD_tis!AN23*AD_tis!AN$50*AD_tis!$BG23</f>
        <v>0</v>
      </c>
      <c r="AO23" s="4">
        <f>+AD_tis!AO23*AD_tis!AO$50*AD_tis!$BG23</f>
        <v>0</v>
      </c>
      <c r="AP23" s="4">
        <f>+AD_tis!AP23*AD_tis!AP$50*AD_tis!$BG23</f>
        <v>0</v>
      </c>
      <c r="AQ23" s="4">
        <f>+AD_tis!AQ23*AD_tis!AQ$50*AD_tis!$BG23</f>
        <v>0</v>
      </c>
      <c r="AR23" s="4">
        <f>+AD_tis!AR23*AD_tis!AR$50*AD_tis!$BG23</f>
        <v>0</v>
      </c>
      <c r="AS23" s="4">
        <f>+AD_tis!AS23*AD_tis!AS$50*AD_tis!$BG23</f>
        <v>0</v>
      </c>
      <c r="AT23" s="4">
        <f>+AD_tis!AT23*AD_tis!AT$50*AD_tis!$BG23</f>
        <v>0</v>
      </c>
      <c r="AU23" s="4">
        <f>+AD_tis!AU23*AD_tis!AU$50*AD_tis!$BG23</f>
        <v>0</v>
      </c>
      <c r="AV23" s="4">
        <f>+AD_tis!AV23*AD_tis!AV$50*AD_tis!$BG23</f>
        <v>0</v>
      </c>
      <c r="AW23" s="12">
        <f>+AD_tis!AW23*AD_tis!AW$50*AD_tis!$BG23</f>
        <v>0</v>
      </c>
      <c r="AX23" s="13">
        <f>+AD_tis!AX23*AD_tis!AX$50*AD_tis!$BG23</f>
        <v>0</v>
      </c>
      <c r="AY23" s="4">
        <f>+AD_tis!AY23*AD_tis!AY$50*AD_tis!$BG23</f>
        <v>0</v>
      </c>
      <c r="AZ23" s="4">
        <f>+AD_tis!AZ23*AD_tis!AZ$50*AD_tis!$BG23</f>
        <v>0</v>
      </c>
      <c r="BA23" s="12">
        <f>+AD_tis!BA23*AD_tis!BA$50*AD_tis!$BG23</f>
        <v>0</v>
      </c>
      <c r="BB23" s="4">
        <f>+AD_tis!BB23*AD_tis!BB$50*AD_tis!$BG23</f>
        <v>0</v>
      </c>
      <c r="BC23" s="13">
        <f>+AD_tis!BC23*AD_tis!BC$50*AD_tis!$BG23</f>
        <v>0</v>
      </c>
    </row>
    <row r="24" spans="1:55" ht="18.75" customHeight="1" x14ac:dyDescent="0.25">
      <c r="A24" s="5" t="s">
        <v>75</v>
      </c>
      <c r="B24" s="12">
        <f>+AD_tis!B24*AD_tis!B$50*AD_tis!$BG24</f>
        <v>0</v>
      </c>
      <c r="C24" s="4">
        <f>+AD_tis!C24*AD_tis!C$50*AD_tis!$BG24</f>
        <v>0</v>
      </c>
      <c r="D24" s="4">
        <f>+AD_tis!D24*AD_tis!D$50*AD_tis!$BG24</f>
        <v>0</v>
      </c>
      <c r="E24" s="4">
        <f>+AD_tis!E24*AD_tis!E$50*AD_tis!$BG24</f>
        <v>0</v>
      </c>
      <c r="F24" s="4">
        <f>+AD_tis!F24*AD_tis!F$50*AD_tis!$BG24</f>
        <v>0</v>
      </c>
      <c r="G24" s="4">
        <f>+AD_tis!G24*AD_tis!G$50*AD_tis!$BG24</f>
        <v>0</v>
      </c>
      <c r="H24" s="4">
        <f>+AD_tis!H24*AD_tis!H$50*AD_tis!$BG24</f>
        <v>0</v>
      </c>
      <c r="I24" s="4">
        <f>+AD_tis!I24*AD_tis!I$50*AD_tis!$BG24</f>
        <v>0</v>
      </c>
      <c r="J24" s="4">
        <f>+AD_tis!J24*AD_tis!J$50*AD_tis!$BG24</f>
        <v>0</v>
      </c>
      <c r="K24" s="4">
        <f>+AD_tis!K24*AD_tis!K$50*AD_tis!$BG24</f>
        <v>0</v>
      </c>
      <c r="L24" s="4">
        <f>+AD_tis!L24*AD_tis!L$50*AD_tis!$BG24</f>
        <v>0</v>
      </c>
      <c r="M24" s="4">
        <f>+AD_tis!M24*AD_tis!M$50*AD_tis!$BG24</f>
        <v>0</v>
      </c>
      <c r="N24" s="4">
        <f>+AD_tis!N24*AD_tis!N$50*AD_tis!$BG24</f>
        <v>0</v>
      </c>
      <c r="O24" s="4">
        <f>+AD_tis!O24*AD_tis!O$50*AD_tis!$BG24</f>
        <v>0</v>
      </c>
      <c r="P24" s="4">
        <f>+AD_tis!P24*AD_tis!P$50*AD_tis!$BG24</f>
        <v>0</v>
      </c>
      <c r="Q24" s="4">
        <f>+AD_tis!Q24*AD_tis!Q$50*AD_tis!$BG24</f>
        <v>0</v>
      </c>
      <c r="R24" s="13">
        <f>+AD_tis!R24*AD_tis!R$50*AD_tis!$BG24</f>
        <v>0</v>
      </c>
      <c r="S24" s="4">
        <f>+AD_tis!S24*AD_tis!S$50*AD_tis!$BG24</f>
        <v>0</v>
      </c>
      <c r="T24" s="4">
        <f>+AD_tis!T24*AD_tis!T$50*AD_tis!$BG24</f>
        <v>0</v>
      </c>
      <c r="U24" s="4">
        <f>+AD_tis!U24*AD_tis!U$50*AD_tis!$BG24</f>
        <v>0</v>
      </c>
      <c r="V24" s="4">
        <f>+AD_tis!V24*AD_tis!V$50*AD_tis!$BG24</f>
        <v>0</v>
      </c>
      <c r="W24" s="4">
        <f>+AD_tis!W24*AD_tis!W$50*AD_tis!$BG24</f>
        <v>0</v>
      </c>
      <c r="X24" s="4">
        <f>+AD_tis!X24*AD_tis!X$50*AD_tis!$BG24</f>
        <v>0</v>
      </c>
      <c r="Y24" s="4">
        <f>+AD_tis!Y24*AD_tis!Y$50*AD_tis!$BG24</f>
        <v>0</v>
      </c>
      <c r="Z24" s="4">
        <f>+AD_tis!Z24*AD_tis!Z$50*AD_tis!$BG24</f>
        <v>0</v>
      </c>
      <c r="AA24" s="4">
        <f>+AD_tis!AA24*AD_tis!AA$50*AD_tis!$BG24</f>
        <v>0</v>
      </c>
      <c r="AB24" s="4">
        <f>+AD_tis!AB24*AD_tis!AB$50*AD_tis!$BG24</f>
        <v>0</v>
      </c>
      <c r="AC24" s="12">
        <f>+AD_tis!AC24*AD_tis!AC$50*AD_tis!$BG24</f>
        <v>0</v>
      </c>
      <c r="AD24" s="4">
        <f>+AD_tis!AD24*AD_tis!AD$50*AD_tis!$BG24</f>
        <v>0</v>
      </c>
      <c r="AE24" s="4">
        <f>+AD_tis!AE24*AD_tis!AE$50*AD_tis!$BG24</f>
        <v>0</v>
      </c>
      <c r="AF24" s="4">
        <f>+AD_tis!AF24*AD_tis!AF$50*AD_tis!$BG24</f>
        <v>0</v>
      </c>
      <c r="AG24" s="4">
        <f>+AD_tis!AG24*AD_tis!AG$50*AD_tis!$BG24</f>
        <v>0</v>
      </c>
      <c r="AH24" s="4">
        <f>+AD_tis!AH24*AD_tis!AH$50*AD_tis!$BG24</f>
        <v>0</v>
      </c>
      <c r="AI24" s="4">
        <f>+AD_tis!AI24*AD_tis!AI$50*AD_tis!$BG24</f>
        <v>0</v>
      </c>
      <c r="AJ24" s="4">
        <f>+AD_tis!AJ24*AD_tis!AJ$50*AD_tis!$BG24</f>
        <v>0</v>
      </c>
      <c r="AK24" s="4">
        <f>+AD_tis!AK24*AD_tis!AK$50*AD_tis!$BG24</f>
        <v>0</v>
      </c>
      <c r="AL24" s="4">
        <f>+AD_tis!AL24*AD_tis!AL$50*AD_tis!$BG24</f>
        <v>0</v>
      </c>
      <c r="AM24" s="13">
        <f>+AD_tis!AM24*AD_tis!AM$50*AD_tis!$BG24</f>
        <v>0</v>
      </c>
      <c r="AN24" s="4">
        <f>+AD_tis!AN24*AD_tis!AN$50*AD_tis!$BG24</f>
        <v>0</v>
      </c>
      <c r="AO24" s="4">
        <f>+AD_tis!AO24*AD_tis!AO$50*AD_tis!$BG24</f>
        <v>0</v>
      </c>
      <c r="AP24" s="4">
        <f>+AD_tis!AP24*AD_tis!AP$50*AD_tis!$BG24</f>
        <v>0</v>
      </c>
      <c r="AQ24" s="4">
        <f>+AD_tis!AQ24*AD_tis!AQ$50*AD_tis!$BG24</f>
        <v>0</v>
      </c>
      <c r="AR24" s="4">
        <f>+AD_tis!AR24*AD_tis!AR$50*AD_tis!$BG24</f>
        <v>0</v>
      </c>
      <c r="AS24" s="4">
        <f>+AD_tis!AS24*AD_tis!AS$50*AD_tis!$BG24</f>
        <v>0</v>
      </c>
      <c r="AT24" s="4">
        <f>+AD_tis!AT24*AD_tis!AT$50*AD_tis!$BG24</f>
        <v>0</v>
      </c>
      <c r="AU24" s="4">
        <f>+AD_tis!AU24*AD_tis!AU$50*AD_tis!$BG24</f>
        <v>0</v>
      </c>
      <c r="AV24" s="4">
        <f>+AD_tis!AV24*AD_tis!AV$50*AD_tis!$BG24</f>
        <v>0</v>
      </c>
      <c r="AW24" s="12">
        <f>+AD_tis!AW24*AD_tis!AW$50*AD_tis!$BG24</f>
        <v>0</v>
      </c>
      <c r="AX24" s="13">
        <f>+AD_tis!AX24*AD_tis!AX$50*AD_tis!$BG24</f>
        <v>0</v>
      </c>
      <c r="AY24" s="4">
        <f>+AD_tis!AY24*AD_tis!AY$50*AD_tis!$BG24</f>
        <v>0</v>
      </c>
      <c r="AZ24" s="4">
        <f>+AD_tis!AZ24*AD_tis!AZ$50*AD_tis!$BG24</f>
        <v>0</v>
      </c>
      <c r="BA24" s="12">
        <f>+AD_tis!BA24*AD_tis!BA$50*AD_tis!$BG24</f>
        <v>0</v>
      </c>
      <c r="BB24" s="4">
        <f>+AD_tis!BB24*AD_tis!BB$50*AD_tis!$BG24</f>
        <v>0</v>
      </c>
      <c r="BC24" s="13">
        <f>+AD_tis!BC24*AD_tis!BC$50*AD_tis!$BG24</f>
        <v>0</v>
      </c>
    </row>
    <row r="25" spans="1:55" ht="18.75" customHeight="1" x14ac:dyDescent="0.25">
      <c r="A25" s="5" t="s">
        <v>76</v>
      </c>
      <c r="B25" s="12">
        <f>+AD_tis!B25*AD_tis!B$50*AD_tis!$BG25</f>
        <v>0</v>
      </c>
      <c r="C25" s="4">
        <f>+AD_tis!C25*AD_tis!C$50*AD_tis!$BG25</f>
        <v>0</v>
      </c>
      <c r="D25" s="4">
        <f>+AD_tis!D25*AD_tis!D$50*AD_tis!$BG25</f>
        <v>0</v>
      </c>
      <c r="E25" s="4">
        <f>+AD_tis!E25*AD_tis!E$50*AD_tis!$BG25</f>
        <v>0</v>
      </c>
      <c r="F25" s="4">
        <f>+AD_tis!F25*AD_tis!F$50*AD_tis!$BG25</f>
        <v>0</v>
      </c>
      <c r="G25" s="4">
        <f>+AD_tis!G25*AD_tis!G$50*AD_tis!$BG25</f>
        <v>0</v>
      </c>
      <c r="H25" s="4">
        <f>+AD_tis!H25*AD_tis!H$50*AD_tis!$BG25</f>
        <v>0</v>
      </c>
      <c r="I25" s="4">
        <f>+AD_tis!I25*AD_tis!I$50*AD_tis!$BG25</f>
        <v>0</v>
      </c>
      <c r="J25" s="4">
        <f>+AD_tis!J25*AD_tis!J$50*AD_tis!$BG25</f>
        <v>0</v>
      </c>
      <c r="K25" s="4">
        <f>+AD_tis!K25*AD_tis!K$50*AD_tis!$BG25</f>
        <v>0</v>
      </c>
      <c r="L25" s="4">
        <f>+AD_tis!L25*AD_tis!L$50*AD_tis!$BG25</f>
        <v>0</v>
      </c>
      <c r="M25" s="4">
        <f>+AD_tis!M25*AD_tis!M$50*AD_tis!$BG25</f>
        <v>0</v>
      </c>
      <c r="N25" s="4">
        <f>+AD_tis!N25*AD_tis!N$50*AD_tis!$BG25</f>
        <v>0</v>
      </c>
      <c r="O25" s="4">
        <f>+AD_tis!O25*AD_tis!O$50*AD_tis!$BG25</f>
        <v>0</v>
      </c>
      <c r="P25" s="4">
        <f>+AD_tis!P25*AD_tis!P$50*AD_tis!$BG25</f>
        <v>0</v>
      </c>
      <c r="Q25" s="4">
        <f>+AD_tis!Q25*AD_tis!Q$50*AD_tis!$BG25</f>
        <v>0</v>
      </c>
      <c r="R25" s="13">
        <f>+AD_tis!R25*AD_tis!R$50*AD_tis!$BG25</f>
        <v>0</v>
      </c>
      <c r="S25" s="4">
        <f>+AD_tis!S25*AD_tis!S$50*AD_tis!$BG25</f>
        <v>0</v>
      </c>
      <c r="T25" s="4">
        <f>+AD_tis!T25*AD_tis!T$50*AD_tis!$BG25</f>
        <v>0</v>
      </c>
      <c r="U25" s="4">
        <f>+AD_tis!U25*AD_tis!U$50*AD_tis!$BG25</f>
        <v>0</v>
      </c>
      <c r="V25" s="4">
        <f>+AD_tis!V25*AD_tis!V$50*AD_tis!$BG25</f>
        <v>0</v>
      </c>
      <c r="W25" s="4">
        <f>+AD_tis!W25*AD_tis!W$50*AD_tis!$BG25</f>
        <v>0</v>
      </c>
      <c r="X25" s="4">
        <f>+AD_tis!X25*AD_tis!X$50*AD_tis!$BG25</f>
        <v>0</v>
      </c>
      <c r="Y25" s="4">
        <f>+AD_tis!Y25*AD_tis!Y$50*AD_tis!$BG25</f>
        <v>0</v>
      </c>
      <c r="Z25" s="4">
        <f>+AD_tis!Z25*AD_tis!Z$50*AD_tis!$BG25</f>
        <v>0</v>
      </c>
      <c r="AA25" s="4">
        <f>+AD_tis!AA25*AD_tis!AA$50*AD_tis!$BG25</f>
        <v>0</v>
      </c>
      <c r="AB25" s="4">
        <f>+AD_tis!AB25*AD_tis!AB$50*AD_tis!$BG25</f>
        <v>0</v>
      </c>
      <c r="AC25" s="12">
        <f>+AD_tis!AC25*AD_tis!AC$50*AD_tis!$BG25</f>
        <v>0</v>
      </c>
      <c r="AD25" s="4">
        <f>+AD_tis!AD25*AD_tis!AD$50*AD_tis!$BG25</f>
        <v>0</v>
      </c>
      <c r="AE25" s="4">
        <f>+AD_tis!AE25*AD_tis!AE$50*AD_tis!$BG25</f>
        <v>0</v>
      </c>
      <c r="AF25" s="4">
        <f>+AD_tis!AF25*AD_tis!AF$50*AD_tis!$BG25</f>
        <v>0</v>
      </c>
      <c r="AG25" s="4">
        <f>+AD_tis!AG25*AD_tis!AG$50*AD_tis!$BG25</f>
        <v>0</v>
      </c>
      <c r="AH25" s="4">
        <f>+AD_tis!AH25*AD_tis!AH$50*AD_tis!$BG25</f>
        <v>0</v>
      </c>
      <c r="AI25" s="4">
        <f>+AD_tis!AI25*AD_tis!AI$50*AD_tis!$BG25</f>
        <v>0</v>
      </c>
      <c r="AJ25" s="4">
        <f>+AD_tis!AJ25*AD_tis!AJ$50*AD_tis!$BG25</f>
        <v>0</v>
      </c>
      <c r="AK25" s="4">
        <f>+AD_tis!AK25*AD_tis!AK$50*AD_tis!$BG25</f>
        <v>0</v>
      </c>
      <c r="AL25" s="4">
        <f>+AD_tis!AL25*AD_tis!AL$50*AD_tis!$BG25</f>
        <v>0</v>
      </c>
      <c r="AM25" s="13">
        <f>+AD_tis!AM25*AD_tis!AM$50*AD_tis!$BG25</f>
        <v>0</v>
      </c>
      <c r="AN25" s="4">
        <f>+AD_tis!AN25*AD_tis!AN$50*AD_tis!$BG25</f>
        <v>0</v>
      </c>
      <c r="AO25" s="4">
        <f>+AD_tis!AO25*AD_tis!AO$50*AD_tis!$BG25</f>
        <v>0</v>
      </c>
      <c r="AP25" s="4">
        <f>+AD_tis!AP25*AD_tis!AP$50*AD_tis!$BG25</f>
        <v>0</v>
      </c>
      <c r="AQ25" s="4">
        <f>+AD_tis!AQ25*AD_tis!AQ$50*AD_tis!$BG25</f>
        <v>0</v>
      </c>
      <c r="AR25" s="4">
        <f>+AD_tis!AR25*AD_tis!AR$50*AD_tis!$BG25</f>
        <v>0</v>
      </c>
      <c r="AS25" s="4">
        <f>+AD_tis!AS25*AD_tis!AS$50*AD_tis!$BG25</f>
        <v>0</v>
      </c>
      <c r="AT25" s="4">
        <f>+AD_tis!AT25*AD_tis!AT$50*AD_tis!$BG25</f>
        <v>0</v>
      </c>
      <c r="AU25" s="4">
        <f>+AD_tis!AU25*AD_tis!AU$50*AD_tis!$BG25</f>
        <v>0</v>
      </c>
      <c r="AV25" s="4">
        <f>+AD_tis!AV25*AD_tis!AV$50*AD_tis!$BG25</f>
        <v>0</v>
      </c>
      <c r="AW25" s="12">
        <f>+AD_tis!AW25*AD_tis!AW$50*AD_tis!$BG25</f>
        <v>0</v>
      </c>
      <c r="AX25" s="13">
        <f>+AD_tis!AX25*AD_tis!AX$50*AD_tis!$BG25</f>
        <v>0</v>
      </c>
      <c r="AY25" s="4">
        <f>+AD_tis!AY25*AD_tis!AY$50*AD_tis!$BG25</f>
        <v>0</v>
      </c>
      <c r="AZ25" s="4">
        <f>+AD_tis!AZ25*AD_tis!AZ$50*AD_tis!$BG25</f>
        <v>0</v>
      </c>
      <c r="BA25" s="12">
        <f>+AD_tis!BA25*AD_tis!BA$50*AD_tis!$BG25</f>
        <v>0</v>
      </c>
      <c r="BB25" s="4">
        <f>+AD_tis!BB25*AD_tis!BB$50*AD_tis!$BG25</f>
        <v>0</v>
      </c>
      <c r="BC25" s="13">
        <f>+AD_tis!BC25*AD_tis!BC$50*AD_tis!$BG25</f>
        <v>0</v>
      </c>
    </row>
    <row r="26" spans="1:55" ht="18.75" customHeight="1" x14ac:dyDescent="0.25">
      <c r="A26" s="5" t="s">
        <v>77</v>
      </c>
      <c r="B26" s="12">
        <f>+AD_tis!B26*AD_tis!B$50*AD_tis!$BG26</f>
        <v>0</v>
      </c>
      <c r="C26" s="4">
        <f>+AD_tis!C26*AD_tis!C$50*AD_tis!$BG26</f>
        <v>0</v>
      </c>
      <c r="D26" s="4">
        <f>+AD_tis!D26*AD_tis!D$50*AD_tis!$BG26</f>
        <v>0</v>
      </c>
      <c r="E26" s="4">
        <f>+AD_tis!E26*AD_tis!E$50*AD_tis!$BG26</f>
        <v>0</v>
      </c>
      <c r="F26" s="4">
        <f>+AD_tis!F26*AD_tis!F$50*AD_tis!$BG26</f>
        <v>0</v>
      </c>
      <c r="G26" s="4">
        <f>+AD_tis!G26*AD_tis!G$50*AD_tis!$BG26</f>
        <v>0</v>
      </c>
      <c r="H26" s="4">
        <f>+AD_tis!H26*AD_tis!H$50*AD_tis!$BG26</f>
        <v>0</v>
      </c>
      <c r="I26" s="4">
        <f>+AD_tis!I26*AD_tis!I$50*AD_tis!$BG26</f>
        <v>0</v>
      </c>
      <c r="J26" s="4">
        <f>+AD_tis!J26*AD_tis!J$50*AD_tis!$BG26</f>
        <v>0</v>
      </c>
      <c r="K26" s="4">
        <f>+AD_tis!K26*AD_tis!K$50*AD_tis!$BG26</f>
        <v>0</v>
      </c>
      <c r="L26" s="4">
        <f>+AD_tis!L26*AD_tis!L$50*AD_tis!$BG26</f>
        <v>0</v>
      </c>
      <c r="M26" s="4">
        <f>+AD_tis!M26*AD_tis!M$50*AD_tis!$BG26</f>
        <v>0</v>
      </c>
      <c r="N26" s="4">
        <f>+AD_tis!N26*AD_tis!N$50*AD_tis!$BG26</f>
        <v>0</v>
      </c>
      <c r="O26" s="4">
        <f>+AD_tis!O26*AD_tis!O$50*AD_tis!$BG26</f>
        <v>0</v>
      </c>
      <c r="P26" s="4">
        <f>+AD_tis!P26*AD_tis!P$50*AD_tis!$BG26</f>
        <v>0</v>
      </c>
      <c r="Q26" s="4">
        <f>+AD_tis!Q26*AD_tis!Q$50*AD_tis!$BG26</f>
        <v>0</v>
      </c>
      <c r="R26" s="13">
        <f>+AD_tis!R26*AD_tis!R$50*AD_tis!$BG26</f>
        <v>0</v>
      </c>
      <c r="S26" s="4">
        <f>+AD_tis!S26*AD_tis!S$50*AD_tis!$BG26</f>
        <v>0</v>
      </c>
      <c r="T26" s="4">
        <f>+AD_tis!T26*AD_tis!T$50*AD_tis!$BG26</f>
        <v>0</v>
      </c>
      <c r="U26" s="4">
        <f>+AD_tis!U26*AD_tis!U$50*AD_tis!$BG26</f>
        <v>0</v>
      </c>
      <c r="V26" s="4">
        <f>+AD_tis!V26*AD_tis!V$50*AD_tis!$BG26</f>
        <v>0</v>
      </c>
      <c r="W26" s="4">
        <f>+AD_tis!W26*AD_tis!W$50*AD_tis!$BG26</f>
        <v>0</v>
      </c>
      <c r="X26" s="4">
        <f>+AD_tis!X26*AD_tis!X$50*AD_tis!$BG26</f>
        <v>0</v>
      </c>
      <c r="Y26" s="4">
        <f>+AD_tis!Y26*AD_tis!Y$50*AD_tis!$BG26</f>
        <v>0</v>
      </c>
      <c r="Z26" s="4">
        <f>+AD_tis!Z26*AD_tis!Z$50*AD_tis!$BG26</f>
        <v>0</v>
      </c>
      <c r="AA26" s="4">
        <f>+AD_tis!AA26*AD_tis!AA$50*AD_tis!$BG26</f>
        <v>0</v>
      </c>
      <c r="AB26" s="4">
        <f>+AD_tis!AB26*AD_tis!AB$50*AD_tis!$BG26</f>
        <v>0</v>
      </c>
      <c r="AC26" s="12">
        <f>+AD_tis!AC26*AD_tis!AC$50*AD_tis!$BG26</f>
        <v>0</v>
      </c>
      <c r="AD26" s="4">
        <f>+AD_tis!AD26*AD_tis!AD$50*AD_tis!$BG26</f>
        <v>0</v>
      </c>
      <c r="AE26" s="4">
        <f>+AD_tis!AE26*AD_tis!AE$50*AD_tis!$BG26</f>
        <v>0</v>
      </c>
      <c r="AF26" s="4">
        <f>+AD_tis!AF26*AD_tis!AF$50*AD_tis!$BG26</f>
        <v>0</v>
      </c>
      <c r="AG26" s="4">
        <f>+AD_tis!AG26*AD_tis!AG$50*AD_tis!$BG26</f>
        <v>0</v>
      </c>
      <c r="AH26" s="4">
        <f>+AD_tis!AH26*AD_tis!AH$50*AD_tis!$BG26</f>
        <v>0</v>
      </c>
      <c r="AI26" s="4">
        <f>+AD_tis!AI26*AD_tis!AI$50*AD_tis!$BG26</f>
        <v>0</v>
      </c>
      <c r="AJ26" s="4">
        <f>+AD_tis!AJ26*AD_tis!AJ$50*AD_tis!$BG26</f>
        <v>0</v>
      </c>
      <c r="AK26" s="4">
        <f>+AD_tis!AK26*AD_tis!AK$50*AD_tis!$BG26</f>
        <v>0</v>
      </c>
      <c r="AL26" s="4">
        <f>+AD_tis!AL26*AD_tis!AL$50*AD_tis!$BG26</f>
        <v>0</v>
      </c>
      <c r="AM26" s="13">
        <f>+AD_tis!AM26*AD_tis!AM$50*AD_tis!$BG26</f>
        <v>0</v>
      </c>
      <c r="AN26" s="4">
        <f>+AD_tis!AN26*AD_tis!AN$50*AD_tis!$BG26</f>
        <v>0</v>
      </c>
      <c r="AO26" s="4">
        <f>+AD_tis!AO26*AD_tis!AO$50*AD_tis!$BG26</f>
        <v>0</v>
      </c>
      <c r="AP26" s="4">
        <f>+AD_tis!AP26*AD_tis!AP$50*AD_tis!$BG26</f>
        <v>0</v>
      </c>
      <c r="AQ26" s="4">
        <f>+AD_tis!AQ26*AD_tis!AQ$50*AD_tis!$BG26</f>
        <v>0</v>
      </c>
      <c r="AR26" s="4">
        <f>+AD_tis!AR26*AD_tis!AR$50*AD_tis!$BG26</f>
        <v>0</v>
      </c>
      <c r="AS26" s="4">
        <f>+AD_tis!AS26*AD_tis!AS$50*AD_tis!$BG26</f>
        <v>0</v>
      </c>
      <c r="AT26" s="4">
        <f>+AD_tis!AT26*AD_tis!AT$50*AD_tis!$BG26</f>
        <v>0</v>
      </c>
      <c r="AU26" s="4">
        <f>+AD_tis!AU26*AD_tis!AU$50*AD_tis!$BG26</f>
        <v>0</v>
      </c>
      <c r="AV26" s="4">
        <f>+AD_tis!AV26*AD_tis!AV$50*AD_tis!$BG26</f>
        <v>0</v>
      </c>
      <c r="AW26" s="12">
        <f>+AD_tis!AW26*AD_tis!AW$50*AD_tis!$BG26</f>
        <v>0</v>
      </c>
      <c r="AX26" s="13">
        <f>+AD_tis!AX26*AD_tis!AX$50*AD_tis!$BG26</f>
        <v>0</v>
      </c>
      <c r="AY26" s="4">
        <f>+AD_tis!AY26*AD_tis!AY$50*AD_tis!$BG26</f>
        <v>0</v>
      </c>
      <c r="AZ26" s="4">
        <f>+AD_tis!AZ26*AD_tis!AZ$50*AD_tis!$BG26</f>
        <v>0</v>
      </c>
      <c r="BA26" s="12">
        <f>+AD_tis!BA26*AD_tis!BA$50*AD_tis!$BG26</f>
        <v>0</v>
      </c>
      <c r="BB26" s="4">
        <f>+AD_tis!BB26*AD_tis!BB$50*AD_tis!$BG26</f>
        <v>0</v>
      </c>
      <c r="BC26" s="13">
        <f>+AD_tis!BC26*AD_tis!BC$50*AD_tis!$BG26</f>
        <v>0</v>
      </c>
    </row>
    <row r="27" spans="1:55" ht="18.75" customHeight="1" x14ac:dyDescent="0.25">
      <c r="A27" s="5" t="s">
        <v>78</v>
      </c>
      <c r="B27" s="12">
        <f>+AD_tis!B27*AD_tis!B$50*AD_tis!$BG27</f>
        <v>0</v>
      </c>
      <c r="C27" s="4">
        <f>+AD_tis!C27*AD_tis!C$50*AD_tis!$BG27</f>
        <v>0</v>
      </c>
      <c r="D27" s="4">
        <f>+AD_tis!D27*AD_tis!D$50*AD_tis!$BG27</f>
        <v>0</v>
      </c>
      <c r="E27" s="4">
        <f>+AD_tis!E27*AD_tis!E$50*AD_tis!$BG27</f>
        <v>0</v>
      </c>
      <c r="F27" s="4">
        <f>+AD_tis!F27*AD_tis!F$50*AD_tis!$BG27</f>
        <v>0</v>
      </c>
      <c r="G27" s="4">
        <f>+AD_tis!G27*AD_tis!G$50*AD_tis!$BG27</f>
        <v>0</v>
      </c>
      <c r="H27" s="4">
        <f>+AD_tis!H27*AD_tis!H$50*AD_tis!$BG27</f>
        <v>0</v>
      </c>
      <c r="I27" s="4">
        <f>+AD_tis!I27*AD_tis!I$50*AD_tis!$BG27</f>
        <v>0</v>
      </c>
      <c r="J27" s="4">
        <f>+AD_tis!J27*AD_tis!J$50*AD_tis!$BG27</f>
        <v>0</v>
      </c>
      <c r="K27" s="4">
        <f>+AD_tis!K27*AD_tis!K$50*AD_tis!$BG27</f>
        <v>0</v>
      </c>
      <c r="L27" s="4">
        <f>+AD_tis!L27*AD_tis!L$50*AD_tis!$BG27</f>
        <v>0</v>
      </c>
      <c r="M27" s="4">
        <f>+AD_tis!M27*AD_tis!M$50*AD_tis!$BG27</f>
        <v>0</v>
      </c>
      <c r="N27" s="4">
        <f>+AD_tis!N27*AD_tis!N$50*AD_tis!$BG27</f>
        <v>0</v>
      </c>
      <c r="O27" s="4">
        <f>+AD_tis!O27*AD_tis!O$50*AD_tis!$BG27</f>
        <v>0</v>
      </c>
      <c r="P27" s="4">
        <f>+AD_tis!P27*AD_tis!P$50*AD_tis!$BG27</f>
        <v>0</v>
      </c>
      <c r="Q27" s="4">
        <f>+AD_tis!Q27*AD_tis!Q$50*AD_tis!$BG27</f>
        <v>0</v>
      </c>
      <c r="R27" s="13">
        <f>+AD_tis!R27*AD_tis!R$50*AD_tis!$BG27</f>
        <v>0</v>
      </c>
      <c r="S27" s="4">
        <f>+AD_tis!S27*AD_tis!S$50*AD_tis!$BG27</f>
        <v>0</v>
      </c>
      <c r="T27" s="4">
        <f>+AD_tis!T27*AD_tis!T$50*AD_tis!$BG27</f>
        <v>0</v>
      </c>
      <c r="U27" s="4">
        <f>+AD_tis!U27*AD_tis!U$50*AD_tis!$BG27</f>
        <v>0</v>
      </c>
      <c r="V27" s="4">
        <f>+AD_tis!V27*AD_tis!V$50*AD_tis!$BG27</f>
        <v>0</v>
      </c>
      <c r="W27" s="4">
        <f>+AD_tis!W27*AD_tis!W$50*AD_tis!$BG27</f>
        <v>0</v>
      </c>
      <c r="X27" s="4">
        <f>+AD_tis!X27*AD_tis!X$50*AD_tis!$BG27</f>
        <v>0</v>
      </c>
      <c r="Y27" s="4">
        <f>+AD_tis!Y27*AD_tis!Y$50*AD_tis!$BG27</f>
        <v>0</v>
      </c>
      <c r="Z27" s="4">
        <f>+AD_tis!Z27*AD_tis!Z$50*AD_tis!$BG27</f>
        <v>0</v>
      </c>
      <c r="AA27" s="4">
        <f>+AD_tis!AA27*AD_tis!AA$50*AD_tis!$BG27</f>
        <v>0</v>
      </c>
      <c r="AB27" s="4">
        <f>+AD_tis!AB27*AD_tis!AB$50*AD_tis!$BG27</f>
        <v>0</v>
      </c>
      <c r="AC27" s="12">
        <f>+AD_tis!AC27*AD_tis!AC$50*AD_tis!$BG27</f>
        <v>0</v>
      </c>
      <c r="AD27" s="4">
        <f>+AD_tis!AD27*AD_tis!AD$50*AD_tis!$BG27</f>
        <v>0</v>
      </c>
      <c r="AE27" s="4">
        <f>+AD_tis!AE27*AD_tis!AE$50*AD_tis!$BG27</f>
        <v>0</v>
      </c>
      <c r="AF27" s="4">
        <f>+AD_tis!AF27*AD_tis!AF$50*AD_tis!$BG27</f>
        <v>0</v>
      </c>
      <c r="AG27" s="4">
        <f>+AD_tis!AG27*AD_tis!AG$50*AD_tis!$BG27</f>
        <v>0</v>
      </c>
      <c r="AH27" s="4">
        <f>+AD_tis!AH27*AD_tis!AH$50*AD_tis!$BG27</f>
        <v>0</v>
      </c>
      <c r="AI27" s="4">
        <f>+AD_tis!AI27*AD_tis!AI$50*AD_tis!$BG27</f>
        <v>0</v>
      </c>
      <c r="AJ27" s="4">
        <f>+AD_tis!AJ27*AD_tis!AJ$50*AD_tis!$BG27</f>
        <v>0</v>
      </c>
      <c r="AK27" s="4">
        <f>+AD_tis!AK27*AD_tis!AK$50*AD_tis!$BG27</f>
        <v>0</v>
      </c>
      <c r="AL27" s="4">
        <f>+AD_tis!AL27*AD_tis!AL$50*AD_tis!$BG27</f>
        <v>0</v>
      </c>
      <c r="AM27" s="13">
        <f>+AD_tis!AM27*AD_tis!AM$50*AD_tis!$BG27</f>
        <v>0</v>
      </c>
      <c r="AN27" s="4">
        <f>+AD_tis!AN27*AD_tis!AN$50*AD_tis!$BG27</f>
        <v>0</v>
      </c>
      <c r="AO27" s="4">
        <f>+AD_tis!AO27*AD_tis!AO$50*AD_tis!$BG27</f>
        <v>0</v>
      </c>
      <c r="AP27" s="4">
        <f>+AD_tis!AP27*AD_tis!AP$50*AD_tis!$BG27</f>
        <v>0</v>
      </c>
      <c r="AQ27" s="4">
        <f>+AD_tis!AQ27*AD_tis!AQ$50*AD_tis!$BG27</f>
        <v>0</v>
      </c>
      <c r="AR27" s="4">
        <f>+AD_tis!AR27*AD_tis!AR$50*AD_tis!$BG27</f>
        <v>0</v>
      </c>
      <c r="AS27" s="4">
        <f>+AD_tis!AS27*AD_tis!AS$50*AD_tis!$BG27</f>
        <v>0</v>
      </c>
      <c r="AT27" s="4">
        <f>+AD_tis!AT27*AD_tis!AT$50*AD_tis!$BG27</f>
        <v>0</v>
      </c>
      <c r="AU27" s="4">
        <f>+AD_tis!AU27*AD_tis!AU$50*AD_tis!$BG27</f>
        <v>0</v>
      </c>
      <c r="AV27" s="4">
        <f>+AD_tis!AV27*AD_tis!AV$50*AD_tis!$BG27</f>
        <v>0</v>
      </c>
      <c r="AW27" s="12">
        <f>+AD_tis!AW27*AD_tis!AW$50*AD_tis!$BG27</f>
        <v>0</v>
      </c>
      <c r="AX27" s="13">
        <f>+AD_tis!AX27*AD_tis!AX$50*AD_tis!$BG27</f>
        <v>0</v>
      </c>
      <c r="AY27" s="4">
        <f>+AD_tis!AY27*AD_tis!AY$50*AD_tis!$BG27</f>
        <v>0</v>
      </c>
      <c r="AZ27" s="4">
        <f>+AD_tis!AZ27*AD_tis!AZ$50*AD_tis!$BG27</f>
        <v>0</v>
      </c>
      <c r="BA27" s="12">
        <f>+AD_tis!BA27*AD_tis!BA$50*AD_tis!$BG27</f>
        <v>0</v>
      </c>
      <c r="BB27" s="4">
        <f>+AD_tis!BB27*AD_tis!BB$50*AD_tis!$BG27</f>
        <v>0</v>
      </c>
      <c r="BC27" s="13">
        <f>+AD_tis!BC27*AD_tis!BC$50*AD_tis!$BG27</f>
        <v>0</v>
      </c>
    </row>
    <row r="28" spans="1:55" ht="18.75" customHeight="1" x14ac:dyDescent="0.25">
      <c r="A28" s="5" t="s">
        <v>79</v>
      </c>
      <c r="B28" s="12">
        <f>+AD_tis!B28*AD_tis!B$50*AD_tis!$BG28</f>
        <v>0</v>
      </c>
      <c r="C28" s="4">
        <f>+AD_tis!C28*AD_tis!C$50*AD_tis!$BG28</f>
        <v>0</v>
      </c>
      <c r="D28" s="4">
        <f>+AD_tis!D28*AD_tis!D$50*AD_tis!$BG28</f>
        <v>0</v>
      </c>
      <c r="E28" s="4">
        <f>+AD_tis!E28*AD_tis!E$50*AD_tis!$BG28</f>
        <v>0</v>
      </c>
      <c r="F28" s="4">
        <f>+AD_tis!F28*AD_tis!F$50*AD_tis!$BG28</f>
        <v>0</v>
      </c>
      <c r="G28" s="4">
        <f>+AD_tis!G28*AD_tis!G$50*AD_tis!$BG28</f>
        <v>0</v>
      </c>
      <c r="H28" s="4">
        <f>+AD_tis!H28*AD_tis!H$50*AD_tis!$BG28</f>
        <v>0</v>
      </c>
      <c r="I28" s="4">
        <f>+AD_tis!I28*AD_tis!I$50*AD_tis!$BG28</f>
        <v>0</v>
      </c>
      <c r="J28" s="4">
        <f>+AD_tis!J28*AD_tis!J$50*AD_tis!$BG28</f>
        <v>0</v>
      </c>
      <c r="K28" s="4">
        <f>+AD_tis!K28*AD_tis!K$50*AD_tis!$BG28</f>
        <v>0</v>
      </c>
      <c r="L28" s="4">
        <f>+AD_tis!L28*AD_tis!L$50*AD_tis!$BG28</f>
        <v>0</v>
      </c>
      <c r="M28" s="4">
        <f>+AD_tis!M28*AD_tis!M$50*AD_tis!$BG28</f>
        <v>0</v>
      </c>
      <c r="N28" s="4">
        <f>+AD_tis!N28*AD_tis!N$50*AD_tis!$BG28</f>
        <v>0</v>
      </c>
      <c r="O28" s="4">
        <f>+AD_tis!O28*AD_tis!O$50*AD_tis!$BG28</f>
        <v>0</v>
      </c>
      <c r="P28" s="4">
        <f>+AD_tis!P28*AD_tis!P$50*AD_tis!$BG28</f>
        <v>0</v>
      </c>
      <c r="Q28" s="4">
        <f>+AD_tis!Q28*AD_tis!Q$50*AD_tis!$BG28</f>
        <v>0</v>
      </c>
      <c r="R28" s="13">
        <f>+AD_tis!R28*AD_tis!R$50*AD_tis!$BG28</f>
        <v>0</v>
      </c>
      <c r="S28" s="4">
        <f>+AD_tis!S28*AD_tis!S$50*AD_tis!$BG28</f>
        <v>0</v>
      </c>
      <c r="T28" s="4">
        <f>+AD_tis!T28*AD_tis!T$50*AD_tis!$BG28</f>
        <v>0</v>
      </c>
      <c r="U28" s="4">
        <f>+AD_tis!U28*AD_tis!U$50*AD_tis!$BG28</f>
        <v>0</v>
      </c>
      <c r="V28" s="4">
        <f>+AD_tis!V28*AD_tis!V$50*AD_tis!$BG28</f>
        <v>0</v>
      </c>
      <c r="W28" s="4">
        <f>+AD_tis!W28*AD_tis!W$50*AD_tis!$BG28</f>
        <v>0</v>
      </c>
      <c r="X28" s="4">
        <f>+AD_tis!X28*AD_tis!X$50*AD_tis!$BG28</f>
        <v>0</v>
      </c>
      <c r="Y28" s="4">
        <f>+AD_tis!Y28*AD_tis!Y$50*AD_tis!$BG28</f>
        <v>0</v>
      </c>
      <c r="Z28" s="4">
        <f>+AD_tis!Z28*AD_tis!Z$50*AD_tis!$BG28</f>
        <v>0</v>
      </c>
      <c r="AA28" s="4">
        <f>+AD_tis!AA28*AD_tis!AA$50*AD_tis!$BG28</f>
        <v>0</v>
      </c>
      <c r="AB28" s="4">
        <f>+AD_tis!AB28*AD_tis!AB$50*AD_tis!$BG28</f>
        <v>0</v>
      </c>
      <c r="AC28" s="12">
        <f>+AD_tis!AC28*AD_tis!AC$50*AD_tis!$BG28</f>
        <v>0</v>
      </c>
      <c r="AD28" s="4">
        <f>+AD_tis!AD28*AD_tis!AD$50*AD_tis!$BG28</f>
        <v>0</v>
      </c>
      <c r="AE28" s="4">
        <f>+AD_tis!AE28*AD_tis!AE$50*AD_tis!$BG28</f>
        <v>0</v>
      </c>
      <c r="AF28" s="4">
        <f>+AD_tis!AF28*AD_tis!AF$50*AD_tis!$BG28</f>
        <v>0</v>
      </c>
      <c r="AG28" s="4">
        <f>+AD_tis!AG28*AD_tis!AG$50*AD_tis!$BG28</f>
        <v>0</v>
      </c>
      <c r="AH28" s="4">
        <f>+AD_tis!AH28*AD_tis!AH$50*AD_tis!$BG28</f>
        <v>0</v>
      </c>
      <c r="AI28" s="4">
        <f>+AD_tis!AI28*AD_tis!AI$50*AD_tis!$BG28</f>
        <v>0</v>
      </c>
      <c r="AJ28" s="4">
        <f>+AD_tis!AJ28*AD_tis!AJ$50*AD_tis!$BG28</f>
        <v>0</v>
      </c>
      <c r="AK28" s="4">
        <f>+AD_tis!AK28*AD_tis!AK$50*AD_tis!$BG28</f>
        <v>0</v>
      </c>
      <c r="AL28" s="4">
        <f>+AD_tis!AL28*AD_tis!AL$50*AD_tis!$BG28</f>
        <v>0</v>
      </c>
      <c r="AM28" s="13">
        <f>+AD_tis!AM28*AD_tis!AM$50*AD_tis!$BG28</f>
        <v>0</v>
      </c>
      <c r="AN28" s="4">
        <f>+AD_tis!AN28*AD_tis!AN$50*AD_tis!$BG28</f>
        <v>0</v>
      </c>
      <c r="AO28" s="4">
        <f>+AD_tis!AO28*AD_tis!AO$50*AD_tis!$BG28</f>
        <v>0</v>
      </c>
      <c r="AP28" s="4">
        <f>+AD_tis!AP28*AD_tis!AP$50*AD_tis!$BG28</f>
        <v>0</v>
      </c>
      <c r="AQ28" s="4">
        <f>+AD_tis!AQ28*AD_tis!AQ$50*AD_tis!$BG28</f>
        <v>0</v>
      </c>
      <c r="AR28" s="4">
        <f>+AD_tis!AR28*AD_tis!AR$50*AD_tis!$BG28</f>
        <v>0</v>
      </c>
      <c r="AS28" s="4">
        <f>+AD_tis!AS28*AD_tis!AS$50*AD_tis!$BG28</f>
        <v>0</v>
      </c>
      <c r="AT28" s="4">
        <f>+AD_tis!AT28*AD_tis!AT$50*AD_tis!$BG28</f>
        <v>0</v>
      </c>
      <c r="AU28" s="4">
        <f>+AD_tis!AU28*AD_tis!AU$50*AD_tis!$BG28</f>
        <v>0</v>
      </c>
      <c r="AV28" s="4">
        <f>+AD_tis!AV28*AD_tis!AV$50*AD_tis!$BG28</f>
        <v>0</v>
      </c>
      <c r="AW28" s="12">
        <f>+AD_tis!AW28*AD_tis!AW$50*AD_tis!$BG28</f>
        <v>0</v>
      </c>
      <c r="AX28" s="13">
        <f>+AD_tis!AX28*AD_tis!AX$50*AD_tis!$BG28</f>
        <v>0</v>
      </c>
      <c r="AY28" s="4">
        <f>+AD_tis!AY28*AD_tis!AY$50*AD_tis!$BG28</f>
        <v>0</v>
      </c>
      <c r="AZ28" s="4">
        <f>+AD_tis!AZ28*AD_tis!AZ$50*AD_tis!$BG28</f>
        <v>0</v>
      </c>
      <c r="BA28" s="12">
        <f>+AD_tis!BA28*AD_tis!BA$50*AD_tis!$BG28</f>
        <v>0</v>
      </c>
      <c r="BB28" s="4">
        <f>+AD_tis!BB28*AD_tis!BB$50*AD_tis!$BG28</f>
        <v>0</v>
      </c>
      <c r="BC28" s="13">
        <f>+AD_tis!BC28*AD_tis!BC$50*AD_tis!$BG28</f>
        <v>0</v>
      </c>
    </row>
    <row r="29" spans="1:55" ht="18.75" customHeight="1" x14ac:dyDescent="0.25">
      <c r="A29" s="5" t="s">
        <v>80</v>
      </c>
      <c r="B29" s="12">
        <f>+AD_tis!B29*AD_tis!B$50*AD_tis!$BG29</f>
        <v>0</v>
      </c>
      <c r="C29" s="4">
        <f>+AD_tis!C29*AD_tis!C$50*AD_tis!$BG29</f>
        <v>0</v>
      </c>
      <c r="D29" s="4">
        <f>+AD_tis!D29*AD_tis!D$50*AD_tis!$BG29</f>
        <v>0</v>
      </c>
      <c r="E29" s="4">
        <f>+AD_tis!E29*AD_tis!E$50*AD_tis!$BG29</f>
        <v>0</v>
      </c>
      <c r="F29" s="4">
        <f>+AD_tis!F29*AD_tis!F$50*AD_tis!$BG29</f>
        <v>0</v>
      </c>
      <c r="G29" s="4">
        <f>+AD_tis!G29*AD_tis!G$50*AD_tis!$BG29</f>
        <v>0</v>
      </c>
      <c r="H29" s="4">
        <f>+AD_tis!H29*AD_tis!H$50*AD_tis!$BG29</f>
        <v>0</v>
      </c>
      <c r="I29" s="4">
        <f>+AD_tis!I29*AD_tis!I$50*AD_tis!$BG29</f>
        <v>0</v>
      </c>
      <c r="J29" s="4">
        <f>+AD_tis!J29*AD_tis!J$50*AD_tis!$BG29</f>
        <v>0</v>
      </c>
      <c r="K29" s="4">
        <f>+AD_tis!K29*AD_tis!K$50*AD_tis!$BG29</f>
        <v>0</v>
      </c>
      <c r="L29" s="4">
        <f>+AD_tis!L29*AD_tis!L$50*AD_tis!$BG29</f>
        <v>0</v>
      </c>
      <c r="M29" s="4">
        <f>+AD_tis!M29*AD_tis!M$50*AD_tis!$BG29</f>
        <v>0</v>
      </c>
      <c r="N29" s="4">
        <f>+AD_tis!N29*AD_tis!N$50*AD_tis!$BG29</f>
        <v>0</v>
      </c>
      <c r="O29" s="4">
        <f>+AD_tis!O29*AD_tis!O$50*AD_tis!$BG29</f>
        <v>0</v>
      </c>
      <c r="P29" s="4">
        <f>+AD_tis!P29*AD_tis!P$50*AD_tis!$BG29</f>
        <v>0</v>
      </c>
      <c r="Q29" s="4">
        <f>+AD_tis!Q29*AD_tis!Q$50*AD_tis!$BG29</f>
        <v>0</v>
      </c>
      <c r="R29" s="13">
        <f>+AD_tis!R29*AD_tis!R$50*AD_tis!$BG29</f>
        <v>0</v>
      </c>
      <c r="S29" s="4">
        <f>+AD_tis!S29*AD_tis!S$50*AD_tis!$BG29</f>
        <v>0</v>
      </c>
      <c r="T29" s="4">
        <f>+AD_tis!T29*AD_tis!T$50*AD_tis!$BG29</f>
        <v>0</v>
      </c>
      <c r="U29" s="4">
        <f>+AD_tis!U29*AD_tis!U$50*AD_tis!$BG29</f>
        <v>0</v>
      </c>
      <c r="V29" s="4">
        <f>+AD_tis!V29*AD_tis!V$50*AD_tis!$BG29</f>
        <v>0</v>
      </c>
      <c r="W29" s="4">
        <f>+AD_tis!W29*AD_tis!W$50*AD_tis!$BG29</f>
        <v>0</v>
      </c>
      <c r="X29" s="4">
        <f>+AD_tis!X29*AD_tis!X$50*AD_tis!$BG29</f>
        <v>0</v>
      </c>
      <c r="Y29" s="4">
        <f>+AD_tis!Y29*AD_tis!Y$50*AD_tis!$BG29</f>
        <v>0</v>
      </c>
      <c r="Z29" s="4">
        <f>+AD_tis!Z29*AD_tis!Z$50*AD_tis!$BG29</f>
        <v>0</v>
      </c>
      <c r="AA29" s="4">
        <f>+AD_tis!AA29*AD_tis!AA$50*AD_tis!$BG29</f>
        <v>0</v>
      </c>
      <c r="AB29" s="4">
        <f>+AD_tis!AB29*AD_tis!AB$50*AD_tis!$BG29</f>
        <v>0</v>
      </c>
      <c r="AC29" s="12">
        <f>+AD_tis!AC29*AD_tis!AC$50*AD_tis!$BG29</f>
        <v>0</v>
      </c>
      <c r="AD29" s="4">
        <f>+AD_tis!AD29*AD_tis!AD$50*AD_tis!$BG29</f>
        <v>0</v>
      </c>
      <c r="AE29" s="4">
        <f>+AD_tis!AE29*AD_tis!AE$50*AD_tis!$BG29</f>
        <v>0</v>
      </c>
      <c r="AF29" s="4">
        <f>+AD_tis!AF29*AD_tis!AF$50*AD_tis!$BG29</f>
        <v>0</v>
      </c>
      <c r="AG29" s="4">
        <f>+AD_tis!AG29*AD_tis!AG$50*AD_tis!$BG29</f>
        <v>0</v>
      </c>
      <c r="AH29" s="4">
        <f>+AD_tis!AH29*AD_tis!AH$50*AD_tis!$BG29</f>
        <v>0</v>
      </c>
      <c r="AI29" s="4">
        <f>+AD_tis!AI29*AD_tis!AI$50*AD_tis!$BG29</f>
        <v>0</v>
      </c>
      <c r="AJ29" s="4">
        <f>+AD_tis!AJ29*AD_tis!AJ$50*AD_tis!$BG29</f>
        <v>0</v>
      </c>
      <c r="AK29" s="4">
        <f>+AD_tis!AK29*AD_tis!AK$50*AD_tis!$BG29</f>
        <v>0</v>
      </c>
      <c r="AL29" s="4">
        <f>+AD_tis!AL29*AD_tis!AL$50*AD_tis!$BG29</f>
        <v>0</v>
      </c>
      <c r="AM29" s="13">
        <f>+AD_tis!AM29*AD_tis!AM$50*AD_tis!$BG29</f>
        <v>0</v>
      </c>
      <c r="AN29" s="4">
        <f>+AD_tis!AN29*AD_tis!AN$50*AD_tis!$BG29</f>
        <v>0</v>
      </c>
      <c r="AO29" s="4">
        <f>+AD_tis!AO29*AD_tis!AO$50*AD_tis!$BG29</f>
        <v>0</v>
      </c>
      <c r="AP29" s="4">
        <f>+AD_tis!AP29*AD_tis!AP$50*AD_tis!$BG29</f>
        <v>0</v>
      </c>
      <c r="AQ29" s="4">
        <f>+AD_tis!AQ29*AD_tis!AQ$50*AD_tis!$BG29</f>
        <v>0</v>
      </c>
      <c r="AR29" s="4">
        <f>+AD_tis!AR29*AD_tis!AR$50*AD_tis!$BG29</f>
        <v>0</v>
      </c>
      <c r="AS29" s="4">
        <f>+AD_tis!AS29*AD_tis!AS$50*AD_tis!$BG29</f>
        <v>0</v>
      </c>
      <c r="AT29" s="4">
        <f>+AD_tis!AT29*AD_tis!AT$50*AD_tis!$BG29</f>
        <v>0</v>
      </c>
      <c r="AU29" s="4">
        <f>+AD_tis!AU29*AD_tis!AU$50*AD_tis!$BG29</f>
        <v>0</v>
      </c>
      <c r="AV29" s="4">
        <f>+AD_tis!AV29*AD_tis!AV$50*AD_tis!$BG29</f>
        <v>0</v>
      </c>
      <c r="AW29" s="12">
        <f>+AD_tis!AW29*AD_tis!AW$50*AD_tis!$BG29</f>
        <v>0</v>
      </c>
      <c r="AX29" s="13">
        <f>+AD_tis!AX29*AD_tis!AX$50*AD_tis!$BG29</f>
        <v>0</v>
      </c>
      <c r="AY29" s="4">
        <f>+AD_tis!AY29*AD_tis!AY$50*AD_tis!$BG29</f>
        <v>0</v>
      </c>
      <c r="AZ29" s="4">
        <f>+AD_tis!AZ29*AD_tis!AZ$50*AD_tis!$BG29</f>
        <v>0</v>
      </c>
      <c r="BA29" s="12">
        <f>+AD_tis!BA29*AD_tis!BA$50*AD_tis!$BG29</f>
        <v>0</v>
      </c>
      <c r="BB29" s="4">
        <f>+AD_tis!BB29*AD_tis!BB$50*AD_tis!$BG29</f>
        <v>0</v>
      </c>
      <c r="BC29" s="13">
        <f>+AD_tis!BC29*AD_tis!BC$50*AD_tis!$BG29</f>
        <v>0</v>
      </c>
    </row>
    <row r="30" spans="1:55" ht="18.75" customHeight="1" x14ac:dyDescent="0.25">
      <c r="A30" s="5" t="s">
        <v>81</v>
      </c>
      <c r="B30" s="12">
        <f>+AD_tis!B30*AD_tis!B$50*AD_tis!$BG30</f>
        <v>0</v>
      </c>
      <c r="C30" s="4">
        <f>+AD_tis!C30*AD_tis!C$50*AD_tis!$BG30</f>
        <v>0</v>
      </c>
      <c r="D30" s="4">
        <f>+AD_tis!D30*AD_tis!D$50*AD_tis!$BG30</f>
        <v>0</v>
      </c>
      <c r="E30" s="4">
        <f>+AD_tis!E30*AD_tis!E$50*AD_tis!$BG30</f>
        <v>0</v>
      </c>
      <c r="F30" s="4">
        <f>+AD_tis!F30*AD_tis!F$50*AD_tis!$BG30</f>
        <v>0</v>
      </c>
      <c r="G30" s="4">
        <f>+AD_tis!G30*AD_tis!G$50*AD_tis!$BG30</f>
        <v>0</v>
      </c>
      <c r="H30" s="4">
        <f>+AD_tis!H30*AD_tis!H$50*AD_tis!$BG30</f>
        <v>0</v>
      </c>
      <c r="I30" s="4">
        <f>+AD_tis!I30*AD_tis!I$50*AD_tis!$BG30</f>
        <v>0</v>
      </c>
      <c r="J30" s="4">
        <f>+AD_tis!J30*AD_tis!J$50*AD_tis!$BG30</f>
        <v>0</v>
      </c>
      <c r="K30" s="4">
        <f>+AD_tis!K30*AD_tis!K$50*AD_tis!$BG30</f>
        <v>0</v>
      </c>
      <c r="L30" s="4">
        <f>+AD_tis!L30*AD_tis!L$50*AD_tis!$BG30</f>
        <v>0</v>
      </c>
      <c r="M30" s="4">
        <f>+AD_tis!M30*AD_tis!M$50*AD_tis!$BG30</f>
        <v>0</v>
      </c>
      <c r="N30" s="4">
        <f>+AD_tis!N30*AD_tis!N$50*AD_tis!$BG30</f>
        <v>0</v>
      </c>
      <c r="O30" s="4">
        <f>+AD_tis!O30*AD_tis!O$50*AD_tis!$BG30</f>
        <v>0</v>
      </c>
      <c r="P30" s="4">
        <f>+AD_tis!P30*AD_tis!P$50*AD_tis!$BG30</f>
        <v>0</v>
      </c>
      <c r="Q30" s="4">
        <f>+AD_tis!Q30*AD_tis!Q$50*AD_tis!$BG30</f>
        <v>0</v>
      </c>
      <c r="R30" s="13">
        <f>+AD_tis!R30*AD_tis!R$50*AD_tis!$BG30</f>
        <v>0</v>
      </c>
      <c r="S30" s="4">
        <f>+AD_tis!S30*AD_tis!S$50*AD_tis!$BG30</f>
        <v>0</v>
      </c>
      <c r="T30" s="4">
        <f>+AD_tis!T30*AD_tis!T$50*AD_tis!$BG30</f>
        <v>0</v>
      </c>
      <c r="U30" s="4">
        <f>+AD_tis!U30*AD_tis!U$50*AD_tis!$BG30</f>
        <v>0</v>
      </c>
      <c r="V30" s="4">
        <f>+AD_tis!V30*AD_tis!V$50*AD_tis!$BG30</f>
        <v>0</v>
      </c>
      <c r="W30" s="4">
        <f>+AD_tis!W30*AD_tis!W$50*AD_tis!$BG30</f>
        <v>0</v>
      </c>
      <c r="X30" s="4">
        <f>+AD_tis!X30*AD_tis!X$50*AD_tis!$BG30</f>
        <v>0</v>
      </c>
      <c r="Y30" s="4">
        <f>+AD_tis!Y30*AD_tis!Y$50*AD_tis!$BG30</f>
        <v>0</v>
      </c>
      <c r="Z30" s="4">
        <f>+AD_tis!Z30*AD_tis!Z$50*AD_tis!$BG30</f>
        <v>0</v>
      </c>
      <c r="AA30" s="4">
        <f>+AD_tis!AA30*AD_tis!AA$50*AD_tis!$BG30</f>
        <v>0</v>
      </c>
      <c r="AB30" s="4">
        <f>+AD_tis!AB30*AD_tis!AB$50*AD_tis!$BG30</f>
        <v>0</v>
      </c>
      <c r="AC30" s="12">
        <f>+AD_tis!AC30*AD_tis!AC$50*AD_tis!$BG30</f>
        <v>0</v>
      </c>
      <c r="AD30" s="4">
        <f>+AD_tis!AD30*AD_tis!AD$50*AD_tis!$BG30</f>
        <v>0</v>
      </c>
      <c r="AE30" s="4">
        <f>+AD_tis!AE30*AD_tis!AE$50*AD_tis!$BG30</f>
        <v>0</v>
      </c>
      <c r="AF30" s="4">
        <f>+AD_tis!AF30*AD_tis!AF$50*AD_tis!$BG30</f>
        <v>0</v>
      </c>
      <c r="AG30" s="4">
        <f>+AD_tis!AG30*AD_tis!AG$50*AD_tis!$BG30</f>
        <v>0</v>
      </c>
      <c r="AH30" s="4">
        <f>+AD_tis!AH30*AD_tis!AH$50*AD_tis!$BG30</f>
        <v>0</v>
      </c>
      <c r="AI30" s="4">
        <f>+AD_tis!AI30*AD_tis!AI$50*AD_tis!$BG30</f>
        <v>0</v>
      </c>
      <c r="AJ30" s="4">
        <f>+AD_tis!AJ30*AD_tis!AJ$50*AD_tis!$BG30</f>
        <v>0</v>
      </c>
      <c r="AK30" s="4">
        <f>+AD_tis!AK30*AD_tis!AK$50*AD_tis!$BG30</f>
        <v>0</v>
      </c>
      <c r="AL30" s="4">
        <f>+AD_tis!AL30*AD_tis!AL$50*AD_tis!$BG30</f>
        <v>0</v>
      </c>
      <c r="AM30" s="13">
        <f>+AD_tis!AM30*AD_tis!AM$50*AD_tis!$BG30</f>
        <v>0</v>
      </c>
      <c r="AN30" s="4">
        <f>+AD_tis!AN30*AD_tis!AN$50*AD_tis!$BG30</f>
        <v>0</v>
      </c>
      <c r="AO30" s="4">
        <f>+AD_tis!AO30*AD_tis!AO$50*AD_tis!$BG30</f>
        <v>0</v>
      </c>
      <c r="AP30" s="4">
        <f>+AD_tis!AP30*AD_tis!AP$50*AD_tis!$BG30</f>
        <v>0</v>
      </c>
      <c r="AQ30" s="4">
        <f>+AD_tis!AQ30*AD_tis!AQ$50*AD_tis!$BG30</f>
        <v>0</v>
      </c>
      <c r="AR30" s="4">
        <f>+AD_tis!AR30*AD_tis!AR$50*AD_tis!$BG30</f>
        <v>0</v>
      </c>
      <c r="AS30" s="4">
        <f>+AD_tis!AS30*AD_tis!AS$50*AD_tis!$BG30</f>
        <v>0</v>
      </c>
      <c r="AT30" s="4">
        <f>+AD_tis!AT30*AD_tis!AT$50*AD_tis!$BG30</f>
        <v>0</v>
      </c>
      <c r="AU30" s="4">
        <f>+AD_tis!AU30*AD_tis!AU$50*AD_tis!$BG30</f>
        <v>0</v>
      </c>
      <c r="AV30" s="4">
        <f>+AD_tis!AV30*AD_tis!AV$50*AD_tis!$BG30</f>
        <v>0</v>
      </c>
      <c r="AW30" s="12">
        <f>+AD_tis!AW30*AD_tis!AW$50*AD_tis!$BG30</f>
        <v>0</v>
      </c>
      <c r="AX30" s="13">
        <f>+AD_tis!AX30*AD_tis!AX$50*AD_tis!$BG30</f>
        <v>0</v>
      </c>
      <c r="AY30" s="4">
        <f>+AD_tis!AY30*AD_tis!AY$50*AD_tis!$BG30</f>
        <v>0</v>
      </c>
      <c r="AZ30" s="4">
        <f>+AD_tis!AZ30*AD_tis!AZ$50*AD_tis!$BG30</f>
        <v>0</v>
      </c>
      <c r="BA30" s="12">
        <f>+AD_tis!BA30*AD_tis!BA$50*AD_tis!$BG30</f>
        <v>0</v>
      </c>
      <c r="BB30" s="4">
        <f>+AD_tis!BB30*AD_tis!BB$50*AD_tis!$BG30</f>
        <v>0</v>
      </c>
      <c r="BC30" s="13">
        <f>+AD_tis!BC30*AD_tis!BC$50*AD_tis!$BG30</f>
        <v>0</v>
      </c>
    </row>
    <row r="31" spans="1:55" ht="18.75" customHeight="1" x14ac:dyDescent="0.25">
      <c r="A31" s="5" t="s">
        <v>82</v>
      </c>
      <c r="B31" s="12">
        <f>+AD_tis!B31*AD_tis!B$50*AD_tis!$BG31</f>
        <v>0</v>
      </c>
      <c r="C31" s="4">
        <f>+AD_tis!C31*AD_tis!C$50*AD_tis!$BG31</f>
        <v>0</v>
      </c>
      <c r="D31" s="4">
        <f>+AD_tis!D31*AD_tis!D$50*AD_tis!$BG31</f>
        <v>0</v>
      </c>
      <c r="E31" s="4">
        <f>+AD_tis!E31*AD_tis!E$50*AD_tis!$BG31</f>
        <v>0</v>
      </c>
      <c r="F31" s="4">
        <f>+AD_tis!F31*AD_tis!F$50*AD_tis!$BG31</f>
        <v>0</v>
      </c>
      <c r="G31" s="4">
        <f>+AD_tis!G31*AD_tis!G$50*AD_tis!$BG31</f>
        <v>0</v>
      </c>
      <c r="H31" s="4">
        <f>+AD_tis!H31*AD_tis!H$50*AD_tis!$BG31</f>
        <v>0</v>
      </c>
      <c r="I31" s="4">
        <f>+AD_tis!I31*AD_tis!I$50*AD_tis!$BG31</f>
        <v>0</v>
      </c>
      <c r="J31" s="4">
        <f>+AD_tis!J31*AD_tis!J$50*AD_tis!$BG31</f>
        <v>0</v>
      </c>
      <c r="K31" s="4">
        <f>+AD_tis!K31*AD_tis!K$50*AD_tis!$BG31</f>
        <v>0</v>
      </c>
      <c r="L31" s="4">
        <f>+AD_tis!L31*AD_tis!L$50*AD_tis!$BG31</f>
        <v>0</v>
      </c>
      <c r="M31" s="4">
        <f>+AD_tis!M31*AD_tis!M$50*AD_tis!$BG31</f>
        <v>0</v>
      </c>
      <c r="N31" s="4">
        <f>+AD_tis!N31*AD_tis!N$50*AD_tis!$BG31</f>
        <v>0</v>
      </c>
      <c r="O31" s="4">
        <f>+AD_tis!O31*AD_tis!O$50*AD_tis!$BG31</f>
        <v>0</v>
      </c>
      <c r="P31" s="4">
        <f>+AD_tis!P31*AD_tis!P$50*AD_tis!$BG31</f>
        <v>0</v>
      </c>
      <c r="Q31" s="4">
        <f>+AD_tis!Q31*AD_tis!Q$50*AD_tis!$BG31</f>
        <v>0</v>
      </c>
      <c r="R31" s="13">
        <f>+AD_tis!R31*AD_tis!R$50*AD_tis!$BG31</f>
        <v>0</v>
      </c>
      <c r="S31" s="4">
        <f>+AD_tis!S31*AD_tis!S$50*AD_tis!$BG31</f>
        <v>0</v>
      </c>
      <c r="T31" s="4">
        <f>+AD_tis!T31*AD_tis!T$50*AD_tis!$BG31</f>
        <v>0</v>
      </c>
      <c r="U31" s="4">
        <f>+AD_tis!U31*AD_tis!U$50*AD_tis!$BG31</f>
        <v>0</v>
      </c>
      <c r="V31" s="4">
        <f>+AD_tis!V31*AD_tis!V$50*AD_tis!$BG31</f>
        <v>0</v>
      </c>
      <c r="W31" s="4">
        <f>+AD_tis!W31*AD_tis!W$50*AD_tis!$BG31</f>
        <v>0</v>
      </c>
      <c r="X31" s="4">
        <f>+AD_tis!X31*AD_tis!X$50*AD_tis!$BG31</f>
        <v>0</v>
      </c>
      <c r="Y31" s="4">
        <f>+AD_tis!Y31*AD_tis!Y$50*AD_tis!$BG31</f>
        <v>0</v>
      </c>
      <c r="Z31" s="4">
        <f>+AD_tis!Z31*AD_tis!Z$50*AD_tis!$BG31</f>
        <v>0</v>
      </c>
      <c r="AA31" s="4">
        <f>+AD_tis!AA31*AD_tis!AA$50*AD_tis!$BG31</f>
        <v>0</v>
      </c>
      <c r="AB31" s="4">
        <f>+AD_tis!AB31*AD_tis!AB$50*AD_tis!$BG31</f>
        <v>0</v>
      </c>
      <c r="AC31" s="12">
        <f>+AD_tis!AC31*AD_tis!AC$50*AD_tis!$BG31</f>
        <v>0</v>
      </c>
      <c r="AD31" s="4">
        <f>+AD_tis!AD31*AD_tis!AD$50*AD_tis!$BG31</f>
        <v>0</v>
      </c>
      <c r="AE31" s="4">
        <f>+AD_tis!AE31*AD_tis!AE$50*AD_tis!$BG31</f>
        <v>0</v>
      </c>
      <c r="AF31" s="4">
        <f>+AD_tis!AF31*AD_tis!AF$50*AD_tis!$BG31</f>
        <v>0</v>
      </c>
      <c r="AG31" s="4">
        <f>+AD_tis!AG31*AD_tis!AG$50*AD_tis!$BG31</f>
        <v>0</v>
      </c>
      <c r="AH31" s="4">
        <f>+AD_tis!AH31*AD_tis!AH$50*AD_tis!$BG31</f>
        <v>0</v>
      </c>
      <c r="AI31" s="4">
        <f>+AD_tis!AI31*AD_tis!AI$50*AD_tis!$BG31</f>
        <v>0</v>
      </c>
      <c r="AJ31" s="4">
        <f>+AD_tis!AJ31*AD_tis!AJ$50*AD_tis!$BG31</f>
        <v>0</v>
      </c>
      <c r="AK31" s="4">
        <f>+AD_tis!AK31*AD_tis!AK$50*AD_tis!$BG31</f>
        <v>0</v>
      </c>
      <c r="AL31" s="4">
        <f>+AD_tis!AL31*AD_tis!AL$50*AD_tis!$BG31</f>
        <v>0</v>
      </c>
      <c r="AM31" s="13">
        <f>+AD_tis!AM31*AD_tis!AM$50*AD_tis!$BG31</f>
        <v>0</v>
      </c>
      <c r="AN31" s="4">
        <f>+AD_tis!AN31*AD_tis!AN$50*AD_tis!$BG31</f>
        <v>0</v>
      </c>
      <c r="AO31" s="4">
        <f>+AD_tis!AO31*AD_tis!AO$50*AD_tis!$BG31</f>
        <v>0</v>
      </c>
      <c r="AP31" s="4">
        <f>+AD_tis!AP31*AD_tis!AP$50*AD_tis!$BG31</f>
        <v>0</v>
      </c>
      <c r="AQ31" s="4">
        <f>+AD_tis!AQ31*AD_tis!AQ$50*AD_tis!$BG31</f>
        <v>0</v>
      </c>
      <c r="AR31" s="4">
        <f>+AD_tis!AR31*AD_tis!AR$50*AD_tis!$BG31</f>
        <v>0</v>
      </c>
      <c r="AS31" s="4">
        <f>+AD_tis!AS31*AD_tis!AS$50*AD_tis!$BG31</f>
        <v>0</v>
      </c>
      <c r="AT31" s="4">
        <f>+AD_tis!AT31*AD_tis!AT$50*AD_tis!$BG31</f>
        <v>0</v>
      </c>
      <c r="AU31" s="4">
        <f>+AD_tis!AU31*AD_tis!AU$50*AD_tis!$BG31</f>
        <v>0</v>
      </c>
      <c r="AV31" s="4">
        <f>+AD_tis!AV31*AD_tis!AV$50*AD_tis!$BG31</f>
        <v>0</v>
      </c>
      <c r="AW31" s="12">
        <f>+AD_tis!AW31*AD_tis!AW$50*AD_tis!$BG31</f>
        <v>0</v>
      </c>
      <c r="AX31" s="13">
        <f>+AD_tis!AX31*AD_tis!AX$50*AD_tis!$BG31</f>
        <v>0</v>
      </c>
      <c r="AY31" s="4">
        <f>+AD_tis!AY31*AD_tis!AY$50*AD_tis!$BG31</f>
        <v>0</v>
      </c>
      <c r="AZ31" s="4">
        <f>+AD_tis!AZ31*AD_tis!AZ$50*AD_tis!$BG31</f>
        <v>0</v>
      </c>
      <c r="BA31" s="12">
        <f>+AD_tis!BA31*AD_tis!BA$50*AD_tis!$BG31</f>
        <v>0</v>
      </c>
      <c r="BB31" s="4">
        <f>+AD_tis!BB31*AD_tis!BB$50*AD_tis!$BG31</f>
        <v>0</v>
      </c>
      <c r="BC31" s="13">
        <f>+AD_tis!BC31*AD_tis!BC$50*AD_tis!$BG31</f>
        <v>0</v>
      </c>
    </row>
    <row r="32" spans="1:55" ht="18.75" customHeight="1" x14ac:dyDescent="0.25">
      <c r="A32" s="5" t="s">
        <v>83</v>
      </c>
      <c r="B32" s="12">
        <f>+AD_tis!B32*AD_tis!B$50*AD_tis!$BG32</f>
        <v>0</v>
      </c>
      <c r="C32" s="4">
        <f>+AD_tis!C32*AD_tis!C$50*AD_tis!$BG32</f>
        <v>0</v>
      </c>
      <c r="D32" s="4">
        <f>+AD_tis!D32*AD_tis!D$50*AD_tis!$BG32</f>
        <v>0</v>
      </c>
      <c r="E32" s="4">
        <f>+AD_tis!E32*AD_tis!E$50*AD_tis!$BG32</f>
        <v>0</v>
      </c>
      <c r="F32" s="4">
        <f>+AD_tis!F32*AD_tis!F$50*AD_tis!$BG32</f>
        <v>0</v>
      </c>
      <c r="G32" s="4">
        <f>+AD_tis!G32*AD_tis!G$50*AD_tis!$BG32</f>
        <v>0</v>
      </c>
      <c r="H32" s="4">
        <f>+AD_tis!H32*AD_tis!H$50*AD_tis!$BG32</f>
        <v>0</v>
      </c>
      <c r="I32" s="4">
        <f>+AD_tis!I32*AD_tis!I$50*AD_tis!$BG32</f>
        <v>0</v>
      </c>
      <c r="J32" s="4">
        <f>+AD_tis!J32*AD_tis!J$50*AD_tis!$BG32</f>
        <v>0</v>
      </c>
      <c r="K32" s="4">
        <f>+AD_tis!K32*AD_tis!K$50*AD_tis!$BG32</f>
        <v>0</v>
      </c>
      <c r="L32" s="4">
        <f>+AD_tis!L32*AD_tis!L$50*AD_tis!$BG32</f>
        <v>0</v>
      </c>
      <c r="M32" s="4">
        <f>+AD_tis!M32*AD_tis!M$50*AD_tis!$BG32</f>
        <v>0</v>
      </c>
      <c r="N32" s="4">
        <f>+AD_tis!N32*AD_tis!N$50*AD_tis!$BG32</f>
        <v>0</v>
      </c>
      <c r="O32" s="4">
        <f>+AD_tis!O32*AD_tis!O$50*AD_tis!$BG32</f>
        <v>0</v>
      </c>
      <c r="P32" s="4">
        <f>+AD_tis!P32*AD_tis!P$50*AD_tis!$BG32</f>
        <v>0</v>
      </c>
      <c r="Q32" s="4">
        <f>+AD_tis!Q32*AD_tis!Q$50*AD_tis!$BG32</f>
        <v>0</v>
      </c>
      <c r="R32" s="13">
        <f>+AD_tis!R32*AD_tis!R$50*AD_tis!$BG32</f>
        <v>0</v>
      </c>
      <c r="S32" s="4">
        <f>+AD_tis!S32*AD_tis!S$50*AD_tis!$BG32</f>
        <v>0</v>
      </c>
      <c r="T32" s="4">
        <f>+AD_tis!T32*AD_tis!T$50*AD_tis!$BG32</f>
        <v>0</v>
      </c>
      <c r="U32" s="4">
        <f>+AD_tis!U32*AD_tis!U$50*AD_tis!$BG32</f>
        <v>0</v>
      </c>
      <c r="V32" s="4">
        <f>+AD_tis!V32*AD_tis!V$50*AD_tis!$BG32</f>
        <v>0</v>
      </c>
      <c r="W32" s="4">
        <f>+AD_tis!W32*AD_tis!W$50*AD_tis!$BG32</f>
        <v>0</v>
      </c>
      <c r="X32" s="4">
        <f>+AD_tis!X32*AD_tis!X$50*AD_tis!$BG32</f>
        <v>0</v>
      </c>
      <c r="Y32" s="4">
        <f>+AD_tis!Y32*AD_tis!Y$50*AD_tis!$BG32</f>
        <v>0</v>
      </c>
      <c r="Z32" s="4">
        <f>+AD_tis!Z32*AD_tis!Z$50*AD_tis!$BG32</f>
        <v>0</v>
      </c>
      <c r="AA32" s="4">
        <f>+AD_tis!AA32*AD_tis!AA$50*AD_tis!$BG32</f>
        <v>0</v>
      </c>
      <c r="AB32" s="4">
        <f>+AD_tis!AB32*AD_tis!AB$50*AD_tis!$BG32</f>
        <v>0</v>
      </c>
      <c r="AC32" s="12">
        <f>+AD_tis!AC32*AD_tis!AC$50*AD_tis!$BG32</f>
        <v>0</v>
      </c>
      <c r="AD32" s="4">
        <f>+AD_tis!AD32*AD_tis!AD$50*AD_tis!$BG32</f>
        <v>0</v>
      </c>
      <c r="AE32" s="4">
        <f>+AD_tis!AE32*AD_tis!AE$50*AD_tis!$BG32</f>
        <v>0</v>
      </c>
      <c r="AF32" s="4">
        <f>+AD_tis!AF32*AD_tis!AF$50*AD_tis!$BG32</f>
        <v>0</v>
      </c>
      <c r="AG32" s="4">
        <f>+AD_tis!AG32*AD_tis!AG$50*AD_tis!$BG32</f>
        <v>0</v>
      </c>
      <c r="AH32" s="4">
        <f>+AD_tis!AH32*AD_tis!AH$50*AD_tis!$BG32</f>
        <v>0</v>
      </c>
      <c r="AI32" s="4">
        <f>+AD_tis!AI32*AD_tis!AI$50*AD_tis!$BG32</f>
        <v>0</v>
      </c>
      <c r="AJ32" s="4">
        <f>+AD_tis!AJ32*AD_tis!AJ$50*AD_tis!$BG32</f>
        <v>0</v>
      </c>
      <c r="AK32" s="4">
        <f>+AD_tis!AK32*AD_tis!AK$50*AD_tis!$BG32</f>
        <v>0</v>
      </c>
      <c r="AL32" s="4">
        <f>+AD_tis!AL32*AD_tis!AL$50*AD_tis!$BG32</f>
        <v>0</v>
      </c>
      <c r="AM32" s="13">
        <f>+AD_tis!AM32*AD_tis!AM$50*AD_tis!$BG32</f>
        <v>0</v>
      </c>
      <c r="AN32" s="4">
        <f>+AD_tis!AN32*AD_tis!AN$50*AD_tis!$BG32</f>
        <v>0</v>
      </c>
      <c r="AO32" s="4">
        <f>+AD_tis!AO32*AD_tis!AO$50*AD_tis!$BG32</f>
        <v>0</v>
      </c>
      <c r="AP32" s="4">
        <f>+AD_tis!AP32*AD_tis!AP$50*AD_tis!$BG32</f>
        <v>0</v>
      </c>
      <c r="AQ32" s="4">
        <f>+AD_tis!AQ32*AD_tis!AQ$50*AD_tis!$BG32</f>
        <v>0</v>
      </c>
      <c r="AR32" s="4">
        <f>+AD_tis!AR32*AD_tis!AR$50*AD_tis!$BG32</f>
        <v>0</v>
      </c>
      <c r="AS32" s="4">
        <f>+AD_tis!AS32*AD_tis!AS$50*AD_tis!$BG32</f>
        <v>0</v>
      </c>
      <c r="AT32" s="4">
        <f>+AD_tis!AT32*AD_tis!AT$50*AD_tis!$BG32</f>
        <v>0</v>
      </c>
      <c r="AU32" s="4">
        <f>+AD_tis!AU32*AD_tis!AU$50*AD_tis!$BG32</f>
        <v>0</v>
      </c>
      <c r="AV32" s="4">
        <f>+AD_tis!AV32*AD_tis!AV$50*AD_tis!$BG32</f>
        <v>0</v>
      </c>
      <c r="AW32" s="12">
        <f>+AD_tis!AW32*AD_tis!AW$50*AD_tis!$BG32</f>
        <v>0</v>
      </c>
      <c r="AX32" s="13">
        <f>+AD_tis!AX32*AD_tis!AX$50*AD_tis!$BG32</f>
        <v>0</v>
      </c>
      <c r="AY32" s="4">
        <f>+AD_tis!AY32*AD_tis!AY$50*AD_tis!$BG32</f>
        <v>0</v>
      </c>
      <c r="AZ32" s="4">
        <f>+AD_tis!AZ32*AD_tis!AZ$50*AD_tis!$BG32</f>
        <v>0</v>
      </c>
      <c r="BA32" s="12">
        <f>+AD_tis!BA32*AD_tis!BA$50*AD_tis!$BG32</f>
        <v>0</v>
      </c>
      <c r="BB32" s="4">
        <f>+AD_tis!BB32*AD_tis!BB$50*AD_tis!$BG32</f>
        <v>0</v>
      </c>
      <c r="BC32" s="13">
        <f>+AD_tis!BC32*AD_tis!BC$50*AD_tis!$BG32</f>
        <v>0</v>
      </c>
    </row>
    <row r="33" spans="1:55" ht="18.75" customHeight="1" x14ac:dyDescent="0.25">
      <c r="A33" s="5" t="s">
        <v>84</v>
      </c>
      <c r="B33" s="12">
        <f>+AD_tis!B33*AD_tis!B$50*AD_tis!$BG33</f>
        <v>0</v>
      </c>
      <c r="C33" s="4">
        <f>+AD_tis!C33*AD_tis!C$50*AD_tis!$BG33</f>
        <v>0</v>
      </c>
      <c r="D33" s="4">
        <f>+AD_tis!D33*AD_tis!D$50*AD_tis!$BG33</f>
        <v>0</v>
      </c>
      <c r="E33" s="4">
        <f>+AD_tis!E33*AD_tis!E$50*AD_tis!$BG33</f>
        <v>0</v>
      </c>
      <c r="F33" s="4">
        <f>+AD_tis!F33*AD_tis!F$50*AD_tis!$BG33</f>
        <v>0</v>
      </c>
      <c r="G33" s="4">
        <f>+AD_tis!G33*AD_tis!G$50*AD_tis!$BG33</f>
        <v>0</v>
      </c>
      <c r="H33" s="4">
        <f>+AD_tis!H33*AD_tis!H$50*AD_tis!$BG33</f>
        <v>0</v>
      </c>
      <c r="I33" s="4">
        <f>+AD_tis!I33*AD_tis!I$50*AD_tis!$BG33</f>
        <v>0</v>
      </c>
      <c r="J33" s="4">
        <f>+AD_tis!J33*AD_tis!J$50*AD_tis!$BG33</f>
        <v>0</v>
      </c>
      <c r="K33" s="4">
        <f>+AD_tis!K33*AD_tis!K$50*AD_tis!$BG33</f>
        <v>0</v>
      </c>
      <c r="L33" s="4">
        <f>+AD_tis!L33*AD_tis!L$50*AD_tis!$BG33</f>
        <v>0</v>
      </c>
      <c r="M33" s="4">
        <f>+AD_tis!M33*AD_tis!M$50*AD_tis!$BG33</f>
        <v>0</v>
      </c>
      <c r="N33" s="4">
        <f>+AD_tis!N33*AD_tis!N$50*AD_tis!$BG33</f>
        <v>0</v>
      </c>
      <c r="O33" s="4">
        <f>+AD_tis!O33*AD_tis!O$50*AD_tis!$BG33</f>
        <v>0</v>
      </c>
      <c r="P33" s="4">
        <f>+AD_tis!P33*AD_tis!P$50*AD_tis!$BG33</f>
        <v>0</v>
      </c>
      <c r="Q33" s="4">
        <f>+AD_tis!Q33*AD_tis!Q$50*AD_tis!$BG33</f>
        <v>0</v>
      </c>
      <c r="R33" s="13">
        <f>+AD_tis!R33*AD_tis!R$50*AD_tis!$BG33</f>
        <v>0</v>
      </c>
      <c r="S33" s="4">
        <f>+AD_tis!S33*AD_tis!S$50*AD_tis!$BG33</f>
        <v>0</v>
      </c>
      <c r="T33" s="4">
        <f>+AD_tis!T33*AD_tis!T$50*AD_tis!$BG33</f>
        <v>0</v>
      </c>
      <c r="U33" s="4">
        <f>+AD_tis!U33*AD_tis!U$50*AD_tis!$BG33</f>
        <v>0</v>
      </c>
      <c r="V33" s="4">
        <f>+AD_tis!V33*AD_tis!V$50*AD_tis!$BG33</f>
        <v>0</v>
      </c>
      <c r="W33" s="4">
        <f>+AD_tis!W33*AD_tis!W$50*AD_tis!$BG33</f>
        <v>0</v>
      </c>
      <c r="X33" s="4">
        <f>+AD_tis!X33*AD_tis!X$50*AD_tis!$BG33</f>
        <v>0</v>
      </c>
      <c r="Y33" s="4">
        <f>+AD_tis!Y33*AD_tis!Y$50*AD_tis!$BG33</f>
        <v>0</v>
      </c>
      <c r="Z33" s="4">
        <f>+AD_tis!Z33*AD_tis!Z$50*AD_tis!$BG33</f>
        <v>0</v>
      </c>
      <c r="AA33" s="4">
        <f>+AD_tis!AA33*AD_tis!AA$50*AD_tis!$BG33</f>
        <v>0</v>
      </c>
      <c r="AB33" s="4">
        <f>+AD_tis!AB33*AD_tis!AB$50*AD_tis!$BG33</f>
        <v>0</v>
      </c>
      <c r="AC33" s="12">
        <f>+AD_tis!AC33*AD_tis!AC$50*AD_tis!$BG33</f>
        <v>0</v>
      </c>
      <c r="AD33" s="4">
        <f>+AD_tis!AD33*AD_tis!AD$50*AD_tis!$BG33</f>
        <v>0</v>
      </c>
      <c r="AE33" s="4">
        <f>+AD_tis!AE33*AD_tis!AE$50*AD_tis!$BG33</f>
        <v>0</v>
      </c>
      <c r="AF33" s="4">
        <f>+AD_tis!AF33*AD_tis!AF$50*AD_tis!$BG33</f>
        <v>0</v>
      </c>
      <c r="AG33" s="4">
        <f>+AD_tis!AG33*AD_tis!AG$50*AD_tis!$BG33</f>
        <v>0</v>
      </c>
      <c r="AH33" s="4">
        <f>+AD_tis!AH33*AD_tis!AH$50*AD_tis!$BG33</f>
        <v>0</v>
      </c>
      <c r="AI33" s="4">
        <f>+AD_tis!AI33*AD_tis!AI$50*AD_tis!$BG33</f>
        <v>0</v>
      </c>
      <c r="AJ33" s="4">
        <f>+AD_tis!AJ33*AD_tis!AJ$50*AD_tis!$BG33</f>
        <v>0</v>
      </c>
      <c r="AK33" s="4">
        <f>+AD_tis!AK33*AD_tis!AK$50*AD_tis!$BG33</f>
        <v>0</v>
      </c>
      <c r="AL33" s="4">
        <f>+AD_tis!AL33*AD_tis!AL$50*AD_tis!$BG33</f>
        <v>0</v>
      </c>
      <c r="AM33" s="13">
        <f>+AD_tis!AM33*AD_tis!AM$50*AD_tis!$BG33</f>
        <v>0</v>
      </c>
      <c r="AN33" s="4">
        <f>+AD_tis!AN33*AD_tis!AN$50*AD_tis!$BG33</f>
        <v>0</v>
      </c>
      <c r="AO33" s="4">
        <f>+AD_tis!AO33*AD_tis!AO$50*AD_tis!$BG33</f>
        <v>0</v>
      </c>
      <c r="AP33" s="4">
        <f>+AD_tis!AP33*AD_tis!AP$50*AD_tis!$BG33</f>
        <v>0</v>
      </c>
      <c r="AQ33" s="4">
        <f>+AD_tis!AQ33*AD_tis!AQ$50*AD_tis!$BG33</f>
        <v>0</v>
      </c>
      <c r="AR33" s="4">
        <f>+AD_tis!AR33*AD_tis!AR$50*AD_tis!$BG33</f>
        <v>0</v>
      </c>
      <c r="AS33" s="4">
        <f>+AD_tis!AS33*AD_tis!AS$50*AD_tis!$BG33</f>
        <v>0</v>
      </c>
      <c r="AT33" s="4">
        <f>+AD_tis!AT33*AD_tis!AT$50*AD_tis!$BG33</f>
        <v>0</v>
      </c>
      <c r="AU33" s="4">
        <f>+AD_tis!AU33*AD_tis!AU$50*AD_tis!$BG33</f>
        <v>0</v>
      </c>
      <c r="AV33" s="4">
        <f>+AD_tis!AV33*AD_tis!AV$50*AD_tis!$BG33</f>
        <v>0</v>
      </c>
      <c r="AW33" s="12">
        <f>+AD_tis!AW33*AD_tis!AW$50*AD_tis!$BG33</f>
        <v>0</v>
      </c>
      <c r="AX33" s="13">
        <f>+AD_tis!AX33*AD_tis!AX$50*AD_tis!$BG33</f>
        <v>0</v>
      </c>
      <c r="AY33" s="4">
        <f>+AD_tis!AY33*AD_tis!AY$50*AD_tis!$BG33</f>
        <v>0</v>
      </c>
      <c r="AZ33" s="4">
        <f>+AD_tis!AZ33*AD_tis!AZ$50*AD_tis!$BG33</f>
        <v>0</v>
      </c>
      <c r="BA33" s="12">
        <f>+AD_tis!BA33*AD_tis!BA$50*AD_tis!$BG33</f>
        <v>0</v>
      </c>
      <c r="BB33" s="4">
        <f>+AD_tis!BB33*AD_tis!BB$50*AD_tis!$BG33</f>
        <v>0</v>
      </c>
      <c r="BC33" s="13">
        <f>+AD_tis!BC33*AD_tis!BC$50*AD_tis!$BG33</f>
        <v>0</v>
      </c>
    </row>
    <row r="34" spans="1:55" ht="18.75" customHeight="1" x14ac:dyDescent="0.25">
      <c r="A34" s="5" t="s">
        <v>85</v>
      </c>
      <c r="B34" s="12">
        <f>+AD_tis!B34*AD_tis!B$50*AD_tis!$BG34</f>
        <v>0</v>
      </c>
      <c r="C34" s="4">
        <f>+AD_tis!C34*AD_tis!C$50*AD_tis!$BG34</f>
        <v>0</v>
      </c>
      <c r="D34" s="4">
        <f>+AD_tis!D34*AD_tis!D$50*AD_tis!$BG34</f>
        <v>0</v>
      </c>
      <c r="E34" s="4">
        <f>+AD_tis!E34*AD_tis!E$50*AD_tis!$BG34</f>
        <v>0</v>
      </c>
      <c r="F34" s="4">
        <f>+AD_tis!F34*AD_tis!F$50*AD_tis!$BG34</f>
        <v>0</v>
      </c>
      <c r="G34" s="4">
        <f>+AD_tis!G34*AD_tis!G$50*AD_tis!$BG34</f>
        <v>0</v>
      </c>
      <c r="H34" s="4">
        <f>+AD_tis!H34*AD_tis!H$50*AD_tis!$BG34</f>
        <v>0</v>
      </c>
      <c r="I34" s="4">
        <f>+AD_tis!I34*AD_tis!I$50*AD_tis!$BG34</f>
        <v>0</v>
      </c>
      <c r="J34" s="4">
        <f>+AD_tis!J34*AD_tis!J$50*AD_tis!$BG34</f>
        <v>0</v>
      </c>
      <c r="K34" s="4">
        <f>+AD_tis!K34*AD_tis!K$50*AD_tis!$BG34</f>
        <v>0</v>
      </c>
      <c r="L34" s="4">
        <f>+AD_tis!L34*AD_tis!L$50*AD_tis!$BG34</f>
        <v>0</v>
      </c>
      <c r="M34" s="4">
        <f>+AD_tis!M34*AD_tis!M$50*AD_tis!$BG34</f>
        <v>0</v>
      </c>
      <c r="N34" s="4">
        <f>+AD_tis!N34*AD_tis!N$50*AD_tis!$BG34</f>
        <v>0</v>
      </c>
      <c r="O34" s="4">
        <f>+AD_tis!O34*AD_tis!O$50*AD_tis!$BG34</f>
        <v>0</v>
      </c>
      <c r="P34" s="4">
        <f>+AD_tis!P34*AD_tis!P$50*AD_tis!$BG34</f>
        <v>0</v>
      </c>
      <c r="Q34" s="4">
        <f>+AD_tis!Q34*AD_tis!Q$50*AD_tis!$BG34</f>
        <v>0</v>
      </c>
      <c r="R34" s="13">
        <f>+AD_tis!R34*AD_tis!R$50*AD_tis!$BG34</f>
        <v>0</v>
      </c>
      <c r="S34" s="4">
        <f>+AD_tis!S34*AD_tis!S$50*AD_tis!$BG34</f>
        <v>0</v>
      </c>
      <c r="T34" s="4">
        <f>+AD_tis!T34*AD_tis!T$50*AD_tis!$BG34</f>
        <v>0</v>
      </c>
      <c r="U34" s="4">
        <f>+AD_tis!U34*AD_tis!U$50*AD_tis!$BG34</f>
        <v>0</v>
      </c>
      <c r="V34" s="4">
        <f>+AD_tis!V34*AD_tis!V$50*AD_tis!$BG34</f>
        <v>0</v>
      </c>
      <c r="W34" s="4">
        <f>+AD_tis!W34*AD_tis!W$50*AD_tis!$BG34</f>
        <v>0</v>
      </c>
      <c r="X34" s="4">
        <f>+AD_tis!X34*AD_tis!X$50*AD_tis!$BG34</f>
        <v>0</v>
      </c>
      <c r="Y34" s="4">
        <f>+AD_tis!Y34*AD_tis!Y$50*AD_tis!$BG34</f>
        <v>0</v>
      </c>
      <c r="Z34" s="4">
        <f>+AD_tis!Z34*AD_tis!Z$50*AD_tis!$BG34</f>
        <v>0</v>
      </c>
      <c r="AA34" s="4">
        <f>+AD_tis!AA34*AD_tis!AA$50*AD_tis!$BG34</f>
        <v>0</v>
      </c>
      <c r="AB34" s="4">
        <f>+AD_tis!AB34*AD_tis!AB$50*AD_tis!$BG34</f>
        <v>0</v>
      </c>
      <c r="AC34" s="12">
        <f>+AD_tis!AC34*AD_tis!AC$50*AD_tis!$BG34</f>
        <v>0</v>
      </c>
      <c r="AD34" s="4">
        <f>+AD_tis!AD34*AD_tis!AD$50*AD_tis!$BG34</f>
        <v>0</v>
      </c>
      <c r="AE34" s="4">
        <f>+AD_tis!AE34*AD_tis!AE$50*AD_tis!$BG34</f>
        <v>0</v>
      </c>
      <c r="AF34" s="4">
        <f>+AD_tis!AF34*AD_tis!AF$50*AD_tis!$BG34</f>
        <v>0</v>
      </c>
      <c r="AG34" s="4">
        <f>+AD_tis!AG34*AD_tis!AG$50*AD_tis!$BG34</f>
        <v>0</v>
      </c>
      <c r="AH34" s="4">
        <f>+AD_tis!AH34*AD_tis!AH$50*AD_tis!$BG34</f>
        <v>0</v>
      </c>
      <c r="AI34" s="4">
        <f>+AD_tis!AI34*AD_tis!AI$50*AD_tis!$BG34</f>
        <v>0</v>
      </c>
      <c r="AJ34" s="4">
        <f>+AD_tis!AJ34*AD_tis!AJ$50*AD_tis!$BG34</f>
        <v>0</v>
      </c>
      <c r="AK34" s="4">
        <f>+AD_tis!AK34*AD_tis!AK$50*AD_tis!$BG34</f>
        <v>0</v>
      </c>
      <c r="AL34" s="4">
        <f>+AD_tis!AL34*AD_tis!AL$50*AD_tis!$BG34</f>
        <v>0</v>
      </c>
      <c r="AM34" s="13">
        <f>+AD_tis!AM34*AD_tis!AM$50*AD_tis!$BG34</f>
        <v>0</v>
      </c>
      <c r="AN34" s="4">
        <f>+AD_tis!AN34*AD_tis!AN$50*AD_tis!$BG34</f>
        <v>0</v>
      </c>
      <c r="AO34" s="4">
        <f>+AD_tis!AO34*AD_tis!AO$50*AD_tis!$BG34</f>
        <v>0</v>
      </c>
      <c r="AP34" s="4">
        <f>+AD_tis!AP34*AD_tis!AP$50*AD_tis!$BG34</f>
        <v>0</v>
      </c>
      <c r="AQ34" s="4">
        <f>+AD_tis!AQ34*AD_tis!AQ$50*AD_tis!$BG34</f>
        <v>0</v>
      </c>
      <c r="AR34" s="4">
        <f>+AD_tis!AR34*AD_tis!AR$50*AD_tis!$BG34</f>
        <v>0</v>
      </c>
      <c r="AS34" s="4">
        <f>+AD_tis!AS34*AD_tis!AS$50*AD_tis!$BG34</f>
        <v>0</v>
      </c>
      <c r="AT34" s="4">
        <f>+AD_tis!AT34*AD_tis!AT$50*AD_tis!$BG34</f>
        <v>0</v>
      </c>
      <c r="AU34" s="4">
        <f>+AD_tis!AU34*AD_tis!AU$50*AD_tis!$BG34</f>
        <v>0</v>
      </c>
      <c r="AV34" s="4">
        <f>+AD_tis!AV34*AD_tis!AV$50*AD_tis!$BG34</f>
        <v>0</v>
      </c>
      <c r="AW34" s="12">
        <f>+AD_tis!AW34*AD_tis!AW$50*AD_tis!$BG34</f>
        <v>0</v>
      </c>
      <c r="AX34" s="13">
        <f>+AD_tis!AX34*AD_tis!AX$50*AD_tis!$BG34</f>
        <v>0</v>
      </c>
      <c r="AY34" s="4">
        <f>+AD_tis!AY34*AD_tis!AY$50*AD_tis!$BG34</f>
        <v>0</v>
      </c>
      <c r="AZ34" s="4">
        <f>+AD_tis!AZ34*AD_tis!AZ$50*AD_tis!$BG34</f>
        <v>0</v>
      </c>
      <c r="BA34" s="12">
        <f>+AD_tis!BA34*AD_tis!BA$50*AD_tis!$BG34</f>
        <v>0</v>
      </c>
      <c r="BB34" s="4">
        <f>+AD_tis!BB34*AD_tis!BB$50*AD_tis!$BG34</f>
        <v>0</v>
      </c>
      <c r="BC34" s="13">
        <f>+AD_tis!BC34*AD_tis!BC$50*AD_tis!$BG34</f>
        <v>0</v>
      </c>
    </row>
    <row r="35" spans="1:55" ht="18.75" customHeight="1" x14ac:dyDescent="0.25">
      <c r="A35" s="5" t="s">
        <v>86</v>
      </c>
      <c r="B35" s="12">
        <f>+AD_tis!B35*AD_tis!B$50*AD_tis!$BG35</f>
        <v>0</v>
      </c>
      <c r="C35" s="4">
        <f>+AD_tis!C35*AD_tis!C$50*AD_tis!$BG35</f>
        <v>0</v>
      </c>
      <c r="D35" s="4">
        <f>+AD_tis!D35*AD_tis!D$50*AD_tis!$BG35</f>
        <v>0</v>
      </c>
      <c r="E35" s="4">
        <f>+AD_tis!E35*AD_tis!E$50*AD_tis!$BG35</f>
        <v>0</v>
      </c>
      <c r="F35" s="4">
        <f>+AD_tis!F35*AD_tis!F$50*AD_tis!$BG35</f>
        <v>0</v>
      </c>
      <c r="G35" s="4">
        <f>+AD_tis!G35*AD_tis!G$50*AD_tis!$BG35</f>
        <v>0</v>
      </c>
      <c r="H35" s="4">
        <f>+AD_tis!H35*AD_tis!H$50*AD_tis!$BG35</f>
        <v>0</v>
      </c>
      <c r="I35" s="4">
        <f>+AD_tis!I35*AD_tis!I$50*AD_tis!$BG35</f>
        <v>0</v>
      </c>
      <c r="J35" s="4">
        <f>+AD_tis!J35*AD_tis!J$50*AD_tis!$BG35</f>
        <v>0</v>
      </c>
      <c r="K35" s="4">
        <f>+AD_tis!K35*AD_tis!K$50*AD_tis!$BG35</f>
        <v>0</v>
      </c>
      <c r="L35" s="4">
        <f>+AD_tis!L35*AD_tis!L$50*AD_tis!$BG35</f>
        <v>0</v>
      </c>
      <c r="M35" s="4">
        <f>+AD_tis!M35*AD_tis!M$50*AD_tis!$BG35</f>
        <v>0</v>
      </c>
      <c r="N35" s="4">
        <f>+AD_tis!N35*AD_tis!N$50*AD_tis!$BG35</f>
        <v>0</v>
      </c>
      <c r="O35" s="4">
        <f>+AD_tis!O35*AD_tis!O$50*AD_tis!$BG35</f>
        <v>0</v>
      </c>
      <c r="P35" s="4">
        <f>+AD_tis!P35*AD_tis!P$50*AD_tis!$BG35</f>
        <v>0</v>
      </c>
      <c r="Q35" s="4">
        <f>+AD_tis!Q35*AD_tis!Q$50*AD_tis!$BG35</f>
        <v>0</v>
      </c>
      <c r="R35" s="13">
        <f>+AD_tis!R35*AD_tis!R$50*AD_tis!$BG35</f>
        <v>0</v>
      </c>
      <c r="S35" s="4">
        <f>+AD_tis!S35*AD_tis!S$50*AD_tis!$BG35</f>
        <v>0</v>
      </c>
      <c r="T35" s="4">
        <f>+AD_tis!T35*AD_tis!T$50*AD_tis!$BG35</f>
        <v>0</v>
      </c>
      <c r="U35" s="4">
        <f>+AD_tis!U35*AD_tis!U$50*AD_tis!$BG35</f>
        <v>0</v>
      </c>
      <c r="V35" s="4">
        <f>+AD_tis!V35*AD_tis!V$50*AD_tis!$BG35</f>
        <v>0</v>
      </c>
      <c r="W35" s="4">
        <f>+AD_tis!W35*AD_tis!W$50*AD_tis!$BG35</f>
        <v>0</v>
      </c>
      <c r="X35" s="4">
        <f>+AD_tis!X35*AD_tis!X$50*AD_tis!$BG35</f>
        <v>0</v>
      </c>
      <c r="Y35" s="4">
        <f>+AD_tis!Y35*AD_tis!Y$50*AD_tis!$BG35</f>
        <v>0</v>
      </c>
      <c r="Z35" s="4">
        <f>+AD_tis!Z35*AD_tis!Z$50*AD_tis!$BG35</f>
        <v>0</v>
      </c>
      <c r="AA35" s="4">
        <f>+AD_tis!AA35*AD_tis!AA$50*AD_tis!$BG35</f>
        <v>0</v>
      </c>
      <c r="AB35" s="4">
        <f>+AD_tis!AB35*AD_tis!AB$50*AD_tis!$BG35</f>
        <v>0</v>
      </c>
      <c r="AC35" s="12">
        <f>+AD_tis!AC35*AD_tis!AC$50*AD_tis!$BG35</f>
        <v>0</v>
      </c>
      <c r="AD35" s="4">
        <f>+AD_tis!AD35*AD_tis!AD$50*AD_tis!$BG35</f>
        <v>0</v>
      </c>
      <c r="AE35" s="4">
        <f>+AD_tis!AE35*AD_tis!AE$50*AD_tis!$BG35</f>
        <v>0</v>
      </c>
      <c r="AF35" s="4">
        <f>+AD_tis!AF35*AD_tis!AF$50*AD_tis!$BG35</f>
        <v>0</v>
      </c>
      <c r="AG35" s="4">
        <f>+AD_tis!AG35*AD_tis!AG$50*AD_tis!$BG35</f>
        <v>0</v>
      </c>
      <c r="AH35" s="4">
        <f>+AD_tis!AH35*AD_tis!AH$50*AD_tis!$BG35</f>
        <v>0</v>
      </c>
      <c r="AI35" s="4">
        <f>+AD_tis!AI35*AD_tis!AI$50*AD_tis!$BG35</f>
        <v>0</v>
      </c>
      <c r="AJ35" s="4">
        <f>+AD_tis!AJ35*AD_tis!AJ$50*AD_tis!$BG35</f>
        <v>0</v>
      </c>
      <c r="AK35" s="4">
        <f>+AD_tis!AK35*AD_tis!AK$50*AD_tis!$BG35</f>
        <v>0</v>
      </c>
      <c r="AL35" s="4">
        <f>+AD_tis!AL35*AD_tis!AL$50*AD_tis!$BG35</f>
        <v>0</v>
      </c>
      <c r="AM35" s="13">
        <f>+AD_tis!AM35*AD_tis!AM$50*AD_tis!$BG35</f>
        <v>0</v>
      </c>
      <c r="AN35" s="4">
        <f>+AD_tis!AN35*AD_tis!AN$50*AD_tis!$BG35</f>
        <v>0</v>
      </c>
      <c r="AO35" s="4">
        <f>+AD_tis!AO35*AD_tis!AO$50*AD_tis!$BG35</f>
        <v>0</v>
      </c>
      <c r="AP35" s="4">
        <f>+AD_tis!AP35*AD_tis!AP$50*AD_tis!$BG35</f>
        <v>0</v>
      </c>
      <c r="AQ35" s="4">
        <f>+AD_tis!AQ35*AD_tis!AQ$50*AD_tis!$BG35</f>
        <v>0</v>
      </c>
      <c r="AR35" s="4">
        <f>+AD_tis!AR35*AD_tis!AR$50*AD_tis!$BG35</f>
        <v>0</v>
      </c>
      <c r="AS35" s="4">
        <f>+AD_tis!AS35*AD_tis!AS$50*AD_tis!$BG35</f>
        <v>0</v>
      </c>
      <c r="AT35" s="4">
        <f>+AD_tis!AT35*AD_tis!AT$50*AD_tis!$BG35</f>
        <v>0</v>
      </c>
      <c r="AU35" s="4">
        <f>+AD_tis!AU35*AD_tis!AU$50*AD_tis!$BG35</f>
        <v>0</v>
      </c>
      <c r="AV35" s="4">
        <f>+AD_tis!AV35*AD_tis!AV$50*AD_tis!$BG35</f>
        <v>0</v>
      </c>
      <c r="AW35" s="12">
        <f>+AD_tis!AW35*AD_tis!AW$50*AD_tis!$BG35</f>
        <v>0</v>
      </c>
      <c r="AX35" s="13">
        <f>+AD_tis!AX35*AD_tis!AX$50*AD_tis!$BG35</f>
        <v>0</v>
      </c>
      <c r="AY35" s="4">
        <f>+AD_tis!AY35*AD_tis!AY$50*AD_tis!$BG35</f>
        <v>0</v>
      </c>
      <c r="AZ35" s="4">
        <f>+AD_tis!AZ35*AD_tis!AZ$50*AD_tis!$BG35</f>
        <v>0</v>
      </c>
      <c r="BA35" s="12">
        <f>+AD_tis!BA35*AD_tis!BA$50*AD_tis!$BG35</f>
        <v>0</v>
      </c>
      <c r="BB35" s="4">
        <f>+AD_tis!BB35*AD_tis!BB$50*AD_tis!$BG35</f>
        <v>0</v>
      </c>
      <c r="BC35" s="13">
        <f>+AD_tis!BC35*AD_tis!BC$50*AD_tis!$BG35</f>
        <v>0</v>
      </c>
    </row>
    <row r="36" spans="1:55" ht="18.75" customHeight="1" x14ac:dyDescent="0.25">
      <c r="A36" s="5" t="s">
        <v>87</v>
      </c>
      <c r="B36" s="12">
        <f>+AD_tis!B36*AD_tis!B$50*AD_tis!$BG36</f>
        <v>0</v>
      </c>
      <c r="C36" s="4">
        <f>+AD_tis!C36*AD_tis!C$50*AD_tis!$BG36</f>
        <v>0</v>
      </c>
      <c r="D36" s="4">
        <f>+AD_tis!D36*AD_tis!D$50*AD_tis!$BG36</f>
        <v>0</v>
      </c>
      <c r="E36" s="4">
        <f>+AD_tis!E36*AD_tis!E$50*AD_tis!$BG36</f>
        <v>0</v>
      </c>
      <c r="F36" s="4">
        <f>+AD_tis!F36*AD_tis!F$50*AD_tis!$BG36</f>
        <v>0</v>
      </c>
      <c r="G36" s="4">
        <f>+AD_tis!G36*AD_tis!G$50*AD_tis!$BG36</f>
        <v>0</v>
      </c>
      <c r="H36" s="4">
        <f>+AD_tis!H36*AD_tis!H$50*AD_tis!$BG36</f>
        <v>0</v>
      </c>
      <c r="I36" s="4">
        <f>+AD_tis!I36*AD_tis!I$50*AD_tis!$BG36</f>
        <v>0</v>
      </c>
      <c r="J36" s="4">
        <f>+AD_tis!J36*AD_tis!J$50*AD_tis!$BG36</f>
        <v>0</v>
      </c>
      <c r="K36" s="4">
        <f>+AD_tis!K36*AD_tis!K$50*AD_tis!$BG36</f>
        <v>0</v>
      </c>
      <c r="L36" s="4">
        <f>+AD_tis!L36*AD_tis!L$50*AD_tis!$BG36</f>
        <v>0</v>
      </c>
      <c r="M36" s="4">
        <f>+AD_tis!M36*AD_tis!M$50*AD_tis!$BG36</f>
        <v>0</v>
      </c>
      <c r="N36" s="4">
        <f>+AD_tis!N36*AD_tis!N$50*AD_tis!$BG36</f>
        <v>0</v>
      </c>
      <c r="O36" s="4">
        <f>+AD_tis!O36*AD_tis!O$50*AD_tis!$BG36</f>
        <v>0</v>
      </c>
      <c r="P36" s="4">
        <f>+AD_tis!P36*AD_tis!P$50*AD_tis!$BG36</f>
        <v>0</v>
      </c>
      <c r="Q36" s="4">
        <f>+AD_tis!Q36*AD_tis!Q$50*AD_tis!$BG36</f>
        <v>0</v>
      </c>
      <c r="R36" s="13">
        <f>+AD_tis!R36*AD_tis!R$50*AD_tis!$BG36</f>
        <v>0</v>
      </c>
      <c r="S36" s="4">
        <f>+AD_tis!S36*AD_tis!S$50*AD_tis!$BG36</f>
        <v>0</v>
      </c>
      <c r="T36" s="4">
        <f>+AD_tis!T36*AD_tis!T$50*AD_tis!$BG36</f>
        <v>0</v>
      </c>
      <c r="U36" s="4">
        <f>+AD_tis!U36*AD_tis!U$50*AD_tis!$BG36</f>
        <v>0</v>
      </c>
      <c r="V36" s="4">
        <f>+AD_tis!V36*AD_tis!V$50*AD_tis!$BG36</f>
        <v>0</v>
      </c>
      <c r="W36" s="4">
        <f>+AD_tis!W36*AD_tis!W$50*AD_tis!$BG36</f>
        <v>0</v>
      </c>
      <c r="X36" s="4">
        <f>+AD_tis!X36*AD_tis!X$50*AD_tis!$BG36</f>
        <v>0</v>
      </c>
      <c r="Y36" s="4">
        <f>+AD_tis!Y36*AD_tis!Y$50*AD_tis!$BG36</f>
        <v>0</v>
      </c>
      <c r="Z36" s="4">
        <f>+AD_tis!Z36*AD_tis!Z$50*AD_tis!$BG36</f>
        <v>0</v>
      </c>
      <c r="AA36" s="4">
        <f>+AD_tis!AA36*AD_tis!AA$50*AD_tis!$BG36</f>
        <v>0</v>
      </c>
      <c r="AB36" s="4">
        <f>+AD_tis!AB36*AD_tis!AB$50*AD_tis!$BG36</f>
        <v>0</v>
      </c>
      <c r="AC36" s="12">
        <f>+AD_tis!AC36*AD_tis!AC$50*AD_tis!$BG36</f>
        <v>0</v>
      </c>
      <c r="AD36" s="4">
        <f>+AD_tis!AD36*AD_tis!AD$50*AD_tis!$BG36</f>
        <v>0</v>
      </c>
      <c r="AE36" s="4">
        <f>+AD_tis!AE36*AD_tis!AE$50*AD_tis!$BG36</f>
        <v>0</v>
      </c>
      <c r="AF36" s="4">
        <f>+AD_tis!AF36*AD_tis!AF$50*AD_tis!$BG36</f>
        <v>0</v>
      </c>
      <c r="AG36" s="4">
        <f>+AD_tis!AG36*AD_tis!AG$50*AD_tis!$BG36</f>
        <v>0</v>
      </c>
      <c r="AH36" s="4">
        <f>+AD_tis!AH36*AD_tis!AH$50*AD_tis!$BG36</f>
        <v>0</v>
      </c>
      <c r="AI36" s="4">
        <f>+AD_tis!AI36*AD_tis!AI$50*AD_tis!$BG36</f>
        <v>0</v>
      </c>
      <c r="AJ36" s="4">
        <f>+AD_tis!AJ36*AD_tis!AJ$50*AD_tis!$BG36</f>
        <v>0</v>
      </c>
      <c r="AK36" s="4">
        <f>+AD_tis!AK36*AD_tis!AK$50*AD_tis!$BG36</f>
        <v>0</v>
      </c>
      <c r="AL36" s="4">
        <f>+AD_tis!AL36*AD_tis!AL$50*AD_tis!$BG36</f>
        <v>0</v>
      </c>
      <c r="AM36" s="13">
        <f>+AD_tis!AM36*AD_tis!AM$50*AD_tis!$BG36</f>
        <v>0</v>
      </c>
      <c r="AN36" s="4">
        <f>+AD_tis!AN36*AD_tis!AN$50*AD_tis!$BG36</f>
        <v>0</v>
      </c>
      <c r="AO36" s="4">
        <f>+AD_tis!AO36*AD_tis!AO$50*AD_tis!$BG36</f>
        <v>0</v>
      </c>
      <c r="AP36" s="4">
        <f>+AD_tis!AP36*AD_tis!AP$50*AD_tis!$BG36</f>
        <v>0</v>
      </c>
      <c r="AQ36" s="4">
        <f>+AD_tis!AQ36*AD_tis!AQ$50*AD_tis!$BG36</f>
        <v>0</v>
      </c>
      <c r="AR36" s="4">
        <f>+AD_tis!AR36*AD_tis!AR$50*AD_tis!$BG36</f>
        <v>0</v>
      </c>
      <c r="AS36" s="4">
        <f>+AD_tis!AS36*AD_tis!AS$50*AD_tis!$BG36</f>
        <v>0</v>
      </c>
      <c r="AT36" s="4">
        <f>+AD_tis!AT36*AD_tis!AT$50*AD_tis!$BG36</f>
        <v>0</v>
      </c>
      <c r="AU36" s="4">
        <f>+AD_tis!AU36*AD_tis!AU$50*AD_tis!$BG36</f>
        <v>0</v>
      </c>
      <c r="AV36" s="4">
        <f>+AD_tis!AV36*AD_tis!AV$50*AD_tis!$BG36</f>
        <v>0</v>
      </c>
      <c r="AW36" s="12">
        <f>+AD_tis!AW36*AD_tis!AW$50*AD_tis!$BG36</f>
        <v>0</v>
      </c>
      <c r="AX36" s="13">
        <f>+AD_tis!AX36*AD_tis!AX$50*AD_tis!$BG36</f>
        <v>0</v>
      </c>
      <c r="AY36" s="4">
        <f>+AD_tis!AY36*AD_tis!AY$50*AD_tis!$BG36</f>
        <v>0</v>
      </c>
      <c r="AZ36" s="4">
        <f>+AD_tis!AZ36*AD_tis!AZ$50*AD_tis!$BG36</f>
        <v>0</v>
      </c>
      <c r="BA36" s="12">
        <f>+AD_tis!BA36*AD_tis!BA$50*AD_tis!$BG36</f>
        <v>0</v>
      </c>
      <c r="BB36" s="4">
        <f>+AD_tis!BB36*AD_tis!BB$50*AD_tis!$BG36</f>
        <v>0</v>
      </c>
      <c r="BC36" s="13">
        <f>+AD_tis!BC36*AD_tis!BC$50*AD_tis!$BG36</f>
        <v>0</v>
      </c>
    </row>
    <row r="37" spans="1:55" ht="18.75" customHeight="1" x14ac:dyDescent="0.25">
      <c r="A37" s="5" t="s">
        <v>88</v>
      </c>
      <c r="B37" s="12">
        <f>+AD_tis!B37*AD_tis!B$50*AD_tis!$BG37</f>
        <v>0</v>
      </c>
      <c r="C37" s="4">
        <f>+AD_tis!C37*AD_tis!C$50*AD_tis!$BG37</f>
        <v>0</v>
      </c>
      <c r="D37" s="4">
        <f>+AD_tis!D37*AD_tis!D$50*AD_tis!$BG37</f>
        <v>0</v>
      </c>
      <c r="E37" s="4">
        <f>+AD_tis!E37*AD_tis!E$50*AD_tis!$BG37</f>
        <v>0</v>
      </c>
      <c r="F37" s="4">
        <f>+AD_tis!F37*AD_tis!F$50*AD_tis!$BG37</f>
        <v>0</v>
      </c>
      <c r="G37" s="4">
        <f>+AD_tis!G37*AD_tis!G$50*AD_tis!$BG37</f>
        <v>0</v>
      </c>
      <c r="H37" s="4">
        <f>+AD_tis!H37*AD_tis!H$50*AD_tis!$BG37</f>
        <v>0</v>
      </c>
      <c r="I37" s="4">
        <f>+AD_tis!I37*AD_tis!I$50*AD_tis!$BG37</f>
        <v>0</v>
      </c>
      <c r="J37" s="4">
        <f>+AD_tis!J37*AD_tis!J$50*AD_tis!$BG37</f>
        <v>0</v>
      </c>
      <c r="K37" s="4">
        <f>+AD_tis!K37*AD_tis!K$50*AD_tis!$BG37</f>
        <v>0</v>
      </c>
      <c r="L37" s="4">
        <f>+AD_tis!L37*AD_tis!L$50*AD_tis!$BG37</f>
        <v>0</v>
      </c>
      <c r="M37" s="4">
        <f>+AD_tis!M37*AD_tis!M$50*AD_tis!$BG37</f>
        <v>0</v>
      </c>
      <c r="N37" s="4">
        <f>+AD_tis!N37*AD_tis!N$50*AD_tis!$BG37</f>
        <v>0</v>
      </c>
      <c r="O37" s="4">
        <f>+AD_tis!O37*AD_tis!O$50*AD_tis!$BG37</f>
        <v>0</v>
      </c>
      <c r="P37" s="4">
        <f>+AD_tis!P37*AD_tis!P$50*AD_tis!$BG37</f>
        <v>0</v>
      </c>
      <c r="Q37" s="4">
        <f>+AD_tis!Q37*AD_tis!Q$50*AD_tis!$BG37</f>
        <v>0</v>
      </c>
      <c r="R37" s="13">
        <f>+AD_tis!R37*AD_tis!R$50*AD_tis!$BG37</f>
        <v>0</v>
      </c>
      <c r="S37" s="4">
        <f>+AD_tis!S37*AD_tis!S$50*AD_tis!$BG37</f>
        <v>0</v>
      </c>
      <c r="T37" s="4">
        <f>+AD_tis!T37*AD_tis!T$50*AD_tis!$BG37</f>
        <v>0</v>
      </c>
      <c r="U37" s="4">
        <f>+AD_tis!U37*AD_tis!U$50*AD_tis!$BG37</f>
        <v>0</v>
      </c>
      <c r="V37" s="4">
        <f>+AD_tis!V37*AD_tis!V$50*AD_tis!$BG37</f>
        <v>0</v>
      </c>
      <c r="W37" s="4">
        <f>+AD_tis!W37*AD_tis!W$50*AD_tis!$BG37</f>
        <v>0</v>
      </c>
      <c r="X37" s="4">
        <f>+AD_tis!X37*AD_tis!X$50*AD_tis!$BG37</f>
        <v>0</v>
      </c>
      <c r="Y37" s="4">
        <f>+AD_tis!Y37*AD_tis!Y$50*AD_tis!$BG37</f>
        <v>0</v>
      </c>
      <c r="Z37" s="4">
        <f>+AD_tis!Z37*AD_tis!Z$50*AD_tis!$BG37</f>
        <v>0</v>
      </c>
      <c r="AA37" s="4">
        <f>+AD_tis!AA37*AD_tis!AA$50*AD_tis!$BG37</f>
        <v>0</v>
      </c>
      <c r="AB37" s="4">
        <f>+AD_tis!AB37*AD_tis!AB$50*AD_tis!$BG37</f>
        <v>0</v>
      </c>
      <c r="AC37" s="12">
        <f>+AD_tis!AC37*AD_tis!AC$50*AD_tis!$BG37</f>
        <v>0</v>
      </c>
      <c r="AD37" s="4">
        <f>+AD_tis!AD37*AD_tis!AD$50*AD_tis!$BG37</f>
        <v>0</v>
      </c>
      <c r="AE37" s="4">
        <f>+AD_tis!AE37*AD_tis!AE$50*AD_tis!$BG37</f>
        <v>0</v>
      </c>
      <c r="AF37" s="4">
        <f>+AD_tis!AF37*AD_tis!AF$50*AD_tis!$BG37</f>
        <v>0</v>
      </c>
      <c r="AG37" s="4">
        <f>+AD_tis!AG37*AD_tis!AG$50*AD_tis!$BG37</f>
        <v>0</v>
      </c>
      <c r="AH37" s="4">
        <f>+AD_tis!AH37*AD_tis!AH$50*AD_tis!$BG37</f>
        <v>0</v>
      </c>
      <c r="AI37" s="4">
        <f>+AD_tis!AI37*AD_tis!AI$50*AD_tis!$BG37</f>
        <v>0</v>
      </c>
      <c r="AJ37" s="4">
        <f>+AD_tis!AJ37*AD_tis!AJ$50*AD_tis!$BG37</f>
        <v>0</v>
      </c>
      <c r="AK37" s="4">
        <f>+AD_tis!AK37*AD_tis!AK$50*AD_tis!$BG37</f>
        <v>0</v>
      </c>
      <c r="AL37" s="4">
        <f>+AD_tis!AL37*AD_tis!AL$50*AD_tis!$BG37</f>
        <v>0</v>
      </c>
      <c r="AM37" s="13">
        <f>+AD_tis!AM37*AD_tis!AM$50*AD_tis!$BG37</f>
        <v>0</v>
      </c>
      <c r="AN37" s="4">
        <f>+AD_tis!AN37*AD_tis!AN$50*AD_tis!$BG37</f>
        <v>0</v>
      </c>
      <c r="AO37" s="4">
        <f>+AD_tis!AO37*AD_tis!AO$50*AD_tis!$BG37</f>
        <v>0</v>
      </c>
      <c r="AP37" s="4">
        <f>+AD_tis!AP37*AD_tis!AP$50*AD_tis!$BG37</f>
        <v>0</v>
      </c>
      <c r="AQ37" s="4">
        <f>+AD_tis!AQ37*AD_tis!AQ$50*AD_tis!$BG37</f>
        <v>0</v>
      </c>
      <c r="AR37" s="4">
        <f>+AD_tis!AR37*AD_tis!AR$50*AD_tis!$BG37</f>
        <v>0</v>
      </c>
      <c r="AS37" s="4">
        <f>+AD_tis!AS37*AD_tis!AS$50*AD_tis!$BG37</f>
        <v>0</v>
      </c>
      <c r="AT37" s="4">
        <f>+AD_tis!AT37*AD_tis!AT$50*AD_tis!$BG37</f>
        <v>0</v>
      </c>
      <c r="AU37" s="4">
        <f>+AD_tis!AU37*AD_tis!AU$50*AD_tis!$BG37</f>
        <v>0</v>
      </c>
      <c r="AV37" s="4">
        <f>+AD_tis!AV37*AD_tis!AV$50*AD_tis!$BG37</f>
        <v>0</v>
      </c>
      <c r="AW37" s="12">
        <f>+AD_tis!AW37*AD_tis!AW$50*AD_tis!$BG37</f>
        <v>0</v>
      </c>
      <c r="AX37" s="13">
        <f>+AD_tis!AX37*AD_tis!AX$50*AD_tis!$BG37</f>
        <v>0</v>
      </c>
      <c r="AY37" s="4">
        <f>+AD_tis!AY37*AD_tis!AY$50*AD_tis!$BG37</f>
        <v>0</v>
      </c>
      <c r="AZ37" s="4">
        <f>+AD_tis!AZ37*AD_tis!AZ$50*AD_tis!$BG37</f>
        <v>0</v>
      </c>
      <c r="BA37" s="12">
        <f>+AD_tis!BA37*AD_tis!BA$50*AD_tis!$BG37</f>
        <v>0</v>
      </c>
      <c r="BB37" s="4">
        <f>+AD_tis!BB37*AD_tis!BB$50*AD_tis!$BG37</f>
        <v>0</v>
      </c>
      <c r="BC37" s="13">
        <f>+AD_tis!BC37*AD_tis!BC$50*AD_tis!$BG37</f>
        <v>0</v>
      </c>
    </row>
    <row r="38" spans="1:55" ht="18.75" customHeight="1" x14ac:dyDescent="0.25">
      <c r="A38" s="5" t="s">
        <v>89</v>
      </c>
      <c r="B38" s="12">
        <f>+AD_tis!B38*AD_tis!B$50*AD_tis!$BG38</f>
        <v>0</v>
      </c>
      <c r="C38" s="4">
        <f>+AD_tis!C38*AD_tis!C$50*AD_tis!$BG38</f>
        <v>0</v>
      </c>
      <c r="D38" s="4">
        <f>+AD_tis!D38*AD_tis!D$50*AD_tis!$BG38</f>
        <v>0</v>
      </c>
      <c r="E38" s="4">
        <f>+AD_tis!E38*AD_tis!E$50*AD_tis!$BG38</f>
        <v>0</v>
      </c>
      <c r="F38" s="4">
        <f>+AD_tis!F38*AD_tis!F$50*AD_tis!$BG38</f>
        <v>0</v>
      </c>
      <c r="G38" s="4">
        <f>+AD_tis!G38*AD_tis!G$50*AD_tis!$BG38</f>
        <v>0</v>
      </c>
      <c r="H38" s="4">
        <f>+AD_tis!H38*AD_tis!H$50*AD_tis!$BG38</f>
        <v>0</v>
      </c>
      <c r="I38" s="4">
        <f>+AD_tis!I38*AD_tis!I$50*AD_tis!$BG38</f>
        <v>0</v>
      </c>
      <c r="J38" s="4">
        <f>+AD_tis!J38*AD_tis!J$50*AD_tis!$BG38</f>
        <v>0</v>
      </c>
      <c r="K38" s="4">
        <f>+AD_tis!K38*AD_tis!K$50*AD_tis!$BG38</f>
        <v>1</v>
      </c>
      <c r="L38" s="4">
        <f>+AD_tis!L38*AD_tis!L$50*AD_tis!$BG38</f>
        <v>0</v>
      </c>
      <c r="M38" s="4">
        <f>+AD_tis!M38*AD_tis!M$50*AD_tis!$BG38</f>
        <v>0</v>
      </c>
      <c r="N38" s="4">
        <f>+AD_tis!N38*AD_tis!N$50*AD_tis!$BG38</f>
        <v>0</v>
      </c>
      <c r="O38" s="4">
        <f>+AD_tis!O38*AD_tis!O$50*AD_tis!$BG38</f>
        <v>0</v>
      </c>
      <c r="P38" s="4">
        <f>+AD_tis!P38*AD_tis!P$50*AD_tis!$BG38</f>
        <v>0</v>
      </c>
      <c r="Q38" s="4">
        <f>+AD_tis!Q38*AD_tis!Q$50*AD_tis!$BG38</f>
        <v>0</v>
      </c>
      <c r="R38" s="13">
        <f>+AD_tis!R38*AD_tis!R$50*AD_tis!$BG38</f>
        <v>0</v>
      </c>
      <c r="S38" s="4">
        <f>+AD_tis!S38*AD_tis!S$50*AD_tis!$BG38</f>
        <v>0</v>
      </c>
      <c r="T38" s="4">
        <f>+AD_tis!T38*AD_tis!T$50*AD_tis!$BG38</f>
        <v>0</v>
      </c>
      <c r="U38" s="4">
        <f>+AD_tis!U38*AD_tis!U$50*AD_tis!$BG38</f>
        <v>1</v>
      </c>
      <c r="V38" s="4">
        <f>+AD_tis!V38*AD_tis!V$50*AD_tis!$BG38</f>
        <v>0</v>
      </c>
      <c r="W38" s="4">
        <f>+AD_tis!W38*AD_tis!W$50*AD_tis!$BG38</f>
        <v>0</v>
      </c>
      <c r="X38" s="4">
        <f>+AD_tis!X38*AD_tis!X$50*AD_tis!$BG38</f>
        <v>0</v>
      </c>
      <c r="Y38" s="4">
        <f>+AD_tis!Y38*AD_tis!Y$50*AD_tis!$BG38</f>
        <v>0</v>
      </c>
      <c r="Z38" s="4">
        <f>+AD_tis!Z38*AD_tis!Z$50*AD_tis!$BG38</f>
        <v>0</v>
      </c>
      <c r="AA38" s="4">
        <f>+AD_tis!AA38*AD_tis!AA$50*AD_tis!$BG38</f>
        <v>0</v>
      </c>
      <c r="AB38" s="4">
        <f>+AD_tis!AB38*AD_tis!AB$50*AD_tis!$BG38</f>
        <v>0</v>
      </c>
      <c r="AC38" s="12">
        <f>+AD_tis!AC38*AD_tis!AC$50*AD_tis!$BG38</f>
        <v>0</v>
      </c>
      <c r="AD38" s="4">
        <f>+AD_tis!AD38*AD_tis!AD$50*AD_tis!$BG38</f>
        <v>0</v>
      </c>
      <c r="AE38" s="4">
        <f>+AD_tis!AE38*AD_tis!AE$50*AD_tis!$BG38</f>
        <v>0</v>
      </c>
      <c r="AF38" s="4">
        <f>+AD_tis!AF38*AD_tis!AF$50*AD_tis!$BG38</f>
        <v>0</v>
      </c>
      <c r="AG38" s="4">
        <f>+AD_tis!AG38*AD_tis!AG$50*AD_tis!$BG38</f>
        <v>0</v>
      </c>
      <c r="AH38" s="4">
        <f>+AD_tis!AH38*AD_tis!AH$50*AD_tis!$BG38</f>
        <v>0</v>
      </c>
      <c r="AI38" s="4">
        <f>+AD_tis!AI38*AD_tis!AI$50*AD_tis!$BG38</f>
        <v>0</v>
      </c>
      <c r="AJ38" s="4">
        <f>+AD_tis!AJ38*AD_tis!AJ$50*AD_tis!$BG38</f>
        <v>0</v>
      </c>
      <c r="AK38" s="4">
        <f>+AD_tis!AK38*AD_tis!AK$50*AD_tis!$BG38</f>
        <v>0</v>
      </c>
      <c r="AL38" s="4">
        <f>+AD_tis!AL38*AD_tis!AL$50*AD_tis!$BG38</f>
        <v>0</v>
      </c>
      <c r="AM38" s="13">
        <f>+AD_tis!AM38*AD_tis!AM$50*AD_tis!$BG38</f>
        <v>1</v>
      </c>
      <c r="AN38" s="4">
        <f>+AD_tis!AN38*AD_tis!AN$50*AD_tis!$BG38</f>
        <v>0</v>
      </c>
      <c r="AO38" s="4">
        <f>+AD_tis!AO38*AD_tis!AO$50*AD_tis!$BG38</f>
        <v>0</v>
      </c>
      <c r="AP38" s="4">
        <f>+AD_tis!AP38*AD_tis!AP$50*AD_tis!$BG38</f>
        <v>0</v>
      </c>
      <c r="AQ38" s="4">
        <f>+AD_tis!AQ38*AD_tis!AQ$50*AD_tis!$BG38</f>
        <v>0</v>
      </c>
      <c r="AR38" s="4">
        <f>+AD_tis!AR38*AD_tis!AR$50*AD_tis!$BG38</f>
        <v>0</v>
      </c>
      <c r="AS38" s="4">
        <f>+AD_tis!AS38*AD_tis!AS$50*AD_tis!$BG38</f>
        <v>0</v>
      </c>
      <c r="AT38" s="4">
        <f>+AD_tis!AT38*AD_tis!AT$50*AD_tis!$BG38</f>
        <v>0</v>
      </c>
      <c r="AU38" s="4">
        <f>+AD_tis!AU38*AD_tis!AU$50*AD_tis!$BG38</f>
        <v>0</v>
      </c>
      <c r="AV38" s="4">
        <f>+AD_tis!AV38*AD_tis!AV$50*AD_tis!$BG38</f>
        <v>0</v>
      </c>
      <c r="AW38" s="12">
        <f>+AD_tis!AW38*AD_tis!AW$50*AD_tis!$BG38</f>
        <v>0</v>
      </c>
      <c r="AX38" s="13">
        <f>+AD_tis!AX38*AD_tis!AX$50*AD_tis!$BG38</f>
        <v>0</v>
      </c>
      <c r="AY38" s="4">
        <f>+AD_tis!AY38*AD_tis!AY$50*AD_tis!$BG38</f>
        <v>0</v>
      </c>
      <c r="AZ38" s="4">
        <f>+AD_tis!AZ38*AD_tis!AZ$50*AD_tis!$BG38</f>
        <v>0</v>
      </c>
      <c r="BA38" s="12">
        <f>+AD_tis!BA38*AD_tis!BA$50*AD_tis!$BG38</f>
        <v>0</v>
      </c>
      <c r="BB38" s="4">
        <f>+AD_tis!BB38*AD_tis!BB$50*AD_tis!$BG38</f>
        <v>0</v>
      </c>
      <c r="BC38" s="13">
        <f>+AD_tis!BC38*AD_tis!BC$50*AD_tis!$BG38</f>
        <v>0</v>
      </c>
    </row>
    <row r="39" spans="1:55" ht="18.75" customHeight="1" x14ac:dyDescent="0.25">
      <c r="A39" s="5" t="s">
        <v>90</v>
      </c>
      <c r="B39" s="12">
        <f>+AD_tis!B39*AD_tis!B$50*AD_tis!$BG39</f>
        <v>0</v>
      </c>
      <c r="C39" s="4">
        <f>+AD_tis!C39*AD_tis!C$50*AD_tis!$BG39</f>
        <v>0</v>
      </c>
      <c r="D39" s="4">
        <f>+AD_tis!D39*AD_tis!D$50*AD_tis!$BG39</f>
        <v>0</v>
      </c>
      <c r="E39" s="4">
        <f>+AD_tis!E39*AD_tis!E$50*AD_tis!$BG39</f>
        <v>0</v>
      </c>
      <c r="F39" s="4">
        <f>+AD_tis!F39*AD_tis!F$50*AD_tis!$BG39</f>
        <v>0</v>
      </c>
      <c r="G39" s="4">
        <f>+AD_tis!G39*AD_tis!G$50*AD_tis!$BG39</f>
        <v>0</v>
      </c>
      <c r="H39" s="4">
        <f>+AD_tis!H39*AD_tis!H$50*AD_tis!$BG39</f>
        <v>0</v>
      </c>
      <c r="I39" s="4">
        <f>+AD_tis!I39*AD_tis!I$50*AD_tis!$BG39</f>
        <v>0</v>
      </c>
      <c r="J39" s="4">
        <f>+AD_tis!J39*AD_tis!J$50*AD_tis!$BG39</f>
        <v>0</v>
      </c>
      <c r="K39" s="4">
        <f>+AD_tis!K39*AD_tis!K$50*AD_tis!$BG39</f>
        <v>1</v>
      </c>
      <c r="L39" s="4">
        <f>+AD_tis!L39*AD_tis!L$50*AD_tis!$BG39</f>
        <v>0</v>
      </c>
      <c r="M39" s="4">
        <f>+AD_tis!M39*AD_tis!M$50*AD_tis!$BG39</f>
        <v>0</v>
      </c>
      <c r="N39" s="4">
        <f>+AD_tis!N39*AD_tis!N$50*AD_tis!$BG39</f>
        <v>0</v>
      </c>
      <c r="O39" s="4">
        <f>+AD_tis!O39*AD_tis!O$50*AD_tis!$BG39</f>
        <v>0</v>
      </c>
      <c r="P39" s="4">
        <f>+AD_tis!P39*AD_tis!P$50*AD_tis!$BG39</f>
        <v>0</v>
      </c>
      <c r="Q39" s="4">
        <f>+AD_tis!Q39*AD_tis!Q$50*AD_tis!$BG39</f>
        <v>0</v>
      </c>
      <c r="R39" s="13">
        <f>+AD_tis!R39*AD_tis!R$50*AD_tis!$BG39</f>
        <v>0</v>
      </c>
      <c r="S39" s="4">
        <f>+AD_tis!S39*AD_tis!S$50*AD_tis!$BG39</f>
        <v>0</v>
      </c>
      <c r="T39" s="4">
        <f>+AD_tis!T39*AD_tis!T$50*AD_tis!$BG39</f>
        <v>0</v>
      </c>
      <c r="U39" s="4">
        <f>+AD_tis!U39*AD_tis!U$50*AD_tis!$BG39</f>
        <v>1</v>
      </c>
      <c r="V39" s="4">
        <f>+AD_tis!V39*AD_tis!V$50*AD_tis!$BG39</f>
        <v>0</v>
      </c>
      <c r="W39" s="4">
        <f>+AD_tis!W39*AD_tis!W$50*AD_tis!$BG39</f>
        <v>0</v>
      </c>
      <c r="X39" s="4">
        <f>+AD_tis!X39*AD_tis!X$50*AD_tis!$BG39</f>
        <v>0</v>
      </c>
      <c r="Y39" s="4">
        <f>+AD_tis!Y39*AD_tis!Y$50*AD_tis!$BG39</f>
        <v>0</v>
      </c>
      <c r="Z39" s="4">
        <f>+AD_tis!Z39*AD_tis!Z$50*AD_tis!$BG39</f>
        <v>0</v>
      </c>
      <c r="AA39" s="4">
        <f>+AD_tis!AA39*AD_tis!AA$50*AD_tis!$BG39</f>
        <v>0</v>
      </c>
      <c r="AB39" s="4">
        <f>+AD_tis!AB39*AD_tis!AB$50*AD_tis!$BG39</f>
        <v>0</v>
      </c>
      <c r="AC39" s="12">
        <f>+AD_tis!AC39*AD_tis!AC$50*AD_tis!$BG39</f>
        <v>0</v>
      </c>
      <c r="AD39" s="4">
        <f>+AD_tis!AD39*AD_tis!AD$50*AD_tis!$BG39</f>
        <v>0</v>
      </c>
      <c r="AE39" s="4">
        <f>+AD_tis!AE39*AD_tis!AE$50*AD_tis!$BG39</f>
        <v>0</v>
      </c>
      <c r="AF39" s="4">
        <f>+AD_tis!AF39*AD_tis!AF$50*AD_tis!$BG39</f>
        <v>0</v>
      </c>
      <c r="AG39" s="4">
        <f>+AD_tis!AG39*AD_tis!AG$50*AD_tis!$BG39</f>
        <v>0</v>
      </c>
      <c r="AH39" s="4">
        <f>+AD_tis!AH39*AD_tis!AH$50*AD_tis!$BG39</f>
        <v>0</v>
      </c>
      <c r="AI39" s="4">
        <f>+AD_tis!AI39*AD_tis!AI$50*AD_tis!$BG39</f>
        <v>0</v>
      </c>
      <c r="AJ39" s="4">
        <f>+AD_tis!AJ39*AD_tis!AJ$50*AD_tis!$BG39</f>
        <v>0</v>
      </c>
      <c r="AK39" s="4">
        <f>+AD_tis!AK39*AD_tis!AK$50*AD_tis!$BG39</f>
        <v>0</v>
      </c>
      <c r="AL39" s="4">
        <f>+AD_tis!AL39*AD_tis!AL$50*AD_tis!$BG39</f>
        <v>0</v>
      </c>
      <c r="AM39" s="13">
        <f>+AD_tis!AM39*AD_tis!AM$50*AD_tis!$BG39</f>
        <v>1</v>
      </c>
      <c r="AN39" s="4">
        <f>+AD_tis!AN39*AD_tis!AN$50*AD_tis!$BG39</f>
        <v>0</v>
      </c>
      <c r="AO39" s="4">
        <f>+AD_tis!AO39*AD_tis!AO$50*AD_tis!$BG39</f>
        <v>0</v>
      </c>
      <c r="AP39" s="4">
        <f>+AD_tis!AP39*AD_tis!AP$50*AD_tis!$BG39</f>
        <v>0</v>
      </c>
      <c r="AQ39" s="4">
        <f>+AD_tis!AQ39*AD_tis!AQ$50*AD_tis!$BG39</f>
        <v>0</v>
      </c>
      <c r="AR39" s="4">
        <f>+AD_tis!AR39*AD_tis!AR$50*AD_tis!$BG39</f>
        <v>0</v>
      </c>
      <c r="AS39" s="4">
        <f>+AD_tis!AS39*AD_tis!AS$50*AD_tis!$BG39</f>
        <v>0</v>
      </c>
      <c r="AT39" s="4">
        <f>+AD_tis!AT39*AD_tis!AT$50*AD_tis!$BG39</f>
        <v>0</v>
      </c>
      <c r="AU39" s="4">
        <f>+AD_tis!AU39*AD_tis!AU$50*AD_tis!$BG39</f>
        <v>0</v>
      </c>
      <c r="AV39" s="4">
        <f>+AD_tis!AV39*AD_tis!AV$50*AD_tis!$BG39</f>
        <v>0</v>
      </c>
      <c r="AW39" s="12">
        <f>+AD_tis!AW39*AD_tis!AW$50*AD_tis!$BG39</f>
        <v>0</v>
      </c>
      <c r="AX39" s="13">
        <f>+AD_tis!AX39*AD_tis!AX$50*AD_tis!$BG39</f>
        <v>0</v>
      </c>
      <c r="AY39" s="4">
        <f>+AD_tis!AY39*AD_tis!AY$50*AD_tis!$BG39</f>
        <v>0</v>
      </c>
      <c r="AZ39" s="4">
        <f>+AD_tis!AZ39*AD_tis!AZ$50*AD_tis!$BG39</f>
        <v>0</v>
      </c>
      <c r="BA39" s="12">
        <f>+AD_tis!BA39*AD_tis!BA$50*AD_tis!$BG39</f>
        <v>0</v>
      </c>
      <c r="BB39" s="4">
        <f>+AD_tis!BB39*AD_tis!BB$50*AD_tis!$BG39</f>
        <v>0</v>
      </c>
      <c r="BC39" s="13">
        <f>+AD_tis!BC39*AD_tis!BC$50*AD_tis!$BG39</f>
        <v>0</v>
      </c>
    </row>
    <row r="40" spans="1:55" ht="18.75" customHeight="1" x14ac:dyDescent="0.25">
      <c r="A40" s="5" t="s">
        <v>91</v>
      </c>
      <c r="B40" s="12">
        <f>+AD_tis!B40*AD_tis!B$50*AD_tis!$BG40</f>
        <v>0</v>
      </c>
      <c r="C40" s="4">
        <f>+AD_tis!C40*AD_tis!C$50*AD_tis!$BG40</f>
        <v>0</v>
      </c>
      <c r="D40" s="4">
        <f>+AD_tis!D40*AD_tis!D$50*AD_tis!$BG40</f>
        <v>1</v>
      </c>
      <c r="E40" s="4">
        <f>+AD_tis!E40*AD_tis!E$50*AD_tis!$BG40</f>
        <v>0</v>
      </c>
      <c r="F40" s="4">
        <f>+AD_tis!F40*AD_tis!F$50*AD_tis!$BG40</f>
        <v>0</v>
      </c>
      <c r="G40" s="4">
        <f>+AD_tis!G40*AD_tis!G$50*AD_tis!$BG40</f>
        <v>1</v>
      </c>
      <c r="H40" s="4">
        <f>+AD_tis!H40*AD_tis!H$50*AD_tis!$BG40</f>
        <v>0</v>
      </c>
      <c r="I40" s="4">
        <f>+AD_tis!I40*AD_tis!I$50*AD_tis!$BG40</f>
        <v>0</v>
      </c>
      <c r="J40" s="4">
        <f>+AD_tis!J40*AD_tis!J$50*AD_tis!$BG40</f>
        <v>0</v>
      </c>
      <c r="K40" s="4">
        <f>+AD_tis!K40*AD_tis!K$50*AD_tis!$BG40</f>
        <v>0</v>
      </c>
      <c r="L40" s="4">
        <f>+AD_tis!L40*AD_tis!L$50*AD_tis!$BG40</f>
        <v>1</v>
      </c>
      <c r="M40" s="4">
        <f>+AD_tis!M40*AD_tis!M$50*AD_tis!$BG40</f>
        <v>1</v>
      </c>
      <c r="N40" s="4">
        <f>+AD_tis!N40*AD_tis!N$50*AD_tis!$BG40</f>
        <v>1</v>
      </c>
      <c r="O40" s="4">
        <f>+AD_tis!O40*AD_tis!O$50*AD_tis!$BG40</f>
        <v>0</v>
      </c>
      <c r="P40" s="4">
        <f>+AD_tis!P40*AD_tis!P$50*AD_tis!$BG40</f>
        <v>0</v>
      </c>
      <c r="Q40" s="4">
        <f>+AD_tis!Q40*AD_tis!Q$50*AD_tis!$BG40</f>
        <v>0</v>
      </c>
      <c r="R40" s="13">
        <f>+AD_tis!R40*AD_tis!R$50*AD_tis!$BG40</f>
        <v>0</v>
      </c>
      <c r="S40" s="4">
        <f>+AD_tis!S40*AD_tis!S$50*AD_tis!$BG40</f>
        <v>0</v>
      </c>
      <c r="T40" s="4">
        <f>+AD_tis!T40*AD_tis!T$50*AD_tis!$BG40</f>
        <v>0</v>
      </c>
      <c r="U40" s="4">
        <f>+AD_tis!U40*AD_tis!U$50*AD_tis!$BG40</f>
        <v>0</v>
      </c>
      <c r="V40" s="4">
        <f>+AD_tis!V40*AD_tis!V$50*AD_tis!$BG40</f>
        <v>0</v>
      </c>
      <c r="W40" s="4">
        <f>+AD_tis!W40*AD_tis!W$50*AD_tis!$BG40</f>
        <v>0</v>
      </c>
      <c r="X40" s="4">
        <f>+AD_tis!X40*AD_tis!X$50*AD_tis!$BG40</f>
        <v>0</v>
      </c>
      <c r="Y40" s="4">
        <f>+AD_tis!Y40*AD_tis!Y$50*AD_tis!$BG40</f>
        <v>0</v>
      </c>
      <c r="Z40" s="4">
        <f>+AD_tis!Z40*AD_tis!Z$50*AD_tis!$BG40</f>
        <v>0</v>
      </c>
      <c r="AA40" s="4">
        <f>+AD_tis!AA40*AD_tis!AA$50*AD_tis!$BG40</f>
        <v>0</v>
      </c>
      <c r="AB40" s="4">
        <f>+AD_tis!AB40*AD_tis!AB$50*AD_tis!$BG40</f>
        <v>0</v>
      </c>
      <c r="AC40" s="12">
        <f>+AD_tis!AC40*AD_tis!AC$50*AD_tis!$BG40</f>
        <v>0</v>
      </c>
      <c r="AD40" s="4">
        <f>+AD_tis!AD40*AD_tis!AD$50*AD_tis!$BG40</f>
        <v>0</v>
      </c>
      <c r="AE40" s="4">
        <f>+AD_tis!AE40*AD_tis!AE$50*AD_tis!$BG40</f>
        <v>0</v>
      </c>
      <c r="AF40" s="4">
        <f>+AD_tis!AF40*AD_tis!AF$50*AD_tis!$BG40</f>
        <v>0</v>
      </c>
      <c r="AG40" s="4">
        <f>+AD_tis!AG40*AD_tis!AG$50*AD_tis!$BG40</f>
        <v>0</v>
      </c>
      <c r="AH40" s="4">
        <f>+AD_tis!AH40*AD_tis!AH$50*AD_tis!$BG40</f>
        <v>0</v>
      </c>
      <c r="AI40" s="4">
        <f>+AD_tis!AI40*AD_tis!AI$50*AD_tis!$BG40</f>
        <v>0</v>
      </c>
      <c r="AJ40" s="4">
        <f>+AD_tis!AJ40*AD_tis!AJ$50*AD_tis!$BG40</f>
        <v>0</v>
      </c>
      <c r="AK40" s="4">
        <f>+AD_tis!AK40*AD_tis!AK$50*AD_tis!$BG40</f>
        <v>0</v>
      </c>
      <c r="AL40" s="4">
        <f>+AD_tis!AL40*AD_tis!AL$50*AD_tis!$BG40</f>
        <v>0</v>
      </c>
      <c r="AM40" s="13">
        <f>+AD_tis!AM40*AD_tis!AM$50*AD_tis!$BG40</f>
        <v>0</v>
      </c>
      <c r="AN40" s="4">
        <f>+AD_tis!AN40*AD_tis!AN$50*AD_tis!$BG40</f>
        <v>0</v>
      </c>
      <c r="AO40" s="4">
        <f>+AD_tis!AO40*AD_tis!AO$50*AD_tis!$BG40</f>
        <v>0</v>
      </c>
      <c r="AP40" s="4">
        <f>+AD_tis!AP40*AD_tis!AP$50*AD_tis!$BG40</f>
        <v>0</v>
      </c>
      <c r="AQ40" s="4">
        <f>+AD_tis!AQ40*AD_tis!AQ$50*AD_tis!$BG40</f>
        <v>0</v>
      </c>
      <c r="AR40" s="4">
        <f>+AD_tis!AR40*AD_tis!AR$50*AD_tis!$BG40</f>
        <v>0</v>
      </c>
      <c r="AS40" s="4">
        <f>+AD_tis!AS40*AD_tis!AS$50*AD_tis!$BG40</f>
        <v>0</v>
      </c>
      <c r="AT40" s="4">
        <f>+AD_tis!AT40*AD_tis!AT$50*AD_tis!$BG40</f>
        <v>0</v>
      </c>
      <c r="AU40" s="4">
        <f>+AD_tis!AU40*AD_tis!AU$50*AD_tis!$BG40</f>
        <v>0</v>
      </c>
      <c r="AV40" s="4">
        <f>+AD_tis!AV40*AD_tis!AV$50*AD_tis!$BG40</f>
        <v>0</v>
      </c>
      <c r="AW40" s="12">
        <f>+AD_tis!AW40*AD_tis!AW$50*AD_tis!$BG40</f>
        <v>0</v>
      </c>
      <c r="AX40" s="13">
        <f>+AD_tis!AX40*AD_tis!AX$50*AD_tis!$BG40</f>
        <v>0</v>
      </c>
      <c r="AY40" s="4">
        <f>+AD_tis!AY40*AD_tis!AY$50*AD_tis!$BG40</f>
        <v>0</v>
      </c>
      <c r="AZ40" s="4">
        <f>+AD_tis!AZ40*AD_tis!AZ$50*AD_tis!$BG40</f>
        <v>0</v>
      </c>
      <c r="BA40" s="12">
        <f>+AD_tis!BA40*AD_tis!BA$50*AD_tis!$BG40</f>
        <v>0</v>
      </c>
      <c r="BB40" s="4">
        <f>+AD_tis!BB40*AD_tis!BB$50*AD_tis!$BG40</f>
        <v>0</v>
      </c>
      <c r="BC40" s="13">
        <f>+AD_tis!BC40*AD_tis!BC$50*AD_tis!$BG40</f>
        <v>0</v>
      </c>
    </row>
    <row r="41" spans="1:55" ht="18.75" customHeight="1" x14ac:dyDescent="0.25">
      <c r="A41" s="5" t="s">
        <v>92</v>
      </c>
      <c r="B41" s="12">
        <f>+AD_tis!B41*AD_tis!B$50*AD_tis!$BG41</f>
        <v>0</v>
      </c>
      <c r="C41" s="4">
        <f>+AD_tis!C41*AD_tis!C$50*AD_tis!$BG41</f>
        <v>0</v>
      </c>
      <c r="D41" s="4">
        <f>+AD_tis!D41*AD_tis!D$50*AD_tis!$BG41</f>
        <v>0</v>
      </c>
      <c r="E41" s="4">
        <f>+AD_tis!E41*AD_tis!E$50*AD_tis!$BG41</f>
        <v>0</v>
      </c>
      <c r="F41" s="4">
        <f>+AD_tis!F41*AD_tis!F$50*AD_tis!$BG41</f>
        <v>0</v>
      </c>
      <c r="G41" s="4">
        <f>+AD_tis!G41*AD_tis!G$50*AD_tis!$BG41</f>
        <v>0</v>
      </c>
      <c r="H41" s="4">
        <f>+AD_tis!H41*AD_tis!H$50*AD_tis!$BG41</f>
        <v>0</v>
      </c>
      <c r="I41" s="4">
        <f>+AD_tis!I41*AD_tis!I$50*AD_tis!$BG41</f>
        <v>0</v>
      </c>
      <c r="J41" s="4">
        <f>+AD_tis!J41*AD_tis!J$50*AD_tis!$BG41</f>
        <v>0</v>
      </c>
      <c r="K41" s="4">
        <f>+AD_tis!K41*AD_tis!K$50*AD_tis!$BG41</f>
        <v>0</v>
      </c>
      <c r="L41" s="4">
        <f>+AD_tis!L41*AD_tis!L$50*AD_tis!$BG41</f>
        <v>0</v>
      </c>
      <c r="M41" s="4">
        <f>+AD_tis!M41*AD_tis!M$50*AD_tis!$BG41</f>
        <v>0</v>
      </c>
      <c r="N41" s="4">
        <f>+AD_tis!N41*AD_tis!N$50*AD_tis!$BG41</f>
        <v>0</v>
      </c>
      <c r="O41" s="4">
        <f>+AD_tis!O41*AD_tis!O$50*AD_tis!$BG41</f>
        <v>0</v>
      </c>
      <c r="P41" s="4">
        <f>+AD_tis!P41*AD_tis!P$50*AD_tis!$BG41</f>
        <v>0</v>
      </c>
      <c r="Q41" s="4">
        <f>+AD_tis!Q41*AD_tis!Q$50*AD_tis!$BG41</f>
        <v>0</v>
      </c>
      <c r="R41" s="13">
        <f>+AD_tis!R41*AD_tis!R$50*AD_tis!$BG41</f>
        <v>0</v>
      </c>
      <c r="S41" s="4">
        <f>+AD_tis!S41*AD_tis!S$50*AD_tis!$BG41</f>
        <v>0</v>
      </c>
      <c r="T41" s="4">
        <f>+AD_tis!T41*AD_tis!T$50*AD_tis!$BG41</f>
        <v>0</v>
      </c>
      <c r="U41" s="4">
        <f>+AD_tis!U41*AD_tis!U$50*AD_tis!$BG41</f>
        <v>0</v>
      </c>
      <c r="V41" s="4">
        <f>+AD_tis!V41*AD_tis!V$50*AD_tis!$BG41</f>
        <v>0</v>
      </c>
      <c r="W41" s="4">
        <f>+AD_tis!W41*AD_tis!W$50*AD_tis!$BG41</f>
        <v>0</v>
      </c>
      <c r="X41" s="4">
        <f>+AD_tis!X41*AD_tis!X$50*AD_tis!$BG41</f>
        <v>0</v>
      </c>
      <c r="Y41" s="4">
        <f>+AD_tis!Y41*AD_tis!Y$50*AD_tis!$BG41</f>
        <v>0</v>
      </c>
      <c r="Z41" s="4">
        <f>+AD_tis!Z41*AD_tis!Z$50*AD_tis!$BG41</f>
        <v>0</v>
      </c>
      <c r="AA41" s="4">
        <f>+AD_tis!AA41*AD_tis!AA$50*AD_tis!$BG41</f>
        <v>0</v>
      </c>
      <c r="AB41" s="4">
        <f>+AD_tis!AB41*AD_tis!AB$50*AD_tis!$BG41</f>
        <v>0</v>
      </c>
      <c r="AC41" s="12">
        <f>+AD_tis!AC41*AD_tis!AC$50*AD_tis!$BG41</f>
        <v>0</v>
      </c>
      <c r="AD41" s="4">
        <f>+AD_tis!AD41*AD_tis!AD$50*AD_tis!$BG41</f>
        <v>0</v>
      </c>
      <c r="AE41" s="4">
        <f>+AD_tis!AE41*AD_tis!AE$50*AD_tis!$BG41</f>
        <v>0</v>
      </c>
      <c r="AF41" s="4">
        <f>+AD_tis!AF41*AD_tis!AF$50*AD_tis!$BG41</f>
        <v>0</v>
      </c>
      <c r="AG41" s="4">
        <f>+AD_tis!AG41*AD_tis!AG$50*AD_tis!$BG41</f>
        <v>0</v>
      </c>
      <c r="AH41" s="4">
        <f>+AD_tis!AH41*AD_tis!AH$50*AD_tis!$BG41</f>
        <v>0</v>
      </c>
      <c r="AI41" s="4">
        <f>+AD_tis!AI41*AD_tis!AI$50*AD_tis!$BG41</f>
        <v>0</v>
      </c>
      <c r="AJ41" s="4">
        <f>+AD_tis!AJ41*AD_tis!AJ$50*AD_tis!$BG41</f>
        <v>0</v>
      </c>
      <c r="AK41" s="4">
        <f>+AD_tis!AK41*AD_tis!AK$50*AD_tis!$BG41</f>
        <v>0</v>
      </c>
      <c r="AL41" s="4">
        <f>+AD_tis!AL41*AD_tis!AL$50*AD_tis!$BG41</f>
        <v>0</v>
      </c>
      <c r="AM41" s="13">
        <f>+AD_tis!AM41*AD_tis!AM$50*AD_tis!$BG41</f>
        <v>0</v>
      </c>
      <c r="AN41" s="4">
        <f>+AD_tis!AN41*AD_tis!AN$50*AD_tis!$BG41</f>
        <v>0</v>
      </c>
      <c r="AO41" s="4">
        <f>+AD_tis!AO41*AD_tis!AO$50*AD_tis!$BG41</f>
        <v>0</v>
      </c>
      <c r="AP41" s="4">
        <f>+AD_tis!AP41*AD_tis!AP$50*AD_tis!$BG41</f>
        <v>0</v>
      </c>
      <c r="AQ41" s="4">
        <f>+AD_tis!AQ41*AD_tis!AQ$50*AD_tis!$BG41</f>
        <v>0</v>
      </c>
      <c r="AR41" s="4">
        <f>+AD_tis!AR41*AD_tis!AR$50*AD_tis!$BG41</f>
        <v>0</v>
      </c>
      <c r="AS41" s="4">
        <f>+AD_tis!AS41*AD_tis!AS$50*AD_tis!$BG41</f>
        <v>0</v>
      </c>
      <c r="AT41" s="4">
        <f>+AD_tis!AT41*AD_tis!AT$50*AD_tis!$BG41</f>
        <v>0</v>
      </c>
      <c r="AU41" s="4">
        <f>+AD_tis!AU41*AD_tis!AU$50*AD_tis!$BG41</f>
        <v>0</v>
      </c>
      <c r="AV41" s="4">
        <f>+AD_tis!AV41*AD_tis!AV$50*AD_tis!$BG41</f>
        <v>0</v>
      </c>
      <c r="AW41" s="12">
        <f>+AD_tis!AW41*AD_tis!AW$50*AD_tis!$BG41</f>
        <v>0</v>
      </c>
      <c r="AX41" s="13">
        <f>+AD_tis!AX41*AD_tis!AX$50*AD_tis!$BG41</f>
        <v>0</v>
      </c>
      <c r="AY41" s="4">
        <f>+AD_tis!AY41*AD_tis!AY$50*AD_tis!$BG41</f>
        <v>0</v>
      </c>
      <c r="AZ41" s="4">
        <f>+AD_tis!AZ41*AD_tis!AZ$50*AD_tis!$BG41</f>
        <v>0</v>
      </c>
      <c r="BA41" s="12">
        <f>+AD_tis!BA41*AD_tis!BA$50*AD_tis!$BG41</f>
        <v>0</v>
      </c>
      <c r="BB41" s="4">
        <f>+AD_tis!BB41*AD_tis!BB$50*AD_tis!$BG41</f>
        <v>0</v>
      </c>
      <c r="BC41" s="13">
        <f>+AD_tis!BC41*AD_tis!BC$50*AD_tis!$BG41</f>
        <v>0</v>
      </c>
    </row>
    <row r="42" spans="1:55" ht="18.75" customHeight="1" x14ac:dyDescent="0.25">
      <c r="A42" s="5" t="s">
        <v>93</v>
      </c>
      <c r="B42" s="12">
        <f>+AD_tis!B42*AD_tis!B$50*AD_tis!$BG42</f>
        <v>0</v>
      </c>
      <c r="C42" s="4">
        <f>+AD_tis!C42*AD_tis!C$50*AD_tis!$BG42</f>
        <v>0</v>
      </c>
      <c r="D42" s="4">
        <f>+AD_tis!D42*AD_tis!D$50*AD_tis!$BG42</f>
        <v>0</v>
      </c>
      <c r="E42" s="4">
        <f>+AD_tis!E42*AD_tis!E$50*AD_tis!$BG42</f>
        <v>0</v>
      </c>
      <c r="F42" s="4">
        <f>+AD_tis!F42*AD_tis!F$50*AD_tis!$BG42</f>
        <v>0</v>
      </c>
      <c r="G42" s="4">
        <f>+AD_tis!G42*AD_tis!G$50*AD_tis!$BG42</f>
        <v>0</v>
      </c>
      <c r="H42" s="4">
        <f>+AD_tis!H42*AD_tis!H$50*AD_tis!$BG42</f>
        <v>0</v>
      </c>
      <c r="I42" s="4">
        <f>+AD_tis!I42*AD_tis!I$50*AD_tis!$BG42</f>
        <v>0</v>
      </c>
      <c r="J42" s="4">
        <f>+AD_tis!J42*AD_tis!J$50*AD_tis!$BG42</f>
        <v>0</v>
      </c>
      <c r="K42" s="4">
        <f>+AD_tis!K42*AD_tis!K$50*AD_tis!$BG42</f>
        <v>0</v>
      </c>
      <c r="L42" s="4">
        <f>+AD_tis!L42*AD_tis!L$50*AD_tis!$BG42</f>
        <v>0</v>
      </c>
      <c r="M42" s="4">
        <f>+AD_tis!M42*AD_tis!M$50*AD_tis!$BG42</f>
        <v>0</v>
      </c>
      <c r="N42" s="4">
        <f>+AD_tis!N42*AD_tis!N$50*AD_tis!$BG42</f>
        <v>0</v>
      </c>
      <c r="O42" s="4">
        <f>+AD_tis!O42*AD_tis!O$50*AD_tis!$BG42</f>
        <v>0</v>
      </c>
      <c r="P42" s="4">
        <f>+AD_tis!P42*AD_tis!P$50*AD_tis!$BG42</f>
        <v>0</v>
      </c>
      <c r="Q42" s="4">
        <f>+AD_tis!Q42*AD_tis!Q$50*AD_tis!$BG42</f>
        <v>0</v>
      </c>
      <c r="R42" s="13">
        <f>+AD_tis!R42*AD_tis!R$50*AD_tis!$BG42</f>
        <v>0</v>
      </c>
      <c r="S42" s="4">
        <f>+AD_tis!S42*AD_tis!S$50*AD_tis!$BG42</f>
        <v>0</v>
      </c>
      <c r="T42" s="4">
        <f>+AD_tis!T42*AD_tis!T$50*AD_tis!$BG42</f>
        <v>0</v>
      </c>
      <c r="U42" s="4">
        <f>+AD_tis!U42*AD_tis!U$50*AD_tis!$BG42</f>
        <v>0</v>
      </c>
      <c r="V42" s="4">
        <f>+AD_tis!V42*AD_tis!V$50*AD_tis!$BG42</f>
        <v>0</v>
      </c>
      <c r="W42" s="4">
        <f>+AD_tis!W42*AD_tis!W$50*AD_tis!$BG42</f>
        <v>0</v>
      </c>
      <c r="X42" s="4">
        <f>+AD_tis!X42*AD_tis!X$50*AD_tis!$BG42</f>
        <v>0</v>
      </c>
      <c r="Y42" s="4">
        <f>+AD_tis!Y42*AD_tis!Y$50*AD_tis!$BG42</f>
        <v>0</v>
      </c>
      <c r="Z42" s="4">
        <f>+AD_tis!Z42*AD_tis!Z$50*AD_tis!$BG42</f>
        <v>0</v>
      </c>
      <c r="AA42" s="4">
        <f>+AD_tis!AA42*AD_tis!AA$50*AD_tis!$BG42</f>
        <v>0</v>
      </c>
      <c r="AB42" s="4">
        <f>+AD_tis!AB42*AD_tis!AB$50*AD_tis!$BG42</f>
        <v>0</v>
      </c>
      <c r="AC42" s="12">
        <f>+AD_tis!AC42*AD_tis!AC$50*AD_tis!$BG42</f>
        <v>0</v>
      </c>
      <c r="AD42" s="4">
        <f>+AD_tis!AD42*AD_tis!AD$50*AD_tis!$BG42</f>
        <v>0</v>
      </c>
      <c r="AE42" s="4">
        <f>+AD_tis!AE42*AD_tis!AE$50*AD_tis!$BG42</f>
        <v>0</v>
      </c>
      <c r="AF42" s="4">
        <f>+AD_tis!AF42*AD_tis!AF$50*AD_tis!$BG42</f>
        <v>0</v>
      </c>
      <c r="AG42" s="4">
        <f>+AD_tis!AG42*AD_tis!AG$50*AD_tis!$BG42</f>
        <v>0</v>
      </c>
      <c r="AH42" s="4">
        <f>+AD_tis!AH42*AD_tis!AH$50*AD_tis!$BG42</f>
        <v>0</v>
      </c>
      <c r="AI42" s="4">
        <f>+AD_tis!AI42*AD_tis!AI$50*AD_tis!$BG42</f>
        <v>0</v>
      </c>
      <c r="AJ42" s="4">
        <f>+AD_tis!AJ42*AD_tis!AJ$50*AD_tis!$BG42</f>
        <v>0</v>
      </c>
      <c r="AK42" s="4">
        <f>+AD_tis!AK42*AD_tis!AK$50*AD_tis!$BG42</f>
        <v>0</v>
      </c>
      <c r="AL42" s="4">
        <f>+AD_tis!AL42*AD_tis!AL$50*AD_tis!$BG42</f>
        <v>0</v>
      </c>
      <c r="AM42" s="13">
        <f>+AD_tis!AM42*AD_tis!AM$50*AD_tis!$BG42</f>
        <v>0</v>
      </c>
      <c r="AN42" s="4">
        <f>+AD_tis!AN42*AD_tis!AN$50*AD_tis!$BG42</f>
        <v>0</v>
      </c>
      <c r="AO42" s="4">
        <f>+AD_tis!AO42*AD_tis!AO$50*AD_tis!$BG42</f>
        <v>0</v>
      </c>
      <c r="AP42" s="4">
        <f>+AD_tis!AP42*AD_tis!AP$50*AD_tis!$BG42</f>
        <v>0</v>
      </c>
      <c r="AQ42" s="4">
        <f>+AD_tis!AQ42*AD_tis!AQ$50*AD_tis!$BG42</f>
        <v>0</v>
      </c>
      <c r="AR42" s="4">
        <f>+AD_tis!AR42*AD_tis!AR$50*AD_tis!$BG42</f>
        <v>0</v>
      </c>
      <c r="AS42" s="4">
        <f>+AD_tis!AS42*AD_tis!AS$50*AD_tis!$BG42</f>
        <v>0</v>
      </c>
      <c r="AT42" s="4">
        <f>+AD_tis!AT42*AD_tis!AT$50*AD_tis!$BG42</f>
        <v>0</v>
      </c>
      <c r="AU42" s="4">
        <f>+AD_tis!AU42*AD_tis!AU$50*AD_tis!$BG42</f>
        <v>0</v>
      </c>
      <c r="AV42" s="4">
        <f>+AD_tis!AV42*AD_tis!AV$50*AD_tis!$BG42</f>
        <v>0</v>
      </c>
      <c r="AW42" s="12">
        <f>+AD_tis!AW42*AD_tis!AW$50*AD_tis!$BG42</f>
        <v>0</v>
      </c>
      <c r="AX42" s="13">
        <f>+AD_tis!AX42*AD_tis!AX$50*AD_tis!$BG42</f>
        <v>0</v>
      </c>
      <c r="AY42" s="4">
        <f>+AD_tis!AY42*AD_tis!AY$50*AD_tis!$BG42</f>
        <v>0</v>
      </c>
      <c r="AZ42" s="4">
        <f>+AD_tis!AZ42*AD_tis!AZ$50*AD_tis!$BG42</f>
        <v>0</v>
      </c>
      <c r="BA42" s="12">
        <f>+AD_tis!BA42*AD_tis!BA$50*AD_tis!$BG42</f>
        <v>0</v>
      </c>
      <c r="BB42" s="4">
        <f>+AD_tis!BB42*AD_tis!BB$50*AD_tis!$BG42</f>
        <v>0</v>
      </c>
      <c r="BC42" s="13">
        <f>+AD_tis!BC42*AD_tis!BC$50*AD_tis!$BG42</f>
        <v>0</v>
      </c>
    </row>
    <row r="43" spans="1:55" ht="18.75" customHeight="1" x14ac:dyDescent="0.25">
      <c r="A43" s="5" t="s">
        <v>94</v>
      </c>
      <c r="B43" s="12">
        <f>+AD_tis!B43*AD_tis!B$50*AD_tis!$BG43</f>
        <v>0</v>
      </c>
      <c r="C43" s="4">
        <f>+AD_tis!C43*AD_tis!C$50*AD_tis!$BG43</f>
        <v>0</v>
      </c>
      <c r="D43" s="4">
        <f>+AD_tis!D43*AD_tis!D$50*AD_tis!$BG43</f>
        <v>0</v>
      </c>
      <c r="E43" s="4">
        <f>+AD_tis!E43*AD_tis!E$50*AD_tis!$BG43</f>
        <v>0</v>
      </c>
      <c r="F43" s="4">
        <f>+AD_tis!F43*AD_tis!F$50*AD_tis!$BG43</f>
        <v>0</v>
      </c>
      <c r="G43" s="4">
        <f>+AD_tis!G43*AD_tis!G$50*AD_tis!$BG43</f>
        <v>0</v>
      </c>
      <c r="H43" s="4">
        <f>+AD_tis!H43*AD_tis!H$50*AD_tis!$BG43</f>
        <v>0</v>
      </c>
      <c r="I43" s="4">
        <f>+AD_tis!I43*AD_tis!I$50*AD_tis!$BG43</f>
        <v>0</v>
      </c>
      <c r="J43" s="4">
        <f>+AD_tis!J43*AD_tis!J$50*AD_tis!$BG43</f>
        <v>0</v>
      </c>
      <c r="K43" s="4">
        <f>+AD_tis!K43*AD_tis!K$50*AD_tis!$BG43</f>
        <v>0</v>
      </c>
      <c r="L43" s="4">
        <f>+AD_tis!L43*AD_tis!L$50*AD_tis!$BG43</f>
        <v>0</v>
      </c>
      <c r="M43" s="4">
        <f>+AD_tis!M43*AD_tis!M$50*AD_tis!$BG43</f>
        <v>0</v>
      </c>
      <c r="N43" s="4">
        <f>+AD_tis!N43*AD_tis!N$50*AD_tis!$BG43</f>
        <v>0</v>
      </c>
      <c r="O43" s="4">
        <f>+AD_tis!O43*AD_tis!O$50*AD_tis!$BG43</f>
        <v>0</v>
      </c>
      <c r="P43" s="4">
        <f>+AD_tis!P43*AD_tis!P$50*AD_tis!$BG43</f>
        <v>0</v>
      </c>
      <c r="Q43" s="4">
        <f>+AD_tis!Q43*AD_tis!Q$50*AD_tis!$BG43</f>
        <v>0</v>
      </c>
      <c r="R43" s="13">
        <f>+AD_tis!R43*AD_tis!R$50*AD_tis!$BG43</f>
        <v>0</v>
      </c>
      <c r="S43" s="4">
        <f>+AD_tis!S43*AD_tis!S$50*AD_tis!$BG43</f>
        <v>0</v>
      </c>
      <c r="T43" s="4">
        <f>+AD_tis!T43*AD_tis!T$50*AD_tis!$BG43</f>
        <v>0</v>
      </c>
      <c r="U43" s="4">
        <f>+AD_tis!U43*AD_tis!U$50*AD_tis!$BG43</f>
        <v>0</v>
      </c>
      <c r="V43" s="4">
        <f>+AD_tis!V43*AD_tis!V$50*AD_tis!$BG43</f>
        <v>0</v>
      </c>
      <c r="W43" s="4">
        <f>+AD_tis!W43*AD_tis!W$50*AD_tis!$BG43</f>
        <v>0</v>
      </c>
      <c r="X43" s="4">
        <f>+AD_tis!X43*AD_tis!X$50*AD_tis!$BG43</f>
        <v>0</v>
      </c>
      <c r="Y43" s="4">
        <f>+AD_tis!Y43*AD_tis!Y$50*AD_tis!$BG43</f>
        <v>0</v>
      </c>
      <c r="Z43" s="4">
        <f>+AD_tis!Z43*AD_tis!Z$50*AD_tis!$BG43</f>
        <v>0</v>
      </c>
      <c r="AA43" s="4">
        <f>+AD_tis!AA43*AD_tis!AA$50*AD_tis!$BG43</f>
        <v>0</v>
      </c>
      <c r="AB43" s="4">
        <f>+AD_tis!AB43*AD_tis!AB$50*AD_tis!$BG43</f>
        <v>0</v>
      </c>
      <c r="AC43" s="12">
        <f>+AD_tis!AC43*AD_tis!AC$50*AD_tis!$BG43</f>
        <v>0</v>
      </c>
      <c r="AD43" s="4">
        <f>+AD_tis!AD43*AD_tis!AD$50*AD_tis!$BG43</f>
        <v>0</v>
      </c>
      <c r="AE43" s="4">
        <f>+AD_tis!AE43*AD_tis!AE$50*AD_tis!$BG43</f>
        <v>0</v>
      </c>
      <c r="AF43" s="4">
        <f>+AD_tis!AF43*AD_tis!AF$50*AD_tis!$BG43</f>
        <v>0</v>
      </c>
      <c r="AG43" s="4">
        <f>+AD_tis!AG43*AD_tis!AG$50*AD_tis!$BG43</f>
        <v>0</v>
      </c>
      <c r="AH43" s="4">
        <f>+AD_tis!AH43*AD_tis!AH$50*AD_tis!$BG43</f>
        <v>0</v>
      </c>
      <c r="AI43" s="4">
        <f>+AD_tis!AI43*AD_tis!AI$50*AD_tis!$BG43</f>
        <v>0</v>
      </c>
      <c r="AJ43" s="4">
        <f>+AD_tis!AJ43*AD_tis!AJ$50*AD_tis!$BG43</f>
        <v>0</v>
      </c>
      <c r="AK43" s="4">
        <f>+AD_tis!AK43*AD_tis!AK$50*AD_tis!$BG43</f>
        <v>0</v>
      </c>
      <c r="AL43" s="4">
        <f>+AD_tis!AL43*AD_tis!AL$50*AD_tis!$BG43</f>
        <v>0</v>
      </c>
      <c r="AM43" s="13">
        <f>+AD_tis!AM43*AD_tis!AM$50*AD_tis!$BG43</f>
        <v>0</v>
      </c>
      <c r="AN43" s="4">
        <f>+AD_tis!AN43*AD_tis!AN$50*AD_tis!$BG43</f>
        <v>0</v>
      </c>
      <c r="AO43" s="4">
        <f>+AD_tis!AO43*AD_tis!AO$50*AD_tis!$BG43</f>
        <v>0</v>
      </c>
      <c r="AP43" s="4">
        <f>+AD_tis!AP43*AD_tis!AP$50*AD_tis!$BG43</f>
        <v>0</v>
      </c>
      <c r="AQ43" s="4">
        <f>+AD_tis!AQ43*AD_tis!AQ$50*AD_tis!$BG43</f>
        <v>0</v>
      </c>
      <c r="AR43" s="4">
        <f>+AD_tis!AR43*AD_tis!AR$50*AD_tis!$BG43</f>
        <v>0</v>
      </c>
      <c r="AS43" s="4">
        <f>+AD_tis!AS43*AD_tis!AS$50*AD_tis!$BG43</f>
        <v>0</v>
      </c>
      <c r="AT43" s="4">
        <f>+AD_tis!AT43*AD_tis!AT$50*AD_tis!$BG43</f>
        <v>0</v>
      </c>
      <c r="AU43" s="4">
        <f>+AD_tis!AU43*AD_tis!AU$50*AD_tis!$BG43</f>
        <v>0</v>
      </c>
      <c r="AV43" s="4">
        <f>+AD_tis!AV43*AD_tis!AV$50*AD_tis!$BG43</f>
        <v>0</v>
      </c>
      <c r="AW43" s="12">
        <f>+AD_tis!AW43*AD_tis!AW$50*AD_tis!$BG43</f>
        <v>0</v>
      </c>
      <c r="AX43" s="13">
        <f>+AD_tis!AX43*AD_tis!AX$50*AD_tis!$BG43</f>
        <v>0</v>
      </c>
      <c r="AY43" s="4">
        <f>+AD_tis!AY43*AD_tis!AY$50*AD_tis!$BG43</f>
        <v>0</v>
      </c>
      <c r="AZ43" s="4">
        <f>+AD_tis!AZ43*AD_tis!AZ$50*AD_tis!$BG43</f>
        <v>0</v>
      </c>
      <c r="BA43" s="12">
        <f>+AD_tis!BA43*AD_tis!BA$50*AD_tis!$BG43</f>
        <v>0</v>
      </c>
      <c r="BB43" s="4">
        <f>+AD_tis!BB43*AD_tis!BB$50*AD_tis!$BG43</f>
        <v>0</v>
      </c>
      <c r="BC43" s="13">
        <f>+AD_tis!BC43*AD_tis!BC$50*AD_tis!$BG43</f>
        <v>0</v>
      </c>
    </row>
    <row r="44" spans="1:55" ht="18.75" customHeight="1" x14ac:dyDescent="0.25">
      <c r="A44" s="5" t="s">
        <v>95</v>
      </c>
      <c r="B44" s="12">
        <f>+AD_tis!B44*AD_tis!B$50*AD_tis!$BG44</f>
        <v>0</v>
      </c>
      <c r="C44" s="4">
        <f>+AD_tis!C44*AD_tis!C$50*AD_tis!$BG44</f>
        <v>0</v>
      </c>
      <c r="D44" s="4">
        <f>+AD_tis!D44*AD_tis!D$50*AD_tis!$BG44</f>
        <v>0</v>
      </c>
      <c r="E44" s="4">
        <f>+AD_tis!E44*AD_tis!E$50*AD_tis!$BG44</f>
        <v>0</v>
      </c>
      <c r="F44" s="4">
        <f>+AD_tis!F44*AD_tis!F$50*AD_tis!$BG44</f>
        <v>0</v>
      </c>
      <c r="G44" s="4">
        <f>+AD_tis!G44*AD_tis!G$50*AD_tis!$BG44</f>
        <v>0</v>
      </c>
      <c r="H44" s="4">
        <f>+AD_tis!H44*AD_tis!H$50*AD_tis!$BG44</f>
        <v>0</v>
      </c>
      <c r="I44" s="4">
        <f>+AD_tis!I44*AD_tis!I$50*AD_tis!$BG44</f>
        <v>0</v>
      </c>
      <c r="J44" s="4">
        <f>+AD_tis!J44*AD_tis!J$50*AD_tis!$BG44</f>
        <v>0</v>
      </c>
      <c r="K44" s="4">
        <f>+AD_tis!K44*AD_tis!K$50*AD_tis!$BG44</f>
        <v>0</v>
      </c>
      <c r="L44" s="4">
        <f>+AD_tis!L44*AD_tis!L$50*AD_tis!$BG44</f>
        <v>0</v>
      </c>
      <c r="M44" s="4">
        <f>+AD_tis!M44*AD_tis!M$50*AD_tis!$BG44</f>
        <v>0</v>
      </c>
      <c r="N44" s="4">
        <f>+AD_tis!N44*AD_tis!N$50*AD_tis!$BG44</f>
        <v>0</v>
      </c>
      <c r="O44" s="4">
        <f>+AD_tis!O44*AD_tis!O$50*AD_tis!$BG44</f>
        <v>0</v>
      </c>
      <c r="P44" s="4">
        <f>+AD_tis!P44*AD_tis!P$50*AD_tis!$BG44</f>
        <v>0</v>
      </c>
      <c r="Q44" s="4">
        <f>+AD_tis!Q44*AD_tis!Q$50*AD_tis!$BG44</f>
        <v>0</v>
      </c>
      <c r="R44" s="13">
        <f>+AD_tis!R44*AD_tis!R$50*AD_tis!$BG44</f>
        <v>0</v>
      </c>
      <c r="S44" s="4">
        <f>+AD_tis!S44*AD_tis!S$50*AD_tis!$BG44</f>
        <v>0</v>
      </c>
      <c r="T44" s="4">
        <f>+AD_tis!T44*AD_tis!T$50*AD_tis!$BG44</f>
        <v>0</v>
      </c>
      <c r="U44" s="4">
        <f>+AD_tis!U44*AD_tis!U$50*AD_tis!$BG44</f>
        <v>0</v>
      </c>
      <c r="V44" s="4">
        <f>+AD_tis!V44*AD_tis!V$50*AD_tis!$BG44</f>
        <v>0</v>
      </c>
      <c r="W44" s="4">
        <f>+AD_tis!W44*AD_tis!W$50*AD_tis!$BG44</f>
        <v>0</v>
      </c>
      <c r="X44" s="4">
        <f>+AD_tis!X44*AD_tis!X$50*AD_tis!$BG44</f>
        <v>0</v>
      </c>
      <c r="Y44" s="4">
        <f>+AD_tis!Y44*AD_tis!Y$50*AD_tis!$BG44</f>
        <v>0</v>
      </c>
      <c r="Z44" s="4">
        <f>+AD_tis!Z44*AD_tis!Z$50*AD_tis!$BG44</f>
        <v>0</v>
      </c>
      <c r="AA44" s="4">
        <f>+AD_tis!AA44*AD_tis!AA$50*AD_tis!$BG44</f>
        <v>0</v>
      </c>
      <c r="AB44" s="4">
        <f>+AD_tis!AB44*AD_tis!AB$50*AD_tis!$BG44</f>
        <v>0</v>
      </c>
      <c r="AC44" s="12">
        <f>+AD_tis!AC44*AD_tis!AC$50*AD_tis!$BG44</f>
        <v>0</v>
      </c>
      <c r="AD44" s="4">
        <f>+AD_tis!AD44*AD_tis!AD$50*AD_tis!$BG44</f>
        <v>0</v>
      </c>
      <c r="AE44" s="4">
        <f>+AD_tis!AE44*AD_tis!AE$50*AD_tis!$BG44</f>
        <v>0</v>
      </c>
      <c r="AF44" s="4">
        <f>+AD_tis!AF44*AD_tis!AF$50*AD_tis!$BG44</f>
        <v>0</v>
      </c>
      <c r="AG44" s="4">
        <f>+AD_tis!AG44*AD_tis!AG$50*AD_tis!$BG44</f>
        <v>0</v>
      </c>
      <c r="AH44" s="4">
        <f>+AD_tis!AH44*AD_tis!AH$50*AD_tis!$BG44</f>
        <v>0</v>
      </c>
      <c r="AI44" s="4">
        <f>+AD_tis!AI44*AD_tis!AI$50*AD_tis!$BG44</f>
        <v>0</v>
      </c>
      <c r="AJ44" s="4">
        <f>+AD_tis!AJ44*AD_tis!AJ$50*AD_tis!$BG44</f>
        <v>0</v>
      </c>
      <c r="AK44" s="4">
        <f>+AD_tis!AK44*AD_tis!AK$50*AD_tis!$BG44</f>
        <v>0</v>
      </c>
      <c r="AL44" s="4">
        <f>+AD_tis!AL44*AD_tis!AL$50*AD_tis!$BG44</f>
        <v>0</v>
      </c>
      <c r="AM44" s="13">
        <f>+AD_tis!AM44*AD_tis!AM$50*AD_tis!$BG44</f>
        <v>0</v>
      </c>
      <c r="AN44" s="4">
        <f>+AD_tis!AN44*AD_tis!AN$50*AD_tis!$BG44</f>
        <v>0</v>
      </c>
      <c r="AO44" s="4">
        <f>+AD_tis!AO44*AD_tis!AO$50*AD_tis!$BG44</f>
        <v>0</v>
      </c>
      <c r="AP44" s="4">
        <f>+AD_tis!AP44*AD_tis!AP$50*AD_tis!$BG44</f>
        <v>0</v>
      </c>
      <c r="AQ44" s="4">
        <f>+AD_tis!AQ44*AD_tis!AQ$50*AD_tis!$BG44</f>
        <v>0</v>
      </c>
      <c r="AR44" s="4">
        <f>+AD_tis!AR44*AD_tis!AR$50*AD_tis!$BG44</f>
        <v>0</v>
      </c>
      <c r="AS44" s="4">
        <f>+AD_tis!AS44*AD_tis!AS$50*AD_tis!$BG44</f>
        <v>0</v>
      </c>
      <c r="AT44" s="4">
        <f>+AD_tis!AT44*AD_tis!AT$50*AD_tis!$BG44</f>
        <v>0</v>
      </c>
      <c r="AU44" s="4">
        <f>+AD_tis!AU44*AD_tis!AU$50*AD_tis!$BG44</f>
        <v>0</v>
      </c>
      <c r="AV44" s="4">
        <f>+AD_tis!AV44*AD_tis!AV$50*AD_tis!$BG44</f>
        <v>0</v>
      </c>
      <c r="AW44" s="12">
        <f>+AD_tis!AW44*AD_tis!AW$50*AD_tis!$BG44</f>
        <v>0</v>
      </c>
      <c r="AX44" s="13">
        <f>+AD_tis!AX44*AD_tis!AX$50*AD_tis!$BG44</f>
        <v>0</v>
      </c>
      <c r="AY44" s="4">
        <f>+AD_tis!AY44*AD_tis!AY$50*AD_tis!$BG44</f>
        <v>0</v>
      </c>
      <c r="AZ44" s="4">
        <f>+AD_tis!AZ44*AD_tis!AZ$50*AD_tis!$BG44</f>
        <v>0</v>
      </c>
      <c r="BA44" s="12">
        <f>+AD_tis!BA44*AD_tis!BA$50*AD_tis!$BG44</f>
        <v>0</v>
      </c>
      <c r="BB44" s="4">
        <f>+AD_tis!BB44*AD_tis!BB$50*AD_tis!$BG44</f>
        <v>0</v>
      </c>
      <c r="BC44" s="13">
        <f>+AD_tis!BC44*AD_tis!BC$50*AD_tis!$BG44</f>
        <v>0</v>
      </c>
    </row>
    <row r="45" spans="1:55" ht="18.75" customHeight="1" x14ac:dyDescent="0.25">
      <c r="A45" s="5" t="s">
        <v>96</v>
      </c>
      <c r="B45" s="12">
        <f>+AD_tis!B45*AD_tis!B$50*AD_tis!$BG45</f>
        <v>0</v>
      </c>
      <c r="C45" s="4">
        <f>+AD_tis!C45*AD_tis!C$50*AD_tis!$BG45</f>
        <v>0</v>
      </c>
      <c r="D45" s="4">
        <f>+AD_tis!D45*AD_tis!D$50*AD_tis!$BG45</f>
        <v>0</v>
      </c>
      <c r="E45" s="4">
        <f>+AD_tis!E45*AD_tis!E$50*AD_tis!$BG45</f>
        <v>0</v>
      </c>
      <c r="F45" s="4">
        <f>+AD_tis!F45*AD_tis!F$50*AD_tis!$BG45</f>
        <v>0</v>
      </c>
      <c r="G45" s="4">
        <f>+AD_tis!G45*AD_tis!G$50*AD_tis!$BG45</f>
        <v>0</v>
      </c>
      <c r="H45" s="4">
        <f>+AD_tis!H45*AD_tis!H$50*AD_tis!$BG45</f>
        <v>0</v>
      </c>
      <c r="I45" s="4">
        <f>+AD_tis!I45*AD_tis!I$50*AD_tis!$BG45</f>
        <v>0</v>
      </c>
      <c r="J45" s="4">
        <f>+AD_tis!J45*AD_tis!J$50*AD_tis!$BG45</f>
        <v>0</v>
      </c>
      <c r="K45" s="4">
        <f>+AD_tis!K45*AD_tis!K$50*AD_tis!$BG45</f>
        <v>0</v>
      </c>
      <c r="L45" s="4">
        <f>+AD_tis!L45*AD_tis!L$50*AD_tis!$BG45</f>
        <v>0</v>
      </c>
      <c r="M45" s="4">
        <f>+AD_tis!M45*AD_tis!M$50*AD_tis!$BG45</f>
        <v>0</v>
      </c>
      <c r="N45" s="4">
        <f>+AD_tis!N45*AD_tis!N$50*AD_tis!$BG45</f>
        <v>0</v>
      </c>
      <c r="O45" s="4">
        <f>+AD_tis!O45*AD_tis!O$50*AD_tis!$BG45</f>
        <v>0</v>
      </c>
      <c r="P45" s="4">
        <f>+AD_tis!P45*AD_tis!P$50*AD_tis!$BG45</f>
        <v>0</v>
      </c>
      <c r="Q45" s="4">
        <f>+AD_tis!Q45*AD_tis!Q$50*AD_tis!$BG45</f>
        <v>0</v>
      </c>
      <c r="R45" s="13">
        <f>+AD_tis!R45*AD_tis!R$50*AD_tis!$BG45</f>
        <v>0</v>
      </c>
      <c r="S45" s="4">
        <f>+AD_tis!S45*AD_tis!S$50*AD_tis!$BG45</f>
        <v>0</v>
      </c>
      <c r="T45" s="4">
        <f>+AD_tis!T45*AD_tis!T$50*AD_tis!$BG45</f>
        <v>0</v>
      </c>
      <c r="U45" s="4">
        <f>+AD_tis!U45*AD_tis!U$50*AD_tis!$BG45</f>
        <v>0</v>
      </c>
      <c r="V45" s="4">
        <f>+AD_tis!V45*AD_tis!V$50*AD_tis!$BG45</f>
        <v>0</v>
      </c>
      <c r="W45" s="4">
        <f>+AD_tis!W45*AD_tis!W$50*AD_tis!$BG45</f>
        <v>0</v>
      </c>
      <c r="X45" s="4">
        <f>+AD_tis!X45*AD_tis!X$50*AD_tis!$BG45</f>
        <v>0</v>
      </c>
      <c r="Y45" s="4">
        <f>+AD_tis!Y45*AD_tis!Y$50*AD_tis!$BG45</f>
        <v>0</v>
      </c>
      <c r="Z45" s="4">
        <f>+AD_tis!Z45*AD_tis!Z$50*AD_tis!$BG45</f>
        <v>0</v>
      </c>
      <c r="AA45" s="4">
        <f>+AD_tis!AA45*AD_tis!AA$50*AD_tis!$BG45</f>
        <v>0</v>
      </c>
      <c r="AB45" s="4">
        <f>+AD_tis!AB45*AD_tis!AB$50*AD_tis!$BG45</f>
        <v>0</v>
      </c>
      <c r="AC45" s="12">
        <f>+AD_tis!AC45*AD_tis!AC$50*AD_tis!$BG45</f>
        <v>0</v>
      </c>
      <c r="AD45" s="4">
        <f>+AD_tis!AD45*AD_tis!AD$50*AD_tis!$BG45</f>
        <v>0</v>
      </c>
      <c r="AE45" s="4">
        <f>+AD_tis!AE45*AD_tis!AE$50*AD_tis!$BG45</f>
        <v>0</v>
      </c>
      <c r="AF45" s="4">
        <f>+AD_tis!AF45*AD_tis!AF$50*AD_tis!$BG45</f>
        <v>0</v>
      </c>
      <c r="AG45" s="4">
        <f>+AD_tis!AG45*AD_tis!AG$50*AD_tis!$BG45</f>
        <v>0</v>
      </c>
      <c r="AH45" s="4">
        <f>+AD_tis!AH45*AD_tis!AH$50*AD_tis!$BG45</f>
        <v>0</v>
      </c>
      <c r="AI45" s="4">
        <f>+AD_tis!AI45*AD_tis!AI$50*AD_tis!$BG45</f>
        <v>0</v>
      </c>
      <c r="AJ45" s="4">
        <f>+AD_tis!AJ45*AD_tis!AJ$50*AD_tis!$BG45</f>
        <v>0</v>
      </c>
      <c r="AK45" s="4">
        <f>+AD_tis!AK45*AD_tis!AK$50*AD_tis!$BG45</f>
        <v>0</v>
      </c>
      <c r="AL45" s="4">
        <f>+AD_tis!AL45*AD_tis!AL$50*AD_tis!$BG45</f>
        <v>0</v>
      </c>
      <c r="AM45" s="13">
        <f>+AD_tis!AM45*AD_tis!AM$50*AD_tis!$BG45</f>
        <v>0</v>
      </c>
      <c r="AN45" s="4">
        <f>+AD_tis!AN45*AD_tis!AN$50*AD_tis!$BG45</f>
        <v>0</v>
      </c>
      <c r="AO45" s="4">
        <f>+AD_tis!AO45*AD_tis!AO$50*AD_tis!$BG45</f>
        <v>0</v>
      </c>
      <c r="AP45" s="4">
        <f>+AD_tis!AP45*AD_tis!AP$50*AD_tis!$BG45</f>
        <v>0</v>
      </c>
      <c r="AQ45" s="4">
        <f>+AD_tis!AQ45*AD_tis!AQ$50*AD_tis!$BG45</f>
        <v>0</v>
      </c>
      <c r="AR45" s="4">
        <f>+AD_tis!AR45*AD_tis!AR$50*AD_tis!$BG45</f>
        <v>0</v>
      </c>
      <c r="AS45" s="4">
        <f>+AD_tis!AS45*AD_tis!AS$50*AD_tis!$BG45</f>
        <v>0</v>
      </c>
      <c r="AT45" s="4">
        <f>+AD_tis!AT45*AD_tis!AT$50*AD_tis!$BG45</f>
        <v>0</v>
      </c>
      <c r="AU45" s="4">
        <f>+AD_tis!AU45*AD_tis!AU$50*AD_tis!$BG45</f>
        <v>0</v>
      </c>
      <c r="AV45" s="4">
        <f>+AD_tis!AV45*AD_tis!AV$50*AD_tis!$BG45</f>
        <v>0</v>
      </c>
      <c r="AW45" s="12">
        <f>+AD_tis!AW45*AD_tis!AW$50*AD_tis!$BG45</f>
        <v>0</v>
      </c>
      <c r="AX45" s="13">
        <f>+AD_tis!AX45*AD_tis!AX$50*AD_tis!$BG45</f>
        <v>0</v>
      </c>
      <c r="AY45" s="4">
        <f>+AD_tis!AY45*AD_tis!AY$50*AD_tis!$BG45</f>
        <v>0</v>
      </c>
      <c r="AZ45" s="4">
        <f>+AD_tis!AZ45*AD_tis!AZ$50*AD_tis!$BG45</f>
        <v>0</v>
      </c>
      <c r="BA45" s="12">
        <f>+AD_tis!BA45*AD_tis!BA$50*AD_tis!$BG45</f>
        <v>0</v>
      </c>
      <c r="BB45" s="4">
        <f>+AD_tis!BB45*AD_tis!BB$50*AD_tis!$BG45</f>
        <v>0</v>
      </c>
      <c r="BC45" s="13">
        <f>+AD_tis!BC45*AD_tis!BC$50*AD_tis!$BG45</f>
        <v>0</v>
      </c>
    </row>
    <row r="46" spans="1:55" ht="18.75" customHeight="1" x14ac:dyDescent="0.25">
      <c r="A46" s="6" t="s">
        <v>97</v>
      </c>
      <c r="B46" s="12">
        <f>+AD_tis!B46*AD_tis!B$50*AD_tis!$BG46</f>
        <v>0</v>
      </c>
      <c r="C46" s="4">
        <f>+AD_tis!C46*AD_tis!C$50*AD_tis!$BG46</f>
        <v>0</v>
      </c>
      <c r="D46" s="4">
        <f>+AD_tis!D46*AD_tis!D$50*AD_tis!$BG46</f>
        <v>0</v>
      </c>
      <c r="E46" s="4">
        <f>+AD_tis!E46*AD_tis!E$50*AD_tis!$BG46</f>
        <v>0</v>
      </c>
      <c r="F46" s="4">
        <f>+AD_tis!F46*AD_tis!F$50*AD_tis!$BG46</f>
        <v>0</v>
      </c>
      <c r="G46" s="4">
        <f>+AD_tis!G46*AD_tis!G$50*AD_tis!$BG46</f>
        <v>0</v>
      </c>
      <c r="H46" s="4">
        <f>+AD_tis!H46*AD_tis!H$50*AD_tis!$BG46</f>
        <v>0</v>
      </c>
      <c r="I46" s="4">
        <f>+AD_tis!I46*AD_tis!I$50*AD_tis!$BG46</f>
        <v>0</v>
      </c>
      <c r="J46" s="4">
        <f>+AD_tis!J46*AD_tis!J$50*AD_tis!$BG46</f>
        <v>0</v>
      </c>
      <c r="K46" s="4">
        <f>+AD_tis!K46*AD_tis!K$50*AD_tis!$BG46</f>
        <v>0</v>
      </c>
      <c r="L46" s="4">
        <f>+AD_tis!L46*AD_tis!L$50*AD_tis!$BG46</f>
        <v>0</v>
      </c>
      <c r="M46" s="4">
        <f>+AD_tis!M46*AD_tis!M$50*AD_tis!$BG46</f>
        <v>0</v>
      </c>
      <c r="N46" s="4">
        <f>+AD_tis!N46*AD_tis!N$50*AD_tis!$BG46</f>
        <v>0</v>
      </c>
      <c r="O46" s="4">
        <f>+AD_tis!O46*AD_tis!O$50*AD_tis!$BG46</f>
        <v>0</v>
      </c>
      <c r="P46" s="4">
        <f>+AD_tis!P46*AD_tis!P$50*AD_tis!$BG46</f>
        <v>0</v>
      </c>
      <c r="Q46" s="4">
        <f>+AD_tis!Q46*AD_tis!Q$50*AD_tis!$BG46</f>
        <v>0</v>
      </c>
      <c r="R46" s="13">
        <f>+AD_tis!R46*AD_tis!R$50*AD_tis!$BG46</f>
        <v>0</v>
      </c>
      <c r="S46" s="4">
        <f>+AD_tis!S46*AD_tis!S$50*AD_tis!$BG46</f>
        <v>0</v>
      </c>
      <c r="T46" s="4">
        <f>+AD_tis!T46*AD_tis!T$50*AD_tis!$BG46</f>
        <v>0</v>
      </c>
      <c r="U46" s="4">
        <f>+AD_tis!U46*AD_tis!U$50*AD_tis!$BG46</f>
        <v>0</v>
      </c>
      <c r="V46" s="4">
        <f>+AD_tis!V46*AD_tis!V$50*AD_tis!$BG46</f>
        <v>0</v>
      </c>
      <c r="W46" s="4">
        <f>+AD_tis!W46*AD_tis!W$50*AD_tis!$BG46</f>
        <v>0</v>
      </c>
      <c r="X46" s="4">
        <f>+AD_tis!X46*AD_tis!X$50*AD_tis!$BG46</f>
        <v>0</v>
      </c>
      <c r="Y46" s="4">
        <f>+AD_tis!Y46*AD_tis!Y$50*AD_tis!$BG46</f>
        <v>0</v>
      </c>
      <c r="Z46" s="4">
        <f>+AD_tis!Z46*AD_tis!Z$50*AD_tis!$BG46</f>
        <v>0</v>
      </c>
      <c r="AA46" s="4">
        <f>+AD_tis!AA46*AD_tis!AA$50*AD_tis!$BG46</f>
        <v>0</v>
      </c>
      <c r="AB46" s="4">
        <f>+AD_tis!AB46*AD_tis!AB$50*AD_tis!$BG46</f>
        <v>0</v>
      </c>
      <c r="AC46" s="12">
        <f>+AD_tis!AC46*AD_tis!AC$50*AD_tis!$BG46</f>
        <v>0</v>
      </c>
      <c r="AD46" s="4">
        <f>+AD_tis!AD46*AD_tis!AD$50*AD_tis!$BG46</f>
        <v>0</v>
      </c>
      <c r="AE46" s="4">
        <f>+AD_tis!AE46*AD_tis!AE$50*AD_tis!$BG46</f>
        <v>0</v>
      </c>
      <c r="AF46" s="4">
        <f>+AD_tis!AF46*AD_tis!AF$50*AD_tis!$BG46</f>
        <v>0</v>
      </c>
      <c r="AG46" s="4">
        <f>+AD_tis!AG46*AD_tis!AG$50*AD_tis!$BG46</f>
        <v>0</v>
      </c>
      <c r="AH46" s="4">
        <f>+AD_tis!AH46*AD_tis!AH$50*AD_tis!$BG46</f>
        <v>0</v>
      </c>
      <c r="AI46" s="4">
        <f>+AD_tis!AI46*AD_tis!AI$50*AD_tis!$BG46</f>
        <v>0</v>
      </c>
      <c r="AJ46" s="4">
        <f>+AD_tis!AJ46*AD_tis!AJ$50*AD_tis!$BG46</f>
        <v>0</v>
      </c>
      <c r="AK46" s="4">
        <f>+AD_tis!AK46*AD_tis!AK$50*AD_tis!$BG46</f>
        <v>0</v>
      </c>
      <c r="AL46" s="4">
        <f>+AD_tis!AL46*AD_tis!AL$50*AD_tis!$BG46</f>
        <v>0</v>
      </c>
      <c r="AM46" s="13">
        <f>+AD_tis!AM46*AD_tis!AM$50*AD_tis!$BG46</f>
        <v>0</v>
      </c>
      <c r="AN46" s="4">
        <f>+AD_tis!AN46*AD_tis!AN$50*AD_tis!$BG46</f>
        <v>0</v>
      </c>
      <c r="AO46" s="4">
        <f>+AD_tis!AO46*AD_tis!AO$50*AD_tis!$BG46</f>
        <v>0</v>
      </c>
      <c r="AP46" s="4">
        <f>+AD_tis!AP46*AD_tis!AP$50*AD_tis!$BG46</f>
        <v>0</v>
      </c>
      <c r="AQ46" s="4">
        <f>+AD_tis!AQ46*AD_tis!AQ$50*AD_tis!$BG46</f>
        <v>0</v>
      </c>
      <c r="AR46" s="4">
        <f>+AD_tis!AR46*AD_tis!AR$50*AD_tis!$BG46</f>
        <v>0</v>
      </c>
      <c r="AS46" s="4">
        <f>+AD_tis!AS46*AD_tis!AS$50*AD_tis!$BG46</f>
        <v>0</v>
      </c>
      <c r="AT46" s="4">
        <f>+AD_tis!AT46*AD_tis!AT$50*AD_tis!$BG46</f>
        <v>0</v>
      </c>
      <c r="AU46" s="4">
        <f>+AD_tis!AU46*AD_tis!AU$50*AD_tis!$BG46</f>
        <v>0</v>
      </c>
      <c r="AV46" s="4">
        <f>+AD_tis!AV46*AD_tis!AV$50*AD_tis!$BG46</f>
        <v>0</v>
      </c>
      <c r="AW46" s="12">
        <f>+AD_tis!AW46*AD_tis!AW$50*AD_tis!$BG46</f>
        <v>0</v>
      </c>
      <c r="AX46" s="13">
        <f>+AD_tis!AX46*AD_tis!AX$50*AD_tis!$BG46</f>
        <v>0</v>
      </c>
      <c r="AY46" s="4">
        <f>+AD_tis!AY46*AD_tis!AY$50*AD_tis!$BG46</f>
        <v>0</v>
      </c>
      <c r="AZ46" s="4">
        <f>+AD_tis!AZ46*AD_tis!AZ$50*AD_tis!$BG46</f>
        <v>0</v>
      </c>
      <c r="BA46" s="12">
        <f>+AD_tis!BA46*AD_tis!BA$50*AD_tis!$BG46</f>
        <v>0</v>
      </c>
      <c r="BB46" s="4">
        <f>+AD_tis!BB46*AD_tis!BB$50*AD_tis!$BG46</f>
        <v>0</v>
      </c>
      <c r="BC46" s="13">
        <f>+AD_tis!BC46*AD_tis!BC$50*AD_tis!$BG46</f>
        <v>0</v>
      </c>
    </row>
  </sheetData>
  <conditionalFormatting sqref="B2:BC46">
    <cfRule type="cellIs" dxfId="13" priority="1" operator="equal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BC46"/>
  <sheetViews>
    <sheetView topLeftCell="H17" workbookViewId="0">
      <selection activeCell="BA30" sqref="BA30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5.42578125" style="7" bestFit="1" customWidth="1"/>
  </cols>
  <sheetData>
    <row r="1" spans="1:55" ht="18.75" customHeight="1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8.75" customHeight="1" x14ac:dyDescent="0.25">
      <c r="A2" s="3" t="str">
        <f>"T"&amp;_xlfn.SEQUENCE(36,1,1,1)</f>
        <v>T1</v>
      </c>
      <c r="B2" s="9">
        <f>+AD_tis!B2*AD_tis!B$51*AD_tis!$BD2</f>
        <v>0</v>
      </c>
      <c r="C2" s="10">
        <f>+AD_tis!C2*AD_tis!C$51*AD_tis!$BD2</f>
        <v>0</v>
      </c>
      <c r="D2" s="10">
        <f>+AD_tis!D2*AD_tis!D$51*AD_tis!$BD2</f>
        <v>0</v>
      </c>
      <c r="E2" s="10">
        <f>+AD_tis!E2*AD_tis!E$51*AD_tis!$BD2</f>
        <v>0</v>
      </c>
      <c r="F2" s="10">
        <f>+AD_tis!F2*AD_tis!F$51*AD_tis!$BD2</f>
        <v>0</v>
      </c>
      <c r="G2" s="10">
        <f>+AD_tis!G2*AD_tis!G$51*AD_tis!$BD2</f>
        <v>0</v>
      </c>
      <c r="H2" s="10">
        <f>+AD_tis!H2*AD_tis!H$51*AD_tis!$BD2</f>
        <v>0</v>
      </c>
      <c r="I2" s="10">
        <f>+AD_tis!I2*AD_tis!I$51*AD_tis!$BD2</f>
        <v>0</v>
      </c>
      <c r="J2" s="10">
        <f>+AD_tis!J2*AD_tis!J$51*AD_tis!$BD2</f>
        <v>0</v>
      </c>
      <c r="K2" s="10">
        <f>+AD_tis!K2*AD_tis!K$51*AD_tis!$BD2</f>
        <v>0</v>
      </c>
      <c r="L2" s="10">
        <f>+AD_tis!L2*AD_tis!L$51*AD_tis!$BD2</f>
        <v>0</v>
      </c>
      <c r="M2" s="10">
        <f>+AD_tis!M2*AD_tis!M$51*AD_tis!$BD2</f>
        <v>0</v>
      </c>
      <c r="N2" s="10">
        <f>+AD_tis!N2*AD_tis!N$51*AD_tis!$BD2</f>
        <v>0</v>
      </c>
      <c r="O2" s="10">
        <f>+AD_tis!O2*AD_tis!O$51*AD_tis!$BD2</f>
        <v>0</v>
      </c>
      <c r="P2" s="10">
        <f>+AD_tis!P2*AD_tis!P$51*AD_tis!$BD2</f>
        <v>0</v>
      </c>
      <c r="Q2" s="10">
        <f>+AD_tis!Q2*AD_tis!Q$51*AD_tis!$BD2</f>
        <v>0</v>
      </c>
      <c r="R2" s="11">
        <f>+AD_tis!R2*AD_tis!R$51*AD_tis!$BD2</f>
        <v>0</v>
      </c>
      <c r="S2" s="10">
        <f>+AD_tis!S2*AD_tis!S$51*AD_tis!$BD2</f>
        <v>0</v>
      </c>
      <c r="T2" s="10">
        <f>+AD_tis!T2*AD_tis!T$51*AD_tis!$BD2</f>
        <v>0</v>
      </c>
      <c r="U2" s="10">
        <f>+AD_tis!U2*AD_tis!U$51*AD_tis!$BD2</f>
        <v>0</v>
      </c>
      <c r="V2" s="10">
        <f>+AD_tis!V2*AD_tis!V$51*AD_tis!$BD2</f>
        <v>0</v>
      </c>
      <c r="W2" s="10">
        <f>+AD_tis!W2*AD_tis!W$51*AD_tis!$BD2</f>
        <v>0</v>
      </c>
      <c r="X2" s="10">
        <f>+AD_tis!X2*AD_tis!X$51*AD_tis!$BD2</f>
        <v>0</v>
      </c>
      <c r="Y2" s="10">
        <f>+AD_tis!Y2*AD_tis!Y$51*AD_tis!$BD2</f>
        <v>0</v>
      </c>
      <c r="Z2" s="10">
        <f>+AD_tis!Z2*AD_tis!Z$51*AD_tis!$BD2</f>
        <v>0</v>
      </c>
      <c r="AA2" s="10">
        <f>+AD_tis!AA2*AD_tis!AA$51*AD_tis!$BD2</f>
        <v>0</v>
      </c>
      <c r="AB2" s="10">
        <f>+AD_tis!AB2*AD_tis!AB$51*AD_tis!$BD2</f>
        <v>0</v>
      </c>
      <c r="AC2" s="9">
        <f>+AD_tis!AC2*AD_tis!AC$51*AD_tis!$BD2</f>
        <v>0</v>
      </c>
      <c r="AD2" s="10">
        <f>+AD_tis!AD2*AD_tis!AD$51*AD_tis!$BD2</f>
        <v>0</v>
      </c>
      <c r="AE2" s="10">
        <f>+AD_tis!AE2*AD_tis!AE$51*AD_tis!$BD2</f>
        <v>0</v>
      </c>
      <c r="AF2" s="10">
        <f>+AD_tis!AF2*AD_tis!AF$51*AD_tis!$BD2</f>
        <v>0</v>
      </c>
      <c r="AG2" s="10">
        <f>+AD_tis!AG2*AD_tis!AG$51*AD_tis!$BD2</f>
        <v>0</v>
      </c>
      <c r="AH2" s="10">
        <f>+AD_tis!AH2*AD_tis!AH$51*AD_tis!$BD2</f>
        <v>0</v>
      </c>
      <c r="AI2" s="10">
        <f>+AD_tis!AI2*AD_tis!AI$51*AD_tis!$BD2</f>
        <v>0</v>
      </c>
      <c r="AJ2" s="10">
        <f>+AD_tis!AJ2*AD_tis!AJ$51*AD_tis!$BD2</f>
        <v>0</v>
      </c>
      <c r="AK2" s="10">
        <f>+AD_tis!AK2*AD_tis!AK$51*AD_tis!$BD2</f>
        <v>0</v>
      </c>
      <c r="AL2" s="10">
        <f>+AD_tis!AL2*AD_tis!AL$51*AD_tis!$BD2</f>
        <v>0</v>
      </c>
      <c r="AM2" s="11">
        <f>+AD_tis!AM2*AD_tis!AM$51*AD_tis!$BD2</f>
        <v>0</v>
      </c>
      <c r="AN2" s="10">
        <f>+AD_tis!AN2*AD_tis!AN$51*AD_tis!$BD2</f>
        <v>0</v>
      </c>
      <c r="AO2" s="10">
        <f>+AD_tis!AO2*AD_tis!AO$51*AD_tis!$BD2</f>
        <v>0</v>
      </c>
      <c r="AP2" s="10">
        <f>+AD_tis!AP2*AD_tis!AP$51*AD_tis!$BD2</f>
        <v>0</v>
      </c>
      <c r="AQ2" s="10">
        <f>+AD_tis!AQ2*AD_tis!AQ$51*AD_tis!$BD2</f>
        <v>0</v>
      </c>
      <c r="AR2" s="10">
        <f>+AD_tis!AR2*AD_tis!AR$51*AD_tis!$BD2</f>
        <v>0</v>
      </c>
      <c r="AS2" s="10">
        <f>+AD_tis!AS2*AD_tis!AS$51*AD_tis!$BD2</f>
        <v>0</v>
      </c>
      <c r="AT2" s="10">
        <f>+AD_tis!AT2*AD_tis!AT$51*AD_tis!$BD2</f>
        <v>0</v>
      </c>
      <c r="AU2" s="10">
        <f>+AD_tis!AU2*AD_tis!AU$51*AD_tis!$BD2</f>
        <v>0</v>
      </c>
      <c r="AV2" s="10">
        <f>+AD_tis!AV2*AD_tis!AV$51*AD_tis!$BD2</f>
        <v>0</v>
      </c>
      <c r="AW2" s="9">
        <f>+AD_tis!AW2*AD_tis!AW$51*AD_tis!$BD2</f>
        <v>0</v>
      </c>
      <c r="AX2" s="11">
        <f>+AD_tis!AX2*AD_tis!AX$51*AD_tis!$BD2</f>
        <v>0</v>
      </c>
      <c r="AY2" s="10">
        <f>+AD_tis!AY2*AD_tis!AY$51*AD_tis!$BD2</f>
        <v>0</v>
      </c>
      <c r="AZ2" s="10">
        <f>+AD_tis!AZ2*AD_tis!AZ$51*AD_tis!$BD2</f>
        <v>0</v>
      </c>
      <c r="BA2" s="9">
        <f>+AD_tis!BA2*AD_tis!BA$51*AD_tis!$BD2</f>
        <v>0</v>
      </c>
      <c r="BB2" s="10">
        <f>+AD_tis!BB2*AD_tis!BB$51*AD_tis!$BD2</f>
        <v>1</v>
      </c>
      <c r="BC2" s="11">
        <f>+AD_tis!BC2*AD_tis!BC$51*AD_tis!$BD2</f>
        <v>0</v>
      </c>
    </row>
    <row r="3" spans="1:55" ht="18.75" customHeight="1" x14ac:dyDescent="0.25">
      <c r="A3" s="5" t="s">
        <v>54</v>
      </c>
      <c r="B3" s="12">
        <f>+AD_tis!B3*AD_tis!B$51*AD_tis!$BD3</f>
        <v>0</v>
      </c>
      <c r="C3" s="4">
        <f>+AD_tis!C3*AD_tis!C$51*AD_tis!$BD3</f>
        <v>0</v>
      </c>
      <c r="D3" s="4">
        <f>+AD_tis!D3*AD_tis!D$51*AD_tis!$BD3</f>
        <v>0</v>
      </c>
      <c r="E3" s="4">
        <f>+AD_tis!E3*AD_tis!E$51*AD_tis!$BD3</f>
        <v>0</v>
      </c>
      <c r="F3" s="4">
        <f>+AD_tis!F3*AD_tis!F$51*AD_tis!$BD3</f>
        <v>0</v>
      </c>
      <c r="G3" s="4">
        <f>+AD_tis!G3*AD_tis!G$51*AD_tis!$BD3</f>
        <v>0</v>
      </c>
      <c r="H3" s="4">
        <f>+AD_tis!H3*AD_tis!H$51*AD_tis!$BD3</f>
        <v>0</v>
      </c>
      <c r="I3" s="4">
        <f>+AD_tis!I3*AD_tis!I$51*AD_tis!$BD3</f>
        <v>0</v>
      </c>
      <c r="J3" s="4">
        <f>+AD_tis!J3*AD_tis!J$51*AD_tis!$BD3</f>
        <v>0</v>
      </c>
      <c r="K3" s="4">
        <f>+AD_tis!K3*AD_tis!K$51*AD_tis!$BD3</f>
        <v>0</v>
      </c>
      <c r="L3" s="4">
        <f>+AD_tis!L3*AD_tis!L$51*AD_tis!$BD3</f>
        <v>0</v>
      </c>
      <c r="M3" s="4">
        <f>+AD_tis!M3*AD_tis!M$51*AD_tis!$BD3</f>
        <v>0</v>
      </c>
      <c r="N3" s="4">
        <f>+AD_tis!N3*AD_tis!N$51*AD_tis!$BD3</f>
        <v>0</v>
      </c>
      <c r="O3" s="4">
        <f>+AD_tis!O3*AD_tis!O$51*AD_tis!$BD3</f>
        <v>0</v>
      </c>
      <c r="P3" s="4">
        <f>+AD_tis!P3*AD_tis!P$51*AD_tis!$BD3</f>
        <v>0</v>
      </c>
      <c r="Q3" s="4">
        <f>+AD_tis!Q3*AD_tis!Q$51*AD_tis!$BD3</f>
        <v>0</v>
      </c>
      <c r="R3" s="13">
        <f>+AD_tis!R3*AD_tis!R$51*AD_tis!$BD3</f>
        <v>0</v>
      </c>
      <c r="S3" s="4">
        <f>+AD_tis!S3*AD_tis!S$51*AD_tis!$BD3</f>
        <v>0</v>
      </c>
      <c r="T3" s="4">
        <f>+AD_tis!T3*AD_tis!T$51*AD_tis!$BD3</f>
        <v>0</v>
      </c>
      <c r="U3" s="4">
        <f>+AD_tis!U3*AD_tis!U$51*AD_tis!$BD3</f>
        <v>0</v>
      </c>
      <c r="V3" s="4">
        <f>+AD_tis!V3*AD_tis!V$51*AD_tis!$BD3</f>
        <v>0</v>
      </c>
      <c r="W3" s="4">
        <f>+AD_tis!W3*AD_tis!W$51*AD_tis!$BD3</f>
        <v>0</v>
      </c>
      <c r="X3" s="4">
        <f>+AD_tis!X3*AD_tis!X$51*AD_tis!$BD3</f>
        <v>0</v>
      </c>
      <c r="Y3" s="4">
        <f>+AD_tis!Y3*AD_tis!Y$51*AD_tis!$BD3</f>
        <v>0</v>
      </c>
      <c r="Z3" s="4">
        <f>+AD_tis!Z3*AD_tis!Z$51*AD_tis!$BD3</f>
        <v>0</v>
      </c>
      <c r="AA3" s="4">
        <f>+AD_tis!AA3*AD_tis!AA$51*AD_tis!$BD3</f>
        <v>0</v>
      </c>
      <c r="AB3" s="4">
        <f>+AD_tis!AB3*AD_tis!AB$51*AD_tis!$BD3</f>
        <v>0</v>
      </c>
      <c r="AC3" s="12">
        <f>+AD_tis!AC3*AD_tis!AC$51*AD_tis!$BD3</f>
        <v>0</v>
      </c>
      <c r="AD3" s="4">
        <f>+AD_tis!AD3*AD_tis!AD$51*AD_tis!$BD3</f>
        <v>0</v>
      </c>
      <c r="AE3" s="4">
        <f>+AD_tis!AE3*AD_tis!AE$51*AD_tis!$BD3</f>
        <v>0</v>
      </c>
      <c r="AF3" s="4">
        <f>+AD_tis!AF3*AD_tis!AF$51*AD_tis!$BD3</f>
        <v>0</v>
      </c>
      <c r="AG3" s="4">
        <f>+AD_tis!AG3*AD_tis!AG$51*AD_tis!$BD3</f>
        <v>0</v>
      </c>
      <c r="AH3" s="4">
        <f>+AD_tis!AH3*AD_tis!AH$51*AD_tis!$BD3</f>
        <v>0</v>
      </c>
      <c r="AI3" s="4">
        <f>+AD_tis!AI3*AD_tis!AI$51*AD_tis!$BD3</f>
        <v>0</v>
      </c>
      <c r="AJ3" s="4">
        <f>+AD_tis!AJ3*AD_tis!AJ$51*AD_tis!$BD3</f>
        <v>0</v>
      </c>
      <c r="AK3" s="4">
        <f>+AD_tis!AK3*AD_tis!AK$51*AD_tis!$BD3</f>
        <v>0</v>
      </c>
      <c r="AL3" s="4">
        <f>+AD_tis!AL3*AD_tis!AL$51*AD_tis!$BD3</f>
        <v>0</v>
      </c>
      <c r="AM3" s="13">
        <f>+AD_tis!AM3*AD_tis!AM$51*AD_tis!$BD3</f>
        <v>0</v>
      </c>
      <c r="AN3" s="4">
        <f>+AD_tis!AN3*AD_tis!AN$51*AD_tis!$BD3</f>
        <v>0</v>
      </c>
      <c r="AO3" s="4">
        <f>+AD_tis!AO3*AD_tis!AO$51*AD_tis!$BD3</f>
        <v>0</v>
      </c>
      <c r="AP3" s="4">
        <f>+AD_tis!AP3*AD_tis!AP$51*AD_tis!$BD3</f>
        <v>0</v>
      </c>
      <c r="AQ3" s="4">
        <f>+AD_tis!AQ3*AD_tis!AQ$51*AD_tis!$BD3</f>
        <v>0</v>
      </c>
      <c r="AR3" s="4">
        <f>+AD_tis!AR3*AD_tis!AR$51*AD_tis!$BD3</f>
        <v>0</v>
      </c>
      <c r="AS3" s="4">
        <f>+AD_tis!AS3*AD_tis!AS$51*AD_tis!$BD3</f>
        <v>0</v>
      </c>
      <c r="AT3" s="4">
        <f>+AD_tis!AT3*AD_tis!AT$51*AD_tis!$BD3</f>
        <v>0</v>
      </c>
      <c r="AU3" s="4">
        <f>+AD_tis!AU3*AD_tis!AU$51*AD_tis!$BD3</f>
        <v>0</v>
      </c>
      <c r="AV3" s="4">
        <f>+AD_tis!AV3*AD_tis!AV$51*AD_tis!$BD3</f>
        <v>0</v>
      </c>
      <c r="AW3" s="12">
        <f>+AD_tis!AW3*AD_tis!AW$51*AD_tis!$BD3</f>
        <v>0</v>
      </c>
      <c r="AX3" s="13">
        <f>+AD_tis!AX3*AD_tis!AX$51*AD_tis!$BD3</f>
        <v>0</v>
      </c>
      <c r="AY3" s="4">
        <f>+AD_tis!AY3*AD_tis!AY$51*AD_tis!$BD3</f>
        <v>0</v>
      </c>
      <c r="AZ3" s="4">
        <f>+AD_tis!AZ3*AD_tis!AZ$51*AD_tis!$BD3</f>
        <v>0</v>
      </c>
      <c r="BA3" s="12">
        <f>+AD_tis!BA3*AD_tis!BA$51*AD_tis!$BD3</f>
        <v>0</v>
      </c>
      <c r="BB3" s="4">
        <f>+AD_tis!BB3*AD_tis!BB$51*AD_tis!$BD3</f>
        <v>0</v>
      </c>
      <c r="BC3" s="13">
        <f>+AD_tis!BC3*AD_tis!BC$51*AD_tis!$BD3</f>
        <v>0</v>
      </c>
    </row>
    <row r="4" spans="1:55" ht="18.75" customHeight="1" x14ac:dyDescent="0.25">
      <c r="A4" s="5" t="s">
        <v>55</v>
      </c>
      <c r="B4" s="12">
        <f>+AD_tis!B4*AD_tis!B$51*AD_tis!$BD4</f>
        <v>0</v>
      </c>
      <c r="C4" s="4">
        <f>+AD_tis!C4*AD_tis!C$51*AD_tis!$BD4</f>
        <v>0</v>
      </c>
      <c r="D4" s="4">
        <f>+AD_tis!D4*AD_tis!D$51*AD_tis!$BD4</f>
        <v>0</v>
      </c>
      <c r="E4" s="4">
        <f>+AD_tis!E4*AD_tis!E$51*AD_tis!$BD4</f>
        <v>0</v>
      </c>
      <c r="F4" s="4">
        <f>+AD_tis!F4*AD_tis!F$51*AD_tis!$BD4</f>
        <v>0</v>
      </c>
      <c r="G4" s="4">
        <f>+AD_tis!G4*AD_tis!G$51*AD_tis!$BD4</f>
        <v>0</v>
      </c>
      <c r="H4" s="4">
        <f>+AD_tis!H4*AD_tis!H$51*AD_tis!$BD4</f>
        <v>0</v>
      </c>
      <c r="I4" s="4">
        <f>+AD_tis!I4*AD_tis!I$51*AD_tis!$BD4</f>
        <v>0</v>
      </c>
      <c r="J4" s="4">
        <f>+AD_tis!J4*AD_tis!J$51*AD_tis!$BD4</f>
        <v>0</v>
      </c>
      <c r="K4" s="4">
        <f>+AD_tis!K4*AD_tis!K$51*AD_tis!$BD4</f>
        <v>0</v>
      </c>
      <c r="L4" s="4">
        <f>+AD_tis!L4*AD_tis!L$51*AD_tis!$BD4</f>
        <v>0</v>
      </c>
      <c r="M4" s="4">
        <f>+AD_tis!M4*AD_tis!M$51*AD_tis!$BD4</f>
        <v>0</v>
      </c>
      <c r="N4" s="4">
        <f>+AD_tis!N4*AD_tis!N$51*AD_tis!$BD4</f>
        <v>0</v>
      </c>
      <c r="O4" s="4">
        <f>+AD_tis!O4*AD_tis!O$51*AD_tis!$BD4</f>
        <v>0</v>
      </c>
      <c r="P4" s="4">
        <f>+AD_tis!P4*AD_tis!P$51*AD_tis!$BD4</f>
        <v>0</v>
      </c>
      <c r="Q4" s="4">
        <f>+AD_tis!Q4*AD_tis!Q$51*AD_tis!$BD4</f>
        <v>0</v>
      </c>
      <c r="R4" s="13">
        <f>+AD_tis!R4*AD_tis!R$51*AD_tis!$BD4</f>
        <v>0</v>
      </c>
      <c r="S4" s="4">
        <f>+AD_tis!S4*AD_tis!S$51*AD_tis!$BD4</f>
        <v>0</v>
      </c>
      <c r="T4" s="4">
        <f>+AD_tis!T4*AD_tis!T$51*AD_tis!$BD4</f>
        <v>0</v>
      </c>
      <c r="U4" s="4">
        <f>+AD_tis!U4*AD_tis!U$51*AD_tis!$BD4</f>
        <v>0</v>
      </c>
      <c r="V4" s="4">
        <f>+AD_tis!V4*AD_tis!V$51*AD_tis!$BD4</f>
        <v>0</v>
      </c>
      <c r="W4" s="4">
        <f>+AD_tis!W4*AD_tis!W$51*AD_tis!$BD4</f>
        <v>0</v>
      </c>
      <c r="X4" s="4">
        <f>+AD_tis!X4*AD_tis!X$51*AD_tis!$BD4</f>
        <v>0</v>
      </c>
      <c r="Y4" s="4">
        <f>+AD_tis!Y4*AD_tis!Y$51*AD_tis!$BD4</f>
        <v>0</v>
      </c>
      <c r="Z4" s="4">
        <f>+AD_tis!Z4*AD_tis!Z$51*AD_tis!$BD4</f>
        <v>0</v>
      </c>
      <c r="AA4" s="4">
        <f>+AD_tis!AA4*AD_tis!AA$51*AD_tis!$BD4</f>
        <v>0</v>
      </c>
      <c r="AB4" s="4">
        <f>+AD_tis!AB4*AD_tis!AB$51*AD_tis!$BD4</f>
        <v>0</v>
      </c>
      <c r="AC4" s="12">
        <f>+AD_tis!AC4*AD_tis!AC$51*AD_tis!$BD4</f>
        <v>0</v>
      </c>
      <c r="AD4" s="4">
        <f>+AD_tis!AD4*AD_tis!AD$51*AD_tis!$BD4</f>
        <v>0</v>
      </c>
      <c r="AE4" s="4">
        <f>+AD_tis!AE4*AD_tis!AE$51*AD_tis!$BD4</f>
        <v>0</v>
      </c>
      <c r="AF4" s="4">
        <f>+AD_tis!AF4*AD_tis!AF$51*AD_tis!$BD4</f>
        <v>0</v>
      </c>
      <c r="AG4" s="4">
        <f>+AD_tis!AG4*AD_tis!AG$51*AD_tis!$BD4</f>
        <v>0</v>
      </c>
      <c r="AH4" s="4">
        <f>+AD_tis!AH4*AD_tis!AH$51*AD_tis!$BD4</f>
        <v>0</v>
      </c>
      <c r="AI4" s="4">
        <f>+AD_tis!AI4*AD_tis!AI$51*AD_tis!$BD4</f>
        <v>0</v>
      </c>
      <c r="AJ4" s="4">
        <f>+AD_tis!AJ4*AD_tis!AJ$51*AD_tis!$BD4</f>
        <v>0</v>
      </c>
      <c r="AK4" s="4">
        <f>+AD_tis!AK4*AD_tis!AK$51*AD_tis!$BD4</f>
        <v>0</v>
      </c>
      <c r="AL4" s="4">
        <f>+AD_tis!AL4*AD_tis!AL$51*AD_tis!$BD4</f>
        <v>0</v>
      </c>
      <c r="AM4" s="13">
        <f>+AD_tis!AM4*AD_tis!AM$51*AD_tis!$BD4</f>
        <v>0</v>
      </c>
      <c r="AN4" s="4">
        <f>+AD_tis!AN4*AD_tis!AN$51*AD_tis!$BD4</f>
        <v>0</v>
      </c>
      <c r="AO4" s="4">
        <f>+AD_tis!AO4*AD_tis!AO$51*AD_tis!$BD4</f>
        <v>0</v>
      </c>
      <c r="AP4" s="4">
        <f>+AD_tis!AP4*AD_tis!AP$51*AD_tis!$BD4</f>
        <v>0</v>
      </c>
      <c r="AQ4" s="4">
        <f>+AD_tis!AQ4*AD_tis!AQ$51*AD_tis!$BD4</f>
        <v>0</v>
      </c>
      <c r="AR4" s="4">
        <f>+AD_tis!AR4*AD_tis!AR$51*AD_tis!$BD4</f>
        <v>0</v>
      </c>
      <c r="AS4" s="4">
        <f>+AD_tis!AS4*AD_tis!AS$51*AD_tis!$BD4</f>
        <v>0</v>
      </c>
      <c r="AT4" s="4">
        <f>+AD_tis!AT4*AD_tis!AT$51*AD_tis!$BD4</f>
        <v>0</v>
      </c>
      <c r="AU4" s="4">
        <f>+AD_tis!AU4*AD_tis!AU$51*AD_tis!$BD4</f>
        <v>0</v>
      </c>
      <c r="AV4" s="4">
        <f>+AD_tis!AV4*AD_tis!AV$51*AD_tis!$BD4</f>
        <v>0</v>
      </c>
      <c r="AW4" s="12">
        <f>+AD_tis!AW4*AD_tis!AW$51*AD_tis!$BD4</f>
        <v>0</v>
      </c>
      <c r="AX4" s="13">
        <f>+AD_tis!AX4*AD_tis!AX$51*AD_tis!$BD4</f>
        <v>0</v>
      </c>
      <c r="AY4" s="4">
        <f>+AD_tis!AY4*AD_tis!AY$51*AD_tis!$BD4</f>
        <v>0</v>
      </c>
      <c r="AZ4" s="4">
        <f>+AD_tis!AZ4*AD_tis!AZ$51*AD_tis!$BD4</f>
        <v>0</v>
      </c>
      <c r="BA4" s="12">
        <f>+AD_tis!BA4*AD_tis!BA$51*AD_tis!$BD4</f>
        <v>0</v>
      </c>
      <c r="BB4" s="4">
        <f>+AD_tis!BB4*AD_tis!BB$51*AD_tis!$BD4</f>
        <v>0</v>
      </c>
      <c r="BC4" s="13">
        <f>+AD_tis!BC4*AD_tis!BC$51*AD_tis!$BD4</f>
        <v>0</v>
      </c>
    </row>
    <row r="5" spans="1:55" ht="18.75" customHeight="1" x14ac:dyDescent="0.25">
      <c r="A5" s="5" t="s">
        <v>56</v>
      </c>
      <c r="B5" s="12">
        <f>+AD_tis!B5*AD_tis!B$51*AD_tis!$BD5</f>
        <v>0</v>
      </c>
      <c r="C5" s="4">
        <f>+AD_tis!C5*AD_tis!C$51*AD_tis!$BD5</f>
        <v>0</v>
      </c>
      <c r="D5" s="4">
        <f>+AD_tis!D5*AD_tis!D$51*AD_tis!$BD5</f>
        <v>0</v>
      </c>
      <c r="E5" s="4">
        <f>+AD_tis!E5*AD_tis!E$51*AD_tis!$BD5</f>
        <v>0</v>
      </c>
      <c r="F5" s="4">
        <f>+AD_tis!F5*AD_tis!F$51*AD_tis!$BD5</f>
        <v>0</v>
      </c>
      <c r="G5" s="4">
        <f>+AD_tis!G5*AD_tis!G$51*AD_tis!$BD5</f>
        <v>0</v>
      </c>
      <c r="H5" s="4">
        <f>+AD_tis!H5*AD_tis!H$51*AD_tis!$BD5</f>
        <v>0</v>
      </c>
      <c r="I5" s="4">
        <f>+AD_tis!I5*AD_tis!I$51*AD_tis!$BD5</f>
        <v>0</v>
      </c>
      <c r="J5" s="4">
        <f>+AD_tis!J5*AD_tis!J$51*AD_tis!$BD5</f>
        <v>0</v>
      </c>
      <c r="K5" s="4">
        <f>+AD_tis!K5*AD_tis!K$51*AD_tis!$BD5</f>
        <v>0</v>
      </c>
      <c r="L5" s="4">
        <f>+AD_tis!L5*AD_tis!L$51*AD_tis!$BD5</f>
        <v>0</v>
      </c>
      <c r="M5" s="4">
        <f>+AD_tis!M5*AD_tis!M$51*AD_tis!$BD5</f>
        <v>0</v>
      </c>
      <c r="N5" s="4">
        <f>+AD_tis!N5*AD_tis!N$51*AD_tis!$BD5</f>
        <v>0</v>
      </c>
      <c r="O5" s="4">
        <f>+AD_tis!O5*AD_tis!O$51*AD_tis!$BD5</f>
        <v>0</v>
      </c>
      <c r="P5" s="4">
        <f>+AD_tis!P5*AD_tis!P$51*AD_tis!$BD5</f>
        <v>0</v>
      </c>
      <c r="Q5" s="4">
        <f>+AD_tis!Q5*AD_tis!Q$51*AD_tis!$BD5</f>
        <v>0</v>
      </c>
      <c r="R5" s="13">
        <f>+AD_tis!R5*AD_tis!R$51*AD_tis!$BD5</f>
        <v>0</v>
      </c>
      <c r="S5" s="4">
        <f>+AD_tis!S5*AD_tis!S$51*AD_tis!$BD5</f>
        <v>0</v>
      </c>
      <c r="T5" s="4">
        <f>+AD_tis!T5*AD_tis!T$51*AD_tis!$BD5</f>
        <v>0</v>
      </c>
      <c r="U5" s="4">
        <f>+AD_tis!U5*AD_tis!U$51*AD_tis!$BD5</f>
        <v>0</v>
      </c>
      <c r="V5" s="4">
        <f>+AD_tis!V5*AD_tis!V$51*AD_tis!$BD5</f>
        <v>0</v>
      </c>
      <c r="W5" s="4">
        <f>+AD_tis!W5*AD_tis!W$51*AD_tis!$BD5</f>
        <v>0</v>
      </c>
      <c r="X5" s="4">
        <f>+AD_tis!X5*AD_tis!X$51*AD_tis!$BD5</f>
        <v>0</v>
      </c>
      <c r="Y5" s="4">
        <f>+AD_tis!Y5*AD_tis!Y$51*AD_tis!$BD5</f>
        <v>0</v>
      </c>
      <c r="Z5" s="4">
        <f>+AD_tis!Z5*AD_tis!Z$51*AD_tis!$BD5</f>
        <v>0</v>
      </c>
      <c r="AA5" s="4">
        <f>+AD_tis!AA5*AD_tis!AA$51*AD_tis!$BD5</f>
        <v>0</v>
      </c>
      <c r="AB5" s="4">
        <f>+AD_tis!AB5*AD_tis!AB$51*AD_tis!$BD5</f>
        <v>0</v>
      </c>
      <c r="AC5" s="12">
        <f>+AD_tis!AC5*AD_tis!AC$51*AD_tis!$BD5</f>
        <v>0</v>
      </c>
      <c r="AD5" s="4">
        <f>+AD_tis!AD5*AD_tis!AD$51*AD_tis!$BD5</f>
        <v>0</v>
      </c>
      <c r="AE5" s="4">
        <f>+AD_tis!AE5*AD_tis!AE$51*AD_tis!$BD5</f>
        <v>0</v>
      </c>
      <c r="AF5" s="4">
        <f>+AD_tis!AF5*AD_tis!AF$51*AD_tis!$BD5</f>
        <v>0</v>
      </c>
      <c r="AG5" s="4">
        <f>+AD_tis!AG5*AD_tis!AG$51*AD_tis!$BD5</f>
        <v>0</v>
      </c>
      <c r="AH5" s="4">
        <f>+AD_tis!AH5*AD_tis!AH$51*AD_tis!$BD5</f>
        <v>0</v>
      </c>
      <c r="AI5" s="4">
        <f>+AD_tis!AI5*AD_tis!AI$51*AD_tis!$BD5</f>
        <v>0</v>
      </c>
      <c r="AJ5" s="4">
        <f>+AD_tis!AJ5*AD_tis!AJ$51*AD_tis!$BD5</f>
        <v>0</v>
      </c>
      <c r="AK5" s="4">
        <f>+AD_tis!AK5*AD_tis!AK$51*AD_tis!$BD5</f>
        <v>0</v>
      </c>
      <c r="AL5" s="4">
        <f>+AD_tis!AL5*AD_tis!AL$51*AD_tis!$BD5</f>
        <v>0</v>
      </c>
      <c r="AM5" s="13">
        <f>+AD_tis!AM5*AD_tis!AM$51*AD_tis!$BD5</f>
        <v>0</v>
      </c>
      <c r="AN5" s="4">
        <f>+AD_tis!AN5*AD_tis!AN$51*AD_tis!$BD5</f>
        <v>0</v>
      </c>
      <c r="AO5" s="4">
        <f>+AD_tis!AO5*AD_tis!AO$51*AD_tis!$BD5</f>
        <v>0</v>
      </c>
      <c r="AP5" s="4">
        <f>+AD_tis!AP5*AD_tis!AP$51*AD_tis!$BD5</f>
        <v>0</v>
      </c>
      <c r="AQ5" s="4">
        <f>+AD_tis!AQ5*AD_tis!AQ$51*AD_tis!$BD5</f>
        <v>0</v>
      </c>
      <c r="AR5" s="4">
        <f>+AD_tis!AR5*AD_tis!AR$51*AD_tis!$BD5</f>
        <v>0</v>
      </c>
      <c r="AS5" s="4">
        <f>+AD_tis!AS5*AD_tis!AS$51*AD_tis!$BD5</f>
        <v>0</v>
      </c>
      <c r="AT5" s="4">
        <f>+AD_tis!AT5*AD_tis!AT$51*AD_tis!$BD5</f>
        <v>0</v>
      </c>
      <c r="AU5" s="4">
        <f>+AD_tis!AU5*AD_tis!AU$51*AD_tis!$BD5</f>
        <v>0</v>
      </c>
      <c r="AV5" s="4">
        <f>+AD_tis!AV5*AD_tis!AV$51*AD_tis!$BD5</f>
        <v>0</v>
      </c>
      <c r="AW5" s="12">
        <f>+AD_tis!AW5*AD_tis!AW$51*AD_tis!$BD5</f>
        <v>0</v>
      </c>
      <c r="AX5" s="13">
        <f>+AD_tis!AX5*AD_tis!AX$51*AD_tis!$BD5</f>
        <v>0</v>
      </c>
      <c r="AY5" s="4">
        <f>+AD_tis!AY5*AD_tis!AY$51*AD_tis!$BD5</f>
        <v>0</v>
      </c>
      <c r="AZ5" s="4">
        <f>+AD_tis!AZ5*AD_tis!AZ$51*AD_tis!$BD5</f>
        <v>0</v>
      </c>
      <c r="BA5" s="12">
        <f>+AD_tis!BA5*AD_tis!BA$51*AD_tis!$BD5</f>
        <v>0</v>
      </c>
      <c r="BB5" s="4">
        <f>+AD_tis!BB5*AD_tis!BB$51*AD_tis!$BD5</f>
        <v>0</v>
      </c>
      <c r="BC5" s="13">
        <f>+AD_tis!BC5*AD_tis!BC$51*AD_tis!$BD5</f>
        <v>0</v>
      </c>
    </row>
    <row r="6" spans="1:55" ht="18.75" customHeight="1" x14ac:dyDescent="0.25">
      <c r="A6" s="5" t="s">
        <v>57</v>
      </c>
      <c r="B6" s="12">
        <f>+AD_tis!B6*AD_tis!B$51*AD_tis!$BD6</f>
        <v>0</v>
      </c>
      <c r="C6" s="4">
        <f>+AD_tis!C6*AD_tis!C$51*AD_tis!$BD6</f>
        <v>0</v>
      </c>
      <c r="D6" s="4">
        <f>+AD_tis!D6*AD_tis!D$51*AD_tis!$BD6</f>
        <v>0</v>
      </c>
      <c r="E6" s="4">
        <f>+AD_tis!E6*AD_tis!E$51*AD_tis!$BD6</f>
        <v>0</v>
      </c>
      <c r="F6" s="4">
        <f>+AD_tis!F6*AD_tis!F$51*AD_tis!$BD6</f>
        <v>0</v>
      </c>
      <c r="G6" s="4">
        <f>+AD_tis!G6*AD_tis!G$51*AD_tis!$BD6</f>
        <v>0</v>
      </c>
      <c r="H6" s="4">
        <f>+AD_tis!H6*AD_tis!H$51*AD_tis!$BD6</f>
        <v>0</v>
      </c>
      <c r="I6" s="4">
        <f>+AD_tis!I6*AD_tis!I$51*AD_tis!$BD6</f>
        <v>0</v>
      </c>
      <c r="J6" s="4">
        <f>+AD_tis!J6*AD_tis!J$51*AD_tis!$BD6</f>
        <v>0</v>
      </c>
      <c r="K6" s="4">
        <f>+AD_tis!K6*AD_tis!K$51*AD_tis!$BD6</f>
        <v>0</v>
      </c>
      <c r="L6" s="4">
        <f>+AD_tis!L6*AD_tis!L$51*AD_tis!$BD6</f>
        <v>0</v>
      </c>
      <c r="M6" s="4">
        <f>+AD_tis!M6*AD_tis!M$51*AD_tis!$BD6</f>
        <v>0</v>
      </c>
      <c r="N6" s="4">
        <f>+AD_tis!N6*AD_tis!N$51*AD_tis!$BD6</f>
        <v>0</v>
      </c>
      <c r="O6" s="4">
        <f>+AD_tis!O6*AD_tis!O$51*AD_tis!$BD6</f>
        <v>0</v>
      </c>
      <c r="P6" s="4">
        <f>+AD_tis!P6*AD_tis!P$51*AD_tis!$BD6</f>
        <v>0</v>
      </c>
      <c r="Q6" s="4">
        <f>+AD_tis!Q6*AD_tis!Q$51*AD_tis!$BD6</f>
        <v>0</v>
      </c>
      <c r="R6" s="13">
        <f>+AD_tis!R6*AD_tis!R$51*AD_tis!$BD6</f>
        <v>0</v>
      </c>
      <c r="S6" s="4">
        <f>+AD_tis!S6*AD_tis!S$51*AD_tis!$BD6</f>
        <v>0</v>
      </c>
      <c r="T6" s="4">
        <f>+AD_tis!T6*AD_tis!T$51*AD_tis!$BD6</f>
        <v>0</v>
      </c>
      <c r="U6" s="4">
        <f>+AD_tis!U6*AD_tis!U$51*AD_tis!$BD6</f>
        <v>0</v>
      </c>
      <c r="V6" s="4">
        <f>+AD_tis!V6*AD_tis!V$51*AD_tis!$BD6</f>
        <v>0</v>
      </c>
      <c r="W6" s="4">
        <f>+AD_tis!W6*AD_tis!W$51*AD_tis!$BD6</f>
        <v>0</v>
      </c>
      <c r="X6" s="4">
        <f>+AD_tis!X6*AD_tis!X$51*AD_tis!$BD6</f>
        <v>0</v>
      </c>
      <c r="Y6" s="4">
        <f>+AD_tis!Y6*AD_tis!Y$51*AD_tis!$BD6</f>
        <v>0</v>
      </c>
      <c r="Z6" s="4">
        <f>+AD_tis!Z6*AD_tis!Z$51*AD_tis!$BD6</f>
        <v>0</v>
      </c>
      <c r="AA6" s="4">
        <f>+AD_tis!AA6*AD_tis!AA$51*AD_tis!$BD6</f>
        <v>0</v>
      </c>
      <c r="AB6" s="4">
        <f>+AD_tis!AB6*AD_tis!AB$51*AD_tis!$BD6</f>
        <v>0</v>
      </c>
      <c r="AC6" s="12">
        <f>+AD_tis!AC6*AD_tis!AC$51*AD_tis!$BD6</f>
        <v>0</v>
      </c>
      <c r="AD6" s="4">
        <f>+AD_tis!AD6*AD_tis!AD$51*AD_tis!$BD6</f>
        <v>0</v>
      </c>
      <c r="AE6" s="4">
        <f>+AD_tis!AE6*AD_tis!AE$51*AD_tis!$BD6</f>
        <v>0</v>
      </c>
      <c r="AF6" s="4">
        <f>+AD_tis!AF6*AD_tis!AF$51*AD_tis!$BD6</f>
        <v>0</v>
      </c>
      <c r="AG6" s="4">
        <f>+AD_tis!AG6*AD_tis!AG$51*AD_tis!$BD6</f>
        <v>0</v>
      </c>
      <c r="AH6" s="4">
        <f>+AD_tis!AH6*AD_tis!AH$51*AD_tis!$BD6</f>
        <v>0</v>
      </c>
      <c r="AI6" s="4">
        <f>+AD_tis!AI6*AD_tis!AI$51*AD_tis!$BD6</f>
        <v>0</v>
      </c>
      <c r="AJ6" s="4">
        <f>+AD_tis!AJ6*AD_tis!AJ$51*AD_tis!$BD6</f>
        <v>0</v>
      </c>
      <c r="AK6" s="4">
        <f>+AD_tis!AK6*AD_tis!AK$51*AD_tis!$BD6</f>
        <v>0</v>
      </c>
      <c r="AL6" s="4">
        <f>+AD_tis!AL6*AD_tis!AL$51*AD_tis!$BD6</f>
        <v>0</v>
      </c>
      <c r="AM6" s="13">
        <f>+AD_tis!AM6*AD_tis!AM$51*AD_tis!$BD6</f>
        <v>0</v>
      </c>
      <c r="AN6" s="4">
        <f>+AD_tis!AN6*AD_tis!AN$51*AD_tis!$BD6</f>
        <v>0</v>
      </c>
      <c r="AO6" s="4">
        <f>+AD_tis!AO6*AD_tis!AO$51*AD_tis!$BD6</f>
        <v>0</v>
      </c>
      <c r="AP6" s="4">
        <f>+AD_tis!AP6*AD_tis!AP$51*AD_tis!$BD6</f>
        <v>0</v>
      </c>
      <c r="AQ6" s="4">
        <f>+AD_tis!AQ6*AD_tis!AQ$51*AD_tis!$BD6</f>
        <v>0</v>
      </c>
      <c r="AR6" s="4">
        <f>+AD_tis!AR6*AD_tis!AR$51*AD_tis!$BD6</f>
        <v>0</v>
      </c>
      <c r="AS6" s="4">
        <f>+AD_tis!AS6*AD_tis!AS$51*AD_tis!$BD6</f>
        <v>0</v>
      </c>
      <c r="AT6" s="4">
        <f>+AD_tis!AT6*AD_tis!AT$51*AD_tis!$BD6</f>
        <v>0</v>
      </c>
      <c r="AU6" s="4">
        <f>+AD_tis!AU6*AD_tis!AU$51*AD_tis!$BD6</f>
        <v>0</v>
      </c>
      <c r="AV6" s="4">
        <f>+AD_tis!AV6*AD_tis!AV$51*AD_tis!$BD6</f>
        <v>0</v>
      </c>
      <c r="AW6" s="12">
        <f>+AD_tis!AW6*AD_tis!AW$51*AD_tis!$BD6</f>
        <v>0</v>
      </c>
      <c r="AX6" s="13">
        <f>+AD_tis!AX6*AD_tis!AX$51*AD_tis!$BD6</f>
        <v>0</v>
      </c>
      <c r="AY6" s="4">
        <f>+AD_tis!AY6*AD_tis!AY$51*AD_tis!$BD6</f>
        <v>0</v>
      </c>
      <c r="AZ6" s="4">
        <f>+AD_tis!AZ6*AD_tis!AZ$51*AD_tis!$BD6</f>
        <v>0</v>
      </c>
      <c r="BA6" s="12">
        <f>+AD_tis!BA6*AD_tis!BA$51*AD_tis!$BD6</f>
        <v>0</v>
      </c>
      <c r="BB6" s="4">
        <f>+AD_tis!BB6*AD_tis!BB$51*AD_tis!$BD6</f>
        <v>0</v>
      </c>
      <c r="BC6" s="13">
        <f>+AD_tis!BC6*AD_tis!BC$51*AD_tis!$BD6</f>
        <v>0</v>
      </c>
    </row>
    <row r="7" spans="1:55" ht="18.75" customHeight="1" x14ac:dyDescent="0.25">
      <c r="A7" s="5" t="s">
        <v>58</v>
      </c>
      <c r="B7" s="12">
        <f>+AD_tis!B7*AD_tis!B$51*AD_tis!$BD7</f>
        <v>0</v>
      </c>
      <c r="C7" s="4">
        <f>+AD_tis!C7*AD_tis!C$51*AD_tis!$BD7</f>
        <v>0</v>
      </c>
      <c r="D7" s="4">
        <f>+AD_tis!D7*AD_tis!D$51*AD_tis!$BD7</f>
        <v>0</v>
      </c>
      <c r="E7" s="4">
        <f>+AD_tis!E7*AD_tis!E$51*AD_tis!$BD7</f>
        <v>0</v>
      </c>
      <c r="F7" s="4">
        <f>+AD_tis!F7*AD_tis!F$51*AD_tis!$BD7</f>
        <v>0</v>
      </c>
      <c r="G7" s="4">
        <f>+AD_tis!G7*AD_tis!G$51*AD_tis!$BD7</f>
        <v>0</v>
      </c>
      <c r="H7" s="4">
        <f>+AD_tis!H7*AD_tis!H$51*AD_tis!$BD7</f>
        <v>0</v>
      </c>
      <c r="I7" s="4">
        <f>+AD_tis!I7*AD_tis!I$51*AD_tis!$BD7</f>
        <v>0</v>
      </c>
      <c r="J7" s="4">
        <f>+AD_tis!J7*AD_tis!J$51*AD_tis!$BD7</f>
        <v>0</v>
      </c>
      <c r="K7" s="4">
        <f>+AD_tis!K7*AD_tis!K$51*AD_tis!$BD7</f>
        <v>0</v>
      </c>
      <c r="L7" s="4">
        <f>+AD_tis!L7*AD_tis!L$51*AD_tis!$BD7</f>
        <v>0</v>
      </c>
      <c r="M7" s="4">
        <f>+AD_tis!M7*AD_tis!M$51*AD_tis!$BD7</f>
        <v>0</v>
      </c>
      <c r="N7" s="4">
        <f>+AD_tis!N7*AD_tis!N$51*AD_tis!$BD7</f>
        <v>0</v>
      </c>
      <c r="O7" s="4">
        <f>+AD_tis!O7*AD_tis!O$51*AD_tis!$BD7</f>
        <v>0</v>
      </c>
      <c r="P7" s="4">
        <f>+AD_tis!P7*AD_tis!P$51*AD_tis!$BD7</f>
        <v>0</v>
      </c>
      <c r="Q7" s="4">
        <f>+AD_tis!Q7*AD_tis!Q$51*AD_tis!$BD7</f>
        <v>0</v>
      </c>
      <c r="R7" s="13">
        <f>+AD_tis!R7*AD_tis!R$51*AD_tis!$BD7</f>
        <v>0</v>
      </c>
      <c r="S7" s="4">
        <f>+AD_tis!S7*AD_tis!S$51*AD_tis!$BD7</f>
        <v>0</v>
      </c>
      <c r="T7" s="4">
        <f>+AD_tis!T7*AD_tis!T$51*AD_tis!$BD7</f>
        <v>0</v>
      </c>
      <c r="U7" s="4">
        <f>+AD_tis!U7*AD_tis!U$51*AD_tis!$BD7</f>
        <v>0</v>
      </c>
      <c r="V7" s="4">
        <f>+AD_tis!V7*AD_tis!V$51*AD_tis!$BD7</f>
        <v>0</v>
      </c>
      <c r="W7" s="4">
        <f>+AD_tis!W7*AD_tis!W$51*AD_tis!$BD7</f>
        <v>0</v>
      </c>
      <c r="X7" s="4">
        <f>+AD_tis!X7*AD_tis!X$51*AD_tis!$BD7</f>
        <v>0</v>
      </c>
      <c r="Y7" s="4">
        <f>+AD_tis!Y7*AD_tis!Y$51*AD_tis!$BD7</f>
        <v>0</v>
      </c>
      <c r="Z7" s="4">
        <f>+AD_tis!Z7*AD_tis!Z$51*AD_tis!$BD7</f>
        <v>0</v>
      </c>
      <c r="AA7" s="4">
        <f>+AD_tis!AA7*AD_tis!AA$51*AD_tis!$BD7</f>
        <v>0</v>
      </c>
      <c r="AB7" s="4">
        <f>+AD_tis!AB7*AD_tis!AB$51*AD_tis!$BD7</f>
        <v>0</v>
      </c>
      <c r="AC7" s="12">
        <f>+AD_tis!AC7*AD_tis!AC$51*AD_tis!$BD7</f>
        <v>0</v>
      </c>
      <c r="AD7" s="4">
        <f>+AD_tis!AD7*AD_tis!AD$51*AD_tis!$BD7</f>
        <v>0</v>
      </c>
      <c r="AE7" s="4">
        <f>+AD_tis!AE7*AD_tis!AE$51*AD_tis!$BD7</f>
        <v>0</v>
      </c>
      <c r="AF7" s="4">
        <f>+AD_tis!AF7*AD_tis!AF$51*AD_tis!$BD7</f>
        <v>0</v>
      </c>
      <c r="AG7" s="4">
        <f>+AD_tis!AG7*AD_tis!AG$51*AD_tis!$BD7</f>
        <v>0</v>
      </c>
      <c r="AH7" s="4">
        <f>+AD_tis!AH7*AD_tis!AH$51*AD_tis!$BD7</f>
        <v>0</v>
      </c>
      <c r="AI7" s="4">
        <f>+AD_tis!AI7*AD_tis!AI$51*AD_tis!$BD7</f>
        <v>0</v>
      </c>
      <c r="AJ7" s="4">
        <f>+AD_tis!AJ7*AD_tis!AJ$51*AD_tis!$BD7</f>
        <v>0</v>
      </c>
      <c r="AK7" s="4">
        <f>+AD_tis!AK7*AD_tis!AK$51*AD_tis!$BD7</f>
        <v>0</v>
      </c>
      <c r="AL7" s="4">
        <f>+AD_tis!AL7*AD_tis!AL$51*AD_tis!$BD7</f>
        <v>0</v>
      </c>
      <c r="AM7" s="13">
        <f>+AD_tis!AM7*AD_tis!AM$51*AD_tis!$BD7</f>
        <v>0</v>
      </c>
      <c r="AN7" s="4">
        <f>+AD_tis!AN7*AD_tis!AN$51*AD_tis!$BD7</f>
        <v>0</v>
      </c>
      <c r="AO7" s="4">
        <f>+AD_tis!AO7*AD_tis!AO$51*AD_tis!$BD7</f>
        <v>0</v>
      </c>
      <c r="AP7" s="4">
        <f>+AD_tis!AP7*AD_tis!AP$51*AD_tis!$BD7</f>
        <v>0</v>
      </c>
      <c r="AQ7" s="4">
        <f>+AD_tis!AQ7*AD_tis!AQ$51*AD_tis!$BD7</f>
        <v>0</v>
      </c>
      <c r="AR7" s="4">
        <f>+AD_tis!AR7*AD_tis!AR$51*AD_tis!$BD7</f>
        <v>0</v>
      </c>
      <c r="AS7" s="4">
        <f>+AD_tis!AS7*AD_tis!AS$51*AD_tis!$BD7</f>
        <v>0</v>
      </c>
      <c r="AT7" s="4">
        <f>+AD_tis!AT7*AD_tis!AT$51*AD_tis!$BD7</f>
        <v>0</v>
      </c>
      <c r="AU7" s="4">
        <f>+AD_tis!AU7*AD_tis!AU$51*AD_tis!$BD7</f>
        <v>0</v>
      </c>
      <c r="AV7" s="4">
        <f>+AD_tis!AV7*AD_tis!AV$51*AD_tis!$BD7</f>
        <v>0</v>
      </c>
      <c r="AW7" s="12">
        <f>+AD_tis!AW7*AD_tis!AW$51*AD_tis!$BD7</f>
        <v>0</v>
      </c>
      <c r="AX7" s="13">
        <f>+AD_tis!AX7*AD_tis!AX$51*AD_tis!$BD7</f>
        <v>0</v>
      </c>
      <c r="AY7" s="4">
        <f>+AD_tis!AY7*AD_tis!AY$51*AD_tis!$BD7</f>
        <v>0</v>
      </c>
      <c r="AZ7" s="4">
        <f>+AD_tis!AZ7*AD_tis!AZ$51*AD_tis!$BD7</f>
        <v>0</v>
      </c>
      <c r="BA7" s="12">
        <f>+AD_tis!BA7*AD_tis!BA$51*AD_tis!$BD7</f>
        <v>0</v>
      </c>
      <c r="BB7" s="4">
        <f>+AD_tis!BB7*AD_tis!BB$51*AD_tis!$BD7</f>
        <v>0</v>
      </c>
      <c r="BC7" s="13">
        <f>+AD_tis!BC7*AD_tis!BC$51*AD_tis!$BD7</f>
        <v>0</v>
      </c>
    </row>
    <row r="8" spans="1:55" ht="18.75" customHeight="1" x14ac:dyDescent="0.25">
      <c r="A8" s="5" t="s">
        <v>59</v>
      </c>
      <c r="B8" s="12">
        <f>+AD_tis!B8*AD_tis!B$51*AD_tis!$BD8</f>
        <v>0</v>
      </c>
      <c r="C8" s="4">
        <f>+AD_tis!C8*AD_tis!C$51*AD_tis!$BD8</f>
        <v>0</v>
      </c>
      <c r="D8" s="4">
        <f>+AD_tis!D8*AD_tis!D$51*AD_tis!$BD8</f>
        <v>0</v>
      </c>
      <c r="E8" s="4">
        <f>+AD_tis!E8*AD_tis!E$51*AD_tis!$BD8</f>
        <v>0</v>
      </c>
      <c r="F8" s="4">
        <f>+AD_tis!F8*AD_tis!F$51*AD_tis!$BD8</f>
        <v>0</v>
      </c>
      <c r="G8" s="4">
        <f>+AD_tis!G8*AD_tis!G$51*AD_tis!$BD8</f>
        <v>0</v>
      </c>
      <c r="H8" s="4">
        <f>+AD_tis!H8*AD_tis!H$51*AD_tis!$BD8</f>
        <v>0</v>
      </c>
      <c r="I8" s="4">
        <f>+AD_tis!I8*AD_tis!I$51*AD_tis!$BD8</f>
        <v>0</v>
      </c>
      <c r="J8" s="4">
        <f>+AD_tis!J8*AD_tis!J$51*AD_tis!$BD8</f>
        <v>0</v>
      </c>
      <c r="K8" s="4">
        <f>+AD_tis!K8*AD_tis!K$51*AD_tis!$BD8</f>
        <v>0</v>
      </c>
      <c r="L8" s="4">
        <f>+AD_tis!L8*AD_tis!L$51*AD_tis!$BD8</f>
        <v>0</v>
      </c>
      <c r="M8" s="4">
        <f>+AD_tis!M8*AD_tis!M$51*AD_tis!$BD8</f>
        <v>0</v>
      </c>
      <c r="N8" s="4">
        <f>+AD_tis!N8*AD_tis!N$51*AD_tis!$BD8</f>
        <v>0</v>
      </c>
      <c r="O8" s="4">
        <f>+AD_tis!O8*AD_tis!O$51*AD_tis!$BD8</f>
        <v>0</v>
      </c>
      <c r="P8" s="4">
        <f>+AD_tis!P8*AD_tis!P$51*AD_tis!$BD8</f>
        <v>0</v>
      </c>
      <c r="Q8" s="4">
        <f>+AD_tis!Q8*AD_tis!Q$51*AD_tis!$BD8</f>
        <v>0</v>
      </c>
      <c r="R8" s="13">
        <f>+AD_tis!R8*AD_tis!R$51*AD_tis!$BD8</f>
        <v>0</v>
      </c>
      <c r="S8" s="4">
        <f>+AD_tis!S8*AD_tis!S$51*AD_tis!$BD8</f>
        <v>0</v>
      </c>
      <c r="T8" s="4">
        <f>+AD_tis!T8*AD_tis!T$51*AD_tis!$BD8</f>
        <v>0</v>
      </c>
      <c r="U8" s="4">
        <f>+AD_tis!U8*AD_tis!U$51*AD_tis!$BD8</f>
        <v>0</v>
      </c>
      <c r="V8" s="4">
        <f>+AD_tis!V8*AD_tis!V$51*AD_tis!$BD8</f>
        <v>0</v>
      </c>
      <c r="W8" s="4">
        <f>+AD_tis!W8*AD_tis!W$51*AD_tis!$BD8</f>
        <v>0</v>
      </c>
      <c r="X8" s="4">
        <f>+AD_tis!X8*AD_tis!X$51*AD_tis!$BD8</f>
        <v>0</v>
      </c>
      <c r="Y8" s="4">
        <f>+AD_tis!Y8*AD_tis!Y$51*AD_tis!$BD8</f>
        <v>0</v>
      </c>
      <c r="Z8" s="4">
        <f>+AD_tis!Z8*AD_tis!Z$51*AD_tis!$BD8</f>
        <v>0</v>
      </c>
      <c r="AA8" s="4">
        <f>+AD_tis!AA8*AD_tis!AA$51*AD_tis!$BD8</f>
        <v>0</v>
      </c>
      <c r="AB8" s="4">
        <f>+AD_tis!AB8*AD_tis!AB$51*AD_tis!$BD8</f>
        <v>0</v>
      </c>
      <c r="AC8" s="12">
        <f>+AD_tis!AC8*AD_tis!AC$51*AD_tis!$BD8</f>
        <v>0</v>
      </c>
      <c r="AD8" s="4">
        <f>+AD_tis!AD8*AD_tis!AD$51*AD_tis!$BD8</f>
        <v>0</v>
      </c>
      <c r="AE8" s="4">
        <f>+AD_tis!AE8*AD_tis!AE$51*AD_tis!$BD8</f>
        <v>0</v>
      </c>
      <c r="AF8" s="4">
        <f>+AD_tis!AF8*AD_tis!AF$51*AD_tis!$BD8</f>
        <v>0</v>
      </c>
      <c r="AG8" s="4">
        <f>+AD_tis!AG8*AD_tis!AG$51*AD_tis!$BD8</f>
        <v>0</v>
      </c>
      <c r="AH8" s="4">
        <f>+AD_tis!AH8*AD_tis!AH$51*AD_tis!$BD8</f>
        <v>0</v>
      </c>
      <c r="AI8" s="4">
        <f>+AD_tis!AI8*AD_tis!AI$51*AD_tis!$BD8</f>
        <v>0</v>
      </c>
      <c r="AJ8" s="4">
        <f>+AD_tis!AJ8*AD_tis!AJ$51*AD_tis!$BD8</f>
        <v>0</v>
      </c>
      <c r="AK8" s="4">
        <f>+AD_tis!AK8*AD_tis!AK$51*AD_tis!$BD8</f>
        <v>0</v>
      </c>
      <c r="AL8" s="4">
        <f>+AD_tis!AL8*AD_tis!AL$51*AD_tis!$BD8</f>
        <v>0</v>
      </c>
      <c r="AM8" s="13">
        <f>+AD_tis!AM8*AD_tis!AM$51*AD_tis!$BD8</f>
        <v>0</v>
      </c>
      <c r="AN8" s="4">
        <f>+AD_tis!AN8*AD_tis!AN$51*AD_tis!$BD8</f>
        <v>0</v>
      </c>
      <c r="AO8" s="4">
        <f>+AD_tis!AO8*AD_tis!AO$51*AD_tis!$BD8</f>
        <v>0</v>
      </c>
      <c r="AP8" s="4">
        <f>+AD_tis!AP8*AD_tis!AP$51*AD_tis!$BD8</f>
        <v>0</v>
      </c>
      <c r="AQ8" s="4">
        <f>+AD_tis!AQ8*AD_tis!AQ$51*AD_tis!$BD8</f>
        <v>0</v>
      </c>
      <c r="AR8" s="4">
        <f>+AD_tis!AR8*AD_tis!AR$51*AD_tis!$BD8</f>
        <v>0</v>
      </c>
      <c r="AS8" s="4">
        <f>+AD_tis!AS8*AD_tis!AS$51*AD_tis!$BD8</f>
        <v>0</v>
      </c>
      <c r="AT8" s="4">
        <f>+AD_tis!AT8*AD_tis!AT$51*AD_tis!$BD8</f>
        <v>0</v>
      </c>
      <c r="AU8" s="4">
        <f>+AD_tis!AU8*AD_tis!AU$51*AD_tis!$BD8</f>
        <v>0</v>
      </c>
      <c r="AV8" s="4">
        <f>+AD_tis!AV8*AD_tis!AV$51*AD_tis!$BD8</f>
        <v>0</v>
      </c>
      <c r="AW8" s="12">
        <f>+AD_tis!AW8*AD_tis!AW$51*AD_tis!$BD8</f>
        <v>0</v>
      </c>
      <c r="AX8" s="13">
        <f>+AD_tis!AX8*AD_tis!AX$51*AD_tis!$BD8</f>
        <v>0</v>
      </c>
      <c r="AY8" s="4">
        <f>+AD_tis!AY8*AD_tis!AY$51*AD_tis!$BD8</f>
        <v>0</v>
      </c>
      <c r="AZ8" s="4">
        <f>+AD_tis!AZ8*AD_tis!AZ$51*AD_tis!$BD8</f>
        <v>0</v>
      </c>
      <c r="BA8" s="12">
        <f>+AD_tis!BA8*AD_tis!BA$51*AD_tis!$BD8</f>
        <v>0</v>
      </c>
      <c r="BB8" s="4">
        <f>+AD_tis!BB8*AD_tis!BB$51*AD_tis!$BD8</f>
        <v>1</v>
      </c>
      <c r="BC8" s="13">
        <f>+AD_tis!BC8*AD_tis!BC$51*AD_tis!$BD8</f>
        <v>0</v>
      </c>
    </row>
    <row r="9" spans="1:55" ht="18.75" customHeight="1" x14ac:dyDescent="0.25">
      <c r="A9" s="5" t="s">
        <v>60</v>
      </c>
      <c r="B9" s="12">
        <f>+AD_tis!B9*AD_tis!B$51*AD_tis!$BD9</f>
        <v>0</v>
      </c>
      <c r="C9" s="4">
        <f>+AD_tis!C9*AD_tis!C$51*AD_tis!$BD9</f>
        <v>0</v>
      </c>
      <c r="D9" s="4">
        <f>+AD_tis!D9*AD_tis!D$51*AD_tis!$BD9</f>
        <v>0</v>
      </c>
      <c r="E9" s="4">
        <f>+AD_tis!E9*AD_tis!E$51*AD_tis!$BD9</f>
        <v>0</v>
      </c>
      <c r="F9" s="4">
        <f>+AD_tis!F9*AD_tis!F$51*AD_tis!$BD9</f>
        <v>0</v>
      </c>
      <c r="G9" s="4">
        <f>+AD_tis!G9*AD_tis!G$51*AD_tis!$BD9</f>
        <v>0</v>
      </c>
      <c r="H9" s="4">
        <f>+AD_tis!H9*AD_tis!H$51*AD_tis!$BD9</f>
        <v>0</v>
      </c>
      <c r="I9" s="4">
        <f>+AD_tis!I9*AD_tis!I$51*AD_tis!$BD9</f>
        <v>0</v>
      </c>
      <c r="J9" s="4">
        <f>+AD_tis!J9*AD_tis!J$51*AD_tis!$BD9</f>
        <v>0</v>
      </c>
      <c r="K9" s="4">
        <f>+AD_tis!K9*AD_tis!K$51*AD_tis!$BD9</f>
        <v>0</v>
      </c>
      <c r="L9" s="4">
        <f>+AD_tis!L9*AD_tis!L$51*AD_tis!$BD9</f>
        <v>0</v>
      </c>
      <c r="M9" s="4">
        <f>+AD_tis!M9*AD_tis!M$51*AD_tis!$BD9</f>
        <v>0</v>
      </c>
      <c r="N9" s="4">
        <f>+AD_tis!N9*AD_tis!N$51*AD_tis!$BD9</f>
        <v>0</v>
      </c>
      <c r="O9" s="4">
        <f>+AD_tis!O9*AD_tis!O$51*AD_tis!$BD9</f>
        <v>0</v>
      </c>
      <c r="P9" s="4">
        <f>+AD_tis!P9*AD_tis!P$51*AD_tis!$BD9</f>
        <v>0</v>
      </c>
      <c r="Q9" s="4">
        <f>+AD_tis!Q9*AD_tis!Q$51*AD_tis!$BD9</f>
        <v>0</v>
      </c>
      <c r="R9" s="13">
        <f>+AD_tis!R9*AD_tis!R$51*AD_tis!$BD9</f>
        <v>0</v>
      </c>
      <c r="S9" s="4">
        <f>+AD_tis!S9*AD_tis!S$51*AD_tis!$BD9</f>
        <v>0</v>
      </c>
      <c r="T9" s="4">
        <f>+AD_tis!T9*AD_tis!T$51*AD_tis!$BD9</f>
        <v>0</v>
      </c>
      <c r="U9" s="4">
        <f>+AD_tis!U9*AD_tis!U$51*AD_tis!$BD9</f>
        <v>0</v>
      </c>
      <c r="V9" s="4">
        <f>+AD_tis!V9*AD_tis!V$51*AD_tis!$BD9</f>
        <v>0</v>
      </c>
      <c r="W9" s="4">
        <f>+AD_tis!W9*AD_tis!W$51*AD_tis!$BD9</f>
        <v>0</v>
      </c>
      <c r="X9" s="4">
        <f>+AD_tis!X9*AD_tis!X$51*AD_tis!$BD9</f>
        <v>0</v>
      </c>
      <c r="Y9" s="4">
        <f>+AD_tis!Y9*AD_tis!Y$51*AD_tis!$BD9</f>
        <v>0</v>
      </c>
      <c r="Z9" s="4">
        <f>+AD_tis!Z9*AD_tis!Z$51*AD_tis!$BD9</f>
        <v>0</v>
      </c>
      <c r="AA9" s="4">
        <f>+AD_tis!AA9*AD_tis!AA$51*AD_tis!$BD9</f>
        <v>0</v>
      </c>
      <c r="AB9" s="4">
        <f>+AD_tis!AB9*AD_tis!AB$51*AD_tis!$BD9</f>
        <v>0</v>
      </c>
      <c r="AC9" s="12">
        <f>+AD_tis!AC9*AD_tis!AC$51*AD_tis!$BD9</f>
        <v>0</v>
      </c>
      <c r="AD9" s="4">
        <f>+AD_tis!AD9*AD_tis!AD$51*AD_tis!$BD9</f>
        <v>0</v>
      </c>
      <c r="AE9" s="4">
        <f>+AD_tis!AE9*AD_tis!AE$51*AD_tis!$BD9</f>
        <v>0</v>
      </c>
      <c r="AF9" s="4">
        <f>+AD_tis!AF9*AD_tis!AF$51*AD_tis!$BD9</f>
        <v>0</v>
      </c>
      <c r="AG9" s="4">
        <f>+AD_tis!AG9*AD_tis!AG$51*AD_tis!$BD9</f>
        <v>0</v>
      </c>
      <c r="AH9" s="4">
        <f>+AD_tis!AH9*AD_tis!AH$51*AD_tis!$BD9</f>
        <v>0</v>
      </c>
      <c r="AI9" s="4">
        <f>+AD_tis!AI9*AD_tis!AI$51*AD_tis!$BD9</f>
        <v>0</v>
      </c>
      <c r="AJ9" s="4">
        <f>+AD_tis!AJ9*AD_tis!AJ$51*AD_tis!$BD9</f>
        <v>0</v>
      </c>
      <c r="AK9" s="4">
        <f>+AD_tis!AK9*AD_tis!AK$51*AD_tis!$BD9</f>
        <v>0</v>
      </c>
      <c r="AL9" s="4">
        <f>+AD_tis!AL9*AD_tis!AL$51*AD_tis!$BD9</f>
        <v>0</v>
      </c>
      <c r="AM9" s="13">
        <f>+AD_tis!AM9*AD_tis!AM$51*AD_tis!$BD9</f>
        <v>0</v>
      </c>
      <c r="AN9" s="4">
        <f>+AD_tis!AN9*AD_tis!AN$51*AD_tis!$BD9</f>
        <v>0</v>
      </c>
      <c r="AO9" s="4">
        <f>+AD_tis!AO9*AD_tis!AO$51*AD_tis!$BD9</f>
        <v>0</v>
      </c>
      <c r="AP9" s="4">
        <f>+AD_tis!AP9*AD_tis!AP$51*AD_tis!$BD9</f>
        <v>0</v>
      </c>
      <c r="AQ9" s="4">
        <f>+AD_tis!AQ9*AD_tis!AQ$51*AD_tis!$BD9</f>
        <v>0</v>
      </c>
      <c r="AR9" s="4">
        <f>+AD_tis!AR9*AD_tis!AR$51*AD_tis!$BD9</f>
        <v>0</v>
      </c>
      <c r="AS9" s="4">
        <f>+AD_tis!AS9*AD_tis!AS$51*AD_tis!$BD9</f>
        <v>0</v>
      </c>
      <c r="AT9" s="4">
        <f>+AD_tis!AT9*AD_tis!AT$51*AD_tis!$BD9</f>
        <v>0</v>
      </c>
      <c r="AU9" s="4">
        <f>+AD_tis!AU9*AD_tis!AU$51*AD_tis!$BD9</f>
        <v>0</v>
      </c>
      <c r="AV9" s="4">
        <f>+AD_tis!AV9*AD_tis!AV$51*AD_tis!$BD9</f>
        <v>0</v>
      </c>
      <c r="AW9" s="12">
        <f>+AD_tis!AW9*AD_tis!AW$51*AD_tis!$BD9</f>
        <v>0</v>
      </c>
      <c r="AX9" s="13">
        <f>+AD_tis!AX9*AD_tis!AX$51*AD_tis!$BD9</f>
        <v>0</v>
      </c>
      <c r="AY9" s="4">
        <f>+AD_tis!AY9*AD_tis!AY$51*AD_tis!$BD9</f>
        <v>0</v>
      </c>
      <c r="AZ9" s="4">
        <f>+AD_tis!AZ9*AD_tis!AZ$51*AD_tis!$BD9</f>
        <v>0</v>
      </c>
      <c r="BA9" s="12">
        <f>+AD_tis!BA9*AD_tis!BA$51*AD_tis!$BD9</f>
        <v>0</v>
      </c>
      <c r="BB9" s="4">
        <f>+AD_tis!BB9*AD_tis!BB$51*AD_tis!$BD9</f>
        <v>1</v>
      </c>
      <c r="BC9" s="13">
        <f>+AD_tis!BC9*AD_tis!BC$51*AD_tis!$BD9</f>
        <v>0</v>
      </c>
    </row>
    <row r="10" spans="1:55" ht="18.75" customHeight="1" x14ac:dyDescent="0.25">
      <c r="A10" s="5" t="s">
        <v>61</v>
      </c>
      <c r="B10" s="12">
        <f>+AD_tis!B10*AD_tis!B$51*AD_tis!$BD10</f>
        <v>0</v>
      </c>
      <c r="C10" s="4">
        <f>+AD_tis!C10*AD_tis!C$51*AD_tis!$BD10</f>
        <v>0</v>
      </c>
      <c r="D10" s="4">
        <f>+AD_tis!D10*AD_tis!D$51*AD_tis!$BD10</f>
        <v>0</v>
      </c>
      <c r="E10" s="4">
        <f>+AD_tis!E10*AD_tis!E$51*AD_tis!$BD10</f>
        <v>0</v>
      </c>
      <c r="F10" s="4">
        <f>+AD_tis!F10*AD_tis!F$51*AD_tis!$BD10</f>
        <v>0</v>
      </c>
      <c r="G10" s="4">
        <f>+AD_tis!G10*AD_tis!G$51*AD_tis!$BD10</f>
        <v>0</v>
      </c>
      <c r="H10" s="4">
        <f>+AD_tis!H10*AD_tis!H$51*AD_tis!$BD10</f>
        <v>0</v>
      </c>
      <c r="I10" s="4">
        <f>+AD_tis!I10*AD_tis!I$51*AD_tis!$BD10</f>
        <v>0</v>
      </c>
      <c r="J10" s="4">
        <f>+AD_tis!J10*AD_tis!J$51*AD_tis!$BD10</f>
        <v>0</v>
      </c>
      <c r="K10" s="4">
        <f>+AD_tis!K10*AD_tis!K$51*AD_tis!$BD10</f>
        <v>0</v>
      </c>
      <c r="L10" s="4">
        <f>+AD_tis!L10*AD_tis!L$51*AD_tis!$BD10</f>
        <v>0</v>
      </c>
      <c r="M10" s="4">
        <f>+AD_tis!M10*AD_tis!M$51*AD_tis!$BD10</f>
        <v>0</v>
      </c>
      <c r="N10" s="4">
        <f>+AD_tis!N10*AD_tis!N$51*AD_tis!$BD10</f>
        <v>0</v>
      </c>
      <c r="O10" s="4">
        <f>+AD_tis!O10*AD_tis!O$51*AD_tis!$BD10</f>
        <v>0</v>
      </c>
      <c r="P10" s="4">
        <f>+AD_tis!P10*AD_tis!P$51*AD_tis!$BD10</f>
        <v>0</v>
      </c>
      <c r="Q10" s="4">
        <f>+AD_tis!Q10*AD_tis!Q$51*AD_tis!$BD10</f>
        <v>0</v>
      </c>
      <c r="R10" s="13">
        <f>+AD_tis!R10*AD_tis!R$51*AD_tis!$BD10</f>
        <v>0</v>
      </c>
      <c r="S10" s="4">
        <f>+AD_tis!S10*AD_tis!S$51*AD_tis!$BD10</f>
        <v>0</v>
      </c>
      <c r="T10" s="4">
        <f>+AD_tis!T10*AD_tis!T$51*AD_tis!$BD10</f>
        <v>0</v>
      </c>
      <c r="U10" s="4">
        <f>+AD_tis!U10*AD_tis!U$51*AD_tis!$BD10</f>
        <v>0</v>
      </c>
      <c r="V10" s="4">
        <f>+AD_tis!V10*AD_tis!V$51*AD_tis!$BD10</f>
        <v>0</v>
      </c>
      <c r="W10" s="4">
        <f>+AD_tis!W10*AD_tis!W$51*AD_tis!$BD10</f>
        <v>0</v>
      </c>
      <c r="X10" s="4">
        <f>+AD_tis!X10*AD_tis!X$51*AD_tis!$BD10</f>
        <v>0</v>
      </c>
      <c r="Y10" s="4">
        <f>+AD_tis!Y10*AD_tis!Y$51*AD_tis!$BD10</f>
        <v>0</v>
      </c>
      <c r="Z10" s="4">
        <f>+AD_tis!Z10*AD_tis!Z$51*AD_tis!$BD10</f>
        <v>0</v>
      </c>
      <c r="AA10" s="4">
        <f>+AD_tis!AA10*AD_tis!AA$51*AD_tis!$BD10</f>
        <v>0</v>
      </c>
      <c r="AB10" s="4">
        <f>+AD_tis!AB10*AD_tis!AB$51*AD_tis!$BD10</f>
        <v>0</v>
      </c>
      <c r="AC10" s="12">
        <f>+AD_tis!AC10*AD_tis!AC$51*AD_tis!$BD10</f>
        <v>0</v>
      </c>
      <c r="AD10" s="4">
        <f>+AD_tis!AD10*AD_tis!AD$51*AD_tis!$BD10</f>
        <v>0</v>
      </c>
      <c r="AE10" s="4">
        <f>+AD_tis!AE10*AD_tis!AE$51*AD_tis!$BD10</f>
        <v>0</v>
      </c>
      <c r="AF10" s="4">
        <f>+AD_tis!AF10*AD_tis!AF$51*AD_tis!$BD10</f>
        <v>0</v>
      </c>
      <c r="AG10" s="4">
        <f>+AD_tis!AG10*AD_tis!AG$51*AD_tis!$BD10</f>
        <v>0</v>
      </c>
      <c r="AH10" s="4">
        <f>+AD_tis!AH10*AD_tis!AH$51*AD_tis!$BD10</f>
        <v>0</v>
      </c>
      <c r="AI10" s="4">
        <f>+AD_tis!AI10*AD_tis!AI$51*AD_tis!$BD10</f>
        <v>0</v>
      </c>
      <c r="AJ10" s="4">
        <f>+AD_tis!AJ10*AD_tis!AJ$51*AD_tis!$BD10</f>
        <v>0</v>
      </c>
      <c r="AK10" s="4">
        <f>+AD_tis!AK10*AD_tis!AK$51*AD_tis!$BD10</f>
        <v>0</v>
      </c>
      <c r="AL10" s="4">
        <f>+AD_tis!AL10*AD_tis!AL$51*AD_tis!$BD10</f>
        <v>0</v>
      </c>
      <c r="AM10" s="13">
        <f>+AD_tis!AM10*AD_tis!AM$51*AD_tis!$BD10</f>
        <v>0</v>
      </c>
      <c r="AN10" s="4">
        <f>+AD_tis!AN10*AD_tis!AN$51*AD_tis!$BD10</f>
        <v>0</v>
      </c>
      <c r="AO10" s="4">
        <f>+AD_tis!AO10*AD_tis!AO$51*AD_tis!$BD10</f>
        <v>0</v>
      </c>
      <c r="AP10" s="4">
        <f>+AD_tis!AP10*AD_tis!AP$51*AD_tis!$BD10</f>
        <v>0</v>
      </c>
      <c r="AQ10" s="4">
        <f>+AD_tis!AQ10*AD_tis!AQ$51*AD_tis!$BD10</f>
        <v>0</v>
      </c>
      <c r="AR10" s="4">
        <f>+AD_tis!AR10*AD_tis!AR$51*AD_tis!$BD10</f>
        <v>0</v>
      </c>
      <c r="AS10" s="4">
        <f>+AD_tis!AS10*AD_tis!AS$51*AD_tis!$BD10</f>
        <v>0</v>
      </c>
      <c r="AT10" s="4">
        <f>+AD_tis!AT10*AD_tis!AT$51*AD_tis!$BD10</f>
        <v>0</v>
      </c>
      <c r="AU10" s="4">
        <f>+AD_tis!AU10*AD_tis!AU$51*AD_tis!$BD10</f>
        <v>0</v>
      </c>
      <c r="AV10" s="4">
        <f>+AD_tis!AV10*AD_tis!AV$51*AD_tis!$BD10</f>
        <v>0</v>
      </c>
      <c r="AW10" s="12">
        <f>+AD_tis!AW10*AD_tis!AW$51*AD_tis!$BD10</f>
        <v>0</v>
      </c>
      <c r="AX10" s="13">
        <f>+AD_tis!AX10*AD_tis!AX$51*AD_tis!$BD10</f>
        <v>0</v>
      </c>
      <c r="AY10" s="4">
        <f>+AD_tis!AY10*AD_tis!AY$51*AD_tis!$BD10</f>
        <v>0</v>
      </c>
      <c r="AZ10" s="4">
        <f>+AD_tis!AZ10*AD_tis!AZ$51*AD_tis!$BD10</f>
        <v>0</v>
      </c>
      <c r="BA10" s="12">
        <f>+AD_tis!BA10*AD_tis!BA$51*AD_tis!$BD10</f>
        <v>0</v>
      </c>
      <c r="BB10" s="4">
        <f>+AD_tis!BB10*AD_tis!BB$51*AD_tis!$BD10</f>
        <v>0</v>
      </c>
      <c r="BC10" s="13">
        <f>+AD_tis!BC10*AD_tis!BC$51*AD_tis!$BD10</f>
        <v>0</v>
      </c>
    </row>
    <row r="11" spans="1:55" ht="18.75" customHeight="1" x14ac:dyDescent="0.25">
      <c r="A11" s="5" t="s">
        <v>62</v>
      </c>
      <c r="B11" s="12">
        <f>+AD_tis!B11*AD_tis!B$51*AD_tis!$BD11</f>
        <v>0</v>
      </c>
      <c r="C11" s="4">
        <f>+AD_tis!C11*AD_tis!C$51*AD_tis!$BD11</f>
        <v>0</v>
      </c>
      <c r="D11" s="4">
        <f>+AD_tis!D11*AD_tis!D$51*AD_tis!$BD11</f>
        <v>0</v>
      </c>
      <c r="E11" s="4">
        <f>+AD_tis!E11*AD_tis!E$51*AD_tis!$BD11</f>
        <v>0</v>
      </c>
      <c r="F11" s="4">
        <f>+AD_tis!F11*AD_tis!F$51*AD_tis!$BD11</f>
        <v>0</v>
      </c>
      <c r="G11" s="4">
        <f>+AD_tis!G11*AD_tis!G$51*AD_tis!$BD11</f>
        <v>0</v>
      </c>
      <c r="H11" s="4">
        <f>+AD_tis!H11*AD_tis!H$51*AD_tis!$BD11</f>
        <v>0</v>
      </c>
      <c r="I11" s="4">
        <f>+AD_tis!I11*AD_tis!I$51*AD_tis!$BD11</f>
        <v>0</v>
      </c>
      <c r="J11" s="4">
        <f>+AD_tis!J11*AD_tis!J$51*AD_tis!$BD11</f>
        <v>0</v>
      </c>
      <c r="K11" s="4">
        <f>+AD_tis!K11*AD_tis!K$51*AD_tis!$BD11</f>
        <v>0</v>
      </c>
      <c r="L11" s="4">
        <f>+AD_tis!L11*AD_tis!L$51*AD_tis!$BD11</f>
        <v>0</v>
      </c>
      <c r="M11" s="4">
        <f>+AD_tis!M11*AD_tis!M$51*AD_tis!$BD11</f>
        <v>0</v>
      </c>
      <c r="N11" s="4">
        <f>+AD_tis!N11*AD_tis!N$51*AD_tis!$BD11</f>
        <v>0</v>
      </c>
      <c r="O11" s="4">
        <f>+AD_tis!O11*AD_tis!O$51*AD_tis!$BD11</f>
        <v>0</v>
      </c>
      <c r="P11" s="4">
        <f>+AD_tis!P11*AD_tis!P$51*AD_tis!$BD11</f>
        <v>0</v>
      </c>
      <c r="Q11" s="4">
        <f>+AD_tis!Q11*AD_tis!Q$51*AD_tis!$BD11</f>
        <v>0</v>
      </c>
      <c r="R11" s="13">
        <f>+AD_tis!R11*AD_tis!R$51*AD_tis!$BD11</f>
        <v>0</v>
      </c>
      <c r="S11" s="4">
        <f>+AD_tis!S11*AD_tis!S$51*AD_tis!$BD11</f>
        <v>0</v>
      </c>
      <c r="T11" s="4">
        <f>+AD_tis!T11*AD_tis!T$51*AD_tis!$BD11</f>
        <v>0</v>
      </c>
      <c r="U11" s="4">
        <f>+AD_tis!U11*AD_tis!U$51*AD_tis!$BD11</f>
        <v>0</v>
      </c>
      <c r="V11" s="4">
        <f>+AD_tis!V11*AD_tis!V$51*AD_tis!$BD11</f>
        <v>0</v>
      </c>
      <c r="W11" s="4">
        <f>+AD_tis!W11*AD_tis!W$51*AD_tis!$BD11</f>
        <v>0</v>
      </c>
      <c r="X11" s="4">
        <f>+AD_tis!X11*AD_tis!X$51*AD_tis!$BD11</f>
        <v>0</v>
      </c>
      <c r="Y11" s="4">
        <f>+AD_tis!Y11*AD_tis!Y$51*AD_tis!$BD11</f>
        <v>0</v>
      </c>
      <c r="Z11" s="4">
        <f>+AD_tis!Z11*AD_tis!Z$51*AD_tis!$BD11</f>
        <v>0</v>
      </c>
      <c r="AA11" s="4">
        <f>+AD_tis!AA11*AD_tis!AA$51*AD_tis!$BD11</f>
        <v>0</v>
      </c>
      <c r="AB11" s="4">
        <f>+AD_tis!AB11*AD_tis!AB$51*AD_tis!$BD11</f>
        <v>0</v>
      </c>
      <c r="AC11" s="12">
        <f>+AD_tis!AC11*AD_tis!AC$51*AD_tis!$BD11</f>
        <v>0</v>
      </c>
      <c r="AD11" s="4">
        <f>+AD_tis!AD11*AD_tis!AD$51*AD_tis!$BD11</f>
        <v>0</v>
      </c>
      <c r="AE11" s="4">
        <f>+AD_tis!AE11*AD_tis!AE$51*AD_tis!$BD11</f>
        <v>0</v>
      </c>
      <c r="AF11" s="4">
        <f>+AD_tis!AF11*AD_tis!AF$51*AD_tis!$BD11</f>
        <v>0</v>
      </c>
      <c r="AG11" s="4">
        <f>+AD_tis!AG11*AD_tis!AG$51*AD_tis!$BD11</f>
        <v>0</v>
      </c>
      <c r="AH11" s="4">
        <f>+AD_tis!AH11*AD_tis!AH$51*AD_tis!$BD11</f>
        <v>0</v>
      </c>
      <c r="AI11" s="4">
        <f>+AD_tis!AI11*AD_tis!AI$51*AD_tis!$BD11</f>
        <v>0</v>
      </c>
      <c r="AJ11" s="4">
        <f>+AD_tis!AJ11*AD_tis!AJ$51*AD_tis!$BD11</f>
        <v>0</v>
      </c>
      <c r="AK11" s="4">
        <f>+AD_tis!AK11*AD_tis!AK$51*AD_tis!$BD11</f>
        <v>0</v>
      </c>
      <c r="AL11" s="4">
        <f>+AD_tis!AL11*AD_tis!AL$51*AD_tis!$BD11</f>
        <v>0</v>
      </c>
      <c r="AM11" s="13">
        <f>+AD_tis!AM11*AD_tis!AM$51*AD_tis!$BD11</f>
        <v>0</v>
      </c>
      <c r="AN11" s="4">
        <f>+AD_tis!AN11*AD_tis!AN$51*AD_tis!$BD11</f>
        <v>0</v>
      </c>
      <c r="AO11" s="4">
        <f>+AD_tis!AO11*AD_tis!AO$51*AD_tis!$BD11</f>
        <v>0</v>
      </c>
      <c r="AP11" s="4">
        <f>+AD_tis!AP11*AD_tis!AP$51*AD_tis!$BD11</f>
        <v>0</v>
      </c>
      <c r="AQ11" s="4">
        <f>+AD_tis!AQ11*AD_tis!AQ$51*AD_tis!$BD11</f>
        <v>0</v>
      </c>
      <c r="AR11" s="4">
        <f>+AD_tis!AR11*AD_tis!AR$51*AD_tis!$BD11</f>
        <v>0</v>
      </c>
      <c r="AS11" s="4">
        <f>+AD_tis!AS11*AD_tis!AS$51*AD_tis!$BD11</f>
        <v>0</v>
      </c>
      <c r="AT11" s="4">
        <f>+AD_tis!AT11*AD_tis!AT$51*AD_tis!$BD11</f>
        <v>0</v>
      </c>
      <c r="AU11" s="4">
        <f>+AD_tis!AU11*AD_tis!AU$51*AD_tis!$BD11</f>
        <v>0</v>
      </c>
      <c r="AV11" s="4">
        <f>+AD_tis!AV11*AD_tis!AV$51*AD_tis!$BD11</f>
        <v>0</v>
      </c>
      <c r="AW11" s="12">
        <f>+AD_tis!AW11*AD_tis!AW$51*AD_tis!$BD11</f>
        <v>0</v>
      </c>
      <c r="AX11" s="13">
        <f>+AD_tis!AX11*AD_tis!AX$51*AD_tis!$BD11</f>
        <v>0</v>
      </c>
      <c r="AY11" s="4">
        <f>+AD_tis!AY11*AD_tis!AY$51*AD_tis!$BD11</f>
        <v>0</v>
      </c>
      <c r="AZ11" s="4">
        <f>+AD_tis!AZ11*AD_tis!AZ$51*AD_tis!$BD11</f>
        <v>0</v>
      </c>
      <c r="BA11" s="12">
        <f>+AD_tis!BA11*AD_tis!BA$51*AD_tis!$BD11</f>
        <v>0</v>
      </c>
      <c r="BB11" s="4">
        <f>+AD_tis!BB11*AD_tis!BB$51*AD_tis!$BD11</f>
        <v>0</v>
      </c>
      <c r="BC11" s="13">
        <f>+AD_tis!BC11*AD_tis!BC$51*AD_tis!$BD11</f>
        <v>0</v>
      </c>
    </row>
    <row r="12" spans="1:55" ht="18.75" customHeight="1" x14ac:dyDescent="0.25">
      <c r="A12" s="5" t="s">
        <v>63</v>
      </c>
      <c r="B12" s="12">
        <f>+AD_tis!B12*AD_tis!B$51*AD_tis!$BD12</f>
        <v>0</v>
      </c>
      <c r="C12" s="4">
        <f>+AD_tis!C12*AD_tis!C$51*AD_tis!$BD12</f>
        <v>0</v>
      </c>
      <c r="D12" s="4">
        <f>+AD_tis!D12*AD_tis!D$51*AD_tis!$BD12</f>
        <v>0</v>
      </c>
      <c r="E12" s="4">
        <f>+AD_tis!E12*AD_tis!E$51*AD_tis!$BD12</f>
        <v>0</v>
      </c>
      <c r="F12" s="4">
        <f>+AD_tis!F12*AD_tis!F$51*AD_tis!$BD12</f>
        <v>0</v>
      </c>
      <c r="G12" s="4">
        <f>+AD_tis!G12*AD_tis!G$51*AD_tis!$BD12</f>
        <v>0</v>
      </c>
      <c r="H12" s="4">
        <f>+AD_tis!H12*AD_tis!H$51*AD_tis!$BD12</f>
        <v>0</v>
      </c>
      <c r="I12" s="4">
        <f>+AD_tis!I12*AD_tis!I$51*AD_tis!$BD12</f>
        <v>0</v>
      </c>
      <c r="J12" s="4">
        <f>+AD_tis!J12*AD_tis!J$51*AD_tis!$BD12</f>
        <v>0</v>
      </c>
      <c r="K12" s="4">
        <f>+AD_tis!K12*AD_tis!K$51*AD_tis!$BD12</f>
        <v>0</v>
      </c>
      <c r="L12" s="4">
        <f>+AD_tis!L12*AD_tis!L$51*AD_tis!$BD12</f>
        <v>0</v>
      </c>
      <c r="M12" s="4">
        <f>+AD_tis!M12*AD_tis!M$51*AD_tis!$BD12</f>
        <v>0</v>
      </c>
      <c r="N12" s="4">
        <f>+AD_tis!N12*AD_tis!N$51*AD_tis!$BD12</f>
        <v>0</v>
      </c>
      <c r="O12" s="4">
        <f>+AD_tis!O12*AD_tis!O$51*AD_tis!$BD12</f>
        <v>0</v>
      </c>
      <c r="P12" s="4">
        <f>+AD_tis!P12*AD_tis!P$51*AD_tis!$BD12</f>
        <v>0</v>
      </c>
      <c r="Q12" s="4">
        <f>+AD_tis!Q12*AD_tis!Q$51*AD_tis!$BD12</f>
        <v>0</v>
      </c>
      <c r="R12" s="13">
        <f>+AD_tis!R12*AD_tis!R$51*AD_tis!$BD12</f>
        <v>0</v>
      </c>
      <c r="S12" s="4">
        <f>+AD_tis!S12*AD_tis!S$51*AD_tis!$BD12</f>
        <v>0</v>
      </c>
      <c r="T12" s="4">
        <f>+AD_tis!T12*AD_tis!T$51*AD_tis!$BD12</f>
        <v>0</v>
      </c>
      <c r="U12" s="4">
        <f>+AD_tis!U12*AD_tis!U$51*AD_tis!$BD12</f>
        <v>0</v>
      </c>
      <c r="V12" s="4">
        <f>+AD_tis!V12*AD_tis!V$51*AD_tis!$BD12</f>
        <v>0</v>
      </c>
      <c r="W12" s="4">
        <f>+AD_tis!W12*AD_tis!W$51*AD_tis!$BD12</f>
        <v>0</v>
      </c>
      <c r="X12" s="4">
        <f>+AD_tis!X12*AD_tis!X$51*AD_tis!$BD12</f>
        <v>0</v>
      </c>
      <c r="Y12" s="4">
        <f>+AD_tis!Y12*AD_tis!Y$51*AD_tis!$BD12</f>
        <v>0</v>
      </c>
      <c r="Z12" s="4">
        <f>+AD_tis!Z12*AD_tis!Z$51*AD_tis!$BD12</f>
        <v>0</v>
      </c>
      <c r="AA12" s="4">
        <f>+AD_tis!AA12*AD_tis!AA$51*AD_tis!$BD12</f>
        <v>0</v>
      </c>
      <c r="AB12" s="4">
        <f>+AD_tis!AB12*AD_tis!AB$51*AD_tis!$BD12</f>
        <v>0</v>
      </c>
      <c r="AC12" s="12">
        <f>+AD_tis!AC12*AD_tis!AC$51*AD_tis!$BD12</f>
        <v>0</v>
      </c>
      <c r="AD12" s="4">
        <f>+AD_tis!AD12*AD_tis!AD$51*AD_tis!$BD12</f>
        <v>0</v>
      </c>
      <c r="AE12" s="4">
        <f>+AD_tis!AE12*AD_tis!AE$51*AD_tis!$BD12</f>
        <v>0</v>
      </c>
      <c r="AF12" s="4">
        <f>+AD_tis!AF12*AD_tis!AF$51*AD_tis!$BD12</f>
        <v>0</v>
      </c>
      <c r="AG12" s="4">
        <f>+AD_tis!AG12*AD_tis!AG$51*AD_tis!$BD12</f>
        <v>0</v>
      </c>
      <c r="AH12" s="4">
        <f>+AD_tis!AH12*AD_tis!AH$51*AD_tis!$BD12</f>
        <v>0</v>
      </c>
      <c r="AI12" s="4">
        <f>+AD_tis!AI12*AD_tis!AI$51*AD_tis!$BD12</f>
        <v>0</v>
      </c>
      <c r="AJ12" s="4">
        <f>+AD_tis!AJ12*AD_tis!AJ$51*AD_tis!$BD12</f>
        <v>0</v>
      </c>
      <c r="AK12" s="4">
        <f>+AD_tis!AK12*AD_tis!AK$51*AD_tis!$BD12</f>
        <v>0</v>
      </c>
      <c r="AL12" s="4">
        <f>+AD_tis!AL12*AD_tis!AL$51*AD_tis!$BD12</f>
        <v>0</v>
      </c>
      <c r="AM12" s="13">
        <f>+AD_tis!AM12*AD_tis!AM$51*AD_tis!$BD12</f>
        <v>0</v>
      </c>
      <c r="AN12" s="4">
        <f>+AD_tis!AN12*AD_tis!AN$51*AD_tis!$BD12</f>
        <v>0</v>
      </c>
      <c r="AO12" s="4">
        <f>+AD_tis!AO12*AD_tis!AO$51*AD_tis!$BD12</f>
        <v>0</v>
      </c>
      <c r="AP12" s="4">
        <f>+AD_tis!AP12*AD_tis!AP$51*AD_tis!$BD12</f>
        <v>0</v>
      </c>
      <c r="AQ12" s="4">
        <f>+AD_tis!AQ12*AD_tis!AQ$51*AD_tis!$BD12</f>
        <v>0</v>
      </c>
      <c r="AR12" s="4">
        <f>+AD_tis!AR12*AD_tis!AR$51*AD_tis!$BD12</f>
        <v>0</v>
      </c>
      <c r="AS12" s="4">
        <f>+AD_tis!AS12*AD_tis!AS$51*AD_tis!$BD12</f>
        <v>0</v>
      </c>
      <c r="AT12" s="4">
        <f>+AD_tis!AT12*AD_tis!AT$51*AD_tis!$BD12</f>
        <v>0</v>
      </c>
      <c r="AU12" s="4">
        <f>+AD_tis!AU12*AD_tis!AU$51*AD_tis!$BD12</f>
        <v>0</v>
      </c>
      <c r="AV12" s="4">
        <f>+AD_tis!AV12*AD_tis!AV$51*AD_tis!$BD12</f>
        <v>0</v>
      </c>
      <c r="AW12" s="12">
        <f>+AD_tis!AW12*AD_tis!AW$51*AD_tis!$BD12</f>
        <v>0</v>
      </c>
      <c r="AX12" s="13">
        <f>+AD_tis!AX12*AD_tis!AX$51*AD_tis!$BD12</f>
        <v>0</v>
      </c>
      <c r="AY12" s="4">
        <f>+AD_tis!AY12*AD_tis!AY$51*AD_tis!$BD12</f>
        <v>0</v>
      </c>
      <c r="AZ12" s="4">
        <f>+AD_tis!AZ12*AD_tis!AZ$51*AD_tis!$BD12</f>
        <v>0</v>
      </c>
      <c r="BA12" s="12">
        <f>+AD_tis!BA12*AD_tis!BA$51*AD_tis!$BD12</f>
        <v>0</v>
      </c>
      <c r="BB12" s="4">
        <f>+AD_tis!BB12*AD_tis!BB$51*AD_tis!$BD12</f>
        <v>0</v>
      </c>
      <c r="BC12" s="13">
        <f>+AD_tis!BC12*AD_tis!BC$51*AD_tis!$BD12</f>
        <v>0</v>
      </c>
    </row>
    <row r="13" spans="1:55" ht="18.75" customHeight="1" x14ac:dyDescent="0.25">
      <c r="A13" s="5" t="s">
        <v>64</v>
      </c>
      <c r="B13" s="12">
        <f>+AD_tis!B13*AD_tis!B$51*AD_tis!$BD13</f>
        <v>0</v>
      </c>
      <c r="C13" s="4">
        <f>+AD_tis!C13*AD_tis!C$51*AD_tis!$BD13</f>
        <v>0</v>
      </c>
      <c r="D13" s="4">
        <f>+AD_tis!D13*AD_tis!D$51*AD_tis!$BD13</f>
        <v>0</v>
      </c>
      <c r="E13" s="4">
        <f>+AD_tis!E13*AD_tis!E$51*AD_tis!$BD13</f>
        <v>0</v>
      </c>
      <c r="F13" s="4">
        <f>+AD_tis!F13*AD_tis!F$51*AD_tis!$BD13</f>
        <v>0</v>
      </c>
      <c r="G13" s="4">
        <f>+AD_tis!G13*AD_tis!G$51*AD_tis!$BD13</f>
        <v>0</v>
      </c>
      <c r="H13" s="4">
        <f>+AD_tis!H13*AD_tis!H$51*AD_tis!$BD13</f>
        <v>0</v>
      </c>
      <c r="I13" s="4">
        <f>+AD_tis!I13*AD_tis!I$51*AD_tis!$BD13</f>
        <v>0</v>
      </c>
      <c r="J13" s="4">
        <f>+AD_tis!J13*AD_tis!J$51*AD_tis!$BD13</f>
        <v>0</v>
      </c>
      <c r="K13" s="4">
        <f>+AD_tis!K13*AD_tis!K$51*AD_tis!$BD13</f>
        <v>0</v>
      </c>
      <c r="L13" s="4">
        <f>+AD_tis!L13*AD_tis!L$51*AD_tis!$BD13</f>
        <v>0</v>
      </c>
      <c r="M13" s="4">
        <f>+AD_tis!M13*AD_tis!M$51*AD_tis!$BD13</f>
        <v>0</v>
      </c>
      <c r="N13" s="4">
        <f>+AD_tis!N13*AD_tis!N$51*AD_tis!$BD13</f>
        <v>0</v>
      </c>
      <c r="O13" s="4">
        <f>+AD_tis!O13*AD_tis!O$51*AD_tis!$BD13</f>
        <v>0</v>
      </c>
      <c r="P13" s="4">
        <f>+AD_tis!P13*AD_tis!P$51*AD_tis!$BD13</f>
        <v>0</v>
      </c>
      <c r="Q13" s="4">
        <f>+AD_tis!Q13*AD_tis!Q$51*AD_tis!$BD13</f>
        <v>0</v>
      </c>
      <c r="R13" s="13">
        <f>+AD_tis!R13*AD_tis!R$51*AD_tis!$BD13</f>
        <v>0</v>
      </c>
      <c r="S13" s="4">
        <f>+AD_tis!S13*AD_tis!S$51*AD_tis!$BD13</f>
        <v>0</v>
      </c>
      <c r="T13" s="4">
        <f>+AD_tis!T13*AD_tis!T$51*AD_tis!$BD13</f>
        <v>0</v>
      </c>
      <c r="U13" s="4">
        <f>+AD_tis!U13*AD_tis!U$51*AD_tis!$BD13</f>
        <v>0</v>
      </c>
      <c r="V13" s="4">
        <f>+AD_tis!V13*AD_tis!V$51*AD_tis!$BD13</f>
        <v>0</v>
      </c>
      <c r="W13" s="4">
        <f>+AD_tis!W13*AD_tis!W$51*AD_tis!$BD13</f>
        <v>0</v>
      </c>
      <c r="X13" s="4">
        <f>+AD_tis!X13*AD_tis!X$51*AD_tis!$BD13</f>
        <v>0</v>
      </c>
      <c r="Y13" s="4">
        <f>+AD_tis!Y13*AD_tis!Y$51*AD_tis!$BD13</f>
        <v>0</v>
      </c>
      <c r="Z13" s="4">
        <f>+AD_tis!Z13*AD_tis!Z$51*AD_tis!$BD13</f>
        <v>0</v>
      </c>
      <c r="AA13" s="4">
        <f>+AD_tis!AA13*AD_tis!AA$51*AD_tis!$BD13</f>
        <v>0</v>
      </c>
      <c r="AB13" s="4">
        <f>+AD_tis!AB13*AD_tis!AB$51*AD_tis!$BD13</f>
        <v>0</v>
      </c>
      <c r="AC13" s="12">
        <f>+AD_tis!AC13*AD_tis!AC$51*AD_tis!$BD13</f>
        <v>0</v>
      </c>
      <c r="AD13" s="4">
        <f>+AD_tis!AD13*AD_tis!AD$51*AD_tis!$BD13</f>
        <v>0</v>
      </c>
      <c r="AE13" s="4">
        <f>+AD_tis!AE13*AD_tis!AE$51*AD_tis!$BD13</f>
        <v>0</v>
      </c>
      <c r="AF13" s="4">
        <f>+AD_tis!AF13*AD_tis!AF$51*AD_tis!$BD13</f>
        <v>0</v>
      </c>
      <c r="AG13" s="4">
        <f>+AD_tis!AG13*AD_tis!AG$51*AD_tis!$BD13</f>
        <v>0</v>
      </c>
      <c r="AH13" s="4">
        <f>+AD_tis!AH13*AD_tis!AH$51*AD_tis!$BD13</f>
        <v>0</v>
      </c>
      <c r="AI13" s="4">
        <f>+AD_tis!AI13*AD_tis!AI$51*AD_tis!$BD13</f>
        <v>0</v>
      </c>
      <c r="AJ13" s="4">
        <f>+AD_tis!AJ13*AD_tis!AJ$51*AD_tis!$BD13</f>
        <v>0</v>
      </c>
      <c r="AK13" s="4">
        <f>+AD_tis!AK13*AD_tis!AK$51*AD_tis!$BD13</f>
        <v>0</v>
      </c>
      <c r="AL13" s="4">
        <f>+AD_tis!AL13*AD_tis!AL$51*AD_tis!$BD13</f>
        <v>0</v>
      </c>
      <c r="AM13" s="13">
        <f>+AD_tis!AM13*AD_tis!AM$51*AD_tis!$BD13</f>
        <v>0</v>
      </c>
      <c r="AN13" s="4">
        <f>+AD_tis!AN13*AD_tis!AN$51*AD_tis!$BD13</f>
        <v>0</v>
      </c>
      <c r="AO13" s="4">
        <f>+AD_tis!AO13*AD_tis!AO$51*AD_tis!$BD13</f>
        <v>0</v>
      </c>
      <c r="AP13" s="4">
        <f>+AD_tis!AP13*AD_tis!AP$51*AD_tis!$BD13</f>
        <v>0</v>
      </c>
      <c r="AQ13" s="4">
        <f>+AD_tis!AQ13*AD_tis!AQ$51*AD_tis!$BD13</f>
        <v>0</v>
      </c>
      <c r="AR13" s="4">
        <f>+AD_tis!AR13*AD_tis!AR$51*AD_tis!$BD13</f>
        <v>0</v>
      </c>
      <c r="AS13" s="4">
        <f>+AD_tis!AS13*AD_tis!AS$51*AD_tis!$BD13</f>
        <v>0</v>
      </c>
      <c r="AT13" s="4">
        <f>+AD_tis!AT13*AD_tis!AT$51*AD_tis!$BD13</f>
        <v>0</v>
      </c>
      <c r="AU13" s="4">
        <f>+AD_tis!AU13*AD_tis!AU$51*AD_tis!$BD13</f>
        <v>0</v>
      </c>
      <c r="AV13" s="4">
        <f>+AD_tis!AV13*AD_tis!AV$51*AD_tis!$BD13</f>
        <v>0</v>
      </c>
      <c r="AW13" s="12">
        <f>+AD_tis!AW13*AD_tis!AW$51*AD_tis!$BD13</f>
        <v>0</v>
      </c>
      <c r="AX13" s="13">
        <f>+AD_tis!AX13*AD_tis!AX$51*AD_tis!$BD13</f>
        <v>0</v>
      </c>
      <c r="AY13" s="4">
        <f>+AD_tis!AY13*AD_tis!AY$51*AD_tis!$BD13</f>
        <v>0</v>
      </c>
      <c r="AZ13" s="4">
        <f>+AD_tis!AZ13*AD_tis!AZ$51*AD_tis!$BD13</f>
        <v>0</v>
      </c>
      <c r="BA13" s="12">
        <f>+AD_tis!BA13*AD_tis!BA$51*AD_tis!$BD13</f>
        <v>0</v>
      </c>
      <c r="BB13" s="4">
        <f>+AD_tis!BB13*AD_tis!BB$51*AD_tis!$BD13</f>
        <v>0</v>
      </c>
      <c r="BC13" s="13">
        <f>+AD_tis!BC13*AD_tis!BC$51*AD_tis!$BD13</f>
        <v>0</v>
      </c>
    </row>
    <row r="14" spans="1:55" ht="18.75" customHeight="1" x14ac:dyDescent="0.25">
      <c r="A14" s="5" t="s">
        <v>65</v>
      </c>
      <c r="B14" s="12">
        <f>+AD_tis!B14*AD_tis!B$51*AD_tis!$BD14</f>
        <v>0</v>
      </c>
      <c r="C14" s="4">
        <f>+AD_tis!C14*AD_tis!C$51*AD_tis!$BD14</f>
        <v>0</v>
      </c>
      <c r="D14" s="4">
        <f>+AD_tis!D14*AD_tis!D$51*AD_tis!$BD14</f>
        <v>0</v>
      </c>
      <c r="E14" s="4">
        <f>+AD_tis!E14*AD_tis!E$51*AD_tis!$BD14</f>
        <v>0</v>
      </c>
      <c r="F14" s="4">
        <f>+AD_tis!F14*AD_tis!F$51*AD_tis!$BD14</f>
        <v>0</v>
      </c>
      <c r="G14" s="4">
        <f>+AD_tis!G14*AD_tis!G$51*AD_tis!$BD14</f>
        <v>0</v>
      </c>
      <c r="H14" s="4">
        <f>+AD_tis!H14*AD_tis!H$51*AD_tis!$BD14</f>
        <v>0</v>
      </c>
      <c r="I14" s="4">
        <f>+AD_tis!I14*AD_tis!I$51*AD_tis!$BD14</f>
        <v>0</v>
      </c>
      <c r="J14" s="4">
        <f>+AD_tis!J14*AD_tis!J$51*AD_tis!$BD14</f>
        <v>0</v>
      </c>
      <c r="K14" s="4">
        <f>+AD_tis!K14*AD_tis!K$51*AD_tis!$BD14</f>
        <v>0</v>
      </c>
      <c r="L14" s="4">
        <f>+AD_tis!L14*AD_tis!L$51*AD_tis!$BD14</f>
        <v>0</v>
      </c>
      <c r="M14" s="4">
        <f>+AD_tis!M14*AD_tis!M$51*AD_tis!$BD14</f>
        <v>0</v>
      </c>
      <c r="N14" s="4">
        <f>+AD_tis!N14*AD_tis!N$51*AD_tis!$BD14</f>
        <v>0</v>
      </c>
      <c r="O14" s="4">
        <f>+AD_tis!O14*AD_tis!O$51*AD_tis!$BD14</f>
        <v>0</v>
      </c>
      <c r="P14" s="4">
        <f>+AD_tis!P14*AD_tis!P$51*AD_tis!$BD14</f>
        <v>0</v>
      </c>
      <c r="Q14" s="4">
        <f>+AD_tis!Q14*AD_tis!Q$51*AD_tis!$BD14</f>
        <v>0</v>
      </c>
      <c r="R14" s="13">
        <f>+AD_tis!R14*AD_tis!R$51*AD_tis!$BD14</f>
        <v>0</v>
      </c>
      <c r="S14" s="4">
        <f>+AD_tis!S14*AD_tis!S$51*AD_tis!$BD14</f>
        <v>0</v>
      </c>
      <c r="T14" s="4">
        <f>+AD_tis!T14*AD_tis!T$51*AD_tis!$BD14</f>
        <v>0</v>
      </c>
      <c r="U14" s="4">
        <f>+AD_tis!U14*AD_tis!U$51*AD_tis!$BD14</f>
        <v>0</v>
      </c>
      <c r="V14" s="4">
        <f>+AD_tis!V14*AD_tis!V$51*AD_tis!$BD14</f>
        <v>0</v>
      </c>
      <c r="W14" s="4">
        <f>+AD_tis!W14*AD_tis!W$51*AD_tis!$BD14</f>
        <v>0</v>
      </c>
      <c r="X14" s="4">
        <f>+AD_tis!X14*AD_tis!X$51*AD_tis!$BD14</f>
        <v>0</v>
      </c>
      <c r="Y14" s="4">
        <f>+AD_tis!Y14*AD_tis!Y$51*AD_tis!$BD14</f>
        <v>0</v>
      </c>
      <c r="Z14" s="4">
        <f>+AD_tis!Z14*AD_tis!Z$51*AD_tis!$BD14</f>
        <v>0</v>
      </c>
      <c r="AA14" s="4">
        <f>+AD_tis!AA14*AD_tis!AA$51*AD_tis!$BD14</f>
        <v>0</v>
      </c>
      <c r="AB14" s="4">
        <f>+AD_tis!AB14*AD_tis!AB$51*AD_tis!$BD14</f>
        <v>0</v>
      </c>
      <c r="AC14" s="12">
        <f>+AD_tis!AC14*AD_tis!AC$51*AD_tis!$BD14</f>
        <v>0</v>
      </c>
      <c r="AD14" s="4">
        <f>+AD_tis!AD14*AD_tis!AD$51*AD_tis!$BD14</f>
        <v>0</v>
      </c>
      <c r="AE14" s="4">
        <f>+AD_tis!AE14*AD_tis!AE$51*AD_tis!$BD14</f>
        <v>0</v>
      </c>
      <c r="AF14" s="4">
        <f>+AD_tis!AF14*AD_tis!AF$51*AD_tis!$BD14</f>
        <v>0</v>
      </c>
      <c r="AG14" s="4">
        <f>+AD_tis!AG14*AD_tis!AG$51*AD_tis!$BD14</f>
        <v>0</v>
      </c>
      <c r="AH14" s="4">
        <f>+AD_tis!AH14*AD_tis!AH$51*AD_tis!$BD14</f>
        <v>0</v>
      </c>
      <c r="AI14" s="4">
        <f>+AD_tis!AI14*AD_tis!AI$51*AD_tis!$BD14</f>
        <v>0</v>
      </c>
      <c r="AJ14" s="4">
        <f>+AD_tis!AJ14*AD_tis!AJ$51*AD_tis!$BD14</f>
        <v>0</v>
      </c>
      <c r="AK14" s="4">
        <f>+AD_tis!AK14*AD_tis!AK$51*AD_tis!$BD14</f>
        <v>0</v>
      </c>
      <c r="AL14" s="4">
        <f>+AD_tis!AL14*AD_tis!AL$51*AD_tis!$BD14</f>
        <v>0</v>
      </c>
      <c r="AM14" s="13">
        <f>+AD_tis!AM14*AD_tis!AM$51*AD_tis!$BD14</f>
        <v>0</v>
      </c>
      <c r="AN14" s="4">
        <f>+AD_tis!AN14*AD_tis!AN$51*AD_tis!$BD14</f>
        <v>0</v>
      </c>
      <c r="AO14" s="4">
        <f>+AD_tis!AO14*AD_tis!AO$51*AD_tis!$BD14</f>
        <v>0</v>
      </c>
      <c r="AP14" s="4">
        <f>+AD_tis!AP14*AD_tis!AP$51*AD_tis!$BD14</f>
        <v>0</v>
      </c>
      <c r="AQ14" s="4">
        <f>+AD_tis!AQ14*AD_tis!AQ$51*AD_tis!$BD14</f>
        <v>0</v>
      </c>
      <c r="AR14" s="4">
        <f>+AD_tis!AR14*AD_tis!AR$51*AD_tis!$BD14</f>
        <v>0</v>
      </c>
      <c r="AS14" s="4">
        <f>+AD_tis!AS14*AD_tis!AS$51*AD_tis!$BD14</f>
        <v>0</v>
      </c>
      <c r="AT14" s="4">
        <f>+AD_tis!AT14*AD_tis!AT$51*AD_tis!$BD14</f>
        <v>0</v>
      </c>
      <c r="AU14" s="4">
        <f>+AD_tis!AU14*AD_tis!AU$51*AD_tis!$BD14</f>
        <v>0</v>
      </c>
      <c r="AV14" s="4">
        <f>+AD_tis!AV14*AD_tis!AV$51*AD_tis!$BD14</f>
        <v>0</v>
      </c>
      <c r="AW14" s="12">
        <f>+AD_tis!AW14*AD_tis!AW$51*AD_tis!$BD14</f>
        <v>0</v>
      </c>
      <c r="AX14" s="13">
        <f>+AD_tis!AX14*AD_tis!AX$51*AD_tis!$BD14</f>
        <v>0</v>
      </c>
      <c r="AY14" s="4">
        <f>+AD_tis!AY14*AD_tis!AY$51*AD_tis!$BD14</f>
        <v>0</v>
      </c>
      <c r="AZ14" s="4">
        <f>+AD_tis!AZ14*AD_tis!AZ$51*AD_tis!$BD14</f>
        <v>0</v>
      </c>
      <c r="BA14" s="12">
        <f>+AD_tis!BA14*AD_tis!BA$51*AD_tis!$BD14</f>
        <v>0</v>
      </c>
      <c r="BB14" s="4">
        <f>+AD_tis!BB14*AD_tis!BB$51*AD_tis!$BD14</f>
        <v>0</v>
      </c>
      <c r="BC14" s="13">
        <f>+AD_tis!BC14*AD_tis!BC$51*AD_tis!$BD14</f>
        <v>0</v>
      </c>
    </row>
    <row r="15" spans="1:55" ht="18.75" customHeight="1" x14ac:dyDescent="0.25">
      <c r="A15" s="5" t="s">
        <v>66</v>
      </c>
      <c r="B15" s="12">
        <f>+AD_tis!B15*AD_tis!B$51*AD_tis!$BD15</f>
        <v>0</v>
      </c>
      <c r="C15" s="4">
        <f>+AD_tis!C15*AD_tis!C$51*AD_tis!$BD15</f>
        <v>0</v>
      </c>
      <c r="D15" s="4">
        <f>+AD_tis!D15*AD_tis!D$51*AD_tis!$BD15</f>
        <v>0</v>
      </c>
      <c r="E15" s="4">
        <f>+AD_tis!E15*AD_tis!E$51*AD_tis!$BD15</f>
        <v>0</v>
      </c>
      <c r="F15" s="4">
        <f>+AD_tis!F15*AD_tis!F$51*AD_tis!$BD15</f>
        <v>0</v>
      </c>
      <c r="G15" s="4">
        <f>+AD_tis!G15*AD_tis!G$51*AD_tis!$BD15</f>
        <v>0</v>
      </c>
      <c r="H15" s="4">
        <f>+AD_tis!H15*AD_tis!H$51*AD_tis!$BD15</f>
        <v>0</v>
      </c>
      <c r="I15" s="4">
        <f>+AD_tis!I15*AD_tis!I$51*AD_tis!$BD15</f>
        <v>0</v>
      </c>
      <c r="J15" s="4">
        <f>+AD_tis!J15*AD_tis!J$51*AD_tis!$BD15</f>
        <v>0</v>
      </c>
      <c r="K15" s="4">
        <f>+AD_tis!K15*AD_tis!K$51*AD_tis!$BD15</f>
        <v>0</v>
      </c>
      <c r="L15" s="4">
        <f>+AD_tis!L15*AD_tis!L$51*AD_tis!$BD15</f>
        <v>0</v>
      </c>
      <c r="M15" s="4">
        <f>+AD_tis!M15*AD_tis!M$51*AD_tis!$BD15</f>
        <v>0</v>
      </c>
      <c r="N15" s="4">
        <f>+AD_tis!N15*AD_tis!N$51*AD_tis!$BD15</f>
        <v>0</v>
      </c>
      <c r="O15" s="4">
        <f>+AD_tis!O15*AD_tis!O$51*AD_tis!$BD15</f>
        <v>0</v>
      </c>
      <c r="P15" s="4">
        <f>+AD_tis!P15*AD_tis!P$51*AD_tis!$BD15</f>
        <v>0</v>
      </c>
      <c r="Q15" s="4">
        <f>+AD_tis!Q15*AD_tis!Q$51*AD_tis!$BD15</f>
        <v>0</v>
      </c>
      <c r="R15" s="13">
        <f>+AD_tis!R15*AD_tis!R$51*AD_tis!$BD15</f>
        <v>0</v>
      </c>
      <c r="S15" s="4">
        <f>+AD_tis!S15*AD_tis!S$51*AD_tis!$BD15</f>
        <v>0</v>
      </c>
      <c r="T15" s="4">
        <f>+AD_tis!T15*AD_tis!T$51*AD_tis!$BD15</f>
        <v>0</v>
      </c>
      <c r="U15" s="4">
        <f>+AD_tis!U15*AD_tis!U$51*AD_tis!$BD15</f>
        <v>0</v>
      </c>
      <c r="V15" s="4">
        <f>+AD_tis!V15*AD_tis!V$51*AD_tis!$BD15</f>
        <v>0</v>
      </c>
      <c r="W15" s="4">
        <f>+AD_tis!W15*AD_tis!W$51*AD_tis!$BD15</f>
        <v>0</v>
      </c>
      <c r="X15" s="4">
        <f>+AD_tis!X15*AD_tis!X$51*AD_tis!$BD15</f>
        <v>0</v>
      </c>
      <c r="Y15" s="4">
        <f>+AD_tis!Y15*AD_tis!Y$51*AD_tis!$BD15</f>
        <v>0</v>
      </c>
      <c r="Z15" s="4">
        <f>+AD_tis!Z15*AD_tis!Z$51*AD_tis!$BD15</f>
        <v>0</v>
      </c>
      <c r="AA15" s="4">
        <f>+AD_tis!AA15*AD_tis!AA$51*AD_tis!$BD15</f>
        <v>0</v>
      </c>
      <c r="AB15" s="4">
        <f>+AD_tis!AB15*AD_tis!AB$51*AD_tis!$BD15</f>
        <v>0</v>
      </c>
      <c r="AC15" s="12">
        <f>+AD_tis!AC15*AD_tis!AC$51*AD_tis!$BD15</f>
        <v>0</v>
      </c>
      <c r="AD15" s="4">
        <f>+AD_tis!AD15*AD_tis!AD$51*AD_tis!$BD15</f>
        <v>0</v>
      </c>
      <c r="AE15" s="4">
        <f>+AD_tis!AE15*AD_tis!AE$51*AD_tis!$BD15</f>
        <v>0</v>
      </c>
      <c r="AF15" s="4">
        <f>+AD_tis!AF15*AD_tis!AF$51*AD_tis!$BD15</f>
        <v>0</v>
      </c>
      <c r="AG15" s="4">
        <f>+AD_tis!AG15*AD_tis!AG$51*AD_tis!$BD15</f>
        <v>0</v>
      </c>
      <c r="AH15" s="4">
        <f>+AD_tis!AH15*AD_tis!AH$51*AD_tis!$BD15</f>
        <v>0</v>
      </c>
      <c r="AI15" s="4">
        <f>+AD_tis!AI15*AD_tis!AI$51*AD_tis!$BD15</f>
        <v>0</v>
      </c>
      <c r="AJ15" s="4">
        <f>+AD_tis!AJ15*AD_tis!AJ$51*AD_tis!$BD15</f>
        <v>0</v>
      </c>
      <c r="AK15" s="4">
        <f>+AD_tis!AK15*AD_tis!AK$51*AD_tis!$BD15</f>
        <v>0</v>
      </c>
      <c r="AL15" s="4">
        <f>+AD_tis!AL15*AD_tis!AL$51*AD_tis!$BD15</f>
        <v>0</v>
      </c>
      <c r="AM15" s="13">
        <f>+AD_tis!AM15*AD_tis!AM$51*AD_tis!$BD15</f>
        <v>0</v>
      </c>
      <c r="AN15" s="4">
        <f>+AD_tis!AN15*AD_tis!AN$51*AD_tis!$BD15</f>
        <v>0</v>
      </c>
      <c r="AO15" s="4">
        <f>+AD_tis!AO15*AD_tis!AO$51*AD_tis!$BD15</f>
        <v>0</v>
      </c>
      <c r="AP15" s="4">
        <f>+AD_tis!AP15*AD_tis!AP$51*AD_tis!$BD15</f>
        <v>0</v>
      </c>
      <c r="AQ15" s="4">
        <f>+AD_tis!AQ15*AD_tis!AQ$51*AD_tis!$BD15</f>
        <v>0</v>
      </c>
      <c r="AR15" s="4">
        <f>+AD_tis!AR15*AD_tis!AR$51*AD_tis!$BD15</f>
        <v>0</v>
      </c>
      <c r="AS15" s="4">
        <f>+AD_tis!AS15*AD_tis!AS$51*AD_tis!$BD15</f>
        <v>0</v>
      </c>
      <c r="AT15" s="4">
        <f>+AD_tis!AT15*AD_tis!AT$51*AD_tis!$BD15</f>
        <v>0</v>
      </c>
      <c r="AU15" s="4">
        <f>+AD_tis!AU15*AD_tis!AU$51*AD_tis!$BD15</f>
        <v>0</v>
      </c>
      <c r="AV15" s="4">
        <f>+AD_tis!AV15*AD_tis!AV$51*AD_tis!$BD15</f>
        <v>0</v>
      </c>
      <c r="AW15" s="12">
        <f>+AD_tis!AW15*AD_tis!AW$51*AD_tis!$BD15</f>
        <v>0</v>
      </c>
      <c r="AX15" s="13">
        <f>+AD_tis!AX15*AD_tis!AX$51*AD_tis!$BD15</f>
        <v>0</v>
      </c>
      <c r="AY15" s="4">
        <f>+AD_tis!AY15*AD_tis!AY$51*AD_tis!$BD15</f>
        <v>0</v>
      </c>
      <c r="AZ15" s="4">
        <f>+AD_tis!AZ15*AD_tis!AZ$51*AD_tis!$BD15</f>
        <v>0</v>
      </c>
      <c r="BA15" s="12">
        <f>+AD_tis!BA15*AD_tis!BA$51*AD_tis!$BD15</f>
        <v>0</v>
      </c>
      <c r="BB15" s="4">
        <f>+AD_tis!BB15*AD_tis!BB$51*AD_tis!$BD15</f>
        <v>0</v>
      </c>
      <c r="BC15" s="13">
        <f>+AD_tis!BC15*AD_tis!BC$51*AD_tis!$BD15</f>
        <v>0</v>
      </c>
    </row>
    <row r="16" spans="1:55" ht="18.75" customHeight="1" x14ac:dyDescent="0.25">
      <c r="A16" s="5" t="s">
        <v>67</v>
      </c>
      <c r="B16" s="12">
        <f>+AD_tis!B16*AD_tis!B$51*AD_tis!$BD16</f>
        <v>0</v>
      </c>
      <c r="C16" s="4">
        <f>+AD_tis!C16*AD_tis!C$51*AD_tis!$BD16</f>
        <v>0</v>
      </c>
      <c r="D16" s="4">
        <f>+AD_tis!D16*AD_tis!D$51*AD_tis!$BD16</f>
        <v>0</v>
      </c>
      <c r="E16" s="4">
        <f>+AD_tis!E16*AD_tis!E$51*AD_tis!$BD16</f>
        <v>0</v>
      </c>
      <c r="F16" s="4">
        <f>+AD_tis!F16*AD_tis!F$51*AD_tis!$BD16</f>
        <v>0</v>
      </c>
      <c r="G16" s="4">
        <f>+AD_tis!G16*AD_tis!G$51*AD_tis!$BD16</f>
        <v>0</v>
      </c>
      <c r="H16" s="4">
        <f>+AD_tis!H16*AD_tis!H$51*AD_tis!$BD16</f>
        <v>0</v>
      </c>
      <c r="I16" s="4">
        <f>+AD_tis!I16*AD_tis!I$51*AD_tis!$BD16</f>
        <v>0</v>
      </c>
      <c r="J16" s="4">
        <f>+AD_tis!J16*AD_tis!J$51*AD_tis!$BD16</f>
        <v>0</v>
      </c>
      <c r="K16" s="4">
        <f>+AD_tis!K16*AD_tis!K$51*AD_tis!$BD16</f>
        <v>0</v>
      </c>
      <c r="L16" s="4">
        <f>+AD_tis!L16*AD_tis!L$51*AD_tis!$BD16</f>
        <v>0</v>
      </c>
      <c r="M16" s="4">
        <f>+AD_tis!M16*AD_tis!M$51*AD_tis!$BD16</f>
        <v>0</v>
      </c>
      <c r="N16" s="4">
        <f>+AD_tis!N16*AD_tis!N$51*AD_tis!$BD16</f>
        <v>0</v>
      </c>
      <c r="O16" s="4">
        <f>+AD_tis!O16*AD_tis!O$51*AD_tis!$BD16</f>
        <v>0</v>
      </c>
      <c r="P16" s="4">
        <f>+AD_tis!P16*AD_tis!P$51*AD_tis!$BD16</f>
        <v>0</v>
      </c>
      <c r="Q16" s="4">
        <f>+AD_tis!Q16*AD_tis!Q$51*AD_tis!$BD16</f>
        <v>0</v>
      </c>
      <c r="R16" s="13">
        <f>+AD_tis!R16*AD_tis!R$51*AD_tis!$BD16</f>
        <v>0</v>
      </c>
      <c r="S16" s="4">
        <f>+AD_tis!S16*AD_tis!S$51*AD_tis!$BD16</f>
        <v>0</v>
      </c>
      <c r="T16" s="4">
        <f>+AD_tis!T16*AD_tis!T$51*AD_tis!$BD16</f>
        <v>0</v>
      </c>
      <c r="U16" s="4">
        <f>+AD_tis!U16*AD_tis!U$51*AD_tis!$BD16</f>
        <v>0</v>
      </c>
      <c r="V16" s="4">
        <f>+AD_tis!V16*AD_tis!V$51*AD_tis!$BD16</f>
        <v>0</v>
      </c>
      <c r="W16" s="4">
        <f>+AD_tis!W16*AD_tis!W$51*AD_tis!$BD16</f>
        <v>0</v>
      </c>
      <c r="X16" s="4">
        <f>+AD_tis!X16*AD_tis!X$51*AD_tis!$BD16</f>
        <v>0</v>
      </c>
      <c r="Y16" s="4">
        <f>+AD_tis!Y16*AD_tis!Y$51*AD_tis!$BD16</f>
        <v>0</v>
      </c>
      <c r="Z16" s="4">
        <f>+AD_tis!Z16*AD_tis!Z$51*AD_tis!$BD16</f>
        <v>0</v>
      </c>
      <c r="AA16" s="4">
        <f>+AD_tis!AA16*AD_tis!AA$51*AD_tis!$BD16</f>
        <v>0</v>
      </c>
      <c r="AB16" s="4">
        <f>+AD_tis!AB16*AD_tis!AB$51*AD_tis!$BD16</f>
        <v>0</v>
      </c>
      <c r="AC16" s="12">
        <f>+AD_tis!AC16*AD_tis!AC$51*AD_tis!$BD16</f>
        <v>0</v>
      </c>
      <c r="AD16" s="4">
        <f>+AD_tis!AD16*AD_tis!AD$51*AD_tis!$BD16</f>
        <v>0</v>
      </c>
      <c r="AE16" s="4">
        <f>+AD_tis!AE16*AD_tis!AE$51*AD_tis!$BD16</f>
        <v>0</v>
      </c>
      <c r="AF16" s="4">
        <f>+AD_tis!AF16*AD_tis!AF$51*AD_tis!$BD16</f>
        <v>0</v>
      </c>
      <c r="AG16" s="4">
        <f>+AD_tis!AG16*AD_tis!AG$51*AD_tis!$BD16</f>
        <v>0</v>
      </c>
      <c r="AH16" s="4">
        <f>+AD_tis!AH16*AD_tis!AH$51*AD_tis!$BD16</f>
        <v>0</v>
      </c>
      <c r="AI16" s="4">
        <f>+AD_tis!AI16*AD_tis!AI$51*AD_tis!$BD16</f>
        <v>0</v>
      </c>
      <c r="AJ16" s="4">
        <f>+AD_tis!AJ16*AD_tis!AJ$51*AD_tis!$BD16</f>
        <v>0</v>
      </c>
      <c r="AK16" s="4">
        <f>+AD_tis!AK16*AD_tis!AK$51*AD_tis!$BD16</f>
        <v>0</v>
      </c>
      <c r="AL16" s="4">
        <f>+AD_tis!AL16*AD_tis!AL$51*AD_tis!$BD16</f>
        <v>0</v>
      </c>
      <c r="AM16" s="13">
        <f>+AD_tis!AM16*AD_tis!AM$51*AD_tis!$BD16</f>
        <v>0</v>
      </c>
      <c r="AN16" s="4">
        <f>+AD_tis!AN16*AD_tis!AN$51*AD_tis!$BD16</f>
        <v>0</v>
      </c>
      <c r="AO16" s="4">
        <f>+AD_tis!AO16*AD_tis!AO$51*AD_tis!$BD16</f>
        <v>0</v>
      </c>
      <c r="AP16" s="4">
        <f>+AD_tis!AP16*AD_tis!AP$51*AD_tis!$BD16</f>
        <v>0</v>
      </c>
      <c r="AQ16" s="4">
        <f>+AD_tis!AQ16*AD_tis!AQ$51*AD_tis!$BD16</f>
        <v>0</v>
      </c>
      <c r="AR16" s="4">
        <f>+AD_tis!AR16*AD_tis!AR$51*AD_tis!$BD16</f>
        <v>0</v>
      </c>
      <c r="AS16" s="4">
        <f>+AD_tis!AS16*AD_tis!AS$51*AD_tis!$BD16</f>
        <v>0</v>
      </c>
      <c r="AT16" s="4">
        <f>+AD_tis!AT16*AD_tis!AT$51*AD_tis!$BD16</f>
        <v>0</v>
      </c>
      <c r="AU16" s="4">
        <f>+AD_tis!AU16*AD_tis!AU$51*AD_tis!$BD16</f>
        <v>0</v>
      </c>
      <c r="AV16" s="4">
        <f>+AD_tis!AV16*AD_tis!AV$51*AD_tis!$BD16</f>
        <v>0</v>
      </c>
      <c r="AW16" s="12">
        <f>+AD_tis!AW16*AD_tis!AW$51*AD_tis!$BD16</f>
        <v>0</v>
      </c>
      <c r="AX16" s="13">
        <f>+AD_tis!AX16*AD_tis!AX$51*AD_tis!$BD16</f>
        <v>0</v>
      </c>
      <c r="AY16" s="4">
        <f>+AD_tis!AY16*AD_tis!AY$51*AD_tis!$BD16</f>
        <v>0</v>
      </c>
      <c r="AZ16" s="4">
        <f>+AD_tis!AZ16*AD_tis!AZ$51*AD_tis!$BD16</f>
        <v>0</v>
      </c>
      <c r="BA16" s="12">
        <f>+AD_tis!BA16*AD_tis!BA$51*AD_tis!$BD16</f>
        <v>0</v>
      </c>
      <c r="BB16" s="4">
        <f>+AD_tis!BB16*AD_tis!BB$51*AD_tis!$BD16</f>
        <v>0</v>
      </c>
      <c r="BC16" s="13">
        <f>+AD_tis!BC16*AD_tis!BC$51*AD_tis!$BD16</f>
        <v>0</v>
      </c>
    </row>
    <row r="17" spans="1:55" ht="18.75" customHeight="1" x14ac:dyDescent="0.25">
      <c r="A17" s="5" t="s">
        <v>68</v>
      </c>
      <c r="B17" s="12">
        <f>+AD_tis!B17*AD_tis!B$51*AD_tis!$BD17</f>
        <v>0</v>
      </c>
      <c r="C17" s="4">
        <f>+AD_tis!C17*AD_tis!C$51*AD_tis!$BD17</f>
        <v>0</v>
      </c>
      <c r="D17" s="4">
        <f>+AD_tis!D17*AD_tis!D$51*AD_tis!$BD17</f>
        <v>0</v>
      </c>
      <c r="E17" s="4">
        <f>+AD_tis!E17*AD_tis!E$51*AD_tis!$BD17</f>
        <v>0</v>
      </c>
      <c r="F17" s="4">
        <f>+AD_tis!F17*AD_tis!F$51*AD_tis!$BD17</f>
        <v>0</v>
      </c>
      <c r="G17" s="4">
        <f>+AD_tis!G17*AD_tis!G$51*AD_tis!$BD17</f>
        <v>0</v>
      </c>
      <c r="H17" s="4">
        <f>+AD_tis!H17*AD_tis!H$51*AD_tis!$BD17</f>
        <v>0</v>
      </c>
      <c r="I17" s="4">
        <f>+AD_tis!I17*AD_tis!I$51*AD_tis!$BD17</f>
        <v>0</v>
      </c>
      <c r="J17" s="4">
        <f>+AD_tis!J17*AD_tis!J$51*AD_tis!$BD17</f>
        <v>0</v>
      </c>
      <c r="K17" s="4">
        <f>+AD_tis!K17*AD_tis!K$51*AD_tis!$BD17</f>
        <v>0</v>
      </c>
      <c r="L17" s="4">
        <f>+AD_tis!L17*AD_tis!L$51*AD_tis!$BD17</f>
        <v>0</v>
      </c>
      <c r="M17" s="4">
        <f>+AD_tis!M17*AD_tis!M$51*AD_tis!$BD17</f>
        <v>0</v>
      </c>
      <c r="N17" s="4">
        <f>+AD_tis!N17*AD_tis!N$51*AD_tis!$BD17</f>
        <v>0</v>
      </c>
      <c r="O17" s="4">
        <f>+AD_tis!O17*AD_tis!O$51*AD_tis!$BD17</f>
        <v>0</v>
      </c>
      <c r="P17" s="4">
        <f>+AD_tis!P17*AD_tis!P$51*AD_tis!$BD17</f>
        <v>0</v>
      </c>
      <c r="Q17" s="4">
        <f>+AD_tis!Q17*AD_tis!Q$51*AD_tis!$BD17</f>
        <v>0</v>
      </c>
      <c r="R17" s="13">
        <f>+AD_tis!R17*AD_tis!R$51*AD_tis!$BD17</f>
        <v>0</v>
      </c>
      <c r="S17" s="4">
        <f>+AD_tis!S17*AD_tis!S$51*AD_tis!$BD17</f>
        <v>0</v>
      </c>
      <c r="T17" s="4">
        <f>+AD_tis!T17*AD_tis!T$51*AD_tis!$BD17</f>
        <v>0</v>
      </c>
      <c r="U17" s="4">
        <f>+AD_tis!U17*AD_tis!U$51*AD_tis!$BD17</f>
        <v>0</v>
      </c>
      <c r="V17" s="4">
        <f>+AD_tis!V17*AD_tis!V$51*AD_tis!$BD17</f>
        <v>0</v>
      </c>
      <c r="W17" s="4">
        <f>+AD_tis!W17*AD_tis!W$51*AD_tis!$BD17</f>
        <v>0</v>
      </c>
      <c r="X17" s="4">
        <f>+AD_tis!X17*AD_tis!X$51*AD_tis!$BD17</f>
        <v>0</v>
      </c>
      <c r="Y17" s="4">
        <f>+AD_tis!Y17*AD_tis!Y$51*AD_tis!$BD17</f>
        <v>0</v>
      </c>
      <c r="Z17" s="4">
        <f>+AD_tis!Z17*AD_tis!Z$51*AD_tis!$BD17</f>
        <v>0</v>
      </c>
      <c r="AA17" s="4">
        <f>+AD_tis!AA17*AD_tis!AA$51*AD_tis!$BD17</f>
        <v>0</v>
      </c>
      <c r="AB17" s="4">
        <f>+AD_tis!AB17*AD_tis!AB$51*AD_tis!$BD17</f>
        <v>0</v>
      </c>
      <c r="AC17" s="12">
        <f>+AD_tis!AC17*AD_tis!AC$51*AD_tis!$BD17</f>
        <v>0</v>
      </c>
      <c r="AD17" s="4">
        <f>+AD_tis!AD17*AD_tis!AD$51*AD_tis!$BD17</f>
        <v>0</v>
      </c>
      <c r="AE17" s="4">
        <f>+AD_tis!AE17*AD_tis!AE$51*AD_tis!$BD17</f>
        <v>0</v>
      </c>
      <c r="AF17" s="4">
        <f>+AD_tis!AF17*AD_tis!AF$51*AD_tis!$BD17</f>
        <v>0</v>
      </c>
      <c r="AG17" s="4">
        <f>+AD_tis!AG17*AD_tis!AG$51*AD_tis!$BD17</f>
        <v>0</v>
      </c>
      <c r="AH17" s="4">
        <f>+AD_tis!AH17*AD_tis!AH$51*AD_tis!$BD17</f>
        <v>0</v>
      </c>
      <c r="AI17" s="4">
        <f>+AD_tis!AI17*AD_tis!AI$51*AD_tis!$BD17</f>
        <v>0</v>
      </c>
      <c r="AJ17" s="4">
        <f>+AD_tis!AJ17*AD_tis!AJ$51*AD_tis!$BD17</f>
        <v>0</v>
      </c>
      <c r="AK17" s="4">
        <f>+AD_tis!AK17*AD_tis!AK$51*AD_tis!$BD17</f>
        <v>0</v>
      </c>
      <c r="AL17" s="4">
        <f>+AD_tis!AL17*AD_tis!AL$51*AD_tis!$BD17</f>
        <v>0</v>
      </c>
      <c r="AM17" s="13">
        <f>+AD_tis!AM17*AD_tis!AM$51*AD_tis!$BD17</f>
        <v>0</v>
      </c>
      <c r="AN17" s="4">
        <f>+AD_tis!AN17*AD_tis!AN$51*AD_tis!$BD17</f>
        <v>0</v>
      </c>
      <c r="AO17" s="4">
        <f>+AD_tis!AO17*AD_tis!AO$51*AD_tis!$BD17</f>
        <v>0</v>
      </c>
      <c r="AP17" s="4">
        <f>+AD_tis!AP17*AD_tis!AP$51*AD_tis!$BD17</f>
        <v>0</v>
      </c>
      <c r="AQ17" s="4">
        <f>+AD_tis!AQ17*AD_tis!AQ$51*AD_tis!$BD17</f>
        <v>0</v>
      </c>
      <c r="AR17" s="4">
        <f>+AD_tis!AR17*AD_tis!AR$51*AD_tis!$BD17</f>
        <v>0</v>
      </c>
      <c r="AS17" s="4">
        <f>+AD_tis!AS17*AD_tis!AS$51*AD_tis!$BD17</f>
        <v>0</v>
      </c>
      <c r="AT17" s="4">
        <f>+AD_tis!AT17*AD_tis!AT$51*AD_tis!$BD17</f>
        <v>0</v>
      </c>
      <c r="AU17" s="4">
        <f>+AD_tis!AU17*AD_tis!AU$51*AD_tis!$BD17</f>
        <v>0</v>
      </c>
      <c r="AV17" s="4">
        <f>+AD_tis!AV17*AD_tis!AV$51*AD_tis!$BD17</f>
        <v>0</v>
      </c>
      <c r="AW17" s="12">
        <f>+AD_tis!AW17*AD_tis!AW$51*AD_tis!$BD17</f>
        <v>0</v>
      </c>
      <c r="AX17" s="13">
        <f>+AD_tis!AX17*AD_tis!AX$51*AD_tis!$BD17</f>
        <v>0</v>
      </c>
      <c r="AY17" s="4">
        <f>+AD_tis!AY17*AD_tis!AY$51*AD_tis!$BD17</f>
        <v>0</v>
      </c>
      <c r="AZ17" s="4">
        <f>+AD_tis!AZ17*AD_tis!AZ$51*AD_tis!$BD17</f>
        <v>0</v>
      </c>
      <c r="BA17" s="12">
        <f>+AD_tis!BA17*AD_tis!BA$51*AD_tis!$BD17</f>
        <v>0</v>
      </c>
      <c r="BB17" s="4">
        <f>+AD_tis!BB17*AD_tis!BB$51*AD_tis!$BD17</f>
        <v>0</v>
      </c>
      <c r="BC17" s="13">
        <f>+AD_tis!BC17*AD_tis!BC$51*AD_tis!$BD17</f>
        <v>0</v>
      </c>
    </row>
    <row r="18" spans="1:55" ht="18.75" customHeight="1" x14ac:dyDescent="0.25">
      <c r="A18" s="5" t="s">
        <v>69</v>
      </c>
      <c r="B18" s="12">
        <f>+AD_tis!B18*AD_tis!B$51*AD_tis!$BD18</f>
        <v>0</v>
      </c>
      <c r="C18" s="4">
        <f>+AD_tis!C18*AD_tis!C$51*AD_tis!$BD18</f>
        <v>0</v>
      </c>
      <c r="D18" s="4">
        <f>+AD_tis!D18*AD_tis!D$51*AD_tis!$BD18</f>
        <v>0</v>
      </c>
      <c r="E18" s="4">
        <f>+AD_tis!E18*AD_tis!E$51*AD_tis!$BD18</f>
        <v>0</v>
      </c>
      <c r="F18" s="4">
        <f>+AD_tis!F18*AD_tis!F$51*AD_tis!$BD18</f>
        <v>0</v>
      </c>
      <c r="G18" s="4">
        <f>+AD_tis!G18*AD_tis!G$51*AD_tis!$BD18</f>
        <v>0</v>
      </c>
      <c r="H18" s="4">
        <f>+AD_tis!H18*AD_tis!H$51*AD_tis!$BD18</f>
        <v>0</v>
      </c>
      <c r="I18" s="4">
        <f>+AD_tis!I18*AD_tis!I$51*AD_tis!$BD18</f>
        <v>0</v>
      </c>
      <c r="J18" s="4">
        <f>+AD_tis!J18*AD_tis!J$51*AD_tis!$BD18</f>
        <v>0</v>
      </c>
      <c r="K18" s="4">
        <f>+AD_tis!K18*AD_tis!K$51*AD_tis!$BD18</f>
        <v>0</v>
      </c>
      <c r="L18" s="4">
        <f>+AD_tis!L18*AD_tis!L$51*AD_tis!$BD18</f>
        <v>0</v>
      </c>
      <c r="M18" s="4">
        <f>+AD_tis!M18*AD_tis!M$51*AD_tis!$BD18</f>
        <v>0</v>
      </c>
      <c r="N18" s="4">
        <f>+AD_tis!N18*AD_tis!N$51*AD_tis!$BD18</f>
        <v>0</v>
      </c>
      <c r="O18" s="4">
        <f>+AD_tis!O18*AD_tis!O$51*AD_tis!$BD18</f>
        <v>0</v>
      </c>
      <c r="P18" s="4">
        <f>+AD_tis!P18*AD_tis!P$51*AD_tis!$BD18</f>
        <v>0</v>
      </c>
      <c r="Q18" s="4">
        <f>+AD_tis!Q18*AD_tis!Q$51*AD_tis!$BD18</f>
        <v>0</v>
      </c>
      <c r="R18" s="13">
        <f>+AD_tis!R18*AD_tis!R$51*AD_tis!$BD18</f>
        <v>0</v>
      </c>
      <c r="S18" s="4">
        <f>+AD_tis!S18*AD_tis!S$51*AD_tis!$BD18</f>
        <v>0</v>
      </c>
      <c r="T18" s="4">
        <f>+AD_tis!T18*AD_tis!T$51*AD_tis!$BD18</f>
        <v>0</v>
      </c>
      <c r="U18" s="4">
        <f>+AD_tis!U18*AD_tis!U$51*AD_tis!$BD18</f>
        <v>0</v>
      </c>
      <c r="V18" s="4">
        <f>+AD_tis!V18*AD_tis!V$51*AD_tis!$BD18</f>
        <v>0</v>
      </c>
      <c r="W18" s="4">
        <f>+AD_tis!W18*AD_tis!W$51*AD_tis!$BD18</f>
        <v>0</v>
      </c>
      <c r="X18" s="4">
        <f>+AD_tis!X18*AD_tis!X$51*AD_tis!$BD18</f>
        <v>0</v>
      </c>
      <c r="Y18" s="4">
        <f>+AD_tis!Y18*AD_tis!Y$51*AD_tis!$BD18</f>
        <v>0</v>
      </c>
      <c r="Z18" s="4">
        <f>+AD_tis!Z18*AD_tis!Z$51*AD_tis!$BD18</f>
        <v>0</v>
      </c>
      <c r="AA18" s="4">
        <f>+AD_tis!AA18*AD_tis!AA$51*AD_tis!$BD18</f>
        <v>0</v>
      </c>
      <c r="AB18" s="4">
        <f>+AD_tis!AB18*AD_tis!AB$51*AD_tis!$BD18</f>
        <v>0</v>
      </c>
      <c r="AC18" s="12">
        <f>+AD_tis!AC18*AD_tis!AC$51*AD_tis!$BD18</f>
        <v>0</v>
      </c>
      <c r="AD18" s="4">
        <f>+AD_tis!AD18*AD_tis!AD$51*AD_tis!$BD18</f>
        <v>0</v>
      </c>
      <c r="AE18" s="4">
        <f>+AD_tis!AE18*AD_tis!AE$51*AD_tis!$BD18</f>
        <v>0</v>
      </c>
      <c r="AF18" s="4">
        <f>+AD_tis!AF18*AD_tis!AF$51*AD_tis!$BD18</f>
        <v>0</v>
      </c>
      <c r="AG18" s="4">
        <f>+AD_tis!AG18*AD_tis!AG$51*AD_tis!$BD18</f>
        <v>0</v>
      </c>
      <c r="AH18" s="4">
        <f>+AD_tis!AH18*AD_tis!AH$51*AD_tis!$BD18</f>
        <v>0</v>
      </c>
      <c r="AI18" s="4">
        <f>+AD_tis!AI18*AD_tis!AI$51*AD_tis!$BD18</f>
        <v>0</v>
      </c>
      <c r="AJ18" s="4">
        <f>+AD_tis!AJ18*AD_tis!AJ$51*AD_tis!$BD18</f>
        <v>0</v>
      </c>
      <c r="AK18" s="4">
        <f>+AD_tis!AK18*AD_tis!AK$51*AD_tis!$BD18</f>
        <v>0</v>
      </c>
      <c r="AL18" s="4">
        <f>+AD_tis!AL18*AD_tis!AL$51*AD_tis!$BD18</f>
        <v>0</v>
      </c>
      <c r="AM18" s="13">
        <f>+AD_tis!AM18*AD_tis!AM$51*AD_tis!$BD18</f>
        <v>0</v>
      </c>
      <c r="AN18" s="4">
        <f>+AD_tis!AN18*AD_tis!AN$51*AD_tis!$BD18</f>
        <v>0</v>
      </c>
      <c r="AO18" s="4">
        <f>+AD_tis!AO18*AD_tis!AO$51*AD_tis!$BD18</f>
        <v>0</v>
      </c>
      <c r="AP18" s="4">
        <f>+AD_tis!AP18*AD_tis!AP$51*AD_tis!$BD18</f>
        <v>0</v>
      </c>
      <c r="AQ18" s="4">
        <f>+AD_tis!AQ18*AD_tis!AQ$51*AD_tis!$BD18</f>
        <v>0</v>
      </c>
      <c r="AR18" s="4">
        <f>+AD_tis!AR18*AD_tis!AR$51*AD_tis!$BD18</f>
        <v>0</v>
      </c>
      <c r="AS18" s="4">
        <f>+AD_tis!AS18*AD_tis!AS$51*AD_tis!$BD18</f>
        <v>0</v>
      </c>
      <c r="AT18" s="4">
        <f>+AD_tis!AT18*AD_tis!AT$51*AD_tis!$BD18</f>
        <v>0</v>
      </c>
      <c r="AU18" s="4">
        <f>+AD_tis!AU18*AD_tis!AU$51*AD_tis!$BD18</f>
        <v>0</v>
      </c>
      <c r="AV18" s="4">
        <f>+AD_tis!AV18*AD_tis!AV$51*AD_tis!$BD18</f>
        <v>0</v>
      </c>
      <c r="AW18" s="12">
        <f>+AD_tis!AW18*AD_tis!AW$51*AD_tis!$BD18</f>
        <v>0</v>
      </c>
      <c r="AX18" s="13">
        <f>+AD_tis!AX18*AD_tis!AX$51*AD_tis!$BD18</f>
        <v>0</v>
      </c>
      <c r="AY18" s="4">
        <f>+AD_tis!AY18*AD_tis!AY$51*AD_tis!$BD18</f>
        <v>0</v>
      </c>
      <c r="AZ18" s="4">
        <f>+AD_tis!AZ18*AD_tis!AZ$51*AD_tis!$BD18</f>
        <v>0</v>
      </c>
      <c r="BA18" s="12">
        <f>+AD_tis!BA18*AD_tis!BA$51*AD_tis!$BD18</f>
        <v>0</v>
      </c>
      <c r="BB18" s="4">
        <f>+AD_tis!BB18*AD_tis!BB$51*AD_tis!$BD18</f>
        <v>0</v>
      </c>
      <c r="BC18" s="13">
        <f>+AD_tis!BC18*AD_tis!BC$51*AD_tis!$BD18</f>
        <v>0</v>
      </c>
    </row>
    <row r="19" spans="1:55" ht="18.75" customHeight="1" x14ac:dyDescent="0.25">
      <c r="A19" s="5" t="s">
        <v>70</v>
      </c>
      <c r="B19" s="12">
        <f>+AD_tis!B19*AD_tis!B$51*AD_tis!$BD19</f>
        <v>0</v>
      </c>
      <c r="C19" s="4">
        <f>+AD_tis!C19*AD_tis!C$51*AD_tis!$BD19</f>
        <v>0</v>
      </c>
      <c r="D19" s="4">
        <f>+AD_tis!D19*AD_tis!D$51*AD_tis!$BD19</f>
        <v>0</v>
      </c>
      <c r="E19" s="4">
        <f>+AD_tis!E19*AD_tis!E$51*AD_tis!$BD19</f>
        <v>0</v>
      </c>
      <c r="F19" s="4">
        <f>+AD_tis!F19*AD_tis!F$51*AD_tis!$BD19</f>
        <v>0</v>
      </c>
      <c r="G19" s="4">
        <f>+AD_tis!G19*AD_tis!G$51*AD_tis!$BD19</f>
        <v>0</v>
      </c>
      <c r="H19" s="4">
        <f>+AD_tis!H19*AD_tis!H$51*AD_tis!$BD19</f>
        <v>0</v>
      </c>
      <c r="I19" s="4">
        <f>+AD_tis!I19*AD_tis!I$51*AD_tis!$BD19</f>
        <v>0</v>
      </c>
      <c r="J19" s="4">
        <f>+AD_tis!J19*AD_tis!J$51*AD_tis!$BD19</f>
        <v>0</v>
      </c>
      <c r="K19" s="4">
        <f>+AD_tis!K19*AD_tis!K$51*AD_tis!$BD19</f>
        <v>0</v>
      </c>
      <c r="L19" s="4">
        <f>+AD_tis!L19*AD_tis!L$51*AD_tis!$BD19</f>
        <v>0</v>
      </c>
      <c r="M19" s="4">
        <f>+AD_tis!M19*AD_tis!M$51*AD_tis!$BD19</f>
        <v>0</v>
      </c>
      <c r="N19" s="4">
        <f>+AD_tis!N19*AD_tis!N$51*AD_tis!$BD19</f>
        <v>0</v>
      </c>
      <c r="O19" s="4">
        <f>+AD_tis!O19*AD_tis!O$51*AD_tis!$BD19</f>
        <v>0</v>
      </c>
      <c r="P19" s="4">
        <f>+AD_tis!P19*AD_tis!P$51*AD_tis!$BD19</f>
        <v>0</v>
      </c>
      <c r="Q19" s="4">
        <f>+AD_tis!Q19*AD_tis!Q$51*AD_tis!$BD19</f>
        <v>0</v>
      </c>
      <c r="R19" s="13">
        <f>+AD_tis!R19*AD_tis!R$51*AD_tis!$BD19</f>
        <v>0</v>
      </c>
      <c r="S19" s="4">
        <f>+AD_tis!S19*AD_tis!S$51*AD_tis!$BD19</f>
        <v>0</v>
      </c>
      <c r="T19" s="4">
        <f>+AD_tis!T19*AD_tis!T$51*AD_tis!$BD19</f>
        <v>0</v>
      </c>
      <c r="U19" s="4">
        <f>+AD_tis!U19*AD_tis!U$51*AD_tis!$BD19</f>
        <v>0</v>
      </c>
      <c r="V19" s="4">
        <f>+AD_tis!V19*AD_tis!V$51*AD_tis!$BD19</f>
        <v>0</v>
      </c>
      <c r="W19" s="4">
        <f>+AD_tis!W19*AD_tis!W$51*AD_tis!$BD19</f>
        <v>0</v>
      </c>
      <c r="X19" s="4">
        <f>+AD_tis!X19*AD_tis!X$51*AD_tis!$BD19</f>
        <v>0</v>
      </c>
      <c r="Y19" s="4">
        <f>+AD_tis!Y19*AD_tis!Y$51*AD_tis!$BD19</f>
        <v>0</v>
      </c>
      <c r="Z19" s="4">
        <f>+AD_tis!Z19*AD_tis!Z$51*AD_tis!$BD19</f>
        <v>0</v>
      </c>
      <c r="AA19" s="4">
        <f>+AD_tis!AA19*AD_tis!AA$51*AD_tis!$BD19</f>
        <v>0</v>
      </c>
      <c r="AB19" s="4">
        <f>+AD_tis!AB19*AD_tis!AB$51*AD_tis!$BD19</f>
        <v>0</v>
      </c>
      <c r="AC19" s="12">
        <f>+AD_tis!AC19*AD_tis!AC$51*AD_tis!$BD19</f>
        <v>0</v>
      </c>
      <c r="AD19" s="4">
        <f>+AD_tis!AD19*AD_tis!AD$51*AD_tis!$BD19</f>
        <v>0</v>
      </c>
      <c r="AE19" s="4">
        <f>+AD_tis!AE19*AD_tis!AE$51*AD_tis!$BD19</f>
        <v>0</v>
      </c>
      <c r="AF19" s="4">
        <f>+AD_tis!AF19*AD_tis!AF$51*AD_tis!$BD19</f>
        <v>0</v>
      </c>
      <c r="AG19" s="4">
        <f>+AD_tis!AG19*AD_tis!AG$51*AD_tis!$BD19</f>
        <v>0</v>
      </c>
      <c r="AH19" s="4">
        <f>+AD_tis!AH19*AD_tis!AH$51*AD_tis!$BD19</f>
        <v>0</v>
      </c>
      <c r="AI19" s="4">
        <f>+AD_tis!AI19*AD_tis!AI$51*AD_tis!$BD19</f>
        <v>0</v>
      </c>
      <c r="AJ19" s="4">
        <f>+AD_tis!AJ19*AD_tis!AJ$51*AD_tis!$BD19</f>
        <v>0</v>
      </c>
      <c r="AK19" s="4">
        <f>+AD_tis!AK19*AD_tis!AK$51*AD_tis!$BD19</f>
        <v>0</v>
      </c>
      <c r="AL19" s="4">
        <f>+AD_tis!AL19*AD_tis!AL$51*AD_tis!$BD19</f>
        <v>0</v>
      </c>
      <c r="AM19" s="13">
        <f>+AD_tis!AM19*AD_tis!AM$51*AD_tis!$BD19</f>
        <v>0</v>
      </c>
      <c r="AN19" s="4">
        <f>+AD_tis!AN19*AD_tis!AN$51*AD_tis!$BD19</f>
        <v>0</v>
      </c>
      <c r="AO19" s="4">
        <f>+AD_tis!AO19*AD_tis!AO$51*AD_tis!$BD19</f>
        <v>0</v>
      </c>
      <c r="AP19" s="4">
        <f>+AD_tis!AP19*AD_tis!AP$51*AD_tis!$BD19</f>
        <v>0</v>
      </c>
      <c r="AQ19" s="4">
        <f>+AD_tis!AQ19*AD_tis!AQ$51*AD_tis!$BD19</f>
        <v>0</v>
      </c>
      <c r="AR19" s="4">
        <f>+AD_tis!AR19*AD_tis!AR$51*AD_tis!$BD19</f>
        <v>0</v>
      </c>
      <c r="AS19" s="4">
        <f>+AD_tis!AS19*AD_tis!AS$51*AD_tis!$BD19</f>
        <v>0</v>
      </c>
      <c r="AT19" s="4">
        <f>+AD_tis!AT19*AD_tis!AT$51*AD_tis!$BD19</f>
        <v>0</v>
      </c>
      <c r="AU19" s="4">
        <f>+AD_tis!AU19*AD_tis!AU$51*AD_tis!$BD19</f>
        <v>0</v>
      </c>
      <c r="AV19" s="4">
        <f>+AD_tis!AV19*AD_tis!AV$51*AD_tis!$BD19</f>
        <v>0</v>
      </c>
      <c r="AW19" s="12">
        <f>+AD_tis!AW19*AD_tis!AW$51*AD_tis!$BD19</f>
        <v>0</v>
      </c>
      <c r="AX19" s="13">
        <f>+AD_tis!AX19*AD_tis!AX$51*AD_tis!$BD19</f>
        <v>0</v>
      </c>
      <c r="AY19" s="4">
        <f>+AD_tis!AY19*AD_tis!AY$51*AD_tis!$BD19</f>
        <v>0</v>
      </c>
      <c r="AZ19" s="4">
        <f>+AD_tis!AZ19*AD_tis!AZ$51*AD_tis!$BD19</f>
        <v>0</v>
      </c>
      <c r="BA19" s="12">
        <f>+AD_tis!BA19*AD_tis!BA$51*AD_tis!$BD19</f>
        <v>0</v>
      </c>
      <c r="BB19" s="4">
        <f>+AD_tis!BB19*AD_tis!BB$51*AD_tis!$BD19</f>
        <v>0</v>
      </c>
      <c r="BC19" s="13">
        <f>+AD_tis!BC19*AD_tis!BC$51*AD_tis!$BD19</f>
        <v>0</v>
      </c>
    </row>
    <row r="20" spans="1:55" ht="18.75" customHeight="1" x14ac:dyDescent="0.25">
      <c r="A20" s="5" t="s">
        <v>71</v>
      </c>
      <c r="B20" s="12">
        <f>+AD_tis!B20*AD_tis!B$51*AD_tis!$BD20</f>
        <v>0</v>
      </c>
      <c r="C20" s="4">
        <f>+AD_tis!C20*AD_tis!C$51*AD_tis!$BD20</f>
        <v>0</v>
      </c>
      <c r="D20" s="4">
        <f>+AD_tis!D20*AD_tis!D$51*AD_tis!$BD20</f>
        <v>0</v>
      </c>
      <c r="E20" s="4">
        <f>+AD_tis!E20*AD_tis!E$51*AD_tis!$BD20</f>
        <v>0</v>
      </c>
      <c r="F20" s="4">
        <f>+AD_tis!F20*AD_tis!F$51*AD_tis!$BD20</f>
        <v>0</v>
      </c>
      <c r="G20" s="4">
        <f>+AD_tis!G20*AD_tis!G$51*AD_tis!$BD20</f>
        <v>0</v>
      </c>
      <c r="H20" s="4">
        <f>+AD_tis!H20*AD_tis!H$51*AD_tis!$BD20</f>
        <v>0</v>
      </c>
      <c r="I20" s="4">
        <f>+AD_tis!I20*AD_tis!I$51*AD_tis!$BD20</f>
        <v>0</v>
      </c>
      <c r="J20" s="4">
        <f>+AD_tis!J20*AD_tis!J$51*AD_tis!$BD20</f>
        <v>0</v>
      </c>
      <c r="K20" s="4">
        <f>+AD_tis!K20*AD_tis!K$51*AD_tis!$BD20</f>
        <v>0</v>
      </c>
      <c r="L20" s="4">
        <f>+AD_tis!L20*AD_tis!L$51*AD_tis!$BD20</f>
        <v>0</v>
      </c>
      <c r="M20" s="4">
        <f>+AD_tis!M20*AD_tis!M$51*AD_tis!$BD20</f>
        <v>0</v>
      </c>
      <c r="N20" s="4">
        <f>+AD_tis!N20*AD_tis!N$51*AD_tis!$BD20</f>
        <v>0</v>
      </c>
      <c r="O20" s="4">
        <f>+AD_tis!O20*AD_tis!O$51*AD_tis!$BD20</f>
        <v>0</v>
      </c>
      <c r="P20" s="4">
        <f>+AD_tis!P20*AD_tis!P$51*AD_tis!$BD20</f>
        <v>0</v>
      </c>
      <c r="Q20" s="4">
        <f>+AD_tis!Q20*AD_tis!Q$51*AD_tis!$BD20</f>
        <v>0</v>
      </c>
      <c r="R20" s="13">
        <f>+AD_tis!R20*AD_tis!R$51*AD_tis!$BD20</f>
        <v>0</v>
      </c>
      <c r="S20" s="4">
        <f>+AD_tis!S20*AD_tis!S$51*AD_tis!$BD20</f>
        <v>0</v>
      </c>
      <c r="T20" s="4">
        <f>+AD_tis!T20*AD_tis!T$51*AD_tis!$BD20</f>
        <v>0</v>
      </c>
      <c r="U20" s="4">
        <f>+AD_tis!U20*AD_tis!U$51*AD_tis!$BD20</f>
        <v>0</v>
      </c>
      <c r="V20" s="4">
        <f>+AD_tis!V20*AD_tis!V$51*AD_tis!$BD20</f>
        <v>0</v>
      </c>
      <c r="W20" s="4">
        <f>+AD_tis!W20*AD_tis!W$51*AD_tis!$BD20</f>
        <v>0</v>
      </c>
      <c r="X20" s="4">
        <f>+AD_tis!X20*AD_tis!X$51*AD_tis!$BD20</f>
        <v>0</v>
      </c>
      <c r="Y20" s="4">
        <f>+AD_tis!Y20*AD_tis!Y$51*AD_tis!$BD20</f>
        <v>0</v>
      </c>
      <c r="Z20" s="4">
        <f>+AD_tis!Z20*AD_tis!Z$51*AD_tis!$BD20</f>
        <v>0</v>
      </c>
      <c r="AA20" s="4">
        <f>+AD_tis!AA20*AD_tis!AA$51*AD_tis!$BD20</f>
        <v>0</v>
      </c>
      <c r="AB20" s="4">
        <f>+AD_tis!AB20*AD_tis!AB$51*AD_tis!$BD20</f>
        <v>0</v>
      </c>
      <c r="AC20" s="12">
        <f>+AD_tis!AC20*AD_tis!AC$51*AD_tis!$BD20</f>
        <v>0</v>
      </c>
      <c r="AD20" s="4">
        <f>+AD_tis!AD20*AD_tis!AD$51*AD_tis!$BD20</f>
        <v>0</v>
      </c>
      <c r="AE20" s="4">
        <f>+AD_tis!AE20*AD_tis!AE$51*AD_tis!$BD20</f>
        <v>0</v>
      </c>
      <c r="AF20" s="4">
        <f>+AD_tis!AF20*AD_tis!AF$51*AD_tis!$BD20</f>
        <v>0</v>
      </c>
      <c r="AG20" s="4">
        <f>+AD_tis!AG20*AD_tis!AG$51*AD_tis!$BD20</f>
        <v>0</v>
      </c>
      <c r="AH20" s="4">
        <f>+AD_tis!AH20*AD_tis!AH$51*AD_tis!$BD20</f>
        <v>0</v>
      </c>
      <c r="AI20" s="4">
        <f>+AD_tis!AI20*AD_tis!AI$51*AD_tis!$BD20</f>
        <v>0</v>
      </c>
      <c r="AJ20" s="4">
        <f>+AD_tis!AJ20*AD_tis!AJ$51*AD_tis!$BD20</f>
        <v>0</v>
      </c>
      <c r="AK20" s="4">
        <f>+AD_tis!AK20*AD_tis!AK$51*AD_tis!$BD20</f>
        <v>0</v>
      </c>
      <c r="AL20" s="4">
        <f>+AD_tis!AL20*AD_tis!AL$51*AD_tis!$BD20</f>
        <v>0</v>
      </c>
      <c r="AM20" s="13">
        <f>+AD_tis!AM20*AD_tis!AM$51*AD_tis!$BD20</f>
        <v>0</v>
      </c>
      <c r="AN20" s="4">
        <f>+AD_tis!AN20*AD_tis!AN$51*AD_tis!$BD20</f>
        <v>0</v>
      </c>
      <c r="AO20" s="4">
        <f>+AD_tis!AO20*AD_tis!AO$51*AD_tis!$BD20</f>
        <v>0</v>
      </c>
      <c r="AP20" s="4">
        <f>+AD_tis!AP20*AD_tis!AP$51*AD_tis!$BD20</f>
        <v>0</v>
      </c>
      <c r="AQ20" s="4">
        <f>+AD_tis!AQ20*AD_tis!AQ$51*AD_tis!$BD20</f>
        <v>0</v>
      </c>
      <c r="AR20" s="4">
        <f>+AD_tis!AR20*AD_tis!AR$51*AD_tis!$BD20</f>
        <v>0</v>
      </c>
      <c r="AS20" s="4">
        <f>+AD_tis!AS20*AD_tis!AS$51*AD_tis!$BD20</f>
        <v>0</v>
      </c>
      <c r="AT20" s="4">
        <f>+AD_tis!AT20*AD_tis!AT$51*AD_tis!$BD20</f>
        <v>0</v>
      </c>
      <c r="AU20" s="4">
        <f>+AD_tis!AU20*AD_tis!AU$51*AD_tis!$BD20</f>
        <v>0</v>
      </c>
      <c r="AV20" s="4">
        <f>+AD_tis!AV20*AD_tis!AV$51*AD_tis!$BD20</f>
        <v>0</v>
      </c>
      <c r="AW20" s="12">
        <f>+AD_tis!AW20*AD_tis!AW$51*AD_tis!$BD20</f>
        <v>0</v>
      </c>
      <c r="AX20" s="13">
        <f>+AD_tis!AX20*AD_tis!AX$51*AD_tis!$BD20</f>
        <v>0</v>
      </c>
      <c r="AY20" s="4">
        <f>+AD_tis!AY20*AD_tis!AY$51*AD_tis!$BD20</f>
        <v>0</v>
      </c>
      <c r="AZ20" s="4">
        <f>+AD_tis!AZ20*AD_tis!AZ$51*AD_tis!$BD20</f>
        <v>0</v>
      </c>
      <c r="BA20" s="12">
        <f>+AD_tis!BA20*AD_tis!BA$51*AD_tis!$BD20</f>
        <v>0</v>
      </c>
      <c r="BB20" s="4">
        <f>+AD_tis!BB20*AD_tis!BB$51*AD_tis!$BD20</f>
        <v>0</v>
      </c>
      <c r="BC20" s="13">
        <f>+AD_tis!BC20*AD_tis!BC$51*AD_tis!$BD20</f>
        <v>0</v>
      </c>
    </row>
    <row r="21" spans="1:55" ht="18.75" customHeight="1" x14ac:dyDescent="0.25">
      <c r="A21" s="5" t="s">
        <v>72</v>
      </c>
      <c r="B21" s="12">
        <f>+AD_tis!B21*AD_tis!B$51*AD_tis!$BD21</f>
        <v>0</v>
      </c>
      <c r="C21" s="4">
        <f>+AD_tis!C21*AD_tis!C$51*AD_tis!$BD21</f>
        <v>0</v>
      </c>
      <c r="D21" s="4">
        <f>+AD_tis!D21*AD_tis!D$51*AD_tis!$BD21</f>
        <v>0</v>
      </c>
      <c r="E21" s="4">
        <f>+AD_tis!E21*AD_tis!E$51*AD_tis!$BD21</f>
        <v>0</v>
      </c>
      <c r="F21" s="4">
        <f>+AD_tis!F21*AD_tis!F$51*AD_tis!$BD21</f>
        <v>0</v>
      </c>
      <c r="G21" s="4">
        <f>+AD_tis!G21*AD_tis!G$51*AD_tis!$BD21</f>
        <v>0</v>
      </c>
      <c r="H21" s="4">
        <f>+AD_tis!H21*AD_tis!H$51*AD_tis!$BD21</f>
        <v>0</v>
      </c>
      <c r="I21" s="4">
        <f>+AD_tis!I21*AD_tis!I$51*AD_tis!$BD21</f>
        <v>0</v>
      </c>
      <c r="J21" s="4">
        <f>+AD_tis!J21*AD_tis!J$51*AD_tis!$BD21</f>
        <v>0</v>
      </c>
      <c r="K21" s="4">
        <f>+AD_tis!K21*AD_tis!K$51*AD_tis!$BD21</f>
        <v>0</v>
      </c>
      <c r="L21" s="4">
        <f>+AD_tis!L21*AD_tis!L$51*AD_tis!$BD21</f>
        <v>0</v>
      </c>
      <c r="M21" s="4">
        <f>+AD_tis!M21*AD_tis!M$51*AD_tis!$BD21</f>
        <v>0</v>
      </c>
      <c r="N21" s="4">
        <f>+AD_tis!N21*AD_tis!N$51*AD_tis!$BD21</f>
        <v>0</v>
      </c>
      <c r="O21" s="4">
        <f>+AD_tis!O21*AD_tis!O$51*AD_tis!$BD21</f>
        <v>0</v>
      </c>
      <c r="P21" s="4">
        <f>+AD_tis!P21*AD_tis!P$51*AD_tis!$BD21</f>
        <v>0</v>
      </c>
      <c r="Q21" s="4">
        <f>+AD_tis!Q21*AD_tis!Q$51*AD_tis!$BD21</f>
        <v>0</v>
      </c>
      <c r="R21" s="13">
        <f>+AD_tis!R21*AD_tis!R$51*AD_tis!$BD21</f>
        <v>0</v>
      </c>
      <c r="S21" s="4">
        <f>+AD_tis!S21*AD_tis!S$51*AD_tis!$BD21</f>
        <v>0</v>
      </c>
      <c r="T21" s="4">
        <f>+AD_tis!T21*AD_tis!T$51*AD_tis!$BD21</f>
        <v>0</v>
      </c>
      <c r="U21" s="4">
        <f>+AD_tis!U21*AD_tis!U$51*AD_tis!$BD21</f>
        <v>0</v>
      </c>
      <c r="V21" s="4">
        <f>+AD_tis!V21*AD_tis!V$51*AD_tis!$BD21</f>
        <v>0</v>
      </c>
      <c r="W21" s="4">
        <f>+AD_tis!W21*AD_tis!W$51*AD_tis!$BD21</f>
        <v>0</v>
      </c>
      <c r="X21" s="4">
        <f>+AD_tis!X21*AD_tis!X$51*AD_tis!$BD21</f>
        <v>0</v>
      </c>
      <c r="Y21" s="4">
        <f>+AD_tis!Y21*AD_tis!Y$51*AD_tis!$BD21</f>
        <v>0</v>
      </c>
      <c r="Z21" s="4">
        <f>+AD_tis!Z21*AD_tis!Z$51*AD_tis!$BD21</f>
        <v>0</v>
      </c>
      <c r="AA21" s="4">
        <f>+AD_tis!AA21*AD_tis!AA$51*AD_tis!$BD21</f>
        <v>0</v>
      </c>
      <c r="AB21" s="4">
        <f>+AD_tis!AB21*AD_tis!AB$51*AD_tis!$BD21</f>
        <v>0</v>
      </c>
      <c r="AC21" s="12">
        <f>+AD_tis!AC21*AD_tis!AC$51*AD_tis!$BD21</f>
        <v>0</v>
      </c>
      <c r="AD21" s="4">
        <f>+AD_tis!AD21*AD_tis!AD$51*AD_tis!$BD21</f>
        <v>0</v>
      </c>
      <c r="AE21" s="4">
        <f>+AD_tis!AE21*AD_tis!AE$51*AD_tis!$BD21</f>
        <v>0</v>
      </c>
      <c r="AF21" s="4">
        <f>+AD_tis!AF21*AD_tis!AF$51*AD_tis!$BD21</f>
        <v>0</v>
      </c>
      <c r="AG21" s="4">
        <f>+AD_tis!AG21*AD_tis!AG$51*AD_tis!$BD21</f>
        <v>0</v>
      </c>
      <c r="AH21" s="4">
        <f>+AD_tis!AH21*AD_tis!AH$51*AD_tis!$BD21</f>
        <v>0</v>
      </c>
      <c r="AI21" s="4">
        <f>+AD_tis!AI21*AD_tis!AI$51*AD_tis!$BD21</f>
        <v>0</v>
      </c>
      <c r="AJ21" s="4">
        <f>+AD_tis!AJ21*AD_tis!AJ$51*AD_tis!$BD21</f>
        <v>0</v>
      </c>
      <c r="AK21" s="4">
        <f>+AD_tis!AK21*AD_tis!AK$51*AD_tis!$BD21</f>
        <v>0</v>
      </c>
      <c r="AL21" s="4">
        <f>+AD_tis!AL21*AD_tis!AL$51*AD_tis!$BD21</f>
        <v>0</v>
      </c>
      <c r="AM21" s="13">
        <f>+AD_tis!AM21*AD_tis!AM$51*AD_tis!$BD21</f>
        <v>0</v>
      </c>
      <c r="AN21" s="4">
        <f>+AD_tis!AN21*AD_tis!AN$51*AD_tis!$BD21</f>
        <v>0</v>
      </c>
      <c r="AO21" s="4">
        <f>+AD_tis!AO21*AD_tis!AO$51*AD_tis!$BD21</f>
        <v>0</v>
      </c>
      <c r="AP21" s="4">
        <f>+AD_tis!AP21*AD_tis!AP$51*AD_tis!$BD21</f>
        <v>0</v>
      </c>
      <c r="AQ21" s="4">
        <f>+AD_tis!AQ21*AD_tis!AQ$51*AD_tis!$BD21</f>
        <v>0</v>
      </c>
      <c r="AR21" s="4">
        <f>+AD_tis!AR21*AD_tis!AR$51*AD_tis!$BD21</f>
        <v>0</v>
      </c>
      <c r="AS21" s="4">
        <f>+AD_tis!AS21*AD_tis!AS$51*AD_tis!$BD21</f>
        <v>0</v>
      </c>
      <c r="AT21" s="4">
        <f>+AD_tis!AT21*AD_tis!AT$51*AD_tis!$BD21</f>
        <v>0</v>
      </c>
      <c r="AU21" s="4">
        <f>+AD_tis!AU21*AD_tis!AU$51*AD_tis!$BD21</f>
        <v>0</v>
      </c>
      <c r="AV21" s="4">
        <f>+AD_tis!AV21*AD_tis!AV$51*AD_tis!$BD21</f>
        <v>0</v>
      </c>
      <c r="AW21" s="12">
        <f>+AD_tis!AW21*AD_tis!AW$51*AD_tis!$BD21</f>
        <v>0</v>
      </c>
      <c r="AX21" s="13">
        <f>+AD_tis!AX21*AD_tis!AX$51*AD_tis!$BD21</f>
        <v>0</v>
      </c>
      <c r="AY21" s="4">
        <f>+AD_tis!AY21*AD_tis!AY$51*AD_tis!$BD21</f>
        <v>0</v>
      </c>
      <c r="AZ21" s="4">
        <f>+AD_tis!AZ21*AD_tis!AZ$51*AD_tis!$BD21</f>
        <v>0</v>
      </c>
      <c r="BA21" s="12">
        <f>+AD_tis!BA21*AD_tis!BA$51*AD_tis!$BD21</f>
        <v>0</v>
      </c>
      <c r="BB21" s="4">
        <f>+AD_tis!BB21*AD_tis!BB$51*AD_tis!$BD21</f>
        <v>0</v>
      </c>
      <c r="BC21" s="13">
        <f>+AD_tis!BC21*AD_tis!BC$51*AD_tis!$BD21</f>
        <v>1</v>
      </c>
    </row>
    <row r="22" spans="1:55" ht="18.75" customHeight="1" x14ac:dyDescent="0.25">
      <c r="A22" s="5" t="s">
        <v>73</v>
      </c>
      <c r="B22" s="12">
        <f>+AD_tis!B22*AD_tis!B$51*AD_tis!$BD22</f>
        <v>0</v>
      </c>
      <c r="C22" s="4">
        <f>+AD_tis!C22*AD_tis!C$51*AD_tis!$BD22</f>
        <v>0</v>
      </c>
      <c r="D22" s="4">
        <f>+AD_tis!D22*AD_tis!D$51*AD_tis!$BD22</f>
        <v>0</v>
      </c>
      <c r="E22" s="4">
        <f>+AD_tis!E22*AD_tis!E$51*AD_tis!$BD22</f>
        <v>0</v>
      </c>
      <c r="F22" s="4">
        <f>+AD_tis!F22*AD_tis!F$51*AD_tis!$BD22</f>
        <v>0</v>
      </c>
      <c r="G22" s="4">
        <f>+AD_tis!G22*AD_tis!G$51*AD_tis!$BD22</f>
        <v>0</v>
      </c>
      <c r="H22" s="4">
        <f>+AD_tis!H22*AD_tis!H$51*AD_tis!$BD22</f>
        <v>0</v>
      </c>
      <c r="I22" s="4">
        <f>+AD_tis!I22*AD_tis!I$51*AD_tis!$BD22</f>
        <v>0</v>
      </c>
      <c r="J22" s="4">
        <f>+AD_tis!J22*AD_tis!J$51*AD_tis!$BD22</f>
        <v>0</v>
      </c>
      <c r="K22" s="4">
        <f>+AD_tis!K22*AD_tis!K$51*AD_tis!$BD22</f>
        <v>0</v>
      </c>
      <c r="L22" s="4">
        <f>+AD_tis!L22*AD_tis!L$51*AD_tis!$BD22</f>
        <v>0</v>
      </c>
      <c r="M22" s="4">
        <f>+AD_tis!M22*AD_tis!M$51*AD_tis!$BD22</f>
        <v>0</v>
      </c>
      <c r="N22" s="4">
        <f>+AD_tis!N22*AD_tis!N$51*AD_tis!$BD22</f>
        <v>0</v>
      </c>
      <c r="O22" s="4">
        <f>+AD_tis!O22*AD_tis!O$51*AD_tis!$BD22</f>
        <v>0</v>
      </c>
      <c r="P22" s="4">
        <f>+AD_tis!P22*AD_tis!P$51*AD_tis!$BD22</f>
        <v>0</v>
      </c>
      <c r="Q22" s="4">
        <f>+AD_tis!Q22*AD_tis!Q$51*AD_tis!$BD22</f>
        <v>0</v>
      </c>
      <c r="R22" s="13">
        <f>+AD_tis!R22*AD_tis!R$51*AD_tis!$BD22</f>
        <v>0</v>
      </c>
      <c r="S22" s="4">
        <f>+AD_tis!S22*AD_tis!S$51*AD_tis!$BD22</f>
        <v>0</v>
      </c>
      <c r="T22" s="4">
        <f>+AD_tis!T22*AD_tis!T$51*AD_tis!$BD22</f>
        <v>0</v>
      </c>
      <c r="U22" s="4">
        <f>+AD_tis!U22*AD_tis!U$51*AD_tis!$BD22</f>
        <v>0</v>
      </c>
      <c r="V22" s="4">
        <f>+AD_tis!V22*AD_tis!V$51*AD_tis!$BD22</f>
        <v>0</v>
      </c>
      <c r="W22" s="4">
        <f>+AD_tis!W22*AD_tis!W$51*AD_tis!$BD22</f>
        <v>0</v>
      </c>
      <c r="X22" s="4">
        <f>+AD_tis!X22*AD_tis!X$51*AD_tis!$BD22</f>
        <v>0</v>
      </c>
      <c r="Y22" s="4">
        <f>+AD_tis!Y22*AD_tis!Y$51*AD_tis!$BD22</f>
        <v>0</v>
      </c>
      <c r="Z22" s="4">
        <f>+AD_tis!Z22*AD_tis!Z$51*AD_tis!$BD22</f>
        <v>0</v>
      </c>
      <c r="AA22" s="4">
        <f>+AD_tis!AA22*AD_tis!AA$51*AD_tis!$BD22</f>
        <v>0</v>
      </c>
      <c r="AB22" s="4">
        <f>+AD_tis!AB22*AD_tis!AB$51*AD_tis!$BD22</f>
        <v>0</v>
      </c>
      <c r="AC22" s="12">
        <f>+AD_tis!AC22*AD_tis!AC$51*AD_tis!$BD22</f>
        <v>0</v>
      </c>
      <c r="AD22" s="4">
        <f>+AD_tis!AD22*AD_tis!AD$51*AD_tis!$BD22</f>
        <v>0</v>
      </c>
      <c r="AE22" s="4">
        <f>+AD_tis!AE22*AD_tis!AE$51*AD_tis!$BD22</f>
        <v>0</v>
      </c>
      <c r="AF22" s="4">
        <f>+AD_tis!AF22*AD_tis!AF$51*AD_tis!$BD22</f>
        <v>0</v>
      </c>
      <c r="AG22" s="4">
        <f>+AD_tis!AG22*AD_tis!AG$51*AD_tis!$BD22</f>
        <v>0</v>
      </c>
      <c r="AH22" s="4">
        <f>+AD_tis!AH22*AD_tis!AH$51*AD_tis!$BD22</f>
        <v>0</v>
      </c>
      <c r="AI22" s="4">
        <f>+AD_tis!AI22*AD_tis!AI$51*AD_tis!$BD22</f>
        <v>0</v>
      </c>
      <c r="AJ22" s="4">
        <f>+AD_tis!AJ22*AD_tis!AJ$51*AD_tis!$BD22</f>
        <v>0</v>
      </c>
      <c r="AK22" s="4">
        <f>+AD_tis!AK22*AD_tis!AK$51*AD_tis!$BD22</f>
        <v>0</v>
      </c>
      <c r="AL22" s="4">
        <f>+AD_tis!AL22*AD_tis!AL$51*AD_tis!$BD22</f>
        <v>0</v>
      </c>
      <c r="AM22" s="13">
        <f>+AD_tis!AM22*AD_tis!AM$51*AD_tis!$BD22</f>
        <v>0</v>
      </c>
      <c r="AN22" s="4">
        <f>+AD_tis!AN22*AD_tis!AN$51*AD_tis!$BD22</f>
        <v>0</v>
      </c>
      <c r="AO22" s="4">
        <f>+AD_tis!AO22*AD_tis!AO$51*AD_tis!$BD22</f>
        <v>0</v>
      </c>
      <c r="AP22" s="4">
        <f>+AD_tis!AP22*AD_tis!AP$51*AD_tis!$BD22</f>
        <v>0</v>
      </c>
      <c r="AQ22" s="4">
        <f>+AD_tis!AQ22*AD_tis!AQ$51*AD_tis!$BD22</f>
        <v>0</v>
      </c>
      <c r="AR22" s="4">
        <f>+AD_tis!AR22*AD_tis!AR$51*AD_tis!$BD22</f>
        <v>0</v>
      </c>
      <c r="AS22" s="4">
        <f>+AD_tis!AS22*AD_tis!AS$51*AD_tis!$BD22</f>
        <v>0</v>
      </c>
      <c r="AT22" s="4">
        <f>+AD_tis!AT22*AD_tis!AT$51*AD_tis!$BD22</f>
        <v>0</v>
      </c>
      <c r="AU22" s="4">
        <f>+AD_tis!AU22*AD_tis!AU$51*AD_tis!$BD22</f>
        <v>0</v>
      </c>
      <c r="AV22" s="4">
        <f>+AD_tis!AV22*AD_tis!AV$51*AD_tis!$BD22</f>
        <v>0</v>
      </c>
      <c r="AW22" s="12">
        <f>+AD_tis!AW22*AD_tis!AW$51*AD_tis!$BD22</f>
        <v>0</v>
      </c>
      <c r="AX22" s="13">
        <f>+AD_tis!AX22*AD_tis!AX$51*AD_tis!$BD22</f>
        <v>0</v>
      </c>
      <c r="AY22" s="4">
        <f>+AD_tis!AY22*AD_tis!AY$51*AD_tis!$BD22</f>
        <v>0</v>
      </c>
      <c r="AZ22" s="4">
        <f>+AD_tis!AZ22*AD_tis!AZ$51*AD_tis!$BD22</f>
        <v>0</v>
      </c>
      <c r="BA22" s="12">
        <f>+AD_tis!BA22*AD_tis!BA$51*AD_tis!$BD22</f>
        <v>0</v>
      </c>
      <c r="BB22" s="4">
        <f>+AD_tis!BB22*AD_tis!BB$51*AD_tis!$BD22</f>
        <v>0</v>
      </c>
      <c r="BC22" s="13">
        <f>+AD_tis!BC22*AD_tis!BC$51*AD_tis!$BD22</f>
        <v>0</v>
      </c>
    </row>
    <row r="23" spans="1:55" ht="18.75" customHeight="1" x14ac:dyDescent="0.25">
      <c r="A23" s="5" t="s">
        <v>74</v>
      </c>
      <c r="B23" s="12">
        <f>+AD_tis!B23*AD_tis!B$51*AD_tis!$BD23</f>
        <v>0</v>
      </c>
      <c r="C23" s="4">
        <f>+AD_tis!C23*AD_tis!C$51*AD_tis!$BD23</f>
        <v>0</v>
      </c>
      <c r="D23" s="4">
        <f>+AD_tis!D23*AD_tis!D$51*AD_tis!$BD23</f>
        <v>0</v>
      </c>
      <c r="E23" s="4">
        <f>+AD_tis!E23*AD_tis!E$51*AD_tis!$BD23</f>
        <v>0</v>
      </c>
      <c r="F23" s="4">
        <f>+AD_tis!F23*AD_tis!F$51*AD_tis!$BD23</f>
        <v>0</v>
      </c>
      <c r="G23" s="4">
        <f>+AD_tis!G23*AD_tis!G$51*AD_tis!$BD23</f>
        <v>0</v>
      </c>
      <c r="H23" s="4">
        <f>+AD_tis!H23*AD_tis!H$51*AD_tis!$BD23</f>
        <v>0</v>
      </c>
      <c r="I23" s="4">
        <f>+AD_tis!I23*AD_tis!I$51*AD_tis!$BD23</f>
        <v>0</v>
      </c>
      <c r="J23" s="4">
        <f>+AD_tis!J23*AD_tis!J$51*AD_tis!$BD23</f>
        <v>0</v>
      </c>
      <c r="K23" s="4">
        <f>+AD_tis!K23*AD_tis!K$51*AD_tis!$BD23</f>
        <v>0</v>
      </c>
      <c r="L23" s="4">
        <f>+AD_tis!L23*AD_tis!L$51*AD_tis!$BD23</f>
        <v>0</v>
      </c>
      <c r="M23" s="4">
        <f>+AD_tis!M23*AD_tis!M$51*AD_tis!$BD23</f>
        <v>0</v>
      </c>
      <c r="N23" s="4">
        <f>+AD_tis!N23*AD_tis!N$51*AD_tis!$BD23</f>
        <v>0</v>
      </c>
      <c r="O23" s="4">
        <f>+AD_tis!O23*AD_tis!O$51*AD_tis!$BD23</f>
        <v>0</v>
      </c>
      <c r="P23" s="4">
        <f>+AD_tis!P23*AD_tis!P$51*AD_tis!$BD23</f>
        <v>0</v>
      </c>
      <c r="Q23" s="4">
        <f>+AD_tis!Q23*AD_tis!Q$51*AD_tis!$BD23</f>
        <v>0</v>
      </c>
      <c r="R23" s="13">
        <f>+AD_tis!R23*AD_tis!R$51*AD_tis!$BD23</f>
        <v>0</v>
      </c>
      <c r="S23" s="4">
        <f>+AD_tis!S23*AD_tis!S$51*AD_tis!$BD23</f>
        <v>0</v>
      </c>
      <c r="T23" s="4">
        <f>+AD_tis!T23*AD_tis!T$51*AD_tis!$BD23</f>
        <v>0</v>
      </c>
      <c r="U23" s="4">
        <f>+AD_tis!U23*AD_tis!U$51*AD_tis!$BD23</f>
        <v>0</v>
      </c>
      <c r="V23" s="4">
        <f>+AD_tis!V23*AD_tis!V$51*AD_tis!$BD23</f>
        <v>0</v>
      </c>
      <c r="W23" s="4">
        <f>+AD_tis!W23*AD_tis!W$51*AD_tis!$BD23</f>
        <v>0</v>
      </c>
      <c r="X23" s="4">
        <f>+AD_tis!X23*AD_tis!X$51*AD_tis!$BD23</f>
        <v>0</v>
      </c>
      <c r="Y23" s="4">
        <f>+AD_tis!Y23*AD_tis!Y$51*AD_tis!$BD23</f>
        <v>0</v>
      </c>
      <c r="Z23" s="4">
        <f>+AD_tis!Z23*AD_tis!Z$51*AD_tis!$BD23</f>
        <v>0</v>
      </c>
      <c r="AA23" s="4">
        <f>+AD_tis!AA23*AD_tis!AA$51*AD_tis!$BD23</f>
        <v>0</v>
      </c>
      <c r="AB23" s="4">
        <f>+AD_tis!AB23*AD_tis!AB$51*AD_tis!$BD23</f>
        <v>0</v>
      </c>
      <c r="AC23" s="12">
        <f>+AD_tis!AC23*AD_tis!AC$51*AD_tis!$BD23</f>
        <v>0</v>
      </c>
      <c r="AD23" s="4">
        <f>+AD_tis!AD23*AD_tis!AD$51*AD_tis!$BD23</f>
        <v>0</v>
      </c>
      <c r="AE23" s="4">
        <f>+AD_tis!AE23*AD_tis!AE$51*AD_tis!$BD23</f>
        <v>0</v>
      </c>
      <c r="AF23" s="4">
        <f>+AD_tis!AF23*AD_tis!AF$51*AD_tis!$BD23</f>
        <v>0</v>
      </c>
      <c r="AG23" s="4">
        <f>+AD_tis!AG23*AD_tis!AG$51*AD_tis!$BD23</f>
        <v>0</v>
      </c>
      <c r="AH23" s="4">
        <f>+AD_tis!AH23*AD_tis!AH$51*AD_tis!$BD23</f>
        <v>0</v>
      </c>
      <c r="AI23" s="4">
        <f>+AD_tis!AI23*AD_tis!AI$51*AD_tis!$BD23</f>
        <v>0</v>
      </c>
      <c r="AJ23" s="4">
        <f>+AD_tis!AJ23*AD_tis!AJ$51*AD_tis!$BD23</f>
        <v>0</v>
      </c>
      <c r="AK23" s="4">
        <f>+AD_tis!AK23*AD_tis!AK$51*AD_tis!$BD23</f>
        <v>0</v>
      </c>
      <c r="AL23" s="4">
        <f>+AD_tis!AL23*AD_tis!AL$51*AD_tis!$BD23</f>
        <v>0</v>
      </c>
      <c r="AM23" s="13">
        <f>+AD_tis!AM23*AD_tis!AM$51*AD_tis!$BD23</f>
        <v>0</v>
      </c>
      <c r="AN23" s="4">
        <f>+AD_tis!AN23*AD_tis!AN$51*AD_tis!$BD23</f>
        <v>0</v>
      </c>
      <c r="AO23" s="4">
        <f>+AD_tis!AO23*AD_tis!AO$51*AD_tis!$BD23</f>
        <v>0</v>
      </c>
      <c r="AP23" s="4">
        <f>+AD_tis!AP23*AD_tis!AP$51*AD_tis!$BD23</f>
        <v>0</v>
      </c>
      <c r="AQ23" s="4">
        <f>+AD_tis!AQ23*AD_tis!AQ$51*AD_tis!$BD23</f>
        <v>0</v>
      </c>
      <c r="AR23" s="4">
        <f>+AD_tis!AR23*AD_tis!AR$51*AD_tis!$BD23</f>
        <v>0</v>
      </c>
      <c r="AS23" s="4">
        <f>+AD_tis!AS23*AD_tis!AS$51*AD_tis!$BD23</f>
        <v>0</v>
      </c>
      <c r="AT23" s="4">
        <f>+AD_tis!AT23*AD_tis!AT$51*AD_tis!$BD23</f>
        <v>0</v>
      </c>
      <c r="AU23" s="4">
        <f>+AD_tis!AU23*AD_tis!AU$51*AD_tis!$BD23</f>
        <v>0</v>
      </c>
      <c r="AV23" s="4">
        <f>+AD_tis!AV23*AD_tis!AV$51*AD_tis!$BD23</f>
        <v>0</v>
      </c>
      <c r="AW23" s="12">
        <f>+AD_tis!AW23*AD_tis!AW$51*AD_tis!$BD23</f>
        <v>0</v>
      </c>
      <c r="AX23" s="13">
        <f>+AD_tis!AX23*AD_tis!AX$51*AD_tis!$BD23</f>
        <v>0</v>
      </c>
      <c r="AY23" s="4">
        <f>+AD_tis!AY23*AD_tis!AY$51*AD_tis!$BD23</f>
        <v>0</v>
      </c>
      <c r="AZ23" s="4">
        <f>+AD_tis!AZ23*AD_tis!AZ$51*AD_tis!$BD23</f>
        <v>0</v>
      </c>
      <c r="BA23" s="12">
        <f>+AD_tis!BA23*AD_tis!BA$51*AD_tis!$BD23</f>
        <v>0</v>
      </c>
      <c r="BB23" s="4">
        <f>+AD_tis!BB23*AD_tis!BB$51*AD_tis!$BD23</f>
        <v>0</v>
      </c>
      <c r="BC23" s="13">
        <f>+AD_tis!BC23*AD_tis!BC$51*AD_tis!$BD23</f>
        <v>0</v>
      </c>
    </row>
    <row r="24" spans="1:55" ht="18.75" customHeight="1" x14ac:dyDescent="0.25">
      <c r="A24" s="5" t="s">
        <v>75</v>
      </c>
      <c r="B24" s="12">
        <f>+AD_tis!B24*AD_tis!B$51*AD_tis!$BD24</f>
        <v>0</v>
      </c>
      <c r="C24" s="4">
        <f>+AD_tis!C24*AD_tis!C$51*AD_tis!$BD24</f>
        <v>0</v>
      </c>
      <c r="D24" s="4">
        <f>+AD_tis!D24*AD_tis!D$51*AD_tis!$BD24</f>
        <v>0</v>
      </c>
      <c r="E24" s="4">
        <f>+AD_tis!E24*AD_tis!E$51*AD_tis!$BD24</f>
        <v>0</v>
      </c>
      <c r="F24" s="4">
        <f>+AD_tis!F24*AD_tis!F$51*AD_tis!$BD24</f>
        <v>0</v>
      </c>
      <c r="G24" s="4">
        <f>+AD_tis!G24*AD_tis!G$51*AD_tis!$BD24</f>
        <v>0</v>
      </c>
      <c r="H24" s="4">
        <f>+AD_tis!H24*AD_tis!H$51*AD_tis!$BD24</f>
        <v>0</v>
      </c>
      <c r="I24" s="4">
        <f>+AD_tis!I24*AD_tis!I$51*AD_tis!$BD24</f>
        <v>0</v>
      </c>
      <c r="J24" s="4">
        <f>+AD_tis!J24*AD_tis!J$51*AD_tis!$BD24</f>
        <v>0</v>
      </c>
      <c r="K24" s="4">
        <f>+AD_tis!K24*AD_tis!K$51*AD_tis!$BD24</f>
        <v>0</v>
      </c>
      <c r="L24" s="4">
        <f>+AD_tis!L24*AD_tis!L$51*AD_tis!$BD24</f>
        <v>0</v>
      </c>
      <c r="M24" s="4">
        <f>+AD_tis!M24*AD_tis!M$51*AD_tis!$BD24</f>
        <v>0</v>
      </c>
      <c r="N24" s="4">
        <f>+AD_tis!N24*AD_tis!N$51*AD_tis!$BD24</f>
        <v>0</v>
      </c>
      <c r="O24" s="4">
        <f>+AD_tis!O24*AD_tis!O$51*AD_tis!$BD24</f>
        <v>0</v>
      </c>
      <c r="P24" s="4">
        <f>+AD_tis!P24*AD_tis!P$51*AD_tis!$BD24</f>
        <v>0</v>
      </c>
      <c r="Q24" s="4">
        <f>+AD_tis!Q24*AD_tis!Q$51*AD_tis!$BD24</f>
        <v>0</v>
      </c>
      <c r="R24" s="13">
        <f>+AD_tis!R24*AD_tis!R$51*AD_tis!$BD24</f>
        <v>0</v>
      </c>
      <c r="S24" s="4">
        <f>+AD_tis!S24*AD_tis!S$51*AD_tis!$BD24</f>
        <v>0</v>
      </c>
      <c r="T24" s="4">
        <f>+AD_tis!T24*AD_tis!T$51*AD_tis!$BD24</f>
        <v>0</v>
      </c>
      <c r="U24" s="4">
        <f>+AD_tis!U24*AD_tis!U$51*AD_tis!$BD24</f>
        <v>0</v>
      </c>
      <c r="V24" s="4">
        <f>+AD_tis!V24*AD_tis!V$51*AD_tis!$BD24</f>
        <v>0</v>
      </c>
      <c r="W24" s="4">
        <f>+AD_tis!W24*AD_tis!W$51*AD_tis!$BD24</f>
        <v>0</v>
      </c>
      <c r="X24" s="4">
        <f>+AD_tis!X24*AD_tis!X$51*AD_tis!$BD24</f>
        <v>0</v>
      </c>
      <c r="Y24" s="4">
        <f>+AD_tis!Y24*AD_tis!Y$51*AD_tis!$BD24</f>
        <v>0</v>
      </c>
      <c r="Z24" s="4">
        <f>+AD_tis!Z24*AD_tis!Z$51*AD_tis!$BD24</f>
        <v>0</v>
      </c>
      <c r="AA24" s="4">
        <f>+AD_tis!AA24*AD_tis!AA$51*AD_tis!$BD24</f>
        <v>0</v>
      </c>
      <c r="AB24" s="4">
        <f>+AD_tis!AB24*AD_tis!AB$51*AD_tis!$BD24</f>
        <v>0</v>
      </c>
      <c r="AC24" s="12">
        <f>+AD_tis!AC24*AD_tis!AC$51*AD_tis!$BD24</f>
        <v>0</v>
      </c>
      <c r="AD24" s="4">
        <f>+AD_tis!AD24*AD_tis!AD$51*AD_tis!$BD24</f>
        <v>0</v>
      </c>
      <c r="AE24" s="4">
        <f>+AD_tis!AE24*AD_tis!AE$51*AD_tis!$BD24</f>
        <v>0</v>
      </c>
      <c r="AF24" s="4">
        <f>+AD_tis!AF24*AD_tis!AF$51*AD_tis!$BD24</f>
        <v>0</v>
      </c>
      <c r="AG24" s="4">
        <f>+AD_tis!AG24*AD_tis!AG$51*AD_tis!$BD24</f>
        <v>0</v>
      </c>
      <c r="AH24" s="4">
        <f>+AD_tis!AH24*AD_tis!AH$51*AD_tis!$BD24</f>
        <v>0</v>
      </c>
      <c r="AI24" s="4">
        <f>+AD_tis!AI24*AD_tis!AI$51*AD_tis!$BD24</f>
        <v>0</v>
      </c>
      <c r="AJ24" s="4">
        <f>+AD_tis!AJ24*AD_tis!AJ$51*AD_tis!$BD24</f>
        <v>0</v>
      </c>
      <c r="AK24" s="4">
        <f>+AD_tis!AK24*AD_tis!AK$51*AD_tis!$BD24</f>
        <v>0</v>
      </c>
      <c r="AL24" s="4">
        <f>+AD_tis!AL24*AD_tis!AL$51*AD_tis!$BD24</f>
        <v>0</v>
      </c>
      <c r="AM24" s="13">
        <f>+AD_tis!AM24*AD_tis!AM$51*AD_tis!$BD24</f>
        <v>0</v>
      </c>
      <c r="AN24" s="4">
        <f>+AD_tis!AN24*AD_tis!AN$51*AD_tis!$BD24</f>
        <v>0</v>
      </c>
      <c r="AO24" s="4">
        <f>+AD_tis!AO24*AD_tis!AO$51*AD_tis!$BD24</f>
        <v>0</v>
      </c>
      <c r="AP24" s="4">
        <f>+AD_tis!AP24*AD_tis!AP$51*AD_tis!$BD24</f>
        <v>0</v>
      </c>
      <c r="AQ24" s="4">
        <f>+AD_tis!AQ24*AD_tis!AQ$51*AD_tis!$BD24</f>
        <v>0</v>
      </c>
      <c r="AR24" s="4">
        <f>+AD_tis!AR24*AD_tis!AR$51*AD_tis!$BD24</f>
        <v>0</v>
      </c>
      <c r="AS24" s="4">
        <f>+AD_tis!AS24*AD_tis!AS$51*AD_tis!$BD24</f>
        <v>0</v>
      </c>
      <c r="AT24" s="4">
        <f>+AD_tis!AT24*AD_tis!AT$51*AD_tis!$BD24</f>
        <v>0</v>
      </c>
      <c r="AU24" s="4">
        <f>+AD_tis!AU24*AD_tis!AU$51*AD_tis!$BD24</f>
        <v>0</v>
      </c>
      <c r="AV24" s="4">
        <f>+AD_tis!AV24*AD_tis!AV$51*AD_tis!$BD24</f>
        <v>0</v>
      </c>
      <c r="AW24" s="12">
        <f>+AD_tis!AW24*AD_tis!AW$51*AD_tis!$BD24</f>
        <v>0</v>
      </c>
      <c r="AX24" s="13">
        <f>+AD_tis!AX24*AD_tis!AX$51*AD_tis!$BD24</f>
        <v>0</v>
      </c>
      <c r="AY24" s="4">
        <f>+AD_tis!AY24*AD_tis!AY$51*AD_tis!$BD24</f>
        <v>0</v>
      </c>
      <c r="AZ24" s="4">
        <f>+AD_tis!AZ24*AD_tis!AZ$51*AD_tis!$BD24</f>
        <v>0</v>
      </c>
      <c r="BA24" s="12">
        <f>+AD_tis!BA24*AD_tis!BA$51*AD_tis!$BD24</f>
        <v>0</v>
      </c>
      <c r="BB24" s="4">
        <f>+AD_tis!BB24*AD_tis!BB$51*AD_tis!$BD24</f>
        <v>0</v>
      </c>
      <c r="BC24" s="13">
        <f>+AD_tis!BC24*AD_tis!BC$51*AD_tis!$BD24</f>
        <v>1</v>
      </c>
    </row>
    <row r="25" spans="1:55" ht="18.75" customHeight="1" x14ac:dyDescent="0.25">
      <c r="A25" s="5" t="s">
        <v>76</v>
      </c>
      <c r="B25" s="12">
        <f>+AD_tis!B25*AD_tis!B$51*AD_tis!$BD25</f>
        <v>0</v>
      </c>
      <c r="C25" s="4">
        <f>+AD_tis!C25*AD_tis!C$51*AD_tis!$BD25</f>
        <v>0</v>
      </c>
      <c r="D25" s="4">
        <f>+AD_tis!D25*AD_tis!D$51*AD_tis!$BD25</f>
        <v>0</v>
      </c>
      <c r="E25" s="4">
        <f>+AD_tis!E25*AD_tis!E$51*AD_tis!$BD25</f>
        <v>0</v>
      </c>
      <c r="F25" s="4">
        <f>+AD_tis!F25*AD_tis!F$51*AD_tis!$BD25</f>
        <v>0</v>
      </c>
      <c r="G25" s="4">
        <f>+AD_tis!G25*AD_tis!G$51*AD_tis!$BD25</f>
        <v>0</v>
      </c>
      <c r="H25" s="4">
        <f>+AD_tis!H25*AD_tis!H$51*AD_tis!$BD25</f>
        <v>0</v>
      </c>
      <c r="I25" s="4">
        <f>+AD_tis!I25*AD_tis!I$51*AD_tis!$BD25</f>
        <v>0</v>
      </c>
      <c r="J25" s="4">
        <f>+AD_tis!J25*AD_tis!J$51*AD_tis!$BD25</f>
        <v>0</v>
      </c>
      <c r="K25" s="4">
        <f>+AD_tis!K25*AD_tis!K$51*AD_tis!$BD25</f>
        <v>0</v>
      </c>
      <c r="L25" s="4">
        <f>+AD_tis!L25*AD_tis!L$51*AD_tis!$BD25</f>
        <v>0</v>
      </c>
      <c r="M25" s="4">
        <f>+AD_tis!M25*AD_tis!M$51*AD_tis!$BD25</f>
        <v>0</v>
      </c>
      <c r="N25" s="4">
        <f>+AD_tis!N25*AD_tis!N$51*AD_tis!$BD25</f>
        <v>0</v>
      </c>
      <c r="O25" s="4">
        <f>+AD_tis!O25*AD_tis!O$51*AD_tis!$BD25</f>
        <v>0</v>
      </c>
      <c r="P25" s="4">
        <f>+AD_tis!P25*AD_tis!P$51*AD_tis!$BD25</f>
        <v>0</v>
      </c>
      <c r="Q25" s="4">
        <f>+AD_tis!Q25*AD_tis!Q$51*AD_tis!$BD25</f>
        <v>0</v>
      </c>
      <c r="R25" s="13">
        <f>+AD_tis!R25*AD_tis!R$51*AD_tis!$BD25</f>
        <v>0</v>
      </c>
      <c r="S25" s="4">
        <f>+AD_tis!S25*AD_tis!S$51*AD_tis!$BD25</f>
        <v>0</v>
      </c>
      <c r="T25" s="4">
        <f>+AD_tis!T25*AD_tis!T$51*AD_tis!$BD25</f>
        <v>0</v>
      </c>
      <c r="U25" s="4">
        <f>+AD_tis!U25*AD_tis!U$51*AD_tis!$BD25</f>
        <v>0</v>
      </c>
      <c r="V25" s="4">
        <f>+AD_tis!V25*AD_tis!V$51*AD_tis!$BD25</f>
        <v>0</v>
      </c>
      <c r="W25" s="4">
        <f>+AD_tis!W25*AD_tis!W$51*AD_tis!$BD25</f>
        <v>0</v>
      </c>
      <c r="X25" s="4">
        <f>+AD_tis!X25*AD_tis!X$51*AD_tis!$BD25</f>
        <v>0</v>
      </c>
      <c r="Y25" s="4">
        <f>+AD_tis!Y25*AD_tis!Y$51*AD_tis!$BD25</f>
        <v>0</v>
      </c>
      <c r="Z25" s="4">
        <f>+AD_tis!Z25*AD_tis!Z$51*AD_tis!$BD25</f>
        <v>0</v>
      </c>
      <c r="AA25" s="4">
        <f>+AD_tis!AA25*AD_tis!AA$51*AD_tis!$BD25</f>
        <v>0</v>
      </c>
      <c r="AB25" s="4">
        <f>+AD_tis!AB25*AD_tis!AB$51*AD_tis!$BD25</f>
        <v>0</v>
      </c>
      <c r="AC25" s="12">
        <f>+AD_tis!AC25*AD_tis!AC$51*AD_tis!$BD25</f>
        <v>0</v>
      </c>
      <c r="AD25" s="4">
        <f>+AD_tis!AD25*AD_tis!AD$51*AD_tis!$BD25</f>
        <v>0</v>
      </c>
      <c r="AE25" s="4">
        <f>+AD_tis!AE25*AD_tis!AE$51*AD_tis!$BD25</f>
        <v>0</v>
      </c>
      <c r="AF25" s="4">
        <f>+AD_tis!AF25*AD_tis!AF$51*AD_tis!$BD25</f>
        <v>0</v>
      </c>
      <c r="AG25" s="4">
        <f>+AD_tis!AG25*AD_tis!AG$51*AD_tis!$BD25</f>
        <v>0</v>
      </c>
      <c r="AH25" s="4">
        <f>+AD_tis!AH25*AD_tis!AH$51*AD_tis!$BD25</f>
        <v>0</v>
      </c>
      <c r="AI25" s="4">
        <f>+AD_tis!AI25*AD_tis!AI$51*AD_tis!$BD25</f>
        <v>0</v>
      </c>
      <c r="AJ25" s="4">
        <f>+AD_tis!AJ25*AD_tis!AJ$51*AD_tis!$BD25</f>
        <v>0</v>
      </c>
      <c r="AK25" s="4">
        <f>+AD_tis!AK25*AD_tis!AK$51*AD_tis!$BD25</f>
        <v>0</v>
      </c>
      <c r="AL25" s="4">
        <f>+AD_tis!AL25*AD_tis!AL$51*AD_tis!$BD25</f>
        <v>0</v>
      </c>
      <c r="AM25" s="13">
        <f>+AD_tis!AM25*AD_tis!AM$51*AD_tis!$BD25</f>
        <v>0</v>
      </c>
      <c r="AN25" s="4">
        <f>+AD_tis!AN25*AD_tis!AN$51*AD_tis!$BD25</f>
        <v>0</v>
      </c>
      <c r="AO25" s="4">
        <f>+AD_tis!AO25*AD_tis!AO$51*AD_tis!$BD25</f>
        <v>0</v>
      </c>
      <c r="AP25" s="4">
        <f>+AD_tis!AP25*AD_tis!AP$51*AD_tis!$BD25</f>
        <v>0</v>
      </c>
      <c r="AQ25" s="4">
        <f>+AD_tis!AQ25*AD_tis!AQ$51*AD_tis!$BD25</f>
        <v>0</v>
      </c>
      <c r="AR25" s="4">
        <f>+AD_tis!AR25*AD_tis!AR$51*AD_tis!$BD25</f>
        <v>0</v>
      </c>
      <c r="AS25" s="4">
        <f>+AD_tis!AS25*AD_tis!AS$51*AD_tis!$BD25</f>
        <v>0</v>
      </c>
      <c r="AT25" s="4">
        <f>+AD_tis!AT25*AD_tis!AT$51*AD_tis!$BD25</f>
        <v>0</v>
      </c>
      <c r="AU25" s="4">
        <f>+AD_tis!AU25*AD_tis!AU$51*AD_tis!$BD25</f>
        <v>0</v>
      </c>
      <c r="AV25" s="4">
        <f>+AD_tis!AV25*AD_tis!AV$51*AD_tis!$BD25</f>
        <v>0</v>
      </c>
      <c r="AW25" s="12">
        <f>+AD_tis!AW25*AD_tis!AW$51*AD_tis!$BD25</f>
        <v>0</v>
      </c>
      <c r="AX25" s="13">
        <f>+AD_tis!AX25*AD_tis!AX$51*AD_tis!$BD25</f>
        <v>0</v>
      </c>
      <c r="AY25" s="4">
        <f>+AD_tis!AY25*AD_tis!AY$51*AD_tis!$BD25</f>
        <v>0</v>
      </c>
      <c r="AZ25" s="4">
        <f>+AD_tis!AZ25*AD_tis!AZ$51*AD_tis!$BD25</f>
        <v>0</v>
      </c>
      <c r="BA25" s="12">
        <f>+AD_tis!BA25*AD_tis!BA$51*AD_tis!$BD25</f>
        <v>0</v>
      </c>
      <c r="BB25" s="4">
        <f>+AD_tis!BB25*AD_tis!BB$51*AD_tis!$BD25</f>
        <v>0</v>
      </c>
      <c r="BC25" s="13">
        <f>+AD_tis!BC25*AD_tis!BC$51*AD_tis!$BD25</f>
        <v>0</v>
      </c>
    </row>
    <row r="26" spans="1:55" ht="18.75" customHeight="1" x14ac:dyDescent="0.25">
      <c r="A26" s="5" t="s">
        <v>77</v>
      </c>
      <c r="B26" s="12">
        <f>+AD_tis!B26*AD_tis!B$51*AD_tis!$BD26</f>
        <v>0</v>
      </c>
      <c r="C26" s="4">
        <f>+AD_tis!C26*AD_tis!C$51*AD_tis!$BD26</f>
        <v>0</v>
      </c>
      <c r="D26" s="4">
        <f>+AD_tis!D26*AD_tis!D$51*AD_tis!$BD26</f>
        <v>0</v>
      </c>
      <c r="E26" s="4">
        <f>+AD_tis!E26*AD_tis!E$51*AD_tis!$BD26</f>
        <v>0</v>
      </c>
      <c r="F26" s="4">
        <f>+AD_tis!F26*AD_tis!F$51*AD_tis!$BD26</f>
        <v>0</v>
      </c>
      <c r="G26" s="4">
        <f>+AD_tis!G26*AD_tis!G$51*AD_tis!$BD26</f>
        <v>0</v>
      </c>
      <c r="H26" s="4">
        <f>+AD_tis!H26*AD_tis!H$51*AD_tis!$BD26</f>
        <v>0</v>
      </c>
      <c r="I26" s="4">
        <f>+AD_tis!I26*AD_tis!I$51*AD_tis!$BD26</f>
        <v>0</v>
      </c>
      <c r="J26" s="4">
        <f>+AD_tis!J26*AD_tis!J$51*AD_tis!$BD26</f>
        <v>0</v>
      </c>
      <c r="K26" s="4">
        <f>+AD_tis!K26*AD_tis!K$51*AD_tis!$BD26</f>
        <v>0</v>
      </c>
      <c r="L26" s="4">
        <f>+AD_tis!L26*AD_tis!L$51*AD_tis!$BD26</f>
        <v>0</v>
      </c>
      <c r="M26" s="4">
        <f>+AD_tis!M26*AD_tis!M$51*AD_tis!$BD26</f>
        <v>0</v>
      </c>
      <c r="N26" s="4">
        <f>+AD_tis!N26*AD_tis!N$51*AD_tis!$BD26</f>
        <v>0</v>
      </c>
      <c r="O26" s="4">
        <f>+AD_tis!O26*AD_tis!O$51*AD_tis!$BD26</f>
        <v>0</v>
      </c>
      <c r="P26" s="4">
        <f>+AD_tis!P26*AD_tis!P$51*AD_tis!$BD26</f>
        <v>0</v>
      </c>
      <c r="Q26" s="4">
        <f>+AD_tis!Q26*AD_tis!Q$51*AD_tis!$BD26</f>
        <v>0</v>
      </c>
      <c r="R26" s="13">
        <f>+AD_tis!R26*AD_tis!R$51*AD_tis!$BD26</f>
        <v>0</v>
      </c>
      <c r="S26" s="4">
        <f>+AD_tis!S26*AD_tis!S$51*AD_tis!$BD26</f>
        <v>0</v>
      </c>
      <c r="T26" s="4">
        <f>+AD_tis!T26*AD_tis!T$51*AD_tis!$BD26</f>
        <v>0</v>
      </c>
      <c r="U26" s="4">
        <f>+AD_tis!U26*AD_tis!U$51*AD_tis!$BD26</f>
        <v>0</v>
      </c>
      <c r="V26" s="4">
        <f>+AD_tis!V26*AD_tis!V$51*AD_tis!$BD26</f>
        <v>0</v>
      </c>
      <c r="W26" s="4">
        <f>+AD_tis!W26*AD_tis!W$51*AD_tis!$BD26</f>
        <v>0</v>
      </c>
      <c r="X26" s="4">
        <f>+AD_tis!X26*AD_tis!X$51*AD_tis!$BD26</f>
        <v>0</v>
      </c>
      <c r="Y26" s="4">
        <f>+AD_tis!Y26*AD_tis!Y$51*AD_tis!$BD26</f>
        <v>0</v>
      </c>
      <c r="Z26" s="4">
        <f>+AD_tis!Z26*AD_tis!Z$51*AD_tis!$BD26</f>
        <v>0</v>
      </c>
      <c r="AA26" s="4">
        <f>+AD_tis!AA26*AD_tis!AA$51*AD_tis!$BD26</f>
        <v>0</v>
      </c>
      <c r="AB26" s="4">
        <f>+AD_tis!AB26*AD_tis!AB$51*AD_tis!$BD26</f>
        <v>0</v>
      </c>
      <c r="AC26" s="12">
        <f>+AD_tis!AC26*AD_tis!AC$51*AD_tis!$BD26</f>
        <v>0</v>
      </c>
      <c r="AD26" s="4">
        <f>+AD_tis!AD26*AD_tis!AD$51*AD_tis!$BD26</f>
        <v>0</v>
      </c>
      <c r="AE26" s="4">
        <f>+AD_tis!AE26*AD_tis!AE$51*AD_tis!$BD26</f>
        <v>0</v>
      </c>
      <c r="AF26" s="4">
        <f>+AD_tis!AF26*AD_tis!AF$51*AD_tis!$BD26</f>
        <v>0</v>
      </c>
      <c r="AG26" s="4">
        <f>+AD_tis!AG26*AD_tis!AG$51*AD_tis!$BD26</f>
        <v>0</v>
      </c>
      <c r="AH26" s="4">
        <f>+AD_tis!AH26*AD_tis!AH$51*AD_tis!$BD26</f>
        <v>0</v>
      </c>
      <c r="AI26" s="4">
        <f>+AD_tis!AI26*AD_tis!AI$51*AD_tis!$BD26</f>
        <v>0</v>
      </c>
      <c r="AJ26" s="4">
        <f>+AD_tis!AJ26*AD_tis!AJ$51*AD_tis!$BD26</f>
        <v>0</v>
      </c>
      <c r="AK26" s="4">
        <f>+AD_tis!AK26*AD_tis!AK$51*AD_tis!$BD26</f>
        <v>0</v>
      </c>
      <c r="AL26" s="4">
        <f>+AD_tis!AL26*AD_tis!AL$51*AD_tis!$BD26</f>
        <v>0</v>
      </c>
      <c r="AM26" s="13">
        <f>+AD_tis!AM26*AD_tis!AM$51*AD_tis!$BD26</f>
        <v>0</v>
      </c>
      <c r="AN26" s="4">
        <f>+AD_tis!AN26*AD_tis!AN$51*AD_tis!$BD26</f>
        <v>0</v>
      </c>
      <c r="AO26" s="4">
        <f>+AD_tis!AO26*AD_tis!AO$51*AD_tis!$BD26</f>
        <v>0</v>
      </c>
      <c r="AP26" s="4">
        <f>+AD_tis!AP26*AD_tis!AP$51*AD_tis!$BD26</f>
        <v>0</v>
      </c>
      <c r="AQ26" s="4">
        <f>+AD_tis!AQ26*AD_tis!AQ$51*AD_tis!$BD26</f>
        <v>0</v>
      </c>
      <c r="AR26" s="4">
        <f>+AD_tis!AR26*AD_tis!AR$51*AD_tis!$BD26</f>
        <v>0</v>
      </c>
      <c r="AS26" s="4">
        <f>+AD_tis!AS26*AD_tis!AS$51*AD_tis!$BD26</f>
        <v>0</v>
      </c>
      <c r="AT26" s="4">
        <f>+AD_tis!AT26*AD_tis!AT$51*AD_tis!$BD26</f>
        <v>0</v>
      </c>
      <c r="AU26" s="4">
        <f>+AD_tis!AU26*AD_tis!AU$51*AD_tis!$BD26</f>
        <v>0</v>
      </c>
      <c r="AV26" s="4">
        <f>+AD_tis!AV26*AD_tis!AV$51*AD_tis!$BD26</f>
        <v>0</v>
      </c>
      <c r="AW26" s="12">
        <f>+AD_tis!AW26*AD_tis!AW$51*AD_tis!$BD26</f>
        <v>0</v>
      </c>
      <c r="AX26" s="13">
        <f>+AD_tis!AX26*AD_tis!AX$51*AD_tis!$BD26</f>
        <v>0</v>
      </c>
      <c r="AY26" s="4">
        <f>+AD_tis!AY26*AD_tis!AY$51*AD_tis!$BD26</f>
        <v>0</v>
      </c>
      <c r="AZ26" s="4">
        <f>+AD_tis!AZ26*AD_tis!AZ$51*AD_tis!$BD26</f>
        <v>0</v>
      </c>
      <c r="BA26" s="12">
        <f>+AD_tis!BA26*AD_tis!BA$51*AD_tis!$BD26</f>
        <v>0</v>
      </c>
      <c r="BB26" s="4">
        <f>+AD_tis!BB26*AD_tis!BB$51*AD_tis!$BD26</f>
        <v>0</v>
      </c>
      <c r="BC26" s="13">
        <f>+AD_tis!BC26*AD_tis!BC$51*AD_tis!$BD26</f>
        <v>0</v>
      </c>
    </row>
    <row r="27" spans="1:55" ht="18.75" customHeight="1" x14ac:dyDescent="0.25">
      <c r="A27" s="5" t="s">
        <v>78</v>
      </c>
      <c r="B27" s="12">
        <f>+AD_tis!B27*AD_tis!B$51*AD_tis!$BD27</f>
        <v>0</v>
      </c>
      <c r="C27" s="4">
        <f>+AD_tis!C27*AD_tis!C$51*AD_tis!$BD27</f>
        <v>0</v>
      </c>
      <c r="D27" s="4">
        <f>+AD_tis!D27*AD_tis!D$51*AD_tis!$BD27</f>
        <v>0</v>
      </c>
      <c r="E27" s="4">
        <f>+AD_tis!E27*AD_tis!E$51*AD_tis!$BD27</f>
        <v>0</v>
      </c>
      <c r="F27" s="4">
        <f>+AD_tis!F27*AD_tis!F$51*AD_tis!$BD27</f>
        <v>0</v>
      </c>
      <c r="G27" s="4">
        <f>+AD_tis!G27*AD_tis!G$51*AD_tis!$BD27</f>
        <v>0</v>
      </c>
      <c r="H27" s="4">
        <f>+AD_tis!H27*AD_tis!H$51*AD_tis!$BD27</f>
        <v>0</v>
      </c>
      <c r="I27" s="4">
        <f>+AD_tis!I27*AD_tis!I$51*AD_tis!$BD27</f>
        <v>0</v>
      </c>
      <c r="J27" s="4">
        <f>+AD_tis!J27*AD_tis!J$51*AD_tis!$BD27</f>
        <v>0</v>
      </c>
      <c r="K27" s="4">
        <f>+AD_tis!K27*AD_tis!K$51*AD_tis!$BD27</f>
        <v>0</v>
      </c>
      <c r="L27" s="4">
        <f>+AD_tis!L27*AD_tis!L$51*AD_tis!$BD27</f>
        <v>0</v>
      </c>
      <c r="M27" s="4">
        <f>+AD_tis!M27*AD_tis!M$51*AD_tis!$BD27</f>
        <v>0</v>
      </c>
      <c r="N27" s="4">
        <f>+AD_tis!N27*AD_tis!N$51*AD_tis!$BD27</f>
        <v>0</v>
      </c>
      <c r="O27" s="4">
        <f>+AD_tis!O27*AD_tis!O$51*AD_tis!$BD27</f>
        <v>0</v>
      </c>
      <c r="P27" s="4">
        <f>+AD_tis!P27*AD_tis!P$51*AD_tis!$BD27</f>
        <v>0</v>
      </c>
      <c r="Q27" s="4">
        <f>+AD_tis!Q27*AD_tis!Q$51*AD_tis!$BD27</f>
        <v>0</v>
      </c>
      <c r="R27" s="13">
        <f>+AD_tis!R27*AD_tis!R$51*AD_tis!$BD27</f>
        <v>0</v>
      </c>
      <c r="S27" s="4">
        <f>+AD_tis!S27*AD_tis!S$51*AD_tis!$BD27</f>
        <v>0</v>
      </c>
      <c r="T27" s="4">
        <f>+AD_tis!T27*AD_tis!T$51*AD_tis!$BD27</f>
        <v>0</v>
      </c>
      <c r="U27" s="4">
        <f>+AD_tis!U27*AD_tis!U$51*AD_tis!$BD27</f>
        <v>0</v>
      </c>
      <c r="V27" s="4">
        <f>+AD_tis!V27*AD_tis!V$51*AD_tis!$BD27</f>
        <v>0</v>
      </c>
      <c r="W27" s="4">
        <f>+AD_tis!W27*AD_tis!W$51*AD_tis!$BD27</f>
        <v>0</v>
      </c>
      <c r="X27" s="4">
        <f>+AD_tis!X27*AD_tis!X$51*AD_tis!$BD27</f>
        <v>0</v>
      </c>
      <c r="Y27" s="4">
        <f>+AD_tis!Y27*AD_tis!Y$51*AD_tis!$BD27</f>
        <v>0</v>
      </c>
      <c r="Z27" s="4">
        <f>+AD_tis!Z27*AD_tis!Z$51*AD_tis!$BD27</f>
        <v>0</v>
      </c>
      <c r="AA27" s="4">
        <f>+AD_tis!AA27*AD_tis!AA$51*AD_tis!$BD27</f>
        <v>0</v>
      </c>
      <c r="AB27" s="4">
        <f>+AD_tis!AB27*AD_tis!AB$51*AD_tis!$BD27</f>
        <v>0</v>
      </c>
      <c r="AC27" s="12">
        <f>+AD_tis!AC27*AD_tis!AC$51*AD_tis!$BD27</f>
        <v>0</v>
      </c>
      <c r="AD27" s="4">
        <f>+AD_tis!AD27*AD_tis!AD$51*AD_tis!$BD27</f>
        <v>0</v>
      </c>
      <c r="AE27" s="4">
        <f>+AD_tis!AE27*AD_tis!AE$51*AD_tis!$BD27</f>
        <v>0</v>
      </c>
      <c r="AF27" s="4">
        <f>+AD_tis!AF27*AD_tis!AF$51*AD_tis!$BD27</f>
        <v>0</v>
      </c>
      <c r="AG27" s="4">
        <f>+AD_tis!AG27*AD_tis!AG$51*AD_tis!$BD27</f>
        <v>0</v>
      </c>
      <c r="AH27" s="4">
        <f>+AD_tis!AH27*AD_tis!AH$51*AD_tis!$BD27</f>
        <v>0</v>
      </c>
      <c r="AI27" s="4">
        <f>+AD_tis!AI27*AD_tis!AI$51*AD_tis!$BD27</f>
        <v>0</v>
      </c>
      <c r="AJ27" s="4">
        <f>+AD_tis!AJ27*AD_tis!AJ$51*AD_tis!$BD27</f>
        <v>0</v>
      </c>
      <c r="AK27" s="4">
        <f>+AD_tis!AK27*AD_tis!AK$51*AD_tis!$BD27</f>
        <v>0</v>
      </c>
      <c r="AL27" s="4">
        <f>+AD_tis!AL27*AD_tis!AL$51*AD_tis!$BD27</f>
        <v>0</v>
      </c>
      <c r="AM27" s="13">
        <f>+AD_tis!AM27*AD_tis!AM$51*AD_tis!$BD27</f>
        <v>0</v>
      </c>
      <c r="AN27" s="4">
        <f>+AD_tis!AN27*AD_tis!AN$51*AD_tis!$BD27</f>
        <v>0</v>
      </c>
      <c r="AO27" s="4">
        <f>+AD_tis!AO27*AD_tis!AO$51*AD_tis!$BD27</f>
        <v>0</v>
      </c>
      <c r="AP27" s="4">
        <f>+AD_tis!AP27*AD_tis!AP$51*AD_tis!$BD27</f>
        <v>0</v>
      </c>
      <c r="AQ27" s="4">
        <f>+AD_tis!AQ27*AD_tis!AQ$51*AD_tis!$BD27</f>
        <v>0</v>
      </c>
      <c r="AR27" s="4">
        <f>+AD_tis!AR27*AD_tis!AR$51*AD_tis!$BD27</f>
        <v>0</v>
      </c>
      <c r="AS27" s="4">
        <f>+AD_tis!AS27*AD_tis!AS$51*AD_tis!$BD27</f>
        <v>0</v>
      </c>
      <c r="AT27" s="4">
        <f>+AD_tis!AT27*AD_tis!AT$51*AD_tis!$BD27</f>
        <v>0</v>
      </c>
      <c r="AU27" s="4">
        <f>+AD_tis!AU27*AD_tis!AU$51*AD_tis!$BD27</f>
        <v>0</v>
      </c>
      <c r="AV27" s="4">
        <f>+AD_tis!AV27*AD_tis!AV$51*AD_tis!$BD27</f>
        <v>0</v>
      </c>
      <c r="AW27" s="12">
        <f>+AD_tis!AW27*AD_tis!AW$51*AD_tis!$BD27</f>
        <v>0</v>
      </c>
      <c r="AX27" s="13">
        <f>+AD_tis!AX27*AD_tis!AX$51*AD_tis!$BD27</f>
        <v>0</v>
      </c>
      <c r="AY27" s="4">
        <f>+AD_tis!AY27*AD_tis!AY$51*AD_tis!$BD27</f>
        <v>0</v>
      </c>
      <c r="AZ27" s="4">
        <f>+AD_tis!AZ27*AD_tis!AZ$51*AD_tis!$BD27</f>
        <v>0</v>
      </c>
      <c r="BA27" s="12">
        <f>+AD_tis!BA27*AD_tis!BA$51*AD_tis!$BD27</f>
        <v>0</v>
      </c>
      <c r="BB27" s="4">
        <f>+AD_tis!BB27*AD_tis!BB$51*AD_tis!$BD27</f>
        <v>0</v>
      </c>
      <c r="BC27" s="13">
        <f>+AD_tis!BC27*AD_tis!BC$51*AD_tis!$BD27</f>
        <v>0</v>
      </c>
    </row>
    <row r="28" spans="1:55" ht="18.75" customHeight="1" x14ac:dyDescent="0.25">
      <c r="A28" s="5" t="s">
        <v>79</v>
      </c>
      <c r="B28" s="12">
        <f>+AD_tis!B28*AD_tis!B$51*AD_tis!$BD28</f>
        <v>0</v>
      </c>
      <c r="C28" s="4">
        <f>+AD_tis!C28*AD_tis!C$51*AD_tis!$BD28</f>
        <v>0</v>
      </c>
      <c r="D28" s="4">
        <f>+AD_tis!D28*AD_tis!D$51*AD_tis!$BD28</f>
        <v>0</v>
      </c>
      <c r="E28" s="4">
        <f>+AD_tis!E28*AD_tis!E$51*AD_tis!$BD28</f>
        <v>0</v>
      </c>
      <c r="F28" s="4">
        <f>+AD_tis!F28*AD_tis!F$51*AD_tis!$BD28</f>
        <v>0</v>
      </c>
      <c r="G28" s="4">
        <f>+AD_tis!G28*AD_tis!G$51*AD_tis!$BD28</f>
        <v>0</v>
      </c>
      <c r="H28" s="4">
        <f>+AD_tis!H28*AD_tis!H$51*AD_tis!$BD28</f>
        <v>0</v>
      </c>
      <c r="I28" s="4">
        <f>+AD_tis!I28*AD_tis!I$51*AD_tis!$BD28</f>
        <v>0</v>
      </c>
      <c r="J28" s="4">
        <f>+AD_tis!J28*AD_tis!J$51*AD_tis!$BD28</f>
        <v>0</v>
      </c>
      <c r="K28" s="4">
        <f>+AD_tis!K28*AD_tis!K$51*AD_tis!$BD28</f>
        <v>0</v>
      </c>
      <c r="L28" s="4">
        <f>+AD_tis!L28*AD_tis!L$51*AD_tis!$BD28</f>
        <v>0</v>
      </c>
      <c r="M28" s="4">
        <f>+AD_tis!M28*AD_tis!M$51*AD_tis!$BD28</f>
        <v>0</v>
      </c>
      <c r="N28" s="4">
        <f>+AD_tis!N28*AD_tis!N$51*AD_tis!$BD28</f>
        <v>0</v>
      </c>
      <c r="O28" s="4">
        <f>+AD_tis!O28*AD_tis!O$51*AD_tis!$BD28</f>
        <v>0</v>
      </c>
      <c r="P28" s="4">
        <f>+AD_tis!P28*AD_tis!P$51*AD_tis!$BD28</f>
        <v>0</v>
      </c>
      <c r="Q28" s="4">
        <f>+AD_tis!Q28*AD_tis!Q$51*AD_tis!$BD28</f>
        <v>0</v>
      </c>
      <c r="R28" s="13">
        <f>+AD_tis!R28*AD_tis!R$51*AD_tis!$BD28</f>
        <v>0</v>
      </c>
      <c r="S28" s="4">
        <f>+AD_tis!S28*AD_tis!S$51*AD_tis!$BD28</f>
        <v>0</v>
      </c>
      <c r="T28" s="4">
        <f>+AD_tis!T28*AD_tis!T$51*AD_tis!$BD28</f>
        <v>0</v>
      </c>
      <c r="U28" s="4">
        <f>+AD_tis!U28*AD_tis!U$51*AD_tis!$BD28</f>
        <v>0</v>
      </c>
      <c r="V28" s="4">
        <f>+AD_tis!V28*AD_tis!V$51*AD_tis!$BD28</f>
        <v>0</v>
      </c>
      <c r="W28" s="4">
        <f>+AD_tis!W28*AD_tis!W$51*AD_tis!$BD28</f>
        <v>0</v>
      </c>
      <c r="X28" s="4">
        <f>+AD_tis!X28*AD_tis!X$51*AD_tis!$BD28</f>
        <v>0</v>
      </c>
      <c r="Y28" s="4">
        <f>+AD_tis!Y28*AD_tis!Y$51*AD_tis!$BD28</f>
        <v>0</v>
      </c>
      <c r="Z28" s="4">
        <f>+AD_tis!Z28*AD_tis!Z$51*AD_tis!$BD28</f>
        <v>0</v>
      </c>
      <c r="AA28" s="4">
        <f>+AD_tis!AA28*AD_tis!AA$51*AD_tis!$BD28</f>
        <v>0</v>
      </c>
      <c r="AB28" s="4">
        <f>+AD_tis!AB28*AD_tis!AB$51*AD_tis!$BD28</f>
        <v>0</v>
      </c>
      <c r="AC28" s="12">
        <f>+AD_tis!AC28*AD_tis!AC$51*AD_tis!$BD28</f>
        <v>0</v>
      </c>
      <c r="AD28" s="4">
        <f>+AD_tis!AD28*AD_tis!AD$51*AD_tis!$BD28</f>
        <v>0</v>
      </c>
      <c r="AE28" s="4">
        <f>+AD_tis!AE28*AD_tis!AE$51*AD_tis!$BD28</f>
        <v>0</v>
      </c>
      <c r="AF28" s="4">
        <f>+AD_tis!AF28*AD_tis!AF$51*AD_tis!$BD28</f>
        <v>0</v>
      </c>
      <c r="AG28" s="4">
        <f>+AD_tis!AG28*AD_tis!AG$51*AD_tis!$BD28</f>
        <v>0</v>
      </c>
      <c r="AH28" s="4">
        <f>+AD_tis!AH28*AD_tis!AH$51*AD_tis!$BD28</f>
        <v>0</v>
      </c>
      <c r="AI28" s="4">
        <f>+AD_tis!AI28*AD_tis!AI$51*AD_tis!$BD28</f>
        <v>0</v>
      </c>
      <c r="AJ28" s="4">
        <f>+AD_tis!AJ28*AD_tis!AJ$51*AD_tis!$BD28</f>
        <v>0</v>
      </c>
      <c r="AK28" s="4">
        <f>+AD_tis!AK28*AD_tis!AK$51*AD_tis!$BD28</f>
        <v>0</v>
      </c>
      <c r="AL28" s="4">
        <f>+AD_tis!AL28*AD_tis!AL$51*AD_tis!$BD28</f>
        <v>0</v>
      </c>
      <c r="AM28" s="13">
        <f>+AD_tis!AM28*AD_tis!AM$51*AD_tis!$BD28</f>
        <v>0</v>
      </c>
      <c r="AN28" s="4">
        <f>+AD_tis!AN28*AD_tis!AN$51*AD_tis!$BD28</f>
        <v>0</v>
      </c>
      <c r="AO28" s="4">
        <f>+AD_tis!AO28*AD_tis!AO$51*AD_tis!$BD28</f>
        <v>0</v>
      </c>
      <c r="AP28" s="4">
        <f>+AD_tis!AP28*AD_tis!AP$51*AD_tis!$BD28</f>
        <v>0</v>
      </c>
      <c r="AQ28" s="4">
        <f>+AD_tis!AQ28*AD_tis!AQ$51*AD_tis!$BD28</f>
        <v>0</v>
      </c>
      <c r="AR28" s="4">
        <f>+AD_tis!AR28*AD_tis!AR$51*AD_tis!$BD28</f>
        <v>0</v>
      </c>
      <c r="AS28" s="4">
        <f>+AD_tis!AS28*AD_tis!AS$51*AD_tis!$BD28</f>
        <v>0</v>
      </c>
      <c r="AT28" s="4">
        <f>+AD_tis!AT28*AD_tis!AT$51*AD_tis!$BD28</f>
        <v>0</v>
      </c>
      <c r="AU28" s="4">
        <f>+AD_tis!AU28*AD_tis!AU$51*AD_tis!$BD28</f>
        <v>0</v>
      </c>
      <c r="AV28" s="4">
        <f>+AD_tis!AV28*AD_tis!AV$51*AD_tis!$BD28</f>
        <v>0</v>
      </c>
      <c r="AW28" s="12">
        <f>+AD_tis!AW28*AD_tis!AW$51*AD_tis!$BD28</f>
        <v>0</v>
      </c>
      <c r="AX28" s="13">
        <f>+AD_tis!AX28*AD_tis!AX$51*AD_tis!$BD28</f>
        <v>0</v>
      </c>
      <c r="AY28" s="4">
        <f>+AD_tis!AY28*AD_tis!AY$51*AD_tis!$BD28</f>
        <v>0</v>
      </c>
      <c r="AZ28" s="4">
        <f>+AD_tis!AZ28*AD_tis!AZ$51*AD_tis!$BD28</f>
        <v>0</v>
      </c>
      <c r="BA28" s="12">
        <f>+AD_tis!BA28*AD_tis!BA$51*AD_tis!$BD28</f>
        <v>0</v>
      </c>
      <c r="BB28" s="4">
        <f>+AD_tis!BB28*AD_tis!BB$51*AD_tis!$BD28</f>
        <v>0</v>
      </c>
      <c r="BC28" s="13">
        <f>+AD_tis!BC28*AD_tis!BC$51*AD_tis!$BD28</f>
        <v>1</v>
      </c>
    </row>
    <row r="29" spans="1:55" ht="18.75" customHeight="1" x14ac:dyDescent="0.25">
      <c r="A29" s="5" t="s">
        <v>80</v>
      </c>
      <c r="B29" s="12">
        <f>+AD_tis!B29*AD_tis!B$51*AD_tis!$BD29</f>
        <v>0</v>
      </c>
      <c r="C29" s="4">
        <f>+AD_tis!C29*AD_tis!C$51*AD_tis!$BD29</f>
        <v>0</v>
      </c>
      <c r="D29" s="4">
        <f>+AD_tis!D29*AD_tis!D$51*AD_tis!$BD29</f>
        <v>0</v>
      </c>
      <c r="E29" s="4">
        <f>+AD_tis!E29*AD_tis!E$51*AD_tis!$BD29</f>
        <v>0</v>
      </c>
      <c r="F29" s="4">
        <f>+AD_tis!F29*AD_tis!F$51*AD_tis!$BD29</f>
        <v>0</v>
      </c>
      <c r="G29" s="4">
        <f>+AD_tis!G29*AD_tis!G$51*AD_tis!$BD29</f>
        <v>0</v>
      </c>
      <c r="H29" s="4">
        <f>+AD_tis!H29*AD_tis!H$51*AD_tis!$BD29</f>
        <v>0</v>
      </c>
      <c r="I29" s="4">
        <f>+AD_tis!I29*AD_tis!I$51*AD_tis!$BD29</f>
        <v>0</v>
      </c>
      <c r="J29" s="4">
        <f>+AD_tis!J29*AD_tis!J$51*AD_tis!$BD29</f>
        <v>0</v>
      </c>
      <c r="K29" s="4">
        <f>+AD_tis!K29*AD_tis!K$51*AD_tis!$BD29</f>
        <v>0</v>
      </c>
      <c r="L29" s="4">
        <f>+AD_tis!L29*AD_tis!L$51*AD_tis!$BD29</f>
        <v>0</v>
      </c>
      <c r="M29" s="4">
        <f>+AD_tis!M29*AD_tis!M$51*AD_tis!$BD29</f>
        <v>0</v>
      </c>
      <c r="N29" s="4">
        <f>+AD_tis!N29*AD_tis!N$51*AD_tis!$BD29</f>
        <v>0</v>
      </c>
      <c r="O29" s="4">
        <f>+AD_tis!O29*AD_tis!O$51*AD_tis!$BD29</f>
        <v>0</v>
      </c>
      <c r="P29" s="4">
        <f>+AD_tis!P29*AD_tis!P$51*AD_tis!$BD29</f>
        <v>0</v>
      </c>
      <c r="Q29" s="4">
        <f>+AD_tis!Q29*AD_tis!Q$51*AD_tis!$BD29</f>
        <v>0</v>
      </c>
      <c r="R29" s="13">
        <f>+AD_tis!R29*AD_tis!R$51*AD_tis!$BD29</f>
        <v>0</v>
      </c>
      <c r="S29" s="4">
        <f>+AD_tis!S29*AD_tis!S$51*AD_tis!$BD29</f>
        <v>0</v>
      </c>
      <c r="T29" s="4">
        <f>+AD_tis!T29*AD_tis!T$51*AD_tis!$BD29</f>
        <v>0</v>
      </c>
      <c r="U29" s="4">
        <f>+AD_tis!U29*AD_tis!U$51*AD_tis!$BD29</f>
        <v>0</v>
      </c>
      <c r="V29" s="4">
        <f>+AD_tis!V29*AD_tis!V$51*AD_tis!$BD29</f>
        <v>0</v>
      </c>
      <c r="W29" s="4">
        <f>+AD_tis!W29*AD_tis!W$51*AD_tis!$BD29</f>
        <v>0</v>
      </c>
      <c r="X29" s="4">
        <f>+AD_tis!X29*AD_tis!X$51*AD_tis!$BD29</f>
        <v>0</v>
      </c>
      <c r="Y29" s="4">
        <f>+AD_tis!Y29*AD_tis!Y$51*AD_tis!$BD29</f>
        <v>0</v>
      </c>
      <c r="Z29" s="4">
        <f>+AD_tis!Z29*AD_tis!Z$51*AD_tis!$BD29</f>
        <v>0</v>
      </c>
      <c r="AA29" s="4">
        <f>+AD_tis!AA29*AD_tis!AA$51*AD_tis!$BD29</f>
        <v>0</v>
      </c>
      <c r="AB29" s="4">
        <f>+AD_tis!AB29*AD_tis!AB$51*AD_tis!$BD29</f>
        <v>0</v>
      </c>
      <c r="AC29" s="12">
        <f>+AD_tis!AC29*AD_tis!AC$51*AD_tis!$BD29</f>
        <v>0</v>
      </c>
      <c r="AD29" s="4">
        <f>+AD_tis!AD29*AD_tis!AD$51*AD_tis!$BD29</f>
        <v>0</v>
      </c>
      <c r="AE29" s="4">
        <f>+AD_tis!AE29*AD_tis!AE$51*AD_tis!$BD29</f>
        <v>0</v>
      </c>
      <c r="AF29" s="4">
        <f>+AD_tis!AF29*AD_tis!AF$51*AD_tis!$BD29</f>
        <v>0</v>
      </c>
      <c r="AG29" s="4">
        <f>+AD_tis!AG29*AD_tis!AG$51*AD_tis!$BD29</f>
        <v>0</v>
      </c>
      <c r="AH29" s="4">
        <f>+AD_tis!AH29*AD_tis!AH$51*AD_tis!$BD29</f>
        <v>0</v>
      </c>
      <c r="AI29" s="4">
        <f>+AD_tis!AI29*AD_tis!AI$51*AD_tis!$BD29</f>
        <v>0</v>
      </c>
      <c r="AJ29" s="4">
        <f>+AD_tis!AJ29*AD_tis!AJ$51*AD_tis!$BD29</f>
        <v>0</v>
      </c>
      <c r="AK29" s="4">
        <f>+AD_tis!AK29*AD_tis!AK$51*AD_tis!$BD29</f>
        <v>0</v>
      </c>
      <c r="AL29" s="4">
        <f>+AD_tis!AL29*AD_tis!AL$51*AD_tis!$BD29</f>
        <v>0</v>
      </c>
      <c r="AM29" s="13">
        <f>+AD_tis!AM29*AD_tis!AM$51*AD_tis!$BD29</f>
        <v>0</v>
      </c>
      <c r="AN29" s="4">
        <f>+AD_tis!AN29*AD_tis!AN$51*AD_tis!$BD29</f>
        <v>0</v>
      </c>
      <c r="AO29" s="4">
        <f>+AD_tis!AO29*AD_tis!AO$51*AD_tis!$BD29</f>
        <v>0</v>
      </c>
      <c r="AP29" s="4">
        <f>+AD_tis!AP29*AD_tis!AP$51*AD_tis!$BD29</f>
        <v>0</v>
      </c>
      <c r="AQ29" s="4">
        <f>+AD_tis!AQ29*AD_tis!AQ$51*AD_tis!$BD29</f>
        <v>0</v>
      </c>
      <c r="AR29" s="4">
        <f>+AD_tis!AR29*AD_tis!AR$51*AD_tis!$BD29</f>
        <v>0</v>
      </c>
      <c r="AS29" s="4">
        <f>+AD_tis!AS29*AD_tis!AS$51*AD_tis!$BD29</f>
        <v>0</v>
      </c>
      <c r="AT29" s="4">
        <f>+AD_tis!AT29*AD_tis!AT$51*AD_tis!$BD29</f>
        <v>0</v>
      </c>
      <c r="AU29" s="4">
        <f>+AD_tis!AU29*AD_tis!AU$51*AD_tis!$BD29</f>
        <v>0</v>
      </c>
      <c r="AV29" s="4">
        <f>+AD_tis!AV29*AD_tis!AV$51*AD_tis!$BD29</f>
        <v>0</v>
      </c>
      <c r="AW29" s="12">
        <f>+AD_tis!AW29*AD_tis!AW$51*AD_tis!$BD29</f>
        <v>0</v>
      </c>
      <c r="AX29" s="13">
        <f>+AD_tis!AX29*AD_tis!AX$51*AD_tis!$BD29</f>
        <v>0</v>
      </c>
      <c r="AY29" s="4">
        <f>+AD_tis!AY29*AD_tis!AY$51*AD_tis!$BD29</f>
        <v>0</v>
      </c>
      <c r="AZ29" s="4">
        <f>+AD_tis!AZ29*AD_tis!AZ$51*AD_tis!$BD29</f>
        <v>0</v>
      </c>
      <c r="BA29" s="12">
        <f>+AD_tis!BA29*AD_tis!BA$51*AD_tis!$BD29</f>
        <v>0</v>
      </c>
      <c r="BB29" s="4">
        <f>+AD_tis!BB29*AD_tis!BB$51*AD_tis!$BD29</f>
        <v>0</v>
      </c>
      <c r="BC29" s="13">
        <f>+AD_tis!BC29*AD_tis!BC$51*AD_tis!$BD29</f>
        <v>0</v>
      </c>
    </row>
    <row r="30" spans="1:55" ht="18.75" customHeight="1" x14ac:dyDescent="0.25">
      <c r="A30" s="5" t="s">
        <v>81</v>
      </c>
      <c r="B30" s="12">
        <f>+AD_tis!B30*AD_tis!B$51*AD_tis!$BD30</f>
        <v>0</v>
      </c>
      <c r="C30" s="4">
        <f>+AD_tis!C30*AD_tis!C$51*AD_tis!$BD30</f>
        <v>0</v>
      </c>
      <c r="D30" s="4">
        <f>+AD_tis!D30*AD_tis!D$51*AD_tis!$BD30</f>
        <v>0</v>
      </c>
      <c r="E30" s="4">
        <f>+AD_tis!E30*AD_tis!E$51*AD_tis!$BD30</f>
        <v>0</v>
      </c>
      <c r="F30" s="4">
        <f>+AD_tis!F30*AD_tis!F$51*AD_tis!$BD30</f>
        <v>0</v>
      </c>
      <c r="G30" s="4">
        <f>+AD_tis!G30*AD_tis!G$51*AD_tis!$BD30</f>
        <v>0</v>
      </c>
      <c r="H30" s="4">
        <f>+AD_tis!H30*AD_tis!H$51*AD_tis!$BD30</f>
        <v>0</v>
      </c>
      <c r="I30" s="4">
        <f>+AD_tis!I30*AD_tis!I$51*AD_tis!$BD30</f>
        <v>0</v>
      </c>
      <c r="J30" s="4">
        <f>+AD_tis!J30*AD_tis!J$51*AD_tis!$BD30</f>
        <v>0</v>
      </c>
      <c r="K30" s="4">
        <f>+AD_tis!K30*AD_tis!K$51*AD_tis!$BD30</f>
        <v>0</v>
      </c>
      <c r="L30" s="4">
        <f>+AD_tis!L30*AD_tis!L$51*AD_tis!$BD30</f>
        <v>0</v>
      </c>
      <c r="M30" s="4">
        <f>+AD_tis!M30*AD_tis!M$51*AD_tis!$BD30</f>
        <v>0</v>
      </c>
      <c r="N30" s="4">
        <f>+AD_tis!N30*AD_tis!N$51*AD_tis!$BD30</f>
        <v>0</v>
      </c>
      <c r="O30" s="4">
        <f>+AD_tis!O30*AD_tis!O$51*AD_tis!$BD30</f>
        <v>0</v>
      </c>
      <c r="P30" s="4">
        <f>+AD_tis!P30*AD_tis!P$51*AD_tis!$BD30</f>
        <v>0</v>
      </c>
      <c r="Q30" s="4">
        <f>+AD_tis!Q30*AD_tis!Q$51*AD_tis!$BD30</f>
        <v>0</v>
      </c>
      <c r="R30" s="13">
        <f>+AD_tis!R30*AD_tis!R$51*AD_tis!$BD30</f>
        <v>0</v>
      </c>
      <c r="S30" s="4">
        <f>+AD_tis!S30*AD_tis!S$51*AD_tis!$BD30</f>
        <v>0</v>
      </c>
      <c r="T30" s="4">
        <f>+AD_tis!T30*AD_tis!T$51*AD_tis!$BD30</f>
        <v>0</v>
      </c>
      <c r="U30" s="4">
        <f>+AD_tis!U30*AD_tis!U$51*AD_tis!$BD30</f>
        <v>0</v>
      </c>
      <c r="V30" s="4">
        <f>+AD_tis!V30*AD_tis!V$51*AD_tis!$BD30</f>
        <v>0</v>
      </c>
      <c r="W30" s="4">
        <f>+AD_tis!W30*AD_tis!W$51*AD_tis!$BD30</f>
        <v>0</v>
      </c>
      <c r="X30" s="4">
        <f>+AD_tis!X30*AD_tis!X$51*AD_tis!$BD30</f>
        <v>0</v>
      </c>
      <c r="Y30" s="4">
        <f>+AD_tis!Y30*AD_tis!Y$51*AD_tis!$BD30</f>
        <v>0</v>
      </c>
      <c r="Z30" s="4">
        <f>+AD_tis!Z30*AD_tis!Z$51*AD_tis!$BD30</f>
        <v>0</v>
      </c>
      <c r="AA30" s="4">
        <f>+AD_tis!AA30*AD_tis!AA$51*AD_tis!$BD30</f>
        <v>0</v>
      </c>
      <c r="AB30" s="4">
        <f>+AD_tis!AB30*AD_tis!AB$51*AD_tis!$BD30</f>
        <v>0</v>
      </c>
      <c r="AC30" s="12">
        <f>+AD_tis!AC30*AD_tis!AC$51*AD_tis!$BD30</f>
        <v>0</v>
      </c>
      <c r="AD30" s="4">
        <f>+AD_tis!AD30*AD_tis!AD$51*AD_tis!$BD30</f>
        <v>0</v>
      </c>
      <c r="AE30" s="4">
        <f>+AD_tis!AE30*AD_tis!AE$51*AD_tis!$BD30</f>
        <v>0</v>
      </c>
      <c r="AF30" s="4">
        <f>+AD_tis!AF30*AD_tis!AF$51*AD_tis!$BD30</f>
        <v>0</v>
      </c>
      <c r="AG30" s="4">
        <f>+AD_tis!AG30*AD_tis!AG$51*AD_tis!$BD30</f>
        <v>0</v>
      </c>
      <c r="AH30" s="4">
        <f>+AD_tis!AH30*AD_tis!AH$51*AD_tis!$BD30</f>
        <v>0</v>
      </c>
      <c r="AI30" s="4">
        <f>+AD_tis!AI30*AD_tis!AI$51*AD_tis!$BD30</f>
        <v>0</v>
      </c>
      <c r="AJ30" s="4">
        <f>+AD_tis!AJ30*AD_tis!AJ$51*AD_tis!$BD30</f>
        <v>0</v>
      </c>
      <c r="AK30" s="4">
        <f>+AD_tis!AK30*AD_tis!AK$51*AD_tis!$BD30</f>
        <v>0</v>
      </c>
      <c r="AL30" s="4">
        <f>+AD_tis!AL30*AD_tis!AL$51*AD_tis!$BD30</f>
        <v>0</v>
      </c>
      <c r="AM30" s="13">
        <f>+AD_tis!AM30*AD_tis!AM$51*AD_tis!$BD30</f>
        <v>0</v>
      </c>
      <c r="AN30" s="4">
        <f>+AD_tis!AN30*AD_tis!AN$51*AD_tis!$BD30</f>
        <v>0</v>
      </c>
      <c r="AO30" s="4">
        <f>+AD_tis!AO30*AD_tis!AO$51*AD_tis!$BD30</f>
        <v>0</v>
      </c>
      <c r="AP30" s="4">
        <f>+AD_tis!AP30*AD_tis!AP$51*AD_tis!$BD30</f>
        <v>0</v>
      </c>
      <c r="AQ30" s="4">
        <f>+AD_tis!AQ30*AD_tis!AQ$51*AD_tis!$BD30</f>
        <v>0</v>
      </c>
      <c r="AR30" s="4">
        <f>+AD_tis!AR30*AD_tis!AR$51*AD_tis!$BD30</f>
        <v>0</v>
      </c>
      <c r="AS30" s="4">
        <f>+AD_tis!AS30*AD_tis!AS$51*AD_tis!$BD30</f>
        <v>0</v>
      </c>
      <c r="AT30" s="4">
        <f>+AD_tis!AT30*AD_tis!AT$51*AD_tis!$BD30</f>
        <v>0</v>
      </c>
      <c r="AU30" s="4">
        <f>+AD_tis!AU30*AD_tis!AU$51*AD_tis!$BD30</f>
        <v>0</v>
      </c>
      <c r="AV30" s="4">
        <f>+AD_tis!AV30*AD_tis!AV$51*AD_tis!$BD30</f>
        <v>0</v>
      </c>
      <c r="AW30" s="12">
        <f>+AD_tis!AW30*AD_tis!AW$51*AD_tis!$BD30</f>
        <v>0</v>
      </c>
      <c r="AX30" s="13">
        <f>+AD_tis!AX30*AD_tis!AX$51*AD_tis!$BD30</f>
        <v>0</v>
      </c>
      <c r="AY30" s="4">
        <f>+AD_tis!AY30*AD_tis!AY$51*AD_tis!$BD30</f>
        <v>0</v>
      </c>
      <c r="AZ30" s="4">
        <f>+AD_tis!AZ30*AD_tis!AZ$51*AD_tis!$BD30</f>
        <v>0</v>
      </c>
      <c r="BA30" s="12">
        <f>+AD_tis!BA30*AD_tis!BA$51*AD_tis!$BD30</f>
        <v>1</v>
      </c>
      <c r="BB30" s="4">
        <f>+AD_tis!BB30*AD_tis!BB$51*AD_tis!$BD30</f>
        <v>0</v>
      </c>
      <c r="BC30" s="13">
        <f>+AD_tis!BC30*AD_tis!BC$51*AD_tis!$BD30</f>
        <v>0</v>
      </c>
    </row>
    <row r="31" spans="1:55" ht="18.75" customHeight="1" x14ac:dyDescent="0.25">
      <c r="A31" s="5" t="s">
        <v>82</v>
      </c>
      <c r="B31" s="12">
        <f>+AD_tis!B31*AD_tis!B$51*AD_tis!$BD31</f>
        <v>0</v>
      </c>
      <c r="C31" s="4">
        <f>+AD_tis!C31*AD_tis!C$51*AD_tis!$BD31</f>
        <v>0</v>
      </c>
      <c r="D31" s="4">
        <f>+AD_tis!D31*AD_tis!D$51*AD_tis!$BD31</f>
        <v>0</v>
      </c>
      <c r="E31" s="4">
        <f>+AD_tis!E31*AD_tis!E$51*AD_tis!$BD31</f>
        <v>0</v>
      </c>
      <c r="F31" s="4">
        <f>+AD_tis!F31*AD_tis!F$51*AD_tis!$BD31</f>
        <v>0</v>
      </c>
      <c r="G31" s="4">
        <f>+AD_tis!G31*AD_tis!G$51*AD_tis!$BD31</f>
        <v>0</v>
      </c>
      <c r="H31" s="4">
        <f>+AD_tis!H31*AD_tis!H$51*AD_tis!$BD31</f>
        <v>0</v>
      </c>
      <c r="I31" s="4">
        <f>+AD_tis!I31*AD_tis!I$51*AD_tis!$BD31</f>
        <v>0</v>
      </c>
      <c r="J31" s="4">
        <f>+AD_tis!J31*AD_tis!J$51*AD_tis!$BD31</f>
        <v>0</v>
      </c>
      <c r="K31" s="4">
        <f>+AD_tis!K31*AD_tis!K$51*AD_tis!$BD31</f>
        <v>0</v>
      </c>
      <c r="L31" s="4">
        <f>+AD_tis!L31*AD_tis!L$51*AD_tis!$BD31</f>
        <v>0</v>
      </c>
      <c r="M31" s="4">
        <f>+AD_tis!M31*AD_tis!M$51*AD_tis!$BD31</f>
        <v>0</v>
      </c>
      <c r="N31" s="4">
        <f>+AD_tis!N31*AD_tis!N$51*AD_tis!$BD31</f>
        <v>0</v>
      </c>
      <c r="O31" s="4">
        <f>+AD_tis!O31*AD_tis!O$51*AD_tis!$BD31</f>
        <v>0</v>
      </c>
      <c r="P31" s="4">
        <f>+AD_tis!P31*AD_tis!P$51*AD_tis!$BD31</f>
        <v>0</v>
      </c>
      <c r="Q31" s="4">
        <f>+AD_tis!Q31*AD_tis!Q$51*AD_tis!$BD31</f>
        <v>0</v>
      </c>
      <c r="R31" s="13">
        <f>+AD_tis!R31*AD_tis!R$51*AD_tis!$BD31</f>
        <v>0</v>
      </c>
      <c r="S31" s="4">
        <f>+AD_tis!S31*AD_tis!S$51*AD_tis!$BD31</f>
        <v>0</v>
      </c>
      <c r="T31" s="4">
        <f>+AD_tis!T31*AD_tis!T$51*AD_tis!$BD31</f>
        <v>0</v>
      </c>
      <c r="U31" s="4">
        <f>+AD_tis!U31*AD_tis!U$51*AD_tis!$BD31</f>
        <v>0</v>
      </c>
      <c r="V31" s="4">
        <f>+AD_tis!V31*AD_tis!V$51*AD_tis!$BD31</f>
        <v>0</v>
      </c>
      <c r="W31" s="4">
        <f>+AD_tis!W31*AD_tis!W$51*AD_tis!$BD31</f>
        <v>0</v>
      </c>
      <c r="X31" s="4">
        <f>+AD_tis!X31*AD_tis!X$51*AD_tis!$BD31</f>
        <v>0</v>
      </c>
      <c r="Y31" s="4">
        <f>+AD_tis!Y31*AD_tis!Y$51*AD_tis!$BD31</f>
        <v>0</v>
      </c>
      <c r="Z31" s="4">
        <f>+AD_tis!Z31*AD_tis!Z$51*AD_tis!$BD31</f>
        <v>0</v>
      </c>
      <c r="AA31" s="4">
        <f>+AD_tis!AA31*AD_tis!AA$51*AD_tis!$BD31</f>
        <v>0</v>
      </c>
      <c r="AB31" s="4">
        <f>+AD_tis!AB31*AD_tis!AB$51*AD_tis!$BD31</f>
        <v>0</v>
      </c>
      <c r="AC31" s="12">
        <f>+AD_tis!AC31*AD_tis!AC$51*AD_tis!$BD31</f>
        <v>0</v>
      </c>
      <c r="AD31" s="4">
        <f>+AD_tis!AD31*AD_tis!AD$51*AD_tis!$BD31</f>
        <v>0</v>
      </c>
      <c r="AE31" s="4">
        <f>+AD_tis!AE31*AD_tis!AE$51*AD_tis!$BD31</f>
        <v>0</v>
      </c>
      <c r="AF31" s="4">
        <f>+AD_tis!AF31*AD_tis!AF$51*AD_tis!$BD31</f>
        <v>0</v>
      </c>
      <c r="AG31" s="4">
        <f>+AD_tis!AG31*AD_tis!AG$51*AD_tis!$BD31</f>
        <v>0</v>
      </c>
      <c r="AH31" s="4">
        <f>+AD_tis!AH31*AD_tis!AH$51*AD_tis!$BD31</f>
        <v>0</v>
      </c>
      <c r="AI31" s="4">
        <f>+AD_tis!AI31*AD_tis!AI$51*AD_tis!$BD31</f>
        <v>0</v>
      </c>
      <c r="AJ31" s="4">
        <f>+AD_tis!AJ31*AD_tis!AJ$51*AD_tis!$BD31</f>
        <v>0</v>
      </c>
      <c r="AK31" s="4">
        <f>+AD_tis!AK31*AD_tis!AK$51*AD_tis!$BD31</f>
        <v>0</v>
      </c>
      <c r="AL31" s="4">
        <f>+AD_tis!AL31*AD_tis!AL$51*AD_tis!$BD31</f>
        <v>0</v>
      </c>
      <c r="AM31" s="13">
        <f>+AD_tis!AM31*AD_tis!AM$51*AD_tis!$BD31</f>
        <v>0</v>
      </c>
      <c r="AN31" s="4">
        <f>+AD_tis!AN31*AD_tis!AN$51*AD_tis!$BD31</f>
        <v>0</v>
      </c>
      <c r="AO31" s="4">
        <f>+AD_tis!AO31*AD_tis!AO$51*AD_tis!$BD31</f>
        <v>0</v>
      </c>
      <c r="AP31" s="4">
        <f>+AD_tis!AP31*AD_tis!AP$51*AD_tis!$BD31</f>
        <v>0</v>
      </c>
      <c r="AQ31" s="4">
        <f>+AD_tis!AQ31*AD_tis!AQ$51*AD_tis!$BD31</f>
        <v>0</v>
      </c>
      <c r="AR31" s="4">
        <f>+AD_tis!AR31*AD_tis!AR$51*AD_tis!$BD31</f>
        <v>0</v>
      </c>
      <c r="AS31" s="4">
        <f>+AD_tis!AS31*AD_tis!AS$51*AD_tis!$BD31</f>
        <v>0</v>
      </c>
      <c r="AT31" s="4">
        <f>+AD_tis!AT31*AD_tis!AT$51*AD_tis!$BD31</f>
        <v>0</v>
      </c>
      <c r="AU31" s="4">
        <f>+AD_tis!AU31*AD_tis!AU$51*AD_tis!$BD31</f>
        <v>0</v>
      </c>
      <c r="AV31" s="4">
        <f>+AD_tis!AV31*AD_tis!AV$51*AD_tis!$BD31</f>
        <v>0</v>
      </c>
      <c r="AW31" s="12">
        <f>+AD_tis!AW31*AD_tis!AW$51*AD_tis!$BD31</f>
        <v>0</v>
      </c>
      <c r="AX31" s="13">
        <f>+AD_tis!AX31*AD_tis!AX$51*AD_tis!$BD31</f>
        <v>0</v>
      </c>
      <c r="AY31" s="4">
        <f>+AD_tis!AY31*AD_tis!AY$51*AD_tis!$BD31</f>
        <v>0</v>
      </c>
      <c r="AZ31" s="4">
        <f>+AD_tis!AZ31*AD_tis!AZ$51*AD_tis!$BD31</f>
        <v>0</v>
      </c>
      <c r="BA31" s="12">
        <f>+AD_tis!BA31*AD_tis!BA$51*AD_tis!$BD31</f>
        <v>0</v>
      </c>
      <c r="BB31" s="4">
        <f>+AD_tis!BB31*AD_tis!BB$51*AD_tis!$BD31</f>
        <v>0</v>
      </c>
      <c r="BC31" s="13">
        <f>+AD_tis!BC31*AD_tis!BC$51*AD_tis!$BD31</f>
        <v>0</v>
      </c>
    </row>
    <row r="32" spans="1:55" ht="18.75" customHeight="1" x14ac:dyDescent="0.25">
      <c r="A32" s="5" t="s">
        <v>83</v>
      </c>
      <c r="B32" s="12">
        <f>+AD_tis!B32*AD_tis!B$51*AD_tis!$BD32</f>
        <v>0</v>
      </c>
      <c r="C32" s="4">
        <f>+AD_tis!C32*AD_tis!C$51*AD_tis!$BD32</f>
        <v>0</v>
      </c>
      <c r="D32" s="4">
        <f>+AD_tis!D32*AD_tis!D$51*AD_tis!$BD32</f>
        <v>0</v>
      </c>
      <c r="E32" s="4">
        <f>+AD_tis!E32*AD_tis!E$51*AD_tis!$BD32</f>
        <v>0</v>
      </c>
      <c r="F32" s="4">
        <f>+AD_tis!F32*AD_tis!F$51*AD_tis!$BD32</f>
        <v>0</v>
      </c>
      <c r="G32" s="4">
        <f>+AD_tis!G32*AD_tis!G$51*AD_tis!$BD32</f>
        <v>0</v>
      </c>
      <c r="H32" s="4">
        <f>+AD_tis!H32*AD_tis!H$51*AD_tis!$BD32</f>
        <v>0</v>
      </c>
      <c r="I32" s="4">
        <f>+AD_tis!I32*AD_tis!I$51*AD_tis!$BD32</f>
        <v>0</v>
      </c>
      <c r="J32" s="4">
        <f>+AD_tis!J32*AD_tis!J$51*AD_tis!$BD32</f>
        <v>0</v>
      </c>
      <c r="K32" s="4">
        <f>+AD_tis!K32*AD_tis!K$51*AD_tis!$BD32</f>
        <v>0</v>
      </c>
      <c r="L32" s="4">
        <f>+AD_tis!L32*AD_tis!L$51*AD_tis!$BD32</f>
        <v>0</v>
      </c>
      <c r="M32" s="4">
        <f>+AD_tis!M32*AD_tis!M$51*AD_tis!$BD32</f>
        <v>0</v>
      </c>
      <c r="N32" s="4">
        <f>+AD_tis!N32*AD_tis!N$51*AD_tis!$BD32</f>
        <v>0</v>
      </c>
      <c r="O32" s="4">
        <f>+AD_tis!O32*AD_tis!O$51*AD_tis!$BD32</f>
        <v>0</v>
      </c>
      <c r="P32" s="4">
        <f>+AD_tis!P32*AD_tis!P$51*AD_tis!$BD32</f>
        <v>0</v>
      </c>
      <c r="Q32" s="4">
        <f>+AD_tis!Q32*AD_tis!Q$51*AD_tis!$BD32</f>
        <v>0</v>
      </c>
      <c r="R32" s="13">
        <f>+AD_tis!R32*AD_tis!R$51*AD_tis!$BD32</f>
        <v>0</v>
      </c>
      <c r="S32" s="4">
        <f>+AD_tis!S32*AD_tis!S$51*AD_tis!$BD32</f>
        <v>0</v>
      </c>
      <c r="T32" s="4">
        <f>+AD_tis!T32*AD_tis!T$51*AD_tis!$BD32</f>
        <v>0</v>
      </c>
      <c r="U32" s="4">
        <f>+AD_tis!U32*AD_tis!U$51*AD_tis!$BD32</f>
        <v>0</v>
      </c>
      <c r="V32" s="4">
        <f>+AD_tis!V32*AD_tis!V$51*AD_tis!$BD32</f>
        <v>0</v>
      </c>
      <c r="W32" s="4">
        <f>+AD_tis!W32*AD_tis!W$51*AD_tis!$BD32</f>
        <v>0</v>
      </c>
      <c r="X32" s="4">
        <f>+AD_tis!X32*AD_tis!X$51*AD_tis!$BD32</f>
        <v>0</v>
      </c>
      <c r="Y32" s="4">
        <f>+AD_tis!Y32*AD_tis!Y$51*AD_tis!$BD32</f>
        <v>0</v>
      </c>
      <c r="Z32" s="4">
        <f>+AD_tis!Z32*AD_tis!Z$51*AD_tis!$BD32</f>
        <v>0</v>
      </c>
      <c r="AA32" s="4">
        <f>+AD_tis!AA32*AD_tis!AA$51*AD_tis!$BD32</f>
        <v>0</v>
      </c>
      <c r="AB32" s="4">
        <f>+AD_tis!AB32*AD_tis!AB$51*AD_tis!$BD32</f>
        <v>0</v>
      </c>
      <c r="AC32" s="12">
        <f>+AD_tis!AC32*AD_tis!AC$51*AD_tis!$BD32</f>
        <v>0</v>
      </c>
      <c r="AD32" s="4">
        <f>+AD_tis!AD32*AD_tis!AD$51*AD_tis!$BD32</f>
        <v>0</v>
      </c>
      <c r="AE32" s="4">
        <f>+AD_tis!AE32*AD_tis!AE$51*AD_tis!$BD32</f>
        <v>0</v>
      </c>
      <c r="AF32" s="4">
        <f>+AD_tis!AF32*AD_tis!AF$51*AD_tis!$BD32</f>
        <v>0</v>
      </c>
      <c r="AG32" s="4">
        <f>+AD_tis!AG32*AD_tis!AG$51*AD_tis!$BD32</f>
        <v>0</v>
      </c>
      <c r="AH32" s="4">
        <f>+AD_tis!AH32*AD_tis!AH$51*AD_tis!$BD32</f>
        <v>0</v>
      </c>
      <c r="AI32" s="4">
        <f>+AD_tis!AI32*AD_tis!AI$51*AD_tis!$BD32</f>
        <v>0</v>
      </c>
      <c r="AJ32" s="4">
        <f>+AD_tis!AJ32*AD_tis!AJ$51*AD_tis!$BD32</f>
        <v>0</v>
      </c>
      <c r="AK32" s="4">
        <f>+AD_tis!AK32*AD_tis!AK$51*AD_tis!$BD32</f>
        <v>0</v>
      </c>
      <c r="AL32" s="4">
        <f>+AD_tis!AL32*AD_tis!AL$51*AD_tis!$BD32</f>
        <v>0</v>
      </c>
      <c r="AM32" s="13">
        <f>+AD_tis!AM32*AD_tis!AM$51*AD_tis!$BD32</f>
        <v>0</v>
      </c>
      <c r="AN32" s="4">
        <f>+AD_tis!AN32*AD_tis!AN$51*AD_tis!$BD32</f>
        <v>0</v>
      </c>
      <c r="AO32" s="4">
        <f>+AD_tis!AO32*AD_tis!AO$51*AD_tis!$BD32</f>
        <v>0</v>
      </c>
      <c r="AP32" s="4">
        <f>+AD_tis!AP32*AD_tis!AP$51*AD_tis!$BD32</f>
        <v>0</v>
      </c>
      <c r="AQ32" s="4">
        <f>+AD_tis!AQ32*AD_tis!AQ$51*AD_tis!$BD32</f>
        <v>0</v>
      </c>
      <c r="AR32" s="4">
        <f>+AD_tis!AR32*AD_tis!AR$51*AD_tis!$BD32</f>
        <v>0</v>
      </c>
      <c r="AS32" s="4">
        <f>+AD_tis!AS32*AD_tis!AS$51*AD_tis!$BD32</f>
        <v>0</v>
      </c>
      <c r="AT32" s="4">
        <f>+AD_tis!AT32*AD_tis!AT$51*AD_tis!$BD32</f>
        <v>0</v>
      </c>
      <c r="AU32" s="4">
        <f>+AD_tis!AU32*AD_tis!AU$51*AD_tis!$BD32</f>
        <v>0</v>
      </c>
      <c r="AV32" s="4">
        <f>+AD_tis!AV32*AD_tis!AV$51*AD_tis!$BD32</f>
        <v>0</v>
      </c>
      <c r="AW32" s="12">
        <f>+AD_tis!AW32*AD_tis!AW$51*AD_tis!$BD32</f>
        <v>0</v>
      </c>
      <c r="AX32" s="13">
        <f>+AD_tis!AX32*AD_tis!AX$51*AD_tis!$BD32</f>
        <v>0</v>
      </c>
      <c r="AY32" s="4">
        <f>+AD_tis!AY32*AD_tis!AY$51*AD_tis!$BD32</f>
        <v>0</v>
      </c>
      <c r="AZ32" s="4">
        <f>+AD_tis!AZ32*AD_tis!AZ$51*AD_tis!$BD32</f>
        <v>0</v>
      </c>
      <c r="BA32" s="12">
        <f>+AD_tis!BA32*AD_tis!BA$51*AD_tis!$BD32</f>
        <v>0</v>
      </c>
      <c r="BB32" s="4">
        <f>+AD_tis!BB32*AD_tis!BB$51*AD_tis!$BD32</f>
        <v>0</v>
      </c>
      <c r="BC32" s="13">
        <f>+AD_tis!BC32*AD_tis!BC$51*AD_tis!$BD32</f>
        <v>0</v>
      </c>
    </row>
    <row r="33" spans="1:55" ht="18.75" customHeight="1" x14ac:dyDescent="0.25">
      <c r="A33" s="5" t="s">
        <v>84</v>
      </c>
      <c r="B33" s="12">
        <f>+AD_tis!B33*AD_tis!B$51*AD_tis!$BD33</f>
        <v>0</v>
      </c>
      <c r="C33" s="4">
        <f>+AD_tis!C33*AD_tis!C$51*AD_tis!$BD33</f>
        <v>0</v>
      </c>
      <c r="D33" s="4">
        <f>+AD_tis!D33*AD_tis!D$51*AD_tis!$BD33</f>
        <v>0</v>
      </c>
      <c r="E33" s="4">
        <f>+AD_tis!E33*AD_tis!E$51*AD_tis!$BD33</f>
        <v>0</v>
      </c>
      <c r="F33" s="4">
        <f>+AD_tis!F33*AD_tis!F$51*AD_tis!$BD33</f>
        <v>0</v>
      </c>
      <c r="G33" s="4">
        <f>+AD_tis!G33*AD_tis!G$51*AD_tis!$BD33</f>
        <v>0</v>
      </c>
      <c r="H33" s="4">
        <f>+AD_tis!H33*AD_tis!H$51*AD_tis!$BD33</f>
        <v>0</v>
      </c>
      <c r="I33" s="4">
        <f>+AD_tis!I33*AD_tis!I$51*AD_tis!$BD33</f>
        <v>0</v>
      </c>
      <c r="J33" s="4">
        <f>+AD_tis!J33*AD_tis!J$51*AD_tis!$BD33</f>
        <v>0</v>
      </c>
      <c r="K33" s="4">
        <f>+AD_tis!K33*AD_tis!K$51*AD_tis!$BD33</f>
        <v>0</v>
      </c>
      <c r="L33" s="4">
        <f>+AD_tis!L33*AD_tis!L$51*AD_tis!$BD33</f>
        <v>0</v>
      </c>
      <c r="M33" s="4">
        <f>+AD_tis!M33*AD_tis!M$51*AD_tis!$BD33</f>
        <v>0</v>
      </c>
      <c r="N33" s="4">
        <f>+AD_tis!N33*AD_tis!N$51*AD_tis!$BD33</f>
        <v>0</v>
      </c>
      <c r="O33" s="4">
        <f>+AD_tis!O33*AD_tis!O$51*AD_tis!$BD33</f>
        <v>0</v>
      </c>
      <c r="P33" s="4">
        <f>+AD_tis!P33*AD_tis!P$51*AD_tis!$BD33</f>
        <v>0</v>
      </c>
      <c r="Q33" s="4">
        <f>+AD_tis!Q33*AD_tis!Q$51*AD_tis!$BD33</f>
        <v>0</v>
      </c>
      <c r="R33" s="13">
        <f>+AD_tis!R33*AD_tis!R$51*AD_tis!$BD33</f>
        <v>0</v>
      </c>
      <c r="S33" s="4">
        <f>+AD_tis!S33*AD_tis!S$51*AD_tis!$BD33</f>
        <v>0</v>
      </c>
      <c r="T33" s="4">
        <f>+AD_tis!T33*AD_tis!T$51*AD_tis!$BD33</f>
        <v>0</v>
      </c>
      <c r="U33" s="4">
        <f>+AD_tis!U33*AD_tis!U$51*AD_tis!$BD33</f>
        <v>0</v>
      </c>
      <c r="V33" s="4">
        <f>+AD_tis!V33*AD_tis!V$51*AD_tis!$BD33</f>
        <v>0</v>
      </c>
      <c r="W33" s="4">
        <f>+AD_tis!W33*AD_tis!W$51*AD_tis!$BD33</f>
        <v>0</v>
      </c>
      <c r="X33" s="4">
        <f>+AD_tis!X33*AD_tis!X$51*AD_tis!$BD33</f>
        <v>0</v>
      </c>
      <c r="Y33" s="4">
        <f>+AD_tis!Y33*AD_tis!Y$51*AD_tis!$BD33</f>
        <v>0</v>
      </c>
      <c r="Z33" s="4">
        <f>+AD_tis!Z33*AD_tis!Z$51*AD_tis!$BD33</f>
        <v>0</v>
      </c>
      <c r="AA33" s="4">
        <f>+AD_tis!AA33*AD_tis!AA$51*AD_tis!$BD33</f>
        <v>0</v>
      </c>
      <c r="AB33" s="4">
        <f>+AD_tis!AB33*AD_tis!AB$51*AD_tis!$BD33</f>
        <v>0</v>
      </c>
      <c r="AC33" s="12">
        <f>+AD_tis!AC33*AD_tis!AC$51*AD_tis!$BD33</f>
        <v>0</v>
      </c>
      <c r="AD33" s="4">
        <f>+AD_tis!AD33*AD_tis!AD$51*AD_tis!$BD33</f>
        <v>0</v>
      </c>
      <c r="AE33" s="4">
        <f>+AD_tis!AE33*AD_tis!AE$51*AD_tis!$BD33</f>
        <v>0</v>
      </c>
      <c r="AF33" s="4">
        <f>+AD_tis!AF33*AD_tis!AF$51*AD_tis!$BD33</f>
        <v>0</v>
      </c>
      <c r="AG33" s="4">
        <f>+AD_tis!AG33*AD_tis!AG$51*AD_tis!$BD33</f>
        <v>0</v>
      </c>
      <c r="AH33" s="4">
        <f>+AD_tis!AH33*AD_tis!AH$51*AD_tis!$BD33</f>
        <v>0</v>
      </c>
      <c r="AI33" s="4">
        <f>+AD_tis!AI33*AD_tis!AI$51*AD_tis!$BD33</f>
        <v>0</v>
      </c>
      <c r="AJ33" s="4">
        <f>+AD_tis!AJ33*AD_tis!AJ$51*AD_tis!$BD33</f>
        <v>0</v>
      </c>
      <c r="AK33" s="4">
        <f>+AD_tis!AK33*AD_tis!AK$51*AD_tis!$BD33</f>
        <v>0</v>
      </c>
      <c r="AL33" s="4">
        <f>+AD_tis!AL33*AD_tis!AL$51*AD_tis!$BD33</f>
        <v>0</v>
      </c>
      <c r="AM33" s="13">
        <f>+AD_tis!AM33*AD_tis!AM$51*AD_tis!$BD33</f>
        <v>0</v>
      </c>
      <c r="AN33" s="4">
        <f>+AD_tis!AN33*AD_tis!AN$51*AD_tis!$BD33</f>
        <v>0</v>
      </c>
      <c r="AO33" s="4">
        <f>+AD_tis!AO33*AD_tis!AO$51*AD_tis!$BD33</f>
        <v>0</v>
      </c>
      <c r="AP33" s="4">
        <f>+AD_tis!AP33*AD_tis!AP$51*AD_tis!$BD33</f>
        <v>0</v>
      </c>
      <c r="AQ33" s="4">
        <f>+AD_tis!AQ33*AD_tis!AQ$51*AD_tis!$BD33</f>
        <v>0</v>
      </c>
      <c r="AR33" s="4">
        <f>+AD_tis!AR33*AD_tis!AR$51*AD_tis!$BD33</f>
        <v>0</v>
      </c>
      <c r="AS33" s="4">
        <f>+AD_tis!AS33*AD_tis!AS$51*AD_tis!$BD33</f>
        <v>0</v>
      </c>
      <c r="AT33" s="4">
        <f>+AD_tis!AT33*AD_tis!AT$51*AD_tis!$BD33</f>
        <v>0</v>
      </c>
      <c r="AU33" s="4">
        <f>+AD_tis!AU33*AD_tis!AU$51*AD_tis!$BD33</f>
        <v>0</v>
      </c>
      <c r="AV33" s="4">
        <f>+AD_tis!AV33*AD_tis!AV$51*AD_tis!$BD33</f>
        <v>0</v>
      </c>
      <c r="AW33" s="12">
        <f>+AD_tis!AW33*AD_tis!AW$51*AD_tis!$BD33</f>
        <v>0</v>
      </c>
      <c r="AX33" s="13">
        <f>+AD_tis!AX33*AD_tis!AX$51*AD_tis!$BD33</f>
        <v>0</v>
      </c>
      <c r="AY33" s="4">
        <f>+AD_tis!AY33*AD_tis!AY$51*AD_tis!$BD33</f>
        <v>0</v>
      </c>
      <c r="AZ33" s="4">
        <f>+AD_tis!AZ33*AD_tis!AZ$51*AD_tis!$BD33</f>
        <v>0</v>
      </c>
      <c r="BA33" s="12">
        <f>+AD_tis!BA33*AD_tis!BA$51*AD_tis!$BD33</f>
        <v>0</v>
      </c>
      <c r="BB33" s="4">
        <f>+AD_tis!BB33*AD_tis!BB$51*AD_tis!$BD33</f>
        <v>0</v>
      </c>
      <c r="BC33" s="13">
        <f>+AD_tis!BC33*AD_tis!BC$51*AD_tis!$BD33</f>
        <v>0</v>
      </c>
    </row>
    <row r="34" spans="1:55" ht="18.75" customHeight="1" x14ac:dyDescent="0.25">
      <c r="A34" s="5" t="s">
        <v>85</v>
      </c>
      <c r="B34" s="12">
        <f>+AD_tis!B34*AD_tis!B$51*AD_tis!$BD34</f>
        <v>0</v>
      </c>
      <c r="C34" s="4">
        <f>+AD_tis!C34*AD_tis!C$51*AD_tis!$BD34</f>
        <v>0</v>
      </c>
      <c r="D34" s="4">
        <f>+AD_tis!D34*AD_tis!D$51*AD_tis!$BD34</f>
        <v>0</v>
      </c>
      <c r="E34" s="4">
        <f>+AD_tis!E34*AD_tis!E$51*AD_tis!$BD34</f>
        <v>0</v>
      </c>
      <c r="F34" s="4">
        <f>+AD_tis!F34*AD_tis!F$51*AD_tis!$BD34</f>
        <v>0</v>
      </c>
      <c r="G34" s="4">
        <f>+AD_tis!G34*AD_tis!G$51*AD_tis!$BD34</f>
        <v>0</v>
      </c>
      <c r="H34" s="4">
        <f>+AD_tis!H34*AD_tis!H$51*AD_tis!$BD34</f>
        <v>0</v>
      </c>
      <c r="I34" s="4">
        <f>+AD_tis!I34*AD_tis!I$51*AD_tis!$BD34</f>
        <v>0</v>
      </c>
      <c r="J34" s="4">
        <f>+AD_tis!J34*AD_tis!J$51*AD_tis!$BD34</f>
        <v>0</v>
      </c>
      <c r="K34" s="4">
        <f>+AD_tis!K34*AD_tis!K$51*AD_tis!$BD34</f>
        <v>0</v>
      </c>
      <c r="L34" s="4">
        <f>+AD_tis!L34*AD_tis!L$51*AD_tis!$BD34</f>
        <v>0</v>
      </c>
      <c r="M34" s="4">
        <f>+AD_tis!M34*AD_tis!M$51*AD_tis!$BD34</f>
        <v>0</v>
      </c>
      <c r="N34" s="4">
        <f>+AD_tis!N34*AD_tis!N$51*AD_tis!$BD34</f>
        <v>0</v>
      </c>
      <c r="O34" s="4">
        <f>+AD_tis!O34*AD_tis!O$51*AD_tis!$BD34</f>
        <v>0</v>
      </c>
      <c r="P34" s="4">
        <f>+AD_tis!P34*AD_tis!P$51*AD_tis!$BD34</f>
        <v>0</v>
      </c>
      <c r="Q34" s="4">
        <f>+AD_tis!Q34*AD_tis!Q$51*AD_tis!$BD34</f>
        <v>0</v>
      </c>
      <c r="R34" s="13">
        <f>+AD_tis!R34*AD_tis!R$51*AD_tis!$BD34</f>
        <v>0</v>
      </c>
      <c r="S34" s="4">
        <f>+AD_tis!S34*AD_tis!S$51*AD_tis!$BD34</f>
        <v>0</v>
      </c>
      <c r="T34" s="4">
        <f>+AD_tis!T34*AD_tis!T$51*AD_tis!$BD34</f>
        <v>0</v>
      </c>
      <c r="U34" s="4">
        <f>+AD_tis!U34*AD_tis!U$51*AD_tis!$BD34</f>
        <v>0</v>
      </c>
      <c r="V34" s="4">
        <f>+AD_tis!V34*AD_tis!V$51*AD_tis!$BD34</f>
        <v>0</v>
      </c>
      <c r="W34" s="4">
        <f>+AD_tis!W34*AD_tis!W$51*AD_tis!$BD34</f>
        <v>0</v>
      </c>
      <c r="X34" s="4">
        <f>+AD_tis!X34*AD_tis!X$51*AD_tis!$BD34</f>
        <v>0</v>
      </c>
      <c r="Y34" s="4">
        <f>+AD_tis!Y34*AD_tis!Y$51*AD_tis!$BD34</f>
        <v>0</v>
      </c>
      <c r="Z34" s="4">
        <f>+AD_tis!Z34*AD_tis!Z$51*AD_tis!$BD34</f>
        <v>0</v>
      </c>
      <c r="AA34" s="4">
        <f>+AD_tis!AA34*AD_tis!AA$51*AD_tis!$BD34</f>
        <v>0</v>
      </c>
      <c r="AB34" s="4">
        <f>+AD_tis!AB34*AD_tis!AB$51*AD_tis!$BD34</f>
        <v>0</v>
      </c>
      <c r="AC34" s="12">
        <f>+AD_tis!AC34*AD_tis!AC$51*AD_tis!$BD34</f>
        <v>0</v>
      </c>
      <c r="AD34" s="4">
        <f>+AD_tis!AD34*AD_tis!AD$51*AD_tis!$BD34</f>
        <v>0</v>
      </c>
      <c r="AE34" s="4">
        <f>+AD_tis!AE34*AD_tis!AE$51*AD_tis!$BD34</f>
        <v>0</v>
      </c>
      <c r="AF34" s="4">
        <f>+AD_tis!AF34*AD_tis!AF$51*AD_tis!$BD34</f>
        <v>0</v>
      </c>
      <c r="AG34" s="4">
        <f>+AD_tis!AG34*AD_tis!AG$51*AD_tis!$BD34</f>
        <v>0</v>
      </c>
      <c r="AH34" s="4">
        <f>+AD_tis!AH34*AD_tis!AH$51*AD_tis!$BD34</f>
        <v>0</v>
      </c>
      <c r="AI34" s="4">
        <f>+AD_tis!AI34*AD_tis!AI$51*AD_tis!$BD34</f>
        <v>0</v>
      </c>
      <c r="AJ34" s="4">
        <f>+AD_tis!AJ34*AD_tis!AJ$51*AD_tis!$BD34</f>
        <v>0</v>
      </c>
      <c r="AK34" s="4">
        <f>+AD_tis!AK34*AD_tis!AK$51*AD_tis!$BD34</f>
        <v>0</v>
      </c>
      <c r="AL34" s="4">
        <f>+AD_tis!AL34*AD_tis!AL$51*AD_tis!$BD34</f>
        <v>0</v>
      </c>
      <c r="AM34" s="13">
        <f>+AD_tis!AM34*AD_tis!AM$51*AD_tis!$BD34</f>
        <v>0</v>
      </c>
      <c r="AN34" s="4">
        <f>+AD_tis!AN34*AD_tis!AN$51*AD_tis!$BD34</f>
        <v>0</v>
      </c>
      <c r="AO34" s="4">
        <f>+AD_tis!AO34*AD_tis!AO$51*AD_tis!$BD34</f>
        <v>0</v>
      </c>
      <c r="AP34" s="4">
        <f>+AD_tis!AP34*AD_tis!AP$51*AD_tis!$BD34</f>
        <v>0</v>
      </c>
      <c r="AQ34" s="4">
        <f>+AD_tis!AQ34*AD_tis!AQ$51*AD_tis!$BD34</f>
        <v>0</v>
      </c>
      <c r="AR34" s="4">
        <f>+AD_tis!AR34*AD_tis!AR$51*AD_tis!$BD34</f>
        <v>0</v>
      </c>
      <c r="AS34" s="4">
        <f>+AD_tis!AS34*AD_tis!AS$51*AD_tis!$BD34</f>
        <v>0</v>
      </c>
      <c r="AT34" s="4">
        <f>+AD_tis!AT34*AD_tis!AT$51*AD_tis!$BD34</f>
        <v>0</v>
      </c>
      <c r="AU34" s="4">
        <f>+AD_tis!AU34*AD_tis!AU$51*AD_tis!$BD34</f>
        <v>0</v>
      </c>
      <c r="AV34" s="4">
        <f>+AD_tis!AV34*AD_tis!AV$51*AD_tis!$BD34</f>
        <v>0</v>
      </c>
      <c r="AW34" s="12">
        <f>+AD_tis!AW34*AD_tis!AW$51*AD_tis!$BD34</f>
        <v>0</v>
      </c>
      <c r="AX34" s="13">
        <f>+AD_tis!AX34*AD_tis!AX$51*AD_tis!$BD34</f>
        <v>0</v>
      </c>
      <c r="AY34" s="4">
        <f>+AD_tis!AY34*AD_tis!AY$51*AD_tis!$BD34</f>
        <v>0</v>
      </c>
      <c r="AZ34" s="4">
        <f>+AD_tis!AZ34*AD_tis!AZ$51*AD_tis!$BD34</f>
        <v>0</v>
      </c>
      <c r="BA34" s="12">
        <f>+AD_tis!BA34*AD_tis!BA$51*AD_tis!$BD34</f>
        <v>0</v>
      </c>
      <c r="BB34" s="4">
        <f>+AD_tis!BB34*AD_tis!BB$51*AD_tis!$BD34</f>
        <v>0</v>
      </c>
      <c r="BC34" s="13">
        <f>+AD_tis!BC34*AD_tis!BC$51*AD_tis!$BD34</f>
        <v>0</v>
      </c>
    </row>
    <row r="35" spans="1:55" ht="18.75" customHeight="1" x14ac:dyDescent="0.25">
      <c r="A35" s="5" t="s">
        <v>86</v>
      </c>
      <c r="B35" s="12">
        <f>+AD_tis!B35*AD_tis!B$51*AD_tis!$BD35</f>
        <v>0</v>
      </c>
      <c r="C35" s="4">
        <f>+AD_tis!C35*AD_tis!C$51*AD_tis!$BD35</f>
        <v>0</v>
      </c>
      <c r="D35" s="4">
        <f>+AD_tis!D35*AD_tis!D$51*AD_tis!$BD35</f>
        <v>0</v>
      </c>
      <c r="E35" s="4">
        <f>+AD_tis!E35*AD_tis!E$51*AD_tis!$BD35</f>
        <v>0</v>
      </c>
      <c r="F35" s="4">
        <f>+AD_tis!F35*AD_tis!F$51*AD_tis!$BD35</f>
        <v>0</v>
      </c>
      <c r="G35" s="4">
        <f>+AD_tis!G35*AD_tis!G$51*AD_tis!$BD35</f>
        <v>0</v>
      </c>
      <c r="H35" s="4">
        <f>+AD_tis!H35*AD_tis!H$51*AD_tis!$BD35</f>
        <v>0</v>
      </c>
      <c r="I35" s="4">
        <f>+AD_tis!I35*AD_tis!I$51*AD_tis!$BD35</f>
        <v>0</v>
      </c>
      <c r="J35" s="4">
        <f>+AD_tis!J35*AD_tis!J$51*AD_tis!$BD35</f>
        <v>0</v>
      </c>
      <c r="K35" s="4">
        <f>+AD_tis!K35*AD_tis!K$51*AD_tis!$BD35</f>
        <v>0</v>
      </c>
      <c r="L35" s="4">
        <f>+AD_tis!L35*AD_tis!L$51*AD_tis!$BD35</f>
        <v>0</v>
      </c>
      <c r="M35" s="4">
        <f>+AD_tis!M35*AD_tis!M$51*AD_tis!$BD35</f>
        <v>0</v>
      </c>
      <c r="N35" s="4">
        <f>+AD_tis!N35*AD_tis!N$51*AD_tis!$BD35</f>
        <v>0</v>
      </c>
      <c r="O35" s="4">
        <f>+AD_tis!O35*AD_tis!O$51*AD_tis!$BD35</f>
        <v>0</v>
      </c>
      <c r="P35" s="4">
        <f>+AD_tis!P35*AD_tis!P$51*AD_tis!$BD35</f>
        <v>0</v>
      </c>
      <c r="Q35" s="4">
        <f>+AD_tis!Q35*AD_tis!Q$51*AD_tis!$BD35</f>
        <v>0</v>
      </c>
      <c r="R35" s="13">
        <f>+AD_tis!R35*AD_tis!R$51*AD_tis!$BD35</f>
        <v>0</v>
      </c>
      <c r="S35" s="4">
        <f>+AD_tis!S35*AD_tis!S$51*AD_tis!$BD35</f>
        <v>0</v>
      </c>
      <c r="T35" s="4">
        <f>+AD_tis!T35*AD_tis!T$51*AD_tis!$BD35</f>
        <v>0</v>
      </c>
      <c r="U35" s="4">
        <f>+AD_tis!U35*AD_tis!U$51*AD_tis!$BD35</f>
        <v>0</v>
      </c>
      <c r="V35" s="4">
        <f>+AD_tis!V35*AD_tis!V$51*AD_tis!$BD35</f>
        <v>0</v>
      </c>
      <c r="W35" s="4">
        <f>+AD_tis!W35*AD_tis!W$51*AD_tis!$BD35</f>
        <v>0</v>
      </c>
      <c r="X35" s="4">
        <f>+AD_tis!X35*AD_tis!X$51*AD_tis!$BD35</f>
        <v>0</v>
      </c>
      <c r="Y35" s="4">
        <f>+AD_tis!Y35*AD_tis!Y$51*AD_tis!$BD35</f>
        <v>0</v>
      </c>
      <c r="Z35" s="4">
        <f>+AD_tis!Z35*AD_tis!Z$51*AD_tis!$BD35</f>
        <v>0</v>
      </c>
      <c r="AA35" s="4">
        <f>+AD_tis!AA35*AD_tis!AA$51*AD_tis!$BD35</f>
        <v>0</v>
      </c>
      <c r="AB35" s="4">
        <f>+AD_tis!AB35*AD_tis!AB$51*AD_tis!$BD35</f>
        <v>0</v>
      </c>
      <c r="AC35" s="12">
        <f>+AD_tis!AC35*AD_tis!AC$51*AD_tis!$BD35</f>
        <v>0</v>
      </c>
      <c r="AD35" s="4">
        <f>+AD_tis!AD35*AD_tis!AD$51*AD_tis!$BD35</f>
        <v>0</v>
      </c>
      <c r="AE35" s="4">
        <f>+AD_tis!AE35*AD_tis!AE$51*AD_tis!$BD35</f>
        <v>0</v>
      </c>
      <c r="AF35" s="4">
        <f>+AD_tis!AF35*AD_tis!AF$51*AD_tis!$BD35</f>
        <v>0</v>
      </c>
      <c r="AG35" s="4">
        <f>+AD_tis!AG35*AD_tis!AG$51*AD_tis!$BD35</f>
        <v>0</v>
      </c>
      <c r="AH35" s="4">
        <f>+AD_tis!AH35*AD_tis!AH$51*AD_tis!$BD35</f>
        <v>0</v>
      </c>
      <c r="AI35" s="4">
        <f>+AD_tis!AI35*AD_tis!AI$51*AD_tis!$BD35</f>
        <v>0</v>
      </c>
      <c r="AJ35" s="4">
        <f>+AD_tis!AJ35*AD_tis!AJ$51*AD_tis!$BD35</f>
        <v>0</v>
      </c>
      <c r="AK35" s="4">
        <f>+AD_tis!AK35*AD_tis!AK$51*AD_tis!$BD35</f>
        <v>0</v>
      </c>
      <c r="AL35" s="4">
        <f>+AD_tis!AL35*AD_tis!AL$51*AD_tis!$BD35</f>
        <v>0</v>
      </c>
      <c r="AM35" s="13">
        <f>+AD_tis!AM35*AD_tis!AM$51*AD_tis!$BD35</f>
        <v>0</v>
      </c>
      <c r="AN35" s="4">
        <f>+AD_tis!AN35*AD_tis!AN$51*AD_tis!$BD35</f>
        <v>0</v>
      </c>
      <c r="AO35" s="4">
        <f>+AD_tis!AO35*AD_tis!AO$51*AD_tis!$BD35</f>
        <v>0</v>
      </c>
      <c r="AP35" s="4">
        <f>+AD_tis!AP35*AD_tis!AP$51*AD_tis!$BD35</f>
        <v>0</v>
      </c>
      <c r="AQ35" s="4">
        <f>+AD_tis!AQ35*AD_tis!AQ$51*AD_tis!$BD35</f>
        <v>0</v>
      </c>
      <c r="AR35" s="4">
        <f>+AD_tis!AR35*AD_tis!AR$51*AD_tis!$BD35</f>
        <v>0</v>
      </c>
      <c r="AS35" s="4">
        <f>+AD_tis!AS35*AD_tis!AS$51*AD_tis!$BD35</f>
        <v>0</v>
      </c>
      <c r="AT35" s="4">
        <f>+AD_tis!AT35*AD_tis!AT$51*AD_tis!$BD35</f>
        <v>0</v>
      </c>
      <c r="AU35" s="4">
        <f>+AD_tis!AU35*AD_tis!AU$51*AD_tis!$BD35</f>
        <v>0</v>
      </c>
      <c r="AV35" s="4">
        <f>+AD_tis!AV35*AD_tis!AV$51*AD_tis!$BD35</f>
        <v>0</v>
      </c>
      <c r="AW35" s="12">
        <f>+AD_tis!AW35*AD_tis!AW$51*AD_tis!$BD35</f>
        <v>0</v>
      </c>
      <c r="AX35" s="13">
        <f>+AD_tis!AX35*AD_tis!AX$51*AD_tis!$BD35</f>
        <v>0</v>
      </c>
      <c r="AY35" s="4">
        <f>+AD_tis!AY35*AD_tis!AY$51*AD_tis!$BD35</f>
        <v>0</v>
      </c>
      <c r="AZ35" s="4">
        <f>+AD_tis!AZ35*AD_tis!AZ$51*AD_tis!$BD35</f>
        <v>0</v>
      </c>
      <c r="BA35" s="12">
        <f>+AD_tis!BA35*AD_tis!BA$51*AD_tis!$BD35</f>
        <v>0</v>
      </c>
      <c r="BB35" s="4">
        <f>+AD_tis!BB35*AD_tis!BB$51*AD_tis!$BD35</f>
        <v>0</v>
      </c>
      <c r="BC35" s="13">
        <f>+AD_tis!BC35*AD_tis!BC$51*AD_tis!$BD35</f>
        <v>0</v>
      </c>
    </row>
    <row r="36" spans="1:55" ht="18.75" customHeight="1" x14ac:dyDescent="0.25">
      <c r="A36" s="5" t="s">
        <v>87</v>
      </c>
      <c r="B36" s="12">
        <f>+AD_tis!B36*AD_tis!B$51*AD_tis!$BD36</f>
        <v>0</v>
      </c>
      <c r="C36" s="4">
        <f>+AD_tis!C36*AD_tis!C$51*AD_tis!$BD36</f>
        <v>0</v>
      </c>
      <c r="D36" s="4">
        <f>+AD_tis!D36*AD_tis!D$51*AD_tis!$BD36</f>
        <v>0</v>
      </c>
      <c r="E36" s="4">
        <f>+AD_tis!E36*AD_tis!E$51*AD_tis!$BD36</f>
        <v>0</v>
      </c>
      <c r="F36" s="4">
        <f>+AD_tis!F36*AD_tis!F$51*AD_tis!$BD36</f>
        <v>0</v>
      </c>
      <c r="G36" s="4">
        <f>+AD_tis!G36*AD_tis!G$51*AD_tis!$BD36</f>
        <v>0</v>
      </c>
      <c r="H36" s="4">
        <f>+AD_tis!H36*AD_tis!H$51*AD_tis!$BD36</f>
        <v>0</v>
      </c>
      <c r="I36" s="4">
        <f>+AD_tis!I36*AD_tis!I$51*AD_tis!$BD36</f>
        <v>0</v>
      </c>
      <c r="J36" s="4">
        <f>+AD_tis!J36*AD_tis!J$51*AD_tis!$BD36</f>
        <v>0</v>
      </c>
      <c r="K36" s="4">
        <f>+AD_tis!K36*AD_tis!K$51*AD_tis!$BD36</f>
        <v>0</v>
      </c>
      <c r="L36" s="4">
        <f>+AD_tis!L36*AD_tis!L$51*AD_tis!$BD36</f>
        <v>0</v>
      </c>
      <c r="M36" s="4">
        <f>+AD_tis!M36*AD_tis!M$51*AD_tis!$BD36</f>
        <v>0</v>
      </c>
      <c r="N36" s="4">
        <f>+AD_tis!N36*AD_tis!N$51*AD_tis!$BD36</f>
        <v>0</v>
      </c>
      <c r="O36" s="4">
        <f>+AD_tis!O36*AD_tis!O$51*AD_tis!$BD36</f>
        <v>0</v>
      </c>
      <c r="P36" s="4">
        <f>+AD_tis!P36*AD_tis!P$51*AD_tis!$BD36</f>
        <v>0</v>
      </c>
      <c r="Q36" s="4">
        <f>+AD_tis!Q36*AD_tis!Q$51*AD_tis!$BD36</f>
        <v>0</v>
      </c>
      <c r="R36" s="13">
        <f>+AD_tis!R36*AD_tis!R$51*AD_tis!$BD36</f>
        <v>0</v>
      </c>
      <c r="S36" s="4">
        <f>+AD_tis!S36*AD_tis!S$51*AD_tis!$BD36</f>
        <v>0</v>
      </c>
      <c r="T36" s="4">
        <f>+AD_tis!T36*AD_tis!T$51*AD_tis!$BD36</f>
        <v>0</v>
      </c>
      <c r="U36" s="4">
        <f>+AD_tis!U36*AD_tis!U$51*AD_tis!$BD36</f>
        <v>0</v>
      </c>
      <c r="V36" s="4">
        <f>+AD_tis!V36*AD_tis!V$51*AD_tis!$BD36</f>
        <v>0</v>
      </c>
      <c r="W36" s="4">
        <f>+AD_tis!W36*AD_tis!W$51*AD_tis!$BD36</f>
        <v>0</v>
      </c>
      <c r="X36" s="4">
        <f>+AD_tis!X36*AD_tis!X$51*AD_tis!$BD36</f>
        <v>0</v>
      </c>
      <c r="Y36" s="4">
        <f>+AD_tis!Y36*AD_tis!Y$51*AD_tis!$BD36</f>
        <v>0</v>
      </c>
      <c r="Z36" s="4">
        <f>+AD_tis!Z36*AD_tis!Z$51*AD_tis!$BD36</f>
        <v>0</v>
      </c>
      <c r="AA36" s="4">
        <f>+AD_tis!AA36*AD_tis!AA$51*AD_tis!$BD36</f>
        <v>0</v>
      </c>
      <c r="AB36" s="4">
        <f>+AD_tis!AB36*AD_tis!AB$51*AD_tis!$BD36</f>
        <v>0</v>
      </c>
      <c r="AC36" s="12">
        <f>+AD_tis!AC36*AD_tis!AC$51*AD_tis!$BD36</f>
        <v>0</v>
      </c>
      <c r="AD36" s="4">
        <f>+AD_tis!AD36*AD_tis!AD$51*AD_tis!$BD36</f>
        <v>0</v>
      </c>
      <c r="AE36" s="4">
        <f>+AD_tis!AE36*AD_tis!AE$51*AD_tis!$BD36</f>
        <v>0</v>
      </c>
      <c r="AF36" s="4">
        <f>+AD_tis!AF36*AD_tis!AF$51*AD_tis!$BD36</f>
        <v>0</v>
      </c>
      <c r="AG36" s="4">
        <f>+AD_tis!AG36*AD_tis!AG$51*AD_tis!$BD36</f>
        <v>0</v>
      </c>
      <c r="AH36" s="4">
        <f>+AD_tis!AH36*AD_tis!AH$51*AD_tis!$BD36</f>
        <v>0</v>
      </c>
      <c r="AI36" s="4">
        <f>+AD_tis!AI36*AD_tis!AI$51*AD_tis!$BD36</f>
        <v>0</v>
      </c>
      <c r="AJ36" s="4">
        <f>+AD_tis!AJ36*AD_tis!AJ$51*AD_tis!$BD36</f>
        <v>0</v>
      </c>
      <c r="AK36" s="4">
        <f>+AD_tis!AK36*AD_tis!AK$51*AD_tis!$BD36</f>
        <v>0</v>
      </c>
      <c r="AL36" s="4">
        <f>+AD_tis!AL36*AD_tis!AL$51*AD_tis!$BD36</f>
        <v>0</v>
      </c>
      <c r="AM36" s="13">
        <f>+AD_tis!AM36*AD_tis!AM$51*AD_tis!$BD36</f>
        <v>0</v>
      </c>
      <c r="AN36" s="4">
        <f>+AD_tis!AN36*AD_tis!AN$51*AD_tis!$BD36</f>
        <v>0</v>
      </c>
      <c r="AO36" s="4">
        <f>+AD_tis!AO36*AD_tis!AO$51*AD_tis!$BD36</f>
        <v>0</v>
      </c>
      <c r="AP36" s="4">
        <f>+AD_tis!AP36*AD_tis!AP$51*AD_tis!$BD36</f>
        <v>0</v>
      </c>
      <c r="AQ36" s="4">
        <f>+AD_tis!AQ36*AD_tis!AQ$51*AD_tis!$BD36</f>
        <v>0</v>
      </c>
      <c r="AR36" s="4">
        <f>+AD_tis!AR36*AD_tis!AR$51*AD_tis!$BD36</f>
        <v>0</v>
      </c>
      <c r="AS36" s="4">
        <f>+AD_tis!AS36*AD_tis!AS$51*AD_tis!$BD36</f>
        <v>0</v>
      </c>
      <c r="AT36" s="4">
        <f>+AD_tis!AT36*AD_tis!AT$51*AD_tis!$BD36</f>
        <v>0</v>
      </c>
      <c r="AU36" s="4">
        <f>+AD_tis!AU36*AD_tis!AU$51*AD_tis!$BD36</f>
        <v>0</v>
      </c>
      <c r="AV36" s="4">
        <f>+AD_tis!AV36*AD_tis!AV$51*AD_tis!$BD36</f>
        <v>0</v>
      </c>
      <c r="AW36" s="12">
        <f>+AD_tis!AW36*AD_tis!AW$51*AD_tis!$BD36</f>
        <v>0</v>
      </c>
      <c r="AX36" s="13">
        <f>+AD_tis!AX36*AD_tis!AX$51*AD_tis!$BD36</f>
        <v>0</v>
      </c>
      <c r="AY36" s="4">
        <f>+AD_tis!AY36*AD_tis!AY$51*AD_tis!$BD36</f>
        <v>0</v>
      </c>
      <c r="AZ36" s="4">
        <f>+AD_tis!AZ36*AD_tis!AZ$51*AD_tis!$BD36</f>
        <v>0</v>
      </c>
      <c r="BA36" s="12">
        <f>+AD_tis!BA36*AD_tis!BA$51*AD_tis!$BD36</f>
        <v>0</v>
      </c>
      <c r="BB36" s="4">
        <f>+AD_tis!BB36*AD_tis!BB$51*AD_tis!$BD36</f>
        <v>0</v>
      </c>
      <c r="BC36" s="13">
        <f>+AD_tis!BC36*AD_tis!BC$51*AD_tis!$BD36</f>
        <v>0</v>
      </c>
    </row>
    <row r="37" spans="1:55" ht="18.75" customHeight="1" x14ac:dyDescent="0.25">
      <c r="A37" s="5" t="s">
        <v>88</v>
      </c>
      <c r="B37" s="12">
        <f>+AD_tis!B37*AD_tis!B$51*AD_tis!$BD37</f>
        <v>0</v>
      </c>
      <c r="C37" s="4">
        <f>+AD_tis!C37*AD_tis!C$51*AD_tis!$BD37</f>
        <v>0</v>
      </c>
      <c r="D37" s="4">
        <f>+AD_tis!D37*AD_tis!D$51*AD_tis!$BD37</f>
        <v>0</v>
      </c>
      <c r="E37" s="4">
        <f>+AD_tis!E37*AD_tis!E$51*AD_tis!$BD37</f>
        <v>0</v>
      </c>
      <c r="F37" s="4">
        <f>+AD_tis!F37*AD_tis!F$51*AD_tis!$BD37</f>
        <v>0</v>
      </c>
      <c r="G37" s="4">
        <f>+AD_tis!G37*AD_tis!G$51*AD_tis!$BD37</f>
        <v>0</v>
      </c>
      <c r="H37" s="4">
        <f>+AD_tis!H37*AD_tis!H$51*AD_tis!$BD37</f>
        <v>0</v>
      </c>
      <c r="I37" s="4">
        <f>+AD_tis!I37*AD_tis!I$51*AD_tis!$BD37</f>
        <v>0</v>
      </c>
      <c r="J37" s="4">
        <f>+AD_tis!J37*AD_tis!J$51*AD_tis!$BD37</f>
        <v>0</v>
      </c>
      <c r="K37" s="4">
        <f>+AD_tis!K37*AD_tis!K$51*AD_tis!$BD37</f>
        <v>0</v>
      </c>
      <c r="L37" s="4">
        <f>+AD_tis!L37*AD_tis!L$51*AD_tis!$BD37</f>
        <v>0</v>
      </c>
      <c r="M37" s="4">
        <f>+AD_tis!M37*AD_tis!M$51*AD_tis!$BD37</f>
        <v>0</v>
      </c>
      <c r="N37" s="4">
        <f>+AD_tis!N37*AD_tis!N$51*AD_tis!$BD37</f>
        <v>0</v>
      </c>
      <c r="O37" s="4">
        <f>+AD_tis!O37*AD_tis!O$51*AD_tis!$BD37</f>
        <v>0</v>
      </c>
      <c r="P37" s="4">
        <f>+AD_tis!P37*AD_tis!P$51*AD_tis!$BD37</f>
        <v>0</v>
      </c>
      <c r="Q37" s="4">
        <f>+AD_tis!Q37*AD_tis!Q$51*AD_tis!$BD37</f>
        <v>0</v>
      </c>
      <c r="R37" s="13">
        <f>+AD_tis!R37*AD_tis!R$51*AD_tis!$BD37</f>
        <v>0</v>
      </c>
      <c r="S37" s="4">
        <f>+AD_tis!S37*AD_tis!S$51*AD_tis!$BD37</f>
        <v>0</v>
      </c>
      <c r="T37" s="4">
        <f>+AD_tis!T37*AD_tis!T$51*AD_tis!$BD37</f>
        <v>0</v>
      </c>
      <c r="U37" s="4">
        <f>+AD_tis!U37*AD_tis!U$51*AD_tis!$BD37</f>
        <v>0</v>
      </c>
      <c r="V37" s="4">
        <f>+AD_tis!V37*AD_tis!V$51*AD_tis!$BD37</f>
        <v>0</v>
      </c>
      <c r="W37" s="4">
        <f>+AD_tis!W37*AD_tis!W$51*AD_tis!$BD37</f>
        <v>0</v>
      </c>
      <c r="X37" s="4">
        <f>+AD_tis!X37*AD_tis!X$51*AD_tis!$BD37</f>
        <v>0</v>
      </c>
      <c r="Y37" s="4">
        <f>+AD_tis!Y37*AD_tis!Y$51*AD_tis!$BD37</f>
        <v>0</v>
      </c>
      <c r="Z37" s="4">
        <f>+AD_tis!Z37*AD_tis!Z$51*AD_tis!$BD37</f>
        <v>0</v>
      </c>
      <c r="AA37" s="4">
        <f>+AD_tis!AA37*AD_tis!AA$51*AD_tis!$BD37</f>
        <v>0</v>
      </c>
      <c r="AB37" s="4">
        <f>+AD_tis!AB37*AD_tis!AB$51*AD_tis!$BD37</f>
        <v>0</v>
      </c>
      <c r="AC37" s="12">
        <f>+AD_tis!AC37*AD_tis!AC$51*AD_tis!$BD37</f>
        <v>0</v>
      </c>
      <c r="AD37" s="4">
        <f>+AD_tis!AD37*AD_tis!AD$51*AD_tis!$BD37</f>
        <v>0</v>
      </c>
      <c r="AE37" s="4">
        <f>+AD_tis!AE37*AD_tis!AE$51*AD_tis!$BD37</f>
        <v>0</v>
      </c>
      <c r="AF37" s="4">
        <f>+AD_tis!AF37*AD_tis!AF$51*AD_tis!$BD37</f>
        <v>0</v>
      </c>
      <c r="AG37" s="4">
        <f>+AD_tis!AG37*AD_tis!AG$51*AD_tis!$BD37</f>
        <v>0</v>
      </c>
      <c r="AH37" s="4">
        <f>+AD_tis!AH37*AD_tis!AH$51*AD_tis!$BD37</f>
        <v>0</v>
      </c>
      <c r="AI37" s="4">
        <f>+AD_tis!AI37*AD_tis!AI$51*AD_tis!$BD37</f>
        <v>0</v>
      </c>
      <c r="AJ37" s="4">
        <f>+AD_tis!AJ37*AD_tis!AJ$51*AD_tis!$BD37</f>
        <v>0</v>
      </c>
      <c r="AK37" s="4">
        <f>+AD_tis!AK37*AD_tis!AK$51*AD_tis!$BD37</f>
        <v>0</v>
      </c>
      <c r="AL37" s="4">
        <f>+AD_tis!AL37*AD_tis!AL$51*AD_tis!$BD37</f>
        <v>0</v>
      </c>
      <c r="AM37" s="13">
        <f>+AD_tis!AM37*AD_tis!AM$51*AD_tis!$BD37</f>
        <v>0</v>
      </c>
      <c r="AN37" s="4">
        <f>+AD_tis!AN37*AD_tis!AN$51*AD_tis!$BD37</f>
        <v>0</v>
      </c>
      <c r="AO37" s="4">
        <f>+AD_tis!AO37*AD_tis!AO$51*AD_tis!$BD37</f>
        <v>0</v>
      </c>
      <c r="AP37" s="4">
        <f>+AD_tis!AP37*AD_tis!AP$51*AD_tis!$BD37</f>
        <v>0</v>
      </c>
      <c r="AQ37" s="4">
        <f>+AD_tis!AQ37*AD_tis!AQ$51*AD_tis!$BD37</f>
        <v>0</v>
      </c>
      <c r="AR37" s="4">
        <f>+AD_tis!AR37*AD_tis!AR$51*AD_tis!$BD37</f>
        <v>0</v>
      </c>
      <c r="AS37" s="4">
        <f>+AD_tis!AS37*AD_tis!AS$51*AD_tis!$BD37</f>
        <v>0</v>
      </c>
      <c r="AT37" s="4">
        <f>+AD_tis!AT37*AD_tis!AT$51*AD_tis!$BD37</f>
        <v>0</v>
      </c>
      <c r="AU37" s="4">
        <f>+AD_tis!AU37*AD_tis!AU$51*AD_tis!$BD37</f>
        <v>0</v>
      </c>
      <c r="AV37" s="4">
        <f>+AD_tis!AV37*AD_tis!AV$51*AD_tis!$BD37</f>
        <v>0</v>
      </c>
      <c r="AW37" s="12">
        <f>+AD_tis!AW37*AD_tis!AW$51*AD_tis!$BD37</f>
        <v>0</v>
      </c>
      <c r="AX37" s="13">
        <f>+AD_tis!AX37*AD_tis!AX$51*AD_tis!$BD37</f>
        <v>0</v>
      </c>
      <c r="AY37" s="4">
        <f>+AD_tis!AY37*AD_tis!AY$51*AD_tis!$BD37</f>
        <v>0</v>
      </c>
      <c r="AZ37" s="4">
        <f>+AD_tis!AZ37*AD_tis!AZ$51*AD_tis!$BD37</f>
        <v>0</v>
      </c>
      <c r="BA37" s="12">
        <f>+AD_tis!BA37*AD_tis!BA$51*AD_tis!$BD37</f>
        <v>0</v>
      </c>
      <c r="BB37" s="4">
        <f>+AD_tis!BB37*AD_tis!BB$51*AD_tis!$BD37</f>
        <v>0</v>
      </c>
      <c r="BC37" s="13">
        <f>+AD_tis!BC37*AD_tis!BC$51*AD_tis!$BD37</f>
        <v>0</v>
      </c>
    </row>
    <row r="38" spans="1:55" ht="18.75" customHeight="1" x14ac:dyDescent="0.25">
      <c r="A38" s="5" t="s">
        <v>89</v>
      </c>
      <c r="B38" s="12">
        <f>+AD_tis!B38*AD_tis!B$51*AD_tis!$BD38</f>
        <v>0</v>
      </c>
      <c r="C38" s="4">
        <f>+AD_tis!C38*AD_tis!C$51*AD_tis!$BD38</f>
        <v>0</v>
      </c>
      <c r="D38" s="4">
        <f>+AD_tis!D38*AD_tis!D$51*AD_tis!$BD38</f>
        <v>0</v>
      </c>
      <c r="E38" s="4">
        <f>+AD_tis!E38*AD_tis!E$51*AD_tis!$BD38</f>
        <v>0</v>
      </c>
      <c r="F38" s="4">
        <f>+AD_tis!F38*AD_tis!F$51*AD_tis!$BD38</f>
        <v>0</v>
      </c>
      <c r="G38" s="4">
        <f>+AD_tis!G38*AD_tis!G$51*AD_tis!$BD38</f>
        <v>0</v>
      </c>
      <c r="H38" s="4">
        <f>+AD_tis!H38*AD_tis!H$51*AD_tis!$BD38</f>
        <v>0</v>
      </c>
      <c r="I38" s="4">
        <f>+AD_tis!I38*AD_tis!I$51*AD_tis!$BD38</f>
        <v>0</v>
      </c>
      <c r="J38" s="4">
        <f>+AD_tis!J38*AD_tis!J$51*AD_tis!$BD38</f>
        <v>0</v>
      </c>
      <c r="K38" s="4">
        <f>+AD_tis!K38*AD_tis!K$51*AD_tis!$BD38</f>
        <v>0</v>
      </c>
      <c r="L38" s="4">
        <f>+AD_tis!L38*AD_tis!L$51*AD_tis!$BD38</f>
        <v>0</v>
      </c>
      <c r="M38" s="4">
        <f>+AD_tis!M38*AD_tis!M$51*AD_tis!$BD38</f>
        <v>0</v>
      </c>
      <c r="N38" s="4">
        <f>+AD_tis!N38*AD_tis!N$51*AD_tis!$BD38</f>
        <v>0</v>
      </c>
      <c r="O38" s="4">
        <f>+AD_tis!O38*AD_tis!O$51*AD_tis!$BD38</f>
        <v>0</v>
      </c>
      <c r="P38" s="4">
        <f>+AD_tis!P38*AD_tis!P$51*AD_tis!$BD38</f>
        <v>0</v>
      </c>
      <c r="Q38" s="4">
        <f>+AD_tis!Q38*AD_tis!Q$51*AD_tis!$BD38</f>
        <v>0</v>
      </c>
      <c r="R38" s="13">
        <f>+AD_tis!R38*AD_tis!R$51*AD_tis!$BD38</f>
        <v>0</v>
      </c>
      <c r="S38" s="4">
        <f>+AD_tis!S38*AD_tis!S$51*AD_tis!$BD38</f>
        <v>0</v>
      </c>
      <c r="T38" s="4">
        <f>+AD_tis!T38*AD_tis!T$51*AD_tis!$BD38</f>
        <v>0</v>
      </c>
      <c r="U38" s="4">
        <f>+AD_tis!U38*AD_tis!U$51*AD_tis!$BD38</f>
        <v>0</v>
      </c>
      <c r="V38" s="4">
        <f>+AD_tis!V38*AD_tis!V$51*AD_tis!$BD38</f>
        <v>0</v>
      </c>
      <c r="W38" s="4">
        <f>+AD_tis!W38*AD_tis!W$51*AD_tis!$BD38</f>
        <v>0</v>
      </c>
      <c r="X38" s="4">
        <f>+AD_tis!X38*AD_tis!X$51*AD_tis!$BD38</f>
        <v>0</v>
      </c>
      <c r="Y38" s="4">
        <f>+AD_tis!Y38*AD_tis!Y$51*AD_tis!$BD38</f>
        <v>0</v>
      </c>
      <c r="Z38" s="4">
        <f>+AD_tis!Z38*AD_tis!Z$51*AD_tis!$BD38</f>
        <v>0</v>
      </c>
      <c r="AA38" s="4">
        <f>+AD_tis!AA38*AD_tis!AA$51*AD_tis!$BD38</f>
        <v>0</v>
      </c>
      <c r="AB38" s="4">
        <f>+AD_tis!AB38*AD_tis!AB$51*AD_tis!$BD38</f>
        <v>0</v>
      </c>
      <c r="AC38" s="12">
        <f>+AD_tis!AC38*AD_tis!AC$51*AD_tis!$BD38</f>
        <v>0</v>
      </c>
      <c r="AD38" s="4">
        <f>+AD_tis!AD38*AD_tis!AD$51*AD_tis!$BD38</f>
        <v>0</v>
      </c>
      <c r="AE38" s="4">
        <f>+AD_tis!AE38*AD_tis!AE$51*AD_tis!$BD38</f>
        <v>0</v>
      </c>
      <c r="AF38" s="4">
        <f>+AD_tis!AF38*AD_tis!AF$51*AD_tis!$BD38</f>
        <v>0</v>
      </c>
      <c r="AG38" s="4">
        <f>+AD_tis!AG38*AD_tis!AG$51*AD_tis!$BD38</f>
        <v>0</v>
      </c>
      <c r="AH38" s="4">
        <f>+AD_tis!AH38*AD_tis!AH$51*AD_tis!$BD38</f>
        <v>0</v>
      </c>
      <c r="AI38" s="4">
        <f>+AD_tis!AI38*AD_tis!AI$51*AD_tis!$BD38</f>
        <v>0</v>
      </c>
      <c r="AJ38" s="4">
        <f>+AD_tis!AJ38*AD_tis!AJ$51*AD_tis!$BD38</f>
        <v>0</v>
      </c>
      <c r="AK38" s="4">
        <f>+AD_tis!AK38*AD_tis!AK$51*AD_tis!$BD38</f>
        <v>0</v>
      </c>
      <c r="AL38" s="4">
        <f>+AD_tis!AL38*AD_tis!AL$51*AD_tis!$BD38</f>
        <v>0</v>
      </c>
      <c r="AM38" s="13">
        <f>+AD_tis!AM38*AD_tis!AM$51*AD_tis!$BD38</f>
        <v>0</v>
      </c>
      <c r="AN38" s="4">
        <f>+AD_tis!AN38*AD_tis!AN$51*AD_tis!$BD38</f>
        <v>0</v>
      </c>
      <c r="AO38" s="4">
        <f>+AD_tis!AO38*AD_tis!AO$51*AD_tis!$BD38</f>
        <v>0</v>
      </c>
      <c r="AP38" s="4">
        <f>+AD_tis!AP38*AD_tis!AP$51*AD_tis!$BD38</f>
        <v>0</v>
      </c>
      <c r="AQ38" s="4">
        <f>+AD_tis!AQ38*AD_tis!AQ$51*AD_tis!$BD38</f>
        <v>0</v>
      </c>
      <c r="AR38" s="4">
        <f>+AD_tis!AR38*AD_tis!AR$51*AD_tis!$BD38</f>
        <v>0</v>
      </c>
      <c r="AS38" s="4">
        <f>+AD_tis!AS38*AD_tis!AS$51*AD_tis!$BD38</f>
        <v>0</v>
      </c>
      <c r="AT38" s="4">
        <f>+AD_tis!AT38*AD_tis!AT$51*AD_tis!$BD38</f>
        <v>0</v>
      </c>
      <c r="AU38" s="4">
        <f>+AD_tis!AU38*AD_tis!AU$51*AD_tis!$BD38</f>
        <v>0</v>
      </c>
      <c r="AV38" s="4">
        <f>+AD_tis!AV38*AD_tis!AV$51*AD_tis!$BD38</f>
        <v>0</v>
      </c>
      <c r="AW38" s="12">
        <f>+AD_tis!AW38*AD_tis!AW$51*AD_tis!$BD38</f>
        <v>0</v>
      </c>
      <c r="AX38" s="13">
        <f>+AD_tis!AX38*AD_tis!AX$51*AD_tis!$BD38</f>
        <v>0</v>
      </c>
      <c r="AY38" s="4">
        <f>+AD_tis!AY38*AD_tis!AY$51*AD_tis!$BD38</f>
        <v>0</v>
      </c>
      <c r="AZ38" s="4">
        <f>+AD_tis!AZ38*AD_tis!AZ$51*AD_tis!$BD38</f>
        <v>0</v>
      </c>
      <c r="BA38" s="12">
        <f>+AD_tis!BA38*AD_tis!BA$51*AD_tis!$BD38</f>
        <v>0</v>
      </c>
      <c r="BB38" s="4">
        <f>+AD_tis!BB38*AD_tis!BB$51*AD_tis!$BD38</f>
        <v>0</v>
      </c>
      <c r="BC38" s="13">
        <f>+AD_tis!BC38*AD_tis!BC$51*AD_tis!$BD38</f>
        <v>0</v>
      </c>
    </row>
    <row r="39" spans="1:55" ht="18.75" customHeight="1" x14ac:dyDescent="0.25">
      <c r="A39" s="5" t="s">
        <v>90</v>
      </c>
      <c r="B39" s="12">
        <f>+AD_tis!B39*AD_tis!B$51*AD_tis!$BD39</f>
        <v>0</v>
      </c>
      <c r="C39" s="4">
        <f>+AD_tis!C39*AD_tis!C$51*AD_tis!$BD39</f>
        <v>0</v>
      </c>
      <c r="D39" s="4">
        <f>+AD_tis!D39*AD_tis!D$51*AD_tis!$BD39</f>
        <v>0</v>
      </c>
      <c r="E39" s="4">
        <f>+AD_tis!E39*AD_tis!E$51*AD_tis!$BD39</f>
        <v>0</v>
      </c>
      <c r="F39" s="4">
        <f>+AD_tis!F39*AD_tis!F$51*AD_tis!$BD39</f>
        <v>0</v>
      </c>
      <c r="G39" s="4">
        <f>+AD_tis!G39*AD_tis!G$51*AD_tis!$BD39</f>
        <v>0</v>
      </c>
      <c r="H39" s="4">
        <f>+AD_tis!H39*AD_tis!H$51*AD_tis!$BD39</f>
        <v>0</v>
      </c>
      <c r="I39" s="4">
        <f>+AD_tis!I39*AD_tis!I$51*AD_tis!$BD39</f>
        <v>0</v>
      </c>
      <c r="J39" s="4">
        <f>+AD_tis!J39*AD_tis!J$51*AD_tis!$BD39</f>
        <v>0</v>
      </c>
      <c r="K39" s="4">
        <f>+AD_tis!K39*AD_tis!K$51*AD_tis!$BD39</f>
        <v>0</v>
      </c>
      <c r="L39" s="4">
        <f>+AD_tis!L39*AD_tis!L$51*AD_tis!$BD39</f>
        <v>0</v>
      </c>
      <c r="M39" s="4">
        <f>+AD_tis!M39*AD_tis!M$51*AD_tis!$BD39</f>
        <v>0</v>
      </c>
      <c r="N39" s="4">
        <f>+AD_tis!N39*AD_tis!N$51*AD_tis!$BD39</f>
        <v>0</v>
      </c>
      <c r="O39" s="4">
        <f>+AD_tis!O39*AD_tis!O$51*AD_tis!$BD39</f>
        <v>0</v>
      </c>
      <c r="P39" s="4">
        <f>+AD_tis!P39*AD_tis!P$51*AD_tis!$BD39</f>
        <v>0</v>
      </c>
      <c r="Q39" s="4">
        <f>+AD_tis!Q39*AD_tis!Q$51*AD_tis!$BD39</f>
        <v>0</v>
      </c>
      <c r="R39" s="13">
        <f>+AD_tis!R39*AD_tis!R$51*AD_tis!$BD39</f>
        <v>0</v>
      </c>
      <c r="S39" s="4">
        <f>+AD_tis!S39*AD_tis!S$51*AD_tis!$BD39</f>
        <v>0</v>
      </c>
      <c r="T39" s="4">
        <f>+AD_tis!T39*AD_tis!T$51*AD_tis!$BD39</f>
        <v>0</v>
      </c>
      <c r="U39" s="4">
        <f>+AD_tis!U39*AD_tis!U$51*AD_tis!$BD39</f>
        <v>0</v>
      </c>
      <c r="V39" s="4">
        <f>+AD_tis!V39*AD_tis!V$51*AD_tis!$BD39</f>
        <v>0</v>
      </c>
      <c r="W39" s="4">
        <f>+AD_tis!W39*AD_tis!W$51*AD_tis!$BD39</f>
        <v>0</v>
      </c>
      <c r="X39" s="4">
        <f>+AD_tis!X39*AD_tis!X$51*AD_tis!$BD39</f>
        <v>0</v>
      </c>
      <c r="Y39" s="4">
        <f>+AD_tis!Y39*AD_tis!Y$51*AD_tis!$BD39</f>
        <v>0</v>
      </c>
      <c r="Z39" s="4">
        <f>+AD_tis!Z39*AD_tis!Z$51*AD_tis!$BD39</f>
        <v>0</v>
      </c>
      <c r="AA39" s="4">
        <f>+AD_tis!AA39*AD_tis!AA$51*AD_tis!$BD39</f>
        <v>0</v>
      </c>
      <c r="AB39" s="4">
        <f>+AD_tis!AB39*AD_tis!AB$51*AD_tis!$BD39</f>
        <v>0</v>
      </c>
      <c r="AC39" s="12">
        <f>+AD_tis!AC39*AD_tis!AC$51*AD_tis!$BD39</f>
        <v>0</v>
      </c>
      <c r="AD39" s="4">
        <f>+AD_tis!AD39*AD_tis!AD$51*AD_tis!$BD39</f>
        <v>0</v>
      </c>
      <c r="AE39" s="4">
        <f>+AD_tis!AE39*AD_tis!AE$51*AD_tis!$BD39</f>
        <v>0</v>
      </c>
      <c r="AF39" s="4">
        <f>+AD_tis!AF39*AD_tis!AF$51*AD_tis!$BD39</f>
        <v>0</v>
      </c>
      <c r="AG39" s="4">
        <f>+AD_tis!AG39*AD_tis!AG$51*AD_tis!$BD39</f>
        <v>0</v>
      </c>
      <c r="AH39" s="4">
        <f>+AD_tis!AH39*AD_tis!AH$51*AD_tis!$BD39</f>
        <v>0</v>
      </c>
      <c r="AI39" s="4">
        <f>+AD_tis!AI39*AD_tis!AI$51*AD_tis!$BD39</f>
        <v>0</v>
      </c>
      <c r="AJ39" s="4">
        <f>+AD_tis!AJ39*AD_tis!AJ$51*AD_tis!$BD39</f>
        <v>0</v>
      </c>
      <c r="AK39" s="4">
        <f>+AD_tis!AK39*AD_tis!AK$51*AD_tis!$BD39</f>
        <v>0</v>
      </c>
      <c r="AL39" s="4">
        <f>+AD_tis!AL39*AD_tis!AL$51*AD_tis!$BD39</f>
        <v>0</v>
      </c>
      <c r="AM39" s="13">
        <f>+AD_tis!AM39*AD_tis!AM$51*AD_tis!$BD39</f>
        <v>0</v>
      </c>
      <c r="AN39" s="4">
        <f>+AD_tis!AN39*AD_tis!AN$51*AD_tis!$BD39</f>
        <v>0</v>
      </c>
      <c r="AO39" s="4">
        <f>+AD_tis!AO39*AD_tis!AO$51*AD_tis!$BD39</f>
        <v>0</v>
      </c>
      <c r="AP39" s="4">
        <f>+AD_tis!AP39*AD_tis!AP$51*AD_tis!$BD39</f>
        <v>0</v>
      </c>
      <c r="AQ39" s="4">
        <f>+AD_tis!AQ39*AD_tis!AQ$51*AD_tis!$BD39</f>
        <v>0</v>
      </c>
      <c r="AR39" s="4">
        <f>+AD_tis!AR39*AD_tis!AR$51*AD_tis!$BD39</f>
        <v>0</v>
      </c>
      <c r="AS39" s="4">
        <f>+AD_tis!AS39*AD_tis!AS$51*AD_tis!$BD39</f>
        <v>0</v>
      </c>
      <c r="AT39" s="4">
        <f>+AD_tis!AT39*AD_tis!AT$51*AD_tis!$BD39</f>
        <v>0</v>
      </c>
      <c r="AU39" s="4">
        <f>+AD_tis!AU39*AD_tis!AU$51*AD_tis!$BD39</f>
        <v>0</v>
      </c>
      <c r="AV39" s="4">
        <f>+AD_tis!AV39*AD_tis!AV$51*AD_tis!$BD39</f>
        <v>0</v>
      </c>
      <c r="AW39" s="12">
        <f>+AD_tis!AW39*AD_tis!AW$51*AD_tis!$BD39</f>
        <v>0</v>
      </c>
      <c r="AX39" s="13">
        <f>+AD_tis!AX39*AD_tis!AX$51*AD_tis!$BD39</f>
        <v>0</v>
      </c>
      <c r="AY39" s="4">
        <f>+AD_tis!AY39*AD_tis!AY$51*AD_tis!$BD39</f>
        <v>0</v>
      </c>
      <c r="AZ39" s="4">
        <f>+AD_tis!AZ39*AD_tis!AZ$51*AD_tis!$BD39</f>
        <v>0</v>
      </c>
      <c r="BA39" s="12">
        <f>+AD_tis!BA39*AD_tis!BA$51*AD_tis!$BD39</f>
        <v>0</v>
      </c>
      <c r="BB39" s="4">
        <f>+AD_tis!BB39*AD_tis!BB$51*AD_tis!$BD39</f>
        <v>0</v>
      </c>
      <c r="BC39" s="13">
        <f>+AD_tis!BC39*AD_tis!BC$51*AD_tis!$BD39</f>
        <v>0</v>
      </c>
    </row>
    <row r="40" spans="1:55" ht="18.75" customHeight="1" x14ac:dyDescent="0.25">
      <c r="A40" s="5" t="s">
        <v>91</v>
      </c>
      <c r="B40" s="12">
        <f>+AD_tis!B40*AD_tis!B$51*AD_tis!$BD40</f>
        <v>0</v>
      </c>
      <c r="C40" s="4">
        <f>+AD_tis!C40*AD_tis!C$51*AD_tis!$BD40</f>
        <v>0</v>
      </c>
      <c r="D40" s="4">
        <f>+AD_tis!D40*AD_tis!D$51*AD_tis!$BD40</f>
        <v>0</v>
      </c>
      <c r="E40" s="4">
        <f>+AD_tis!E40*AD_tis!E$51*AD_tis!$BD40</f>
        <v>0</v>
      </c>
      <c r="F40" s="4">
        <f>+AD_tis!F40*AD_tis!F$51*AD_tis!$BD40</f>
        <v>0</v>
      </c>
      <c r="G40" s="4">
        <f>+AD_tis!G40*AD_tis!G$51*AD_tis!$BD40</f>
        <v>0</v>
      </c>
      <c r="H40" s="4">
        <f>+AD_tis!H40*AD_tis!H$51*AD_tis!$BD40</f>
        <v>0</v>
      </c>
      <c r="I40" s="4">
        <f>+AD_tis!I40*AD_tis!I$51*AD_tis!$BD40</f>
        <v>0</v>
      </c>
      <c r="J40" s="4">
        <f>+AD_tis!J40*AD_tis!J$51*AD_tis!$BD40</f>
        <v>0</v>
      </c>
      <c r="K40" s="4">
        <f>+AD_tis!K40*AD_tis!K$51*AD_tis!$BD40</f>
        <v>0</v>
      </c>
      <c r="L40" s="4">
        <f>+AD_tis!L40*AD_tis!L$51*AD_tis!$BD40</f>
        <v>0</v>
      </c>
      <c r="M40" s="4">
        <f>+AD_tis!M40*AD_tis!M$51*AD_tis!$BD40</f>
        <v>0</v>
      </c>
      <c r="N40" s="4">
        <f>+AD_tis!N40*AD_tis!N$51*AD_tis!$BD40</f>
        <v>0</v>
      </c>
      <c r="O40" s="4">
        <f>+AD_tis!O40*AD_tis!O$51*AD_tis!$BD40</f>
        <v>0</v>
      </c>
      <c r="P40" s="4">
        <f>+AD_tis!P40*AD_tis!P$51*AD_tis!$BD40</f>
        <v>0</v>
      </c>
      <c r="Q40" s="4">
        <f>+AD_tis!Q40*AD_tis!Q$51*AD_tis!$BD40</f>
        <v>0</v>
      </c>
      <c r="R40" s="13">
        <f>+AD_tis!R40*AD_tis!R$51*AD_tis!$BD40</f>
        <v>0</v>
      </c>
      <c r="S40" s="4">
        <f>+AD_tis!S40*AD_tis!S$51*AD_tis!$BD40</f>
        <v>0</v>
      </c>
      <c r="T40" s="4">
        <f>+AD_tis!T40*AD_tis!T$51*AD_tis!$BD40</f>
        <v>0</v>
      </c>
      <c r="U40" s="4">
        <f>+AD_tis!U40*AD_tis!U$51*AD_tis!$BD40</f>
        <v>0</v>
      </c>
      <c r="V40" s="4">
        <f>+AD_tis!V40*AD_tis!V$51*AD_tis!$BD40</f>
        <v>0</v>
      </c>
      <c r="W40" s="4">
        <f>+AD_tis!W40*AD_tis!W$51*AD_tis!$BD40</f>
        <v>0</v>
      </c>
      <c r="X40" s="4">
        <f>+AD_tis!X40*AD_tis!X$51*AD_tis!$BD40</f>
        <v>0</v>
      </c>
      <c r="Y40" s="4">
        <f>+AD_tis!Y40*AD_tis!Y$51*AD_tis!$BD40</f>
        <v>0</v>
      </c>
      <c r="Z40" s="4">
        <f>+AD_tis!Z40*AD_tis!Z$51*AD_tis!$BD40</f>
        <v>0</v>
      </c>
      <c r="AA40" s="4">
        <f>+AD_tis!AA40*AD_tis!AA$51*AD_tis!$BD40</f>
        <v>0</v>
      </c>
      <c r="AB40" s="4">
        <f>+AD_tis!AB40*AD_tis!AB$51*AD_tis!$BD40</f>
        <v>0</v>
      </c>
      <c r="AC40" s="12">
        <f>+AD_tis!AC40*AD_tis!AC$51*AD_tis!$BD40</f>
        <v>0</v>
      </c>
      <c r="AD40" s="4">
        <f>+AD_tis!AD40*AD_tis!AD$51*AD_tis!$BD40</f>
        <v>0</v>
      </c>
      <c r="AE40" s="4">
        <f>+AD_tis!AE40*AD_tis!AE$51*AD_tis!$BD40</f>
        <v>0</v>
      </c>
      <c r="AF40" s="4">
        <f>+AD_tis!AF40*AD_tis!AF$51*AD_tis!$BD40</f>
        <v>0</v>
      </c>
      <c r="AG40" s="4">
        <f>+AD_tis!AG40*AD_tis!AG$51*AD_tis!$BD40</f>
        <v>0</v>
      </c>
      <c r="AH40" s="4">
        <f>+AD_tis!AH40*AD_tis!AH$51*AD_tis!$BD40</f>
        <v>0</v>
      </c>
      <c r="AI40" s="4">
        <f>+AD_tis!AI40*AD_tis!AI$51*AD_tis!$BD40</f>
        <v>0</v>
      </c>
      <c r="AJ40" s="4">
        <f>+AD_tis!AJ40*AD_tis!AJ$51*AD_tis!$BD40</f>
        <v>0</v>
      </c>
      <c r="AK40" s="4">
        <f>+AD_tis!AK40*AD_tis!AK$51*AD_tis!$BD40</f>
        <v>0</v>
      </c>
      <c r="AL40" s="4">
        <f>+AD_tis!AL40*AD_tis!AL$51*AD_tis!$BD40</f>
        <v>0</v>
      </c>
      <c r="AM40" s="13">
        <f>+AD_tis!AM40*AD_tis!AM$51*AD_tis!$BD40</f>
        <v>0</v>
      </c>
      <c r="AN40" s="4">
        <f>+AD_tis!AN40*AD_tis!AN$51*AD_tis!$BD40</f>
        <v>0</v>
      </c>
      <c r="AO40" s="4">
        <f>+AD_tis!AO40*AD_tis!AO$51*AD_tis!$BD40</f>
        <v>0</v>
      </c>
      <c r="AP40" s="4">
        <f>+AD_tis!AP40*AD_tis!AP$51*AD_tis!$BD40</f>
        <v>0</v>
      </c>
      <c r="AQ40" s="4">
        <f>+AD_tis!AQ40*AD_tis!AQ$51*AD_tis!$BD40</f>
        <v>0</v>
      </c>
      <c r="AR40" s="4">
        <f>+AD_tis!AR40*AD_tis!AR$51*AD_tis!$BD40</f>
        <v>0</v>
      </c>
      <c r="AS40" s="4">
        <f>+AD_tis!AS40*AD_tis!AS$51*AD_tis!$BD40</f>
        <v>0</v>
      </c>
      <c r="AT40" s="4">
        <f>+AD_tis!AT40*AD_tis!AT$51*AD_tis!$BD40</f>
        <v>0</v>
      </c>
      <c r="AU40" s="4">
        <f>+AD_tis!AU40*AD_tis!AU$51*AD_tis!$BD40</f>
        <v>0</v>
      </c>
      <c r="AV40" s="4">
        <f>+AD_tis!AV40*AD_tis!AV$51*AD_tis!$BD40</f>
        <v>0</v>
      </c>
      <c r="AW40" s="12">
        <f>+AD_tis!AW40*AD_tis!AW$51*AD_tis!$BD40</f>
        <v>0</v>
      </c>
      <c r="AX40" s="13">
        <f>+AD_tis!AX40*AD_tis!AX$51*AD_tis!$BD40</f>
        <v>0</v>
      </c>
      <c r="AY40" s="4">
        <f>+AD_tis!AY40*AD_tis!AY$51*AD_tis!$BD40</f>
        <v>0</v>
      </c>
      <c r="AZ40" s="4">
        <f>+AD_tis!AZ40*AD_tis!AZ$51*AD_tis!$BD40</f>
        <v>0</v>
      </c>
      <c r="BA40" s="12">
        <f>+AD_tis!BA40*AD_tis!BA$51*AD_tis!$BD40</f>
        <v>0</v>
      </c>
      <c r="BB40" s="4">
        <f>+AD_tis!BB40*AD_tis!BB$51*AD_tis!$BD40</f>
        <v>0</v>
      </c>
      <c r="BC40" s="13">
        <f>+AD_tis!BC40*AD_tis!BC$51*AD_tis!$BD40</f>
        <v>0</v>
      </c>
    </row>
    <row r="41" spans="1:55" ht="18.75" customHeight="1" x14ac:dyDescent="0.25">
      <c r="A41" s="5" t="s">
        <v>92</v>
      </c>
      <c r="B41" s="12">
        <f>+AD_tis!B41*AD_tis!B$51*AD_tis!$BD41</f>
        <v>0</v>
      </c>
      <c r="C41" s="4">
        <f>+AD_tis!C41*AD_tis!C$51*AD_tis!$BD41</f>
        <v>0</v>
      </c>
      <c r="D41" s="4">
        <f>+AD_tis!D41*AD_tis!D$51*AD_tis!$BD41</f>
        <v>0</v>
      </c>
      <c r="E41" s="4">
        <f>+AD_tis!E41*AD_tis!E$51*AD_tis!$BD41</f>
        <v>0</v>
      </c>
      <c r="F41" s="4">
        <f>+AD_tis!F41*AD_tis!F$51*AD_tis!$BD41</f>
        <v>0</v>
      </c>
      <c r="G41" s="4">
        <f>+AD_tis!G41*AD_tis!G$51*AD_tis!$BD41</f>
        <v>0</v>
      </c>
      <c r="H41" s="4">
        <f>+AD_tis!H41*AD_tis!H$51*AD_tis!$BD41</f>
        <v>0</v>
      </c>
      <c r="I41" s="4">
        <f>+AD_tis!I41*AD_tis!I$51*AD_tis!$BD41</f>
        <v>0</v>
      </c>
      <c r="J41" s="4">
        <f>+AD_tis!J41*AD_tis!J$51*AD_tis!$BD41</f>
        <v>0</v>
      </c>
      <c r="K41" s="4">
        <f>+AD_tis!K41*AD_tis!K$51*AD_tis!$BD41</f>
        <v>0</v>
      </c>
      <c r="L41" s="4">
        <f>+AD_tis!L41*AD_tis!L$51*AD_tis!$BD41</f>
        <v>0</v>
      </c>
      <c r="M41" s="4">
        <f>+AD_tis!M41*AD_tis!M$51*AD_tis!$BD41</f>
        <v>0</v>
      </c>
      <c r="N41" s="4">
        <f>+AD_tis!N41*AD_tis!N$51*AD_tis!$BD41</f>
        <v>0</v>
      </c>
      <c r="O41" s="4">
        <f>+AD_tis!O41*AD_tis!O$51*AD_tis!$BD41</f>
        <v>0</v>
      </c>
      <c r="P41" s="4">
        <f>+AD_tis!P41*AD_tis!P$51*AD_tis!$BD41</f>
        <v>0</v>
      </c>
      <c r="Q41" s="4">
        <f>+AD_tis!Q41*AD_tis!Q$51*AD_tis!$BD41</f>
        <v>0</v>
      </c>
      <c r="R41" s="13">
        <f>+AD_tis!R41*AD_tis!R$51*AD_tis!$BD41</f>
        <v>0</v>
      </c>
      <c r="S41" s="4">
        <f>+AD_tis!S41*AD_tis!S$51*AD_tis!$BD41</f>
        <v>0</v>
      </c>
      <c r="T41" s="4">
        <f>+AD_tis!T41*AD_tis!T$51*AD_tis!$BD41</f>
        <v>0</v>
      </c>
      <c r="U41" s="4">
        <f>+AD_tis!U41*AD_tis!U$51*AD_tis!$BD41</f>
        <v>0</v>
      </c>
      <c r="V41" s="4">
        <f>+AD_tis!V41*AD_tis!V$51*AD_tis!$BD41</f>
        <v>0</v>
      </c>
      <c r="W41" s="4">
        <f>+AD_tis!W41*AD_tis!W$51*AD_tis!$BD41</f>
        <v>0</v>
      </c>
      <c r="X41" s="4">
        <f>+AD_tis!X41*AD_tis!X$51*AD_tis!$BD41</f>
        <v>0</v>
      </c>
      <c r="Y41" s="4">
        <f>+AD_tis!Y41*AD_tis!Y$51*AD_tis!$BD41</f>
        <v>0</v>
      </c>
      <c r="Z41" s="4">
        <f>+AD_tis!Z41*AD_tis!Z$51*AD_tis!$BD41</f>
        <v>0</v>
      </c>
      <c r="AA41" s="4">
        <f>+AD_tis!AA41*AD_tis!AA$51*AD_tis!$BD41</f>
        <v>0</v>
      </c>
      <c r="AB41" s="4">
        <f>+AD_tis!AB41*AD_tis!AB$51*AD_tis!$BD41</f>
        <v>0</v>
      </c>
      <c r="AC41" s="12">
        <f>+AD_tis!AC41*AD_tis!AC$51*AD_tis!$BD41</f>
        <v>0</v>
      </c>
      <c r="AD41" s="4">
        <f>+AD_tis!AD41*AD_tis!AD$51*AD_tis!$BD41</f>
        <v>0</v>
      </c>
      <c r="AE41" s="4">
        <f>+AD_tis!AE41*AD_tis!AE$51*AD_tis!$BD41</f>
        <v>0</v>
      </c>
      <c r="AF41" s="4">
        <f>+AD_tis!AF41*AD_tis!AF$51*AD_tis!$BD41</f>
        <v>0</v>
      </c>
      <c r="AG41" s="4">
        <f>+AD_tis!AG41*AD_tis!AG$51*AD_tis!$BD41</f>
        <v>0</v>
      </c>
      <c r="AH41" s="4">
        <f>+AD_tis!AH41*AD_tis!AH$51*AD_tis!$BD41</f>
        <v>0</v>
      </c>
      <c r="AI41" s="4">
        <f>+AD_tis!AI41*AD_tis!AI$51*AD_tis!$BD41</f>
        <v>0</v>
      </c>
      <c r="AJ41" s="4">
        <f>+AD_tis!AJ41*AD_tis!AJ$51*AD_tis!$BD41</f>
        <v>0</v>
      </c>
      <c r="AK41" s="4">
        <f>+AD_tis!AK41*AD_tis!AK$51*AD_tis!$BD41</f>
        <v>0</v>
      </c>
      <c r="AL41" s="4">
        <f>+AD_tis!AL41*AD_tis!AL$51*AD_tis!$BD41</f>
        <v>0</v>
      </c>
      <c r="AM41" s="13">
        <f>+AD_tis!AM41*AD_tis!AM$51*AD_tis!$BD41</f>
        <v>0</v>
      </c>
      <c r="AN41" s="4">
        <f>+AD_tis!AN41*AD_tis!AN$51*AD_tis!$BD41</f>
        <v>0</v>
      </c>
      <c r="AO41" s="4">
        <f>+AD_tis!AO41*AD_tis!AO$51*AD_tis!$BD41</f>
        <v>0</v>
      </c>
      <c r="AP41" s="4">
        <f>+AD_tis!AP41*AD_tis!AP$51*AD_tis!$BD41</f>
        <v>0</v>
      </c>
      <c r="AQ41" s="4">
        <f>+AD_tis!AQ41*AD_tis!AQ$51*AD_tis!$BD41</f>
        <v>0</v>
      </c>
      <c r="AR41" s="4">
        <f>+AD_tis!AR41*AD_tis!AR$51*AD_tis!$BD41</f>
        <v>0</v>
      </c>
      <c r="AS41" s="4">
        <f>+AD_tis!AS41*AD_tis!AS$51*AD_tis!$BD41</f>
        <v>0</v>
      </c>
      <c r="AT41" s="4">
        <f>+AD_tis!AT41*AD_tis!AT$51*AD_tis!$BD41</f>
        <v>0</v>
      </c>
      <c r="AU41" s="4">
        <f>+AD_tis!AU41*AD_tis!AU$51*AD_tis!$BD41</f>
        <v>0</v>
      </c>
      <c r="AV41" s="4">
        <f>+AD_tis!AV41*AD_tis!AV$51*AD_tis!$BD41</f>
        <v>0</v>
      </c>
      <c r="AW41" s="12">
        <f>+AD_tis!AW41*AD_tis!AW$51*AD_tis!$BD41</f>
        <v>0</v>
      </c>
      <c r="AX41" s="13">
        <f>+AD_tis!AX41*AD_tis!AX$51*AD_tis!$BD41</f>
        <v>0</v>
      </c>
      <c r="AY41" s="4">
        <f>+AD_tis!AY41*AD_tis!AY$51*AD_tis!$BD41</f>
        <v>0</v>
      </c>
      <c r="AZ41" s="4">
        <f>+AD_tis!AZ41*AD_tis!AZ$51*AD_tis!$BD41</f>
        <v>0</v>
      </c>
      <c r="BA41" s="12">
        <f>+AD_tis!BA41*AD_tis!BA$51*AD_tis!$BD41</f>
        <v>0</v>
      </c>
      <c r="BB41" s="4">
        <f>+AD_tis!BB41*AD_tis!BB$51*AD_tis!$BD41</f>
        <v>0</v>
      </c>
      <c r="BC41" s="13">
        <f>+AD_tis!BC41*AD_tis!BC$51*AD_tis!$BD41</f>
        <v>0</v>
      </c>
    </row>
    <row r="42" spans="1:55" ht="18.75" customHeight="1" x14ac:dyDescent="0.25">
      <c r="A42" s="5" t="s">
        <v>93</v>
      </c>
      <c r="B42" s="12">
        <f>+AD_tis!B42*AD_tis!B$51*AD_tis!$BD42</f>
        <v>0</v>
      </c>
      <c r="C42" s="4">
        <f>+AD_tis!C42*AD_tis!C$51*AD_tis!$BD42</f>
        <v>0</v>
      </c>
      <c r="D42" s="4">
        <f>+AD_tis!D42*AD_tis!D$51*AD_tis!$BD42</f>
        <v>0</v>
      </c>
      <c r="E42" s="4">
        <f>+AD_tis!E42*AD_tis!E$51*AD_tis!$BD42</f>
        <v>0</v>
      </c>
      <c r="F42" s="4">
        <f>+AD_tis!F42*AD_tis!F$51*AD_tis!$BD42</f>
        <v>0</v>
      </c>
      <c r="G42" s="4">
        <f>+AD_tis!G42*AD_tis!G$51*AD_tis!$BD42</f>
        <v>0</v>
      </c>
      <c r="H42" s="4">
        <f>+AD_tis!H42*AD_tis!H$51*AD_tis!$BD42</f>
        <v>0</v>
      </c>
      <c r="I42" s="4">
        <f>+AD_tis!I42*AD_tis!I$51*AD_tis!$BD42</f>
        <v>0</v>
      </c>
      <c r="J42" s="4">
        <f>+AD_tis!J42*AD_tis!J$51*AD_tis!$BD42</f>
        <v>0</v>
      </c>
      <c r="K42" s="4">
        <f>+AD_tis!K42*AD_tis!K$51*AD_tis!$BD42</f>
        <v>0</v>
      </c>
      <c r="L42" s="4">
        <f>+AD_tis!L42*AD_tis!L$51*AD_tis!$BD42</f>
        <v>0</v>
      </c>
      <c r="M42" s="4">
        <f>+AD_tis!M42*AD_tis!M$51*AD_tis!$BD42</f>
        <v>0</v>
      </c>
      <c r="N42" s="4">
        <f>+AD_tis!N42*AD_tis!N$51*AD_tis!$BD42</f>
        <v>0</v>
      </c>
      <c r="O42" s="4">
        <f>+AD_tis!O42*AD_tis!O$51*AD_tis!$BD42</f>
        <v>0</v>
      </c>
      <c r="P42" s="4">
        <f>+AD_tis!P42*AD_tis!P$51*AD_tis!$BD42</f>
        <v>0</v>
      </c>
      <c r="Q42" s="4">
        <f>+AD_tis!Q42*AD_tis!Q$51*AD_tis!$BD42</f>
        <v>0</v>
      </c>
      <c r="R42" s="13">
        <f>+AD_tis!R42*AD_tis!R$51*AD_tis!$BD42</f>
        <v>0</v>
      </c>
      <c r="S42" s="4">
        <f>+AD_tis!S42*AD_tis!S$51*AD_tis!$BD42</f>
        <v>0</v>
      </c>
      <c r="T42" s="4">
        <f>+AD_tis!T42*AD_tis!T$51*AD_tis!$BD42</f>
        <v>0</v>
      </c>
      <c r="U42" s="4">
        <f>+AD_tis!U42*AD_tis!U$51*AD_tis!$BD42</f>
        <v>0</v>
      </c>
      <c r="V42" s="4">
        <f>+AD_tis!V42*AD_tis!V$51*AD_tis!$BD42</f>
        <v>0</v>
      </c>
      <c r="W42" s="4">
        <f>+AD_tis!W42*AD_tis!W$51*AD_tis!$BD42</f>
        <v>0</v>
      </c>
      <c r="X42" s="4">
        <f>+AD_tis!X42*AD_tis!X$51*AD_tis!$BD42</f>
        <v>0</v>
      </c>
      <c r="Y42" s="4">
        <f>+AD_tis!Y42*AD_tis!Y$51*AD_tis!$BD42</f>
        <v>0</v>
      </c>
      <c r="Z42" s="4">
        <f>+AD_tis!Z42*AD_tis!Z$51*AD_tis!$BD42</f>
        <v>0</v>
      </c>
      <c r="AA42" s="4">
        <f>+AD_tis!AA42*AD_tis!AA$51*AD_tis!$BD42</f>
        <v>0</v>
      </c>
      <c r="AB42" s="4">
        <f>+AD_tis!AB42*AD_tis!AB$51*AD_tis!$BD42</f>
        <v>0</v>
      </c>
      <c r="AC42" s="12">
        <f>+AD_tis!AC42*AD_tis!AC$51*AD_tis!$BD42</f>
        <v>0</v>
      </c>
      <c r="AD42" s="4">
        <f>+AD_tis!AD42*AD_tis!AD$51*AD_tis!$BD42</f>
        <v>0</v>
      </c>
      <c r="AE42" s="4">
        <f>+AD_tis!AE42*AD_tis!AE$51*AD_tis!$BD42</f>
        <v>0</v>
      </c>
      <c r="AF42" s="4">
        <f>+AD_tis!AF42*AD_tis!AF$51*AD_tis!$BD42</f>
        <v>0</v>
      </c>
      <c r="AG42" s="4">
        <f>+AD_tis!AG42*AD_tis!AG$51*AD_tis!$BD42</f>
        <v>0</v>
      </c>
      <c r="AH42" s="4">
        <f>+AD_tis!AH42*AD_tis!AH$51*AD_tis!$BD42</f>
        <v>0</v>
      </c>
      <c r="AI42" s="4">
        <f>+AD_tis!AI42*AD_tis!AI$51*AD_tis!$BD42</f>
        <v>0</v>
      </c>
      <c r="AJ42" s="4">
        <f>+AD_tis!AJ42*AD_tis!AJ$51*AD_tis!$BD42</f>
        <v>0</v>
      </c>
      <c r="AK42" s="4">
        <f>+AD_tis!AK42*AD_tis!AK$51*AD_tis!$BD42</f>
        <v>0</v>
      </c>
      <c r="AL42" s="4">
        <f>+AD_tis!AL42*AD_tis!AL$51*AD_tis!$BD42</f>
        <v>0</v>
      </c>
      <c r="AM42" s="13">
        <f>+AD_tis!AM42*AD_tis!AM$51*AD_tis!$BD42</f>
        <v>0</v>
      </c>
      <c r="AN42" s="4">
        <f>+AD_tis!AN42*AD_tis!AN$51*AD_tis!$BD42</f>
        <v>0</v>
      </c>
      <c r="AO42" s="4">
        <f>+AD_tis!AO42*AD_tis!AO$51*AD_tis!$BD42</f>
        <v>0</v>
      </c>
      <c r="AP42" s="4">
        <f>+AD_tis!AP42*AD_tis!AP$51*AD_tis!$BD42</f>
        <v>0</v>
      </c>
      <c r="AQ42" s="4">
        <f>+AD_tis!AQ42*AD_tis!AQ$51*AD_tis!$BD42</f>
        <v>0</v>
      </c>
      <c r="AR42" s="4">
        <f>+AD_tis!AR42*AD_tis!AR$51*AD_tis!$BD42</f>
        <v>0</v>
      </c>
      <c r="AS42" s="4">
        <f>+AD_tis!AS42*AD_tis!AS$51*AD_tis!$BD42</f>
        <v>0</v>
      </c>
      <c r="AT42" s="4">
        <f>+AD_tis!AT42*AD_tis!AT$51*AD_tis!$BD42</f>
        <v>0</v>
      </c>
      <c r="AU42" s="4">
        <f>+AD_tis!AU42*AD_tis!AU$51*AD_tis!$BD42</f>
        <v>0</v>
      </c>
      <c r="AV42" s="4">
        <f>+AD_tis!AV42*AD_tis!AV$51*AD_tis!$BD42</f>
        <v>0</v>
      </c>
      <c r="AW42" s="12">
        <f>+AD_tis!AW42*AD_tis!AW$51*AD_tis!$BD42</f>
        <v>0</v>
      </c>
      <c r="AX42" s="13">
        <f>+AD_tis!AX42*AD_tis!AX$51*AD_tis!$BD42</f>
        <v>0</v>
      </c>
      <c r="AY42" s="4">
        <f>+AD_tis!AY42*AD_tis!AY$51*AD_tis!$BD42</f>
        <v>0</v>
      </c>
      <c r="AZ42" s="4">
        <f>+AD_tis!AZ42*AD_tis!AZ$51*AD_tis!$BD42</f>
        <v>0</v>
      </c>
      <c r="BA42" s="12">
        <f>+AD_tis!BA42*AD_tis!BA$51*AD_tis!$BD42</f>
        <v>0</v>
      </c>
      <c r="BB42" s="4">
        <f>+AD_tis!BB42*AD_tis!BB$51*AD_tis!$BD42</f>
        <v>0</v>
      </c>
      <c r="BC42" s="13">
        <f>+AD_tis!BC42*AD_tis!BC$51*AD_tis!$BD42</f>
        <v>0</v>
      </c>
    </row>
    <row r="43" spans="1:55" ht="18.75" customHeight="1" x14ac:dyDescent="0.25">
      <c r="A43" s="5" t="s">
        <v>94</v>
      </c>
      <c r="B43" s="12">
        <f>+AD_tis!B43*AD_tis!B$51*AD_tis!$BD43</f>
        <v>0</v>
      </c>
      <c r="C43" s="4">
        <f>+AD_tis!C43*AD_tis!C$51*AD_tis!$BD43</f>
        <v>0</v>
      </c>
      <c r="D43" s="4">
        <f>+AD_tis!D43*AD_tis!D$51*AD_tis!$BD43</f>
        <v>0</v>
      </c>
      <c r="E43" s="4">
        <f>+AD_tis!E43*AD_tis!E$51*AD_tis!$BD43</f>
        <v>0</v>
      </c>
      <c r="F43" s="4">
        <f>+AD_tis!F43*AD_tis!F$51*AD_tis!$BD43</f>
        <v>0</v>
      </c>
      <c r="G43" s="4">
        <f>+AD_tis!G43*AD_tis!G$51*AD_tis!$BD43</f>
        <v>0</v>
      </c>
      <c r="H43" s="4">
        <f>+AD_tis!H43*AD_tis!H$51*AD_tis!$BD43</f>
        <v>0</v>
      </c>
      <c r="I43" s="4">
        <f>+AD_tis!I43*AD_tis!I$51*AD_tis!$BD43</f>
        <v>0</v>
      </c>
      <c r="J43" s="4">
        <f>+AD_tis!J43*AD_tis!J$51*AD_tis!$BD43</f>
        <v>0</v>
      </c>
      <c r="K43" s="4">
        <f>+AD_tis!K43*AD_tis!K$51*AD_tis!$BD43</f>
        <v>0</v>
      </c>
      <c r="L43" s="4">
        <f>+AD_tis!L43*AD_tis!L$51*AD_tis!$BD43</f>
        <v>0</v>
      </c>
      <c r="M43" s="4">
        <f>+AD_tis!M43*AD_tis!M$51*AD_tis!$BD43</f>
        <v>0</v>
      </c>
      <c r="N43" s="4">
        <f>+AD_tis!N43*AD_tis!N$51*AD_tis!$BD43</f>
        <v>0</v>
      </c>
      <c r="O43" s="4">
        <f>+AD_tis!O43*AD_tis!O$51*AD_tis!$BD43</f>
        <v>0</v>
      </c>
      <c r="P43" s="4">
        <f>+AD_tis!P43*AD_tis!P$51*AD_tis!$BD43</f>
        <v>0</v>
      </c>
      <c r="Q43" s="4">
        <f>+AD_tis!Q43*AD_tis!Q$51*AD_tis!$BD43</f>
        <v>0</v>
      </c>
      <c r="R43" s="13">
        <f>+AD_tis!R43*AD_tis!R$51*AD_tis!$BD43</f>
        <v>0</v>
      </c>
      <c r="S43" s="4">
        <f>+AD_tis!S43*AD_tis!S$51*AD_tis!$BD43</f>
        <v>0</v>
      </c>
      <c r="T43" s="4">
        <f>+AD_tis!T43*AD_tis!T$51*AD_tis!$BD43</f>
        <v>0</v>
      </c>
      <c r="U43" s="4">
        <f>+AD_tis!U43*AD_tis!U$51*AD_tis!$BD43</f>
        <v>0</v>
      </c>
      <c r="V43" s="4">
        <f>+AD_tis!V43*AD_tis!V$51*AD_tis!$BD43</f>
        <v>0</v>
      </c>
      <c r="W43" s="4">
        <f>+AD_tis!W43*AD_tis!W$51*AD_tis!$BD43</f>
        <v>0</v>
      </c>
      <c r="X43" s="4">
        <f>+AD_tis!X43*AD_tis!X$51*AD_tis!$BD43</f>
        <v>0</v>
      </c>
      <c r="Y43" s="4">
        <f>+AD_tis!Y43*AD_tis!Y$51*AD_tis!$BD43</f>
        <v>0</v>
      </c>
      <c r="Z43" s="4">
        <f>+AD_tis!Z43*AD_tis!Z$51*AD_tis!$BD43</f>
        <v>0</v>
      </c>
      <c r="AA43" s="4">
        <f>+AD_tis!AA43*AD_tis!AA$51*AD_tis!$BD43</f>
        <v>0</v>
      </c>
      <c r="AB43" s="4">
        <f>+AD_tis!AB43*AD_tis!AB$51*AD_tis!$BD43</f>
        <v>0</v>
      </c>
      <c r="AC43" s="12">
        <f>+AD_tis!AC43*AD_tis!AC$51*AD_tis!$BD43</f>
        <v>0</v>
      </c>
      <c r="AD43" s="4">
        <f>+AD_tis!AD43*AD_tis!AD$51*AD_tis!$BD43</f>
        <v>0</v>
      </c>
      <c r="AE43" s="4">
        <f>+AD_tis!AE43*AD_tis!AE$51*AD_tis!$BD43</f>
        <v>0</v>
      </c>
      <c r="AF43" s="4">
        <f>+AD_tis!AF43*AD_tis!AF$51*AD_tis!$BD43</f>
        <v>0</v>
      </c>
      <c r="AG43" s="4">
        <f>+AD_tis!AG43*AD_tis!AG$51*AD_tis!$BD43</f>
        <v>0</v>
      </c>
      <c r="AH43" s="4">
        <f>+AD_tis!AH43*AD_tis!AH$51*AD_tis!$BD43</f>
        <v>0</v>
      </c>
      <c r="AI43" s="4">
        <f>+AD_tis!AI43*AD_tis!AI$51*AD_tis!$BD43</f>
        <v>0</v>
      </c>
      <c r="AJ43" s="4">
        <f>+AD_tis!AJ43*AD_tis!AJ$51*AD_tis!$BD43</f>
        <v>0</v>
      </c>
      <c r="AK43" s="4">
        <f>+AD_tis!AK43*AD_tis!AK$51*AD_tis!$BD43</f>
        <v>0</v>
      </c>
      <c r="AL43" s="4">
        <f>+AD_tis!AL43*AD_tis!AL$51*AD_tis!$BD43</f>
        <v>0</v>
      </c>
      <c r="AM43" s="13">
        <f>+AD_tis!AM43*AD_tis!AM$51*AD_tis!$BD43</f>
        <v>0</v>
      </c>
      <c r="AN43" s="4">
        <f>+AD_tis!AN43*AD_tis!AN$51*AD_tis!$BD43</f>
        <v>0</v>
      </c>
      <c r="AO43" s="4">
        <f>+AD_tis!AO43*AD_tis!AO$51*AD_tis!$BD43</f>
        <v>0</v>
      </c>
      <c r="AP43" s="4">
        <f>+AD_tis!AP43*AD_tis!AP$51*AD_tis!$BD43</f>
        <v>0</v>
      </c>
      <c r="AQ43" s="4">
        <f>+AD_tis!AQ43*AD_tis!AQ$51*AD_tis!$BD43</f>
        <v>0</v>
      </c>
      <c r="AR43" s="4">
        <f>+AD_tis!AR43*AD_tis!AR$51*AD_tis!$BD43</f>
        <v>0</v>
      </c>
      <c r="AS43" s="4">
        <f>+AD_tis!AS43*AD_tis!AS$51*AD_tis!$BD43</f>
        <v>0</v>
      </c>
      <c r="AT43" s="4">
        <f>+AD_tis!AT43*AD_tis!AT$51*AD_tis!$BD43</f>
        <v>0</v>
      </c>
      <c r="AU43" s="4">
        <f>+AD_tis!AU43*AD_tis!AU$51*AD_tis!$BD43</f>
        <v>0</v>
      </c>
      <c r="AV43" s="4">
        <f>+AD_tis!AV43*AD_tis!AV$51*AD_tis!$BD43</f>
        <v>0</v>
      </c>
      <c r="AW43" s="12">
        <f>+AD_tis!AW43*AD_tis!AW$51*AD_tis!$BD43</f>
        <v>0</v>
      </c>
      <c r="AX43" s="13">
        <f>+AD_tis!AX43*AD_tis!AX$51*AD_tis!$BD43</f>
        <v>0</v>
      </c>
      <c r="AY43" s="4">
        <f>+AD_tis!AY43*AD_tis!AY$51*AD_tis!$BD43</f>
        <v>0</v>
      </c>
      <c r="AZ43" s="4">
        <f>+AD_tis!AZ43*AD_tis!AZ$51*AD_tis!$BD43</f>
        <v>0</v>
      </c>
      <c r="BA43" s="12">
        <f>+AD_tis!BA43*AD_tis!BA$51*AD_tis!$BD43</f>
        <v>0</v>
      </c>
      <c r="BB43" s="4">
        <f>+AD_tis!BB43*AD_tis!BB$51*AD_tis!$BD43</f>
        <v>0</v>
      </c>
      <c r="BC43" s="13">
        <f>+AD_tis!BC43*AD_tis!BC$51*AD_tis!$BD43</f>
        <v>0</v>
      </c>
    </row>
    <row r="44" spans="1:55" ht="18.75" customHeight="1" x14ac:dyDescent="0.25">
      <c r="A44" s="5" t="s">
        <v>95</v>
      </c>
      <c r="B44" s="12">
        <f>+AD_tis!B44*AD_tis!B$51*AD_tis!$BD44</f>
        <v>0</v>
      </c>
      <c r="C44" s="4">
        <f>+AD_tis!C44*AD_tis!C$51*AD_tis!$BD44</f>
        <v>0</v>
      </c>
      <c r="D44" s="4">
        <f>+AD_tis!D44*AD_tis!D$51*AD_tis!$BD44</f>
        <v>0</v>
      </c>
      <c r="E44" s="4">
        <f>+AD_tis!E44*AD_tis!E$51*AD_tis!$BD44</f>
        <v>0</v>
      </c>
      <c r="F44" s="4">
        <f>+AD_tis!F44*AD_tis!F$51*AD_tis!$BD44</f>
        <v>0</v>
      </c>
      <c r="G44" s="4">
        <f>+AD_tis!G44*AD_tis!G$51*AD_tis!$BD44</f>
        <v>0</v>
      </c>
      <c r="H44" s="4">
        <f>+AD_tis!H44*AD_tis!H$51*AD_tis!$BD44</f>
        <v>0</v>
      </c>
      <c r="I44" s="4">
        <f>+AD_tis!I44*AD_tis!I$51*AD_tis!$BD44</f>
        <v>0</v>
      </c>
      <c r="J44" s="4">
        <f>+AD_tis!J44*AD_tis!J$51*AD_tis!$BD44</f>
        <v>0</v>
      </c>
      <c r="K44" s="4">
        <f>+AD_tis!K44*AD_tis!K$51*AD_tis!$BD44</f>
        <v>0</v>
      </c>
      <c r="L44" s="4">
        <f>+AD_tis!L44*AD_tis!L$51*AD_tis!$BD44</f>
        <v>0</v>
      </c>
      <c r="M44" s="4">
        <f>+AD_tis!M44*AD_tis!M$51*AD_tis!$BD44</f>
        <v>0</v>
      </c>
      <c r="N44" s="4">
        <f>+AD_tis!N44*AD_tis!N$51*AD_tis!$BD44</f>
        <v>0</v>
      </c>
      <c r="O44" s="4">
        <f>+AD_tis!O44*AD_tis!O$51*AD_tis!$BD44</f>
        <v>0</v>
      </c>
      <c r="P44" s="4">
        <f>+AD_tis!P44*AD_tis!P$51*AD_tis!$BD44</f>
        <v>0</v>
      </c>
      <c r="Q44" s="4">
        <f>+AD_tis!Q44*AD_tis!Q$51*AD_tis!$BD44</f>
        <v>0</v>
      </c>
      <c r="R44" s="13">
        <f>+AD_tis!R44*AD_tis!R$51*AD_tis!$BD44</f>
        <v>0</v>
      </c>
      <c r="S44" s="4">
        <f>+AD_tis!S44*AD_tis!S$51*AD_tis!$BD44</f>
        <v>0</v>
      </c>
      <c r="T44" s="4">
        <f>+AD_tis!T44*AD_tis!T$51*AD_tis!$BD44</f>
        <v>0</v>
      </c>
      <c r="U44" s="4">
        <f>+AD_tis!U44*AD_tis!U$51*AD_tis!$BD44</f>
        <v>0</v>
      </c>
      <c r="V44" s="4">
        <f>+AD_tis!V44*AD_tis!V$51*AD_tis!$BD44</f>
        <v>0</v>
      </c>
      <c r="W44" s="4">
        <f>+AD_tis!W44*AD_tis!W$51*AD_tis!$BD44</f>
        <v>0</v>
      </c>
      <c r="X44" s="4">
        <f>+AD_tis!X44*AD_tis!X$51*AD_tis!$BD44</f>
        <v>0</v>
      </c>
      <c r="Y44" s="4">
        <f>+AD_tis!Y44*AD_tis!Y$51*AD_tis!$BD44</f>
        <v>0</v>
      </c>
      <c r="Z44" s="4">
        <f>+AD_tis!Z44*AD_tis!Z$51*AD_tis!$BD44</f>
        <v>0</v>
      </c>
      <c r="AA44" s="4">
        <f>+AD_tis!AA44*AD_tis!AA$51*AD_tis!$BD44</f>
        <v>0</v>
      </c>
      <c r="AB44" s="4">
        <f>+AD_tis!AB44*AD_tis!AB$51*AD_tis!$BD44</f>
        <v>0</v>
      </c>
      <c r="AC44" s="12">
        <f>+AD_tis!AC44*AD_tis!AC$51*AD_tis!$BD44</f>
        <v>0</v>
      </c>
      <c r="AD44" s="4">
        <f>+AD_tis!AD44*AD_tis!AD$51*AD_tis!$BD44</f>
        <v>0</v>
      </c>
      <c r="AE44" s="4">
        <f>+AD_tis!AE44*AD_tis!AE$51*AD_tis!$BD44</f>
        <v>0</v>
      </c>
      <c r="AF44" s="4">
        <f>+AD_tis!AF44*AD_tis!AF$51*AD_tis!$BD44</f>
        <v>0</v>
      </c>
      <c r="AG44" s="4">
        <f>+AD_tis!AG44*AD_tis!AG$51*AD_tis!$BD44</f>
        <v>0</v>
      </c>
      <c r="AH44" s="4">
        <f>+AD_tis!AH44*AD_tis!AH$51*AD_tis!$BD44</f>
        <v>0</v>
      </c>
      <c r="AI44" s="4">
        <f>+AD_tis!AI44*AD_tis!AI$51*AD_tis!$BD44</f>
        <v>0</v>
      </c>
      <c r="AJ44" s="4">
        <f>+AD_tis!AJ44*AD_tis!AJ$51*AD_tis!$BD44</f>
        <v>0</v>
      </c>
      <c r="AK44" s="4">
        <f>+AD_tis!AK44*AD_tis!AK$51*AD_tis!$BD44</f>
        <v>0</v>
      </c>
      <c r="AL44" s="4">
        <f>+AD_tis!AL44*AD_tis!AL$51*AD_tis!$BD44</f>
        <v>0</v>
      </c>
      <c r="AM44" s="13">
        <f>+AD_tis!AM44*AD_tis!AM$51*AD_tis!$BD44</f>
        <v>0</v>
      </c>
      <c r="AN44" s="4">
        <f>+AD_tis!AN44*AD_tis!AN$51*AD_tis!$BD44</f>
        <v>0</v>
      </c>
      <c r="AO44" s="4">
        <f>+AD_tis!AO44*AD_tis!AO$51*AD_tis!$BD44</f>
        <v>0</v>
      </c>
      <c r="AP44" s="4">
        <f>+AD_tis!AP44*AD_tis!AP$51*AD_tis!$BD44</f>
        <v>0</v>
      </c>
      <c r="AQ44" s="4">
        <f>+AD_tis!AQ44*AD_tis!AQ$51*AD_tis!$BD44</f>
        <v>0</v>
      </c>
      <c r="AR44" s="4">
        <f>+AD_tis!AR44*AD_tis!AR$51*AD_tis!$BD44</f>
        <v>0</v>
      </c>
      <c r="AS44" s="4">
        <f>+AD_tis!AS44*AD_tis!AS$51*AD_tis!$BD44</f>
        <v>0</v>
      </c>
      <c r="AT44" s="4">
        <f>+AD_tis!AT44*AD_tis!AT$51*AD_tis!$BD44</f>
        <v>0</v>
      </c>
      <c r="AU44" s="4">
        <f>+AD_tis!AU44*AD_tis!AU$51*AD_tis!$BD44</f>
        <v>0</v>
      </c>
      <c r="AV44" s="4">
        <f>+AD_tis!AV44*AD_tis!AV$51*AD_tis!$BD44</f>
        <v>0</v>
      </c>
      <c r="AW44" s="12">
        <f>+AD_tis!AW44*AD_tis!AW$51*AD_tis!$BD44</f>
        <v>0</v>
      </c>
      <c r="AX44" s="13">
        <f>+AD_tis!AX44*AD_tis!AX$51*AD_tis!$BD44</f>
        <v>0</v>
      </c>
      <c r="AY44" s="4">
        <f>+AD_tis!AY44*AD_tis!AY$51*AD_tis!$BD44</f>
        <v>0</v>
      </c>
      <c r="AZ44" s="4">
        <f>+AD_tis!AZ44*AD_tis!AZ$51*AD_tis!$BD44</f>
        <v>0</v>
      </c>
      <c r="BA44" s="12">
        <f>+AD_tis!BA44*AD_tis!BA$51*AD_tis!$BD44</f>
        <v>0</v>
      </c>
      <c r="BB44" s="4">
        <f>+AD_tis!BB44*AD_tis!BB$51*AD_tis!$BD44</f>
        <v>0</v>
      </c>
      <c r="BC44" s="13">
        <f>+AD_tis!BC44*AD_tis!BC$51*AD_tis!$BD44</f>
        <v>0</v>
      </c>
    </row>
    <row r="45" spans="1:55" ht="18.75" customHeight="1" x14ac:dyDescent="0.25">
      <c r="A45" s="5" t="s">
        <v>96</v>
      </c>
      <c r="B45" s="12">
        <f>+AD_tis!B45*AD_tis!B$51*AD_tis!$BD45</f>
        <v>0</v>
      </c>
      <c r="C45" s="4">
        <f>+AD_tis!C45*AD_tis!C$51*AD_tis!$BD45</f>
        <v>0</v>
      </c>
      <c r="D45" s="4">
        <f>+AD_tis!D45*AD_tis!D$51*AD_tis!$BD45</f>
        <v>0</v>
      </c>
      <c r="E45" s="4">
        <f>+AD_tis!E45*AD_tis!E$51*AD_tis!$BD45</f>
        <v>0</v>
      </c>
      <c r="F45" s="4">
        <f>+AD_tis!F45*AD_tis!F$51*AD_tis!$BD45</f>
        <v>0</v>
      </c>
      <c r="G45" s="4">
        <f>+AD_tis!G45*AD_tis!G$51*AD_tis!$BD45</f>
        <v>0</v>
      </c>
      <c r="H45" s="4">
        <f>+AD_tis!H45*AD_tis!H$51*AD_tis!$BD45</f>
        <v>0</v>
      </c>
      <c r="I45" s="4">
        <f>+AD_tis!I45*AD_tis!I$51*AD_tis!$BD45</f>
        <v>0</v>
      </c>
      <c r="J45" s="4">
        <f>+AD_tis!J45*AD_tis!J$51*AD_tis!$BD45</f>
        <v>0</v>
      </c>
      <c r="K45" s="4">
        <f>+AD_tis!K45*AD_tis!K$51*AD_tis!$BD45</f>
        <v>0</v>
      </c>
      <c r="L45" s="4">
        <f>+AD_tis!L45*AD_tis!L$51*AD_tis!$BD45</f>
        <v>0</v>
      </c>
      <c r="M45" s="4">
        <f>+AD_tis!M45*AD_tis!M$51*AD_tis!$BD45</f>
        <v>0</v>
      </c>
      <c r="N45" s="4">
        <f>+AD_tis!N45*AD_tis!N$51*AD_tis!$BD45</f>
        <v>0</v>
      </c>
      <c r="O45" s="4">
        <f>+AD_tis!O45*AD_tis!O$51*AD_tis!$BD45</f>
        <v>0</v>
      </c>
      <c r="P45" s="4">
        <f>+AD_tis!P45*AD_tis!P$51*AD_tis!$BD45</f>
        <v>0</v>
      </c>
      <c r="Q45" s="4">
        <f>+AD_tis!Q45*AD_tis!Q$51*AD_tis!$BD45</f>
        <v>0</v>
      </c>
      <c r="R45" s="13">
        <f>+AD_tis!R45*AD_tis!R$51*AD_tis!$BD45</f>
        <v>0</v>
      </c>
      <c r="S45" s="4">
        <f>+AD_tis!S45*AD_tis!S$51*AD_tis!$BD45</f>
        <v>0</v>
      </c>
      <c r="T45" s="4">
        <f>+AD_tis!T45*AD_tis!T$51*AD_tis!$BD45</f>
        <v>0</v>
      </c>
      <c r="U45" s="4">
        <f>+AD_tis!U45*AD_tis!U$51*AD_tis!$BD45</f>
        <v>0</v>
      </c>
      <c r="V45" s="4">
        <f>+AD_tis!V45*AD_tis!V$51*AD_tis!$BD45</f>
        <v>0</v>
      </c>
      <c r="W45" s="4">
        <f>+AD_tis!W45*AD_tis!W$51*AD_tis!$BD45</f>
        <v>0</v>
      </c>
      <c r="X45" s="4">
        <f>+AD_tis!X45*AD_tis!X$51*AD_tis!$BD45</f>
        <v>0</v>
      </c>
      <c r="Y45" s="4">
        <f>+AD_tis!Y45*AD_tis!Y$51*AD_tis!$BD45</f>
        <v>0</v>
      </c>
      <c r="Z45" s="4">
        <f>+AD_tis!Z45*AD_tis!Z$51*AD_tis!$BD45</f>
        <v>0</v>
      </c>
      <c r="AA45" s="4">
        <f>+AD_tis!AA45*AD_tis!AA$51*AD_tis!$BD45</f>
        <v>0</v>
      </c>
      <c r="AB45" s="4">
        <f>+AD_tis!AB45*AD_tis!AB$51*AD_tis!$BD45</f>
        <v>0</v>
      </c>
      <c r="AC45" s="12">
        <f>+AD_tis!AC45*AD_tis!AC$51*AD_tis!$BD45</f>
        <v>0</v>
      </c>
      <c r="AD45" s="4">
        <f>+AD_tis!AD45*AD_tis!AD$51*AD_tis!$BD45</f>
        <v>0</v>
      </c>
      <c r="AE45" s="4">
        <f>+AD_tis!AE45*AD_tis!AE$51*AD_tis!$BD45</f>
        <v>0</v>
      </c>
      <c r="AF45" s="4">
        <f>+AD_tis!AF45*AD_tis!AF$51*AD_tis!$BD45</f>
        <v>0</v>
      </c>
      <c r="AG45" s="4">
        <f>+AD_tis!AG45*AD_tis!AG$51*AD_tis!$BD45</f>
        <v>0</v>
      </c>
      <c r="AH45" s="4">
        <f>+AD_tis!AH45*AD_tis!AH$51*AD_tis!$BD45</f>
        <v>0</v>
      </c>
      <c r="AI45" s="4">
        <f>+AD_tis!AI45*AD_tis!AI$51*AD_tis!$BD45</f>
        <v>0</v>
      </c>
      <c r="AJ45" s="4">
        <f>+AD_tis!AJ45*AD_tis!AJ$51*AD_tis!$BD45</f>
        <v>0</v>
      </c>
      <c r="AK45" s="4">
        <f>+AD_tis!AK45*AD_tis!AK$51*AD_tis!$BD45</f>
        <v>0</v>
      </c>
      <c r="AL45" s="4">
        <f>+AD_tis!AL45*AD_tis!AL$51*AD_tis!$BD45</f>
        <v>0</v>
      </c>
      <c r="AM45" s="13">
        <f>+AD_tis!AM45*AD_tis!AM$51*AD_tis!$BD45</f>
        <v>0</v>
      </c>
      <c r="AN45" s="4">
        <f>+AD_tis!AN45*AD_tis!AN$51*AD_tis!$BD45</f>
        <v>0</v>
      </c>
      <c r="AO45" s="4">
        <f>+AD_tis!AO45*AD_tis!AO$51*AD_tis!$BD45</f>
        <v>0</v>
      </c>
      <c r="AP45" s="4">
        <f>+AD_tis!AP45*AD_tis!AP$51*AD_tis!$BD45</f>
        <v>0</v>
      </c>
      <c r="AQ45" s="4">
        <f>+AD_tis!AQ45*AD_tis!AQ$51*AD_tis!$BD45</f>
        <v>0</v>
      </c>
      <c r="AR45" s="4">
        <f>+AD_tis!AR45*AD_tis!AR$51*AD_tis!$BD45</f>
        <v>0</v>
      </c>
      <c r="AS45" s="4">
        <f>+AD_tis!AS45*AD_tis!AS$51*AD_tis!$BD45</f>
        <v>0</v>
      </c>
      <c r="AT45" s="4">
        <f>+AD_tis!AT45*AD_tis!AT$51*AD_tis!$BD45</f>
        <v>0</v>
      </c>
      <c r="AU45" s="4">
        <f>+AD_tis!AU45*AD_tis!AU$51*AD_tis!$BD45</f>
        <v>0</v>
      </c>
      <c r="AV45" s="4">
        <f>+AD_tis!AV45*AD_tis!AV$51*AD_tis!$BD45</f>
        <v>0</v>
      </c>
      <c r="AW45" s="12">
        <f>+AD_tis!AW45*AD_tis!AW$51*AD_tis!$BD45</f>
        <v>0</v>
      </c>
      <c r="AX45" s="13">
        <f>+AD_tis!AX45*AD_tis!AX$51*AD_tis!$BD45</f>
        <v>0</v>
      </c>
      <c r="AY45" s="4">
        <f>+AD_tis!AY45*AD_tis!AY$51*AD_tis!$BD45</f>
        <v>0</v>
      </c>
      <c r="AZ45" s="4">
        <f>+AD_tis!AZ45*AD_tis!AZ$51*AD_tis!$BD45</f>
        <v>0</v>
      </c>
      <c r="BA45" s="12">
        <f>+AD_tis!BA45*AD_tis!BA$51*AD_tis!$BD45</f>
        <v>0</v>
      </c>
      <c r="BB45" s="4">
        <f>+AD_tis!BB45*AD_tis!BB$51*AD_tis!$BD45</f>
        <v>0</v>
      </c>
      <c r="BC45" s="13">
        <f>+AD_tis!BC45*AD_tis!BC$51*AD_tis!$BD45</f>
        <v>0</v>
      </c>
    </row>
    <row r="46" spans="1:55" ht="18.75" customHeight="1" x14ac:dyDescent="0.25">
      <c r="A46" s="6" t="s">
        <v>97</v>
      </c>
      <c r="B46" s="12">
        <f>+AD_tis!B46*AD_tis!B$51*AD_tis!$BD46</f>
        <v>0</v>
      </c>
      <c r="C46" s="4">
        <f>+AD_tis!C46*AD_tis!C$51*AD_tis!$BD46</f>
        <v>0</v>
      </c>
      <c r="D46" s="4">
        <f>+AD_tis!D46*AD_tis!D$51*AD_tis!$BD46</f>
        <v>0</v>
      </c>
      <c r="E46" s="4">
        <f>+AD_tis!E46*AD_tis!E$51*AD_tis!$BD46</f>
        <v>0</v>
      </c>
      <c r="F46" s="4">
        <f>+AD_tis!F46*AD_tis!F$51*AD_tis!$BD46</f>
        <v>0</v>
      </c>
      <c r="G46" s="4">
        <f>+AD_tis!G46*AD_tis!G$51*AD_tis!$BD46</f>
        <v>0</v>
      </c>
      <c r="H46" s="4">
        <f>+AD_tis!H46*AD_tis!H$51*AD_tis!$BD46</f>
        <v>0</v>
      </c>
      <c r="I46" s="4">
        <f>+AD_tis!I46*AD_tis!I$51*AD_tis!$BD46</f>
        <v>0</v>
      </c>
      <c r="J46" s="4">
        <f>+AD_tis!J46*AD_tis!J$51*AD_tis!$BD46</f>
        <v>0</v>
      </c>
      <c r="K46" s="4">
        <f>+AD_tis!K46*AD_tis!K$51*AD_tis!$BD46</f>
        <v>0</v>
      </c>
      <c r="L46" s="4">
        <f>+AD_tis!L46*AD_tis!L$51*AD_tis!$BD46</f>
        <v>0</v>
      </c>
      <c r="M46" s="4">
        <f>+AD_tis!M46*AD_tis!M$51*AD_tis!$BD46</f>
        <v>0</v>
      </c>
      <c r="N46" s="4">
        <f>+AD_tis!N46*AD_tis!N$51*AD_tis!$BD46</f>
        <v>0</v>
      </c>
      <c r="O46" s="4">
        <f>+AD_tis!O46*AD_tis!O$51*AD_tis!$BD46</f>
        <v>0</v>
      </c>
      <c r="P46" s="4">
        <f>+AD_tis!P46*AD_tis!P$51*AD_tis!$BD46</f>
        <v>0</v>
      </c>
      <c r="Q46" s="4">
        <f>+AD_tis!Q46*AD_tis!Q$51*AD_tis!$BD46</f>
        <v>0</v>
      </c>
      <c r="R46" s="13">
        <f>+AD_tis!R46*AD_tis!R$51*AD_tis!$BD46</f>
        <v>0</v>
      </c>
      <c r="S46" s="4">
        <f>+AD_tis!S46*AD_tis!S$51*AD_tis!$BD46</f>
        <v>0</v>
      </c>
      <c r="T46" s="4">
        <f>+AD_tis!T46*AD_tis!T$51*AD_tis!$BD46</f>
        <v>0</v>
      </c>
      <c r="U46" s="4">
        <f>+AD_tis!U46*AD_tis!U$51*AD_tis!$BD46</f>
        <v>0</v>
      </c>
      <c r="V46" s="4">
        <f>+AD_tis!V46*AD_tis!V$51*AD_tis!$BD46</f>
        <v>0</v>
      </c>
      <c r="W46" s="4">
        <f>+AD_tis!W46*AD_tis!W$51*AD_tis!$BD46</f>
        <v>0</v>
      </c>
      <c r="X46" s="4">
        <f>+AD_tis!X46*AD_tis!X$51*AD_tis!$BD46</f>
        <v>0</v>
      </c>
      <c r="Y46" s="4">
        <f>+AD_tis!Y46*AD_tis!Y$51*AD_tis!$BD46</f>
        <v>0</v>
      </c>
      <c r="Z46" s="4">
        <f>+AD_tis!Z46*AD_tis!Z$51*AD_tis!$BD46</f>
        <v>0</v>
      </c>
      <c r="AA46" s="4">
        <f>+AD_tis!AA46*AD_tis!AA$51*AD_tis!$BD46</f>
        <v>0</v>
      </c>
      <c r="AB46" s="4">
        <f>+AD_tis!AB46*AD_tis!AB$51*AD_tis!$BD46</f>
        <v>0</v>
      </c>
      <c r="AC46" s="12">
        <f>+AD_tis!AC46*AD_tis!AC$51*AD_tis!$BD46</f>
        <v>0</v>
      </c>
      <c r="AD46" s="4">
        <f>+AD_tis!AD46*AD_tis!AD$51*AD_tis!$BD46</f>
        <v>0</v>
      </c>
      <c r="AE46" s="4">
        <f>+AD_tis!AE46*AD_tis!AE$51*AD_tis!$BD46</f>
        <v>0</v>
      </c>
      <c r="AF46" s="4">
        <f>+AD_tis!AF46*AD_tis!AF$51*AD_tis!$BD46</f>
        <v>0</v>
      </c>
      <c r="AG46" s="4">
        <f>+AD_tis!AG46*AD_tis!AG$51*AD_tis!$BD46</f>
        <v>0</v>
      </c>
      <c r="AH46" s="4">
        <f>+AD_tis!AH46*AD_tis!AH$51*AD_tis!$BD46</f>
        <v>0</v>
      </c>
      <c r="AI46" s="4">
        <f>+AD_tis!AI46*AD_tis!AI$51*AD_tis!$BD46</f>
        <v>0</v>
      </c>
      <c r="AJ46" s="4">
        <f>+AD_tis!AJ46*AD_tis!AJ$51*AD_tis!$BD46</f>
        <v>0</v>
      </c>
      <c r="AK46" s="4">
        <f>+AD_tis!AK46*AD_tis!AK$51*AD_tis!$BD46</f>
        <v>0</v>
      </c>
      <c r="AL46" s="4">
        <f>+AD_tis!AL46*AD_tis!AL$51*AD_tis!$BD46</f>
        <v>0</v>
      </c>
      <c r="AM46" s="13">
        <f>+AD_tis!AM46*AD_tis!AM$51*AD_tis!$BD46</f>
        <v>0</v>
      </c>
      <c r="AN46" s="4">
        <f>+AD_tis!AN46*AD_tis!AN$51*AD_tis!$BD46</f>
        <v>0</v>
      </c>
      <c r="AO46" s="4">
        <f>+AD_tis!AO46*AD_tis!AO$51*AD_tis!$BD46</f>
        <v>0</v>
      </c>
      <c r="AP46" s="4">
        <f>+AD_tis!AP46*AD_tis!AP$51*AD_tis!$BD46</f>
        <v>0</v>
      </c>
      <c r="AQ46" s="4">
        <f>+AD_tis!AQ46*AD_tis!AQ$51*AD_tis!$BD46</f>
        <v>0</v>
      </c>
      <c r="AR46" s="4">
        <f>+AD_tis!AR46*AD_tis!AR$51*AD_tis!$BD46</f>
        <v>0</v>
      </c>
      <c r="AS46" s="4">
        <f>+AD_tis!AS46*AD_tis!AS$51*AD_tis!$BD46</f>
        <v>0</v>
      </c>
      <c r="AT46" s="4">
        <f>+AD_tis!AT46*AD_tis!AT$51*AD_tis!$BD46</f>
        <v>0</v>
      </c>
      <c r="AU46" s="4">
        <f>+AD_tis!AU46*AD_tis!AU$51*AD_tis!$BD46</f>
        <v>0</v>
      </c>
      <c r="AV46" s="4">
        <f>+AD_tis!AV46*AD_tis!AV$51*AD_tis!$BD46</f>
        <v>0</v>
      </c>
      <c r="AW46" s="12">
        <f>+AD_tis!AW46*AD_tis!AW$51*AD_tis!$BD46</f>
        <v>0</v>
      </c>
      <c r="AX46" s="13">
        <f>+AD_tis!AX46*AD_tis!AX$51*AD_tis!$BD46</f>
        <v>0</v>
      </c>
      <c r="AY46" s="4">
        <f>+AD_tis!AY46*AD_tis!AY$51*AD_tis!$BD46</f>
        <v>0</v>
      </c>
      <c r="AZ46" s="4">
        <f>+AD_tis!AZ46*AD_tis!AZ$51*AD_tis!$BD46</f>
        <v>0</v>
      </c>
      <c r="BA46" s="12">
        <f>+AD_tis!BA46*AD_tis!BA$51*AD_tis!$BD46</f>
        <v>0</v>
      </c>
      <c r="BB46" s="4">
        <f>+AD_tis!BB46*AD_tis!BB$51*AD_tis!$BD46</f>
        <v>0</v>
      </c>
      <c r="BC46" s="13">
        <f>+AD_tis!BC46*AD_tis!BC$51*AD_tis!$BD46</f>
        <v>0</v>
      </c>
    </row>
  </sheetData>
  <conditionalFormatting sqref="B2:BC46">
    <cfRule type="cellIs" dxfId="12" priority="1" operator="equal"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BC13"/>
  <sheetViews>
    <sheetView workbookViewId="0">
      <selection activeCell="U23" sqref="U23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4.5703125" style="7" bestFit="1" customWidth="1"/>
  </cols>
  <sheetData>
    <row r="1" spans="1:55" ht="18.75" customHeight="1" thickBot="1" x14ac:dyDescent="0.3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67" t="s">
        <v>38</v>
      </c>
      <c r="B2" s="62">
        <f>+CON_HAB!B2*K_si!B$2</f>
        <v>1</v>
      </c>
      <c r="C2" s="63">
        <f>+CON_HAB!C2*K_si!C$2</f>
        <v>1</v>
      </c>
      <c r="D2" s="63">
        <f>+CON_HAB!D2*K_si!D$2</f>
        <v>1</v>
      </c>
      <c r="E2" s="63">
        <f>+CON_HAB!E2*K_si!E$2</f>
        <v>1</v>
      </c>
      <c r="F2" s="63">
        <f>+CON_HAB!F2*K_si!F$2</f>
        <v>0</v>
      </c>
      <c r="G2" s="63">
        <f>+CON_HAB!G2*K_si!G$2</f>
        <v>0</v>
      </c>
      <c r="H2" s="63">
        <f>+CON_HAB!H2*K_si!H$2</f>
        <v>1</v>
      </c>
      <c r="I2" s="63">
        <f>+CON_HAB!I2*K_si!I$2</f>
        <v>1</v>
      </c>
      <c r="J2" s="63">
        <f>+CON_HAB!J2*K_si!J$2</f>
        <v>1</v>
      </c>
      <c r="K2" s="63">
        <f>+CON_HAB!K2*K_si!K$2</f>
        <v>0</v>
      </c>
      <c r="L2" s="63">
        <f>+CON_HAB!L2*K_si!L$2</f>
        <v>1</v>
      </c>
      <c r="M2" s="63">
        <f>+CON_HAB!M2*K_si!M$2</f>
        <v>1</v>
      </c>
      <c r="N2" s="63">
        <f>+CON_HAB!N2*K_si!N$2</f>
        <v>1</v>
      </c>
      <c r="O2" s="63">
        <f>+CON_HAB!O2*K_si!O$2</f>
        <v>1</v>
      </c>
      <c r="P2" s="63">
        <f>+CON_HAB!P2*K_si!P$2</f>
        <v>1</v>
      </c>
      <c r="Q2" s="63">
        <f>+CON_HAB!Q2*K_si!Q$2</f>
        <v>0</v>
      </c>
      <c r="R2" s="63">
        <f>+CON_HAB!R2*K_si!R$2</f>
        <v>0</v>
      </c>
      <c r="S2" s="62">
        <f>+CON_HAB!S2*K_si!S$2</f>
        <v>0</v>
      </c>
      <c r="T2" s="63">
        <f>+CON_HAB!T2*K_si!T$2</f>
        <v>0</v>
      </c>
      <c r="U2" s="63">
        <f>+CON_HAB!U2*K_si!U$2</f>
        <v>0</v>
      </c>
      <c r="V2" s="63">
        <f>+CON_HAB!V2*K_si!V$2</f>
        <v>0</v>
      </c>
      <c r="W2" s="63">
        <f>+CON_HAB!W2*K_si!W$2</f>
        <v>0</v>
      </c>
      <c r="X2" s="63">
        <f>+CON_HAB!X2*K_si!X$2</f>
        <v>0</v>
      </c>
      <c r="Y2" s="63">
        <f>+CON_HAB!Y2*K_si!Y$2</f>
        <v>0</v>
      </c>
      <c r="Z2" s="63">
        <f>+CON_HAB!Z2*K_si!Z$2</f>
        <v>0</v>
      </c>
      <c r="AA2" s="63">
        <f>+CON_HAB!AA2*K_si!AA$2</f>
        <v>0</v>
      </c>
      <c r="AB2" s="59">
        <f>+CON_HAB!AB2*K_si!AB$2</f>
        <v>0</v>
      </c>
      <c r="AC2" s="63">
        <f>+CON_HAB!AC2*K_si!AC$2</f>
        <v>0</v>
      </c>
      <c r="AD2" s="63">
        <f>+CON_HAB!AD2*K_si!AD$2</f>
        <v>0</v>
      </c>
      <c r="AE2" s="63">
        <f>+CON_HAB!AE2*K_si!AE$2</f>
        <v>0</v>
      </c>
      <c r="AF2" s="63">
        <f>+CON_HAB!AF2*K_si!AF$2</f>
        <v>0</v>
      </c>
      <c r="AG2" s="63">
        <f>+CON_HAB!AG2*K_si!AG$2</f>
        <v>0</v>
      </c>
      <c r="AH2" s="63">
        <f>+CON_HAB!AH2*K_si!AH$2</f>
        <v>0</v>
      </c>
      <c r="AI2" s="63">
        <f>+CON_HAB!AI2*K_si!AI$2</f>
        <v>0</v>
      </c>
      <c r="AJ2" s="63">
        <f>+CON_HAB!AJ2*K_si!AJ$2</f>
        <v>0</v>
      </c>
      <c r="AK2" s="63">
        <f>+CON_HAB!AK2*K_si!AK$2</f>
        <v>0</v>
      </c>
      <c r="AL2" s="63">
        <f>+CON_HAB!AL2*K_si!AL$2</f>
        <v>0</v>
      </c>
      <c r="AM2" s="63">
        <f>+CON_HAB!AM2*K_si!AM$2</f>
        <v>0</v>
      </c>
      <c r="AN2" s="62">
        <f>+CON_HAB!AN2*K_si!AN$2</f>
        <v>0</v>
      </c>
      <c r="AO2" s="63">
        <f>+CON_HAB!AO2*K_si!AO$2</f>
        <v>0</v>
      </c>
      <c r="AP2" s="63">
        <f>+CON_HAB!AP2*K_si!AP$2</f>
        <v>0</v>
      </c>
      <c r="AQ2" s="63">
        <f>+CON_HAB!AQ2*K_si!AQ$2</f>
        <v>0</v>
      </c>
      <c r="AR2" s="63">
        <f>+CON_HAB!AR2*K_si!AR$2</f>
        <v>0</v>
      </c>
      <c r="AS2" s="63">
        <f>+CON_HAB!AS2*K_si!AS$2</f>
        <v>0</v>
      </c>
      <c r="AT2" s="63">
        <f>+CON_HAB!AT2*K_si!AT$2</f>
        <v>0</v>
      </c>
      <c r="AU2" s="63">
        <f>+CON_HAB!AU2*K_si!AU$2</f>
        <v>0</v>
      </c>
      <c r="AV2" s="59">
        <f>+CON_HAB!AV2*K_si!AV$2</f>
        <v>1</v>
      </c>
      <c r="AW2" s="63">
        <f>+CON_HAB!AW2*K_si!AW$2</f>
        <v>0</v>
      </c>
      <c r="AX2" s="63">
        <f>+CON_HAB!AX2*K_si!AX$2</f>
        <v>0</v>
      </c>
      <c r="AY2" s="62">
        <f>+CON_HAB!AY2*K_si!AY$2</f>
        <v>0</v>
      </c>
      <c r="AZ2" s="59">
        <f>+CON_HAB!AZ2*K_si!AZ$2</f>
        <v>0</v>
      </c>
      <c r="BA2" s="63">
        <f>+CON_HAB!BA2*K_si!BA$2</f>
        <v>0</v>
      </c>
      <c r="BB2" s="63">
        <f>+CON_HAB!BB2*K_si!BB$2</f>
        <v>0</v>
      </c>
      <c r="BC2" s="59">
        <f>+CON_HAB!BC2*K_si!BC$2</f>
        <v>0</v>
      </c>
    </row>
    <row r="3" spans="1:55" ht="18.75" customHeight="1" x14ac:dyDescent="0.25">
      <c r="A3" s="67" t="s">
        <v>39</v>
      </c>
      <c r="B3" s="64">
        <f>+CON_HAB!B3*K_si!B$2</f>
        <v>1</v>
      </c>
      <c r="C3" s="4">
        <f>+CON_HAB!C3*K_si!C$2</f>
        <v>1</v>
      </c>
      <c r="D3" s="4">
        <f>+CON_HAB!D3*K_si!D$2</f>
        <v>1</v>
      </c>
      <c r="E3" s="4">
        <f>+CON_HAB!E3*K_si!E$2</f>
        <v>1</v>
      </c>
      <c r="F3" s="4">
        <f>+CON_HAB!F3*K_si!F$2</f>
        <v>0</v>
      </c>
      <c r="G3" s="4">
        <f>+CON_HAB!G3*K_si!G$2</f>
        <v>0</v>
      </c>
      <c r="H3" s="4">
        <f>+CON_HAB!H3*K_si!H$2</f>
        <v>1</v>
      </c>
      <c r="I3" s="4">
        <f>+CON_HAB!I3*K_si!I$2</f>
        <v>1</v>
      </c>
      <c r="J3" s="4">
        <f>+CON_HAB!J3*K_si!J$2</f>
        <v>1</v>
      </c>
      <c r="K3" s="4">
        <f>+CON_HAB!K3*K_si!K$2</f>
        <v>0</v>
      </c>
      <c r="L3" s="4">
        <f>+CON_HAB!L3*K_si!L$2</f>
        <v>1</v>
      </c>
      <c r="M3" s="4">
        <f>+CON_HAB!M3*K_si!M$2</f>
        <v>1</v>
      </c>
      <c r="N3" s="4">
        <f>+CON_HAB!N3*K_si!N$2</f>
        <v>1</v>
      </c>
      <c r="O3" s="4">
        <f>+CON_HAB!O3*K_si!O$2</f>
        <v>1</v>
      </c>
      <c r="P3" s="4">
        <f>+CON_HAB!P3*K_si!P$2</f>
        <v>1</v>
      </c>
      <c r="Q3" s="4">
        <f>+CON_HAB!Q3*K_si!Q$2</f>
        <v>0</v>
      </c>
      <c r="R3" s="4">
        <f>+CON_HAB!R3*K_si!R$2</f>
        <v>0</v>
      </c>
      <c r="S3" s="64">
        <f>+CON_HAB!S3*K_si!S$2</f>
        <v>0</v>
      </c>
      <c r="T3" s="4">
        <f>+CON_HAB!T3*K_si!T$2</f>
        <v>0</v>
      </c>
      <c r="U3" s="4">
        <f>+CON_HAB!U3*K_si!U$2</f>
        <v>0</v>
      </c>
      <c r="V3" s="4">
        <f>+CON_HAB!V3*K_si!V$2</f>
        <v>0</v>
      </c>
      <c r="W3" s="4">
        <f>+CON_HAB!W3*K_si!W$2</f>
        <v>0</v>
      </c>
      <c r="X3" s="4">
        <f>+CON_HAB!X3*K_si!X$2</f>
        <v>0</v>
      </c>
      <c r="Y3" s="4">
        <f>+CON_HAB!Y3*K_si!Y$2</f>
        <v>0</v>
      </c>
      <c r="Z3" s="4">
        <f>+CON_HAB!Z3*K_si!Z$2</f>
        <v>0</v>
      </c>
      <c r="AA3" s="4">
        <f>+CON_HAB!AA3*K_si!AA$2</f>
        <v>0</v>
      </c>
      <c r="AB3" s="60">
        <f>+CON_HAB!AB3*K_si!AB$2</f>
        <v>0</v>
      </c>
      <c r="AC3" s="4">
        <f>+CON_HAB!AC3*K_si!AC$2</f>
        <v>0</v>
      </c>
      <c r="AD3" s="4">
        <f>+CON_HAB!AD3*K_si!AD$2</f>
        <v>0</v>
      </c>
      <c r="AE3" s="4">
        <f>+CON_HAB!AE3*K_si!AE$2</f>
        <v>0</v>
      </c>
      <c r="AF3" s="4">
        <f>+CON_HAB!AF3*K_si!AF$2</f>
        <v>0</v>
      </c>
      <c r="AG3" s="4">
        <f>+CON_HAB!AG3*K_si!AG$2</f>
        <v>0</v>
      </c>
      <c r="AH3" s="4">
        <f>+CON_HAB!AH3*K_si!AH$2</f>
        <v>0</v>
      </c>
      <c r="AI3" s="4">
        <f>+CON_HAB!AI3*K_si!AI$2</f>
        <v>0</v>
      </c>
      <c r="AJ3" s="4">
        <f>+CON_HAB!AJ3*K_si!AJ$2</f>
        <v>0</v>
      </c>
      <c r="AK3" s="4">
        <f>+CON_HAB!AK3*K_si!AK$2</f>
        <v>0</v>
      </c>
      <c r="AL3" s="4">
        <f>+CON_HAB!AL3*K_si!AL$2</f>
        <v>0</v>
      </c>
      <c r="AM3" s="4">
        <f>+CON_HAB!AM3*K_si!AM$2</f>
        <v>0</v>
      </c>
      <c r="AN3" s="64">
        <f>+CON_HAB!AN3*K_si!AN$2</f>
        <v>0</v>
      </c>
      <c r="AO3" s="4">
        <f>+CON_HAB!AO3*K_si!AO$2</f>
        <v>0</v>
      </c>
      <c r="AP3" s="4">
        <f>+CON_HAB!AP3*K_si!AP$2</f>
        <v>0</v>
      </c>
      <c r="AQ3" s="4">
        <f>+CON_HAB!AQ3*K_si!AQ$2</f>
        <v>0</v>
      </c>
      <c r="AR3" s="4">
        <f>+CON_HAB!AR3*K_si!AR$2</f>
        <v>0</v>
      </c>
      <c r="AS3" s="4">
        <f>+CON_HAB!AS3*K_si!AS$2</f>
        <v>0</v>
      </c>
      <c r="AT3" s="4">
        <f>+CON_HAB!AT3*K_si!AT$2</f>
        <v>0</v>
      </c>
      <c r="AU3" s="4">
        <f>+CON_HAB!AU3*K_si!AU$2</f>
        <v>0</v>
      </c>
      <c r="AV3" s="60">
        <f>+CON_HAB!AV3*K_si!AV$2</f>
        <v>1</v>
      </c>
      <c r="AW3" s="4">
        <f>+CON_HAB!AW3*K_si!AW$2</f>
        <v>0</v>
      </c>
      <c r="AX3" s="4">
        <f>+CON_HAB!AX3*K_si!AX$2</f>
        <v>0</v>
      </c>
      <c r="AY3" s="64">
        <f>+CON_HAB!AY3*K_si!AY$2</f>
        <v>0</v>
      </c>
      <c r="AZ3" s="60">
        <f>+CON_HAB!AZ3*K_si!AZ$2</f>
        <v>0</v>
      </c>
      <c r="BA3" s="4">
        <f>+CON_HAB!BA3*K_si!BA$2</f>
        <v>0</v>
      </c>
      <c r="BB3" s="4">
        <f>+CON_HAB!BB3*K_si!BB$2</f>
        <v>0</v>
      </c>
      <c r="BC3" s="60">
        <f>+CON_HAB!BC3*K_si!BC$2</f>
        <v>0</v>
      </c>
    </row>
    <row r="4" spans="1:55" ht="18.75" customHeight="1" x14ac:dyDescent="0.25">
      <c r="A4" s="67" t="s">
        <v>40</v>
      </c>
      <c r="B4" s="64">
        <f>+CON_HAB!B4*K_si!B$2</f>
        <v>1</v>
      </c>
      <c r="C4" s="4">
        <f>+CON_HAB!C4*K_si!C$2</f>
        <v>1</v>
      </c>
      <c r="D4" s="4">
        <f>+CON_HAB!D4*K_si!D$2</f>
        <v>1</v>
      </c>
      <c r="E4" s="4">
        <f>+CON_HAB!E4*K_si!E$2</f>
        <v>1</v>
      </c>
      <c r="F4" s="4">
        <f>+CON_HAB!F4*K_si!F$2</f>
        <v>0</v>
      </c>
      <c r="G4" s="4">
        <f>+CON_HAB!G4*K_si!G$2</f>
        <v>0</v>
      </c>
      <c r="H4" s="4">
        <f>+CON_HAB!H4*K_si!H$2</f>
        <v>1</v>
      </c>
      <c r="I4" s="4">
        <f>+CON_HAB!I4*K_si!I$2</f>
        <v>1</v>
      </c>
      <c r="J4" s="4">
        <f>+CON_HAB!J4*K_si!J$2</f>
        <v>1</v>
      </c>
      <c r="K4" s="4">
        <f>+CON_HAB!K4*K_si!K$2</f>
        <v>0</v>
      </c>
      <c r="L4" s="4">
        <f>+CON_HAB!L4*K_si!L$2</f>
        <v>1</v>
      </c>
      <c r="M4" s="4">
        <f>+CON_HAB!M4*K_si!M$2</f>
        <v>1</v>
      </c>
      <c r="N4" s="4">
        <f>+CON_HAB!N4*K_si!N$2</f>
        <v>0</v>
      </c>
      <c r="O4" s="4">
        <f>+CON_HAB!O4*K_si!O$2</f>
        <v>0</v>
      </c>
      <c r="P4" s="4">
        <f>+CON_HAB!P4*K_si!P$2</f>
        <v>1</v>
      </c>
      <c r="Q4" s="4">
        <f>+CON_HAB!Q4*K_si!Q$2</f>
        <v>0</v>
      </c>
      <c r="R4" s="4">
        <f>+CON_HAB!R4*K_si!R$2</f>
        <v>0</v>
      </c>
      <c r="S4" s="64">
        <f>+CON_HAB!S4*K_si!S$2</f>
        <v>0</v>
      </c>
      <c r="T4" s="4">
        <f>+CON_HAB!T4*K_si!T$2</f>
        <v>0</v>
      </c>
      <c r="U4" s="4">
        <f>+CON_HAB!U4*K_si!U$2</f>
        <v>0</v>
      </c>
      <c r="V4" s="4">
        <f>+CON_HAB!V4*K_si!V$2</f>
        <v>0</v>
      </c>
      <c r="W4" s="4">
        <f>+CON_HAB!W4*K_si!W$2</f>
        <v>0</v>
      </c>
      <c r="X4" s="4">
        <f>+CON_HAB!X4*K_si!X$2</f>
        <v>0</v>
      </c>
      <c r="Y4" s="4">
        <f>+CON_HAB!Y4*K_si!Y$2</f>
        <v>0</v>
      </c>
      <c r="Z4" s="4">
        <f>+CON_HAB!Z4*K_si!Z$2</f>
        <v>0</v>
      </c>
      <c r="AA4" s="4">
        <f>+CON_HAB!AA4*K_si!AA$2</f>
        <v>0</v>
      </c>
      <c r="AB4" s="60">
        <f>+CON_HAB!AB4*K_si!AB$2</f>
        <v>0</v>
      </c>
      <c r="AC4" s="4">
        <f>+CON_HAB!AC4*K_si!AC$2</f>
        <v>0</v>
      </c>
      <c r="AD4" s="4">
        <f>+CON_HAB!AD4*K_si!AD$2</f>
        <v>0</v>
      </c>
      <c r="AE4" s="4">
        <f>+CON_HAB!AE4*K_si!AE$2</f>
        <v>0</v>
      </c>
      <c r="AF4" s="4">
        <f>+CON_HAB!AF4*K_si!AF$2</f>
        <v>0</v>
      </c>
      <c r="AG4" s="4">
        <f>+CON_HAB!AG4*K_si!AG$2</f>
        <v>0</v>
      </c>
      <c r="AH4" s="4">
        <f>+CON_HAB!AH4*K_si!AH$2</f>
        <v>0</v>
      </c>
      <c r="AI4" s="4">
        <f>+CON_HAB!AI4*K_si!AI$2</f>
        <v>0</v>
      </c>
      <c r="AJ4" s="4">
        <f>+CON_HAB!AJ4*K_si!AJ$2</f>
        <v>0</v>
      </c>
      <c r="AK4" s="4">
        <f>+CON_HAB!AK4*K_si!AK$2</f>
        <v>0</v>
      </c>
      <c r="AL4" s="4">
        <f>+CON_HAB!AL4*K_si!AL$2</f>
        <v>0</v>
      </c>
      <c r="AM4" s="4">
        <f>+CON_HAB!AM4*K_si!AM$2</f>
        <v>0</v>
      </c>
      <c r="AN4" s="64">
        <f>+CON_HAB!AN4*K_si!AN$2</f>
        <v>0</v>
      </c>
      <c r="AO4" s="4">
        <f>+CON_HAB!AO4*K_si!AO$2</f>
        <v>0</v>
      </c>
      <c r="AP4" s="4">
        <f>+CON_HAB!AP4*K_si!AP$2</f>
        <v>0</v>
      </c>
      <c r="AQ4" s="4">
        <f>+CON_HAB!AQ4*K_si!AQ$2</f>
        <v>0</v>
      </c>
      <c r="AR4" s="4">
        <f>+CON_HAB!AR4*K_si!AR$2</f>
        <v>0</v>
      </c>
      <c r="AS4" s="4">
        <f>+CON_HAB!AS4*K_si!AS$2</f>
        <v>0</v>
      </c>
      <c r="AT4" s="4">
        <f>+CON_HAB!AT4*K_si!AT$2</f>
        <v>0</v>
      </c>
      <c r="AU4" s="4">
        <f>+CON_HAB!AU4*K_si!AU$2</f>
        <v>0</v>
      </c>
      <c r="AV4" s="60">
        <f>+CON_HAB!AV4*K_si!AV$2</f>
        <v>1</v>
      </c>
      <c r="AW4" s="4">
        <f>+CON_HAB!AW4*K_si!AW$2</f>
        <v>0</v>
      </c>
      <c r="AX4" s="4">
        <f>+CON_HAB!AX4*K_si!AX$2</f>
        <v>0</v>
      </c>
      <c r="AY4" s="64">
        <f>+CON_HAB!AY4*K_si!AY$2</f>
        <v>0</v>
      </c>
      <c r="AZ4" s="60">
        <f>+CON_HAB!AZ4*K_si!AZ$2</f>
        <v>0</v>
      </c>
      <c r="BA4" s="4">
        <f>+CON_HAB!BA4*K_si!BA$2</f>
        <v>0</v>
      </c>
      <c r="BB4" s="4">
        <f>+CON_HAB!BB4*K_si!BB$2</f>
        <v>0</v>
      </c>
      <c r="BC4" s="60">
        <f>+CON_HAB!BC4*K_si!BC$2</f>
        <v>0</v>
      </c>
    </row>
    <row r="5" spans="1:55" ht="18.75" customHeight="1" x14ac:dyDescent="0.25">
      <c r="A5" s="67" t="s">
        <v>41</v>
      </c>
      <c r="B5" s="64">
        <f>+CON_HAB!B5*K_si!B$2</f>
        <v>0</v>
      </c>
      <c r="C5" s="4">
        <f>+CON_HAB!C5*K_si!C$2</f>
        <v>0</v>
      </c>
      <c r="D5" s="4">
        <f>+CON_HAB!D5*K_si!D$2</f>
        <v>0</v>
      </c>
      <c r="E5" s="4">
        <f>+CON_HAB!E5*K_si!E$2</f>
        <v>0</v>
      </c>
      <c r="F5" s="4">
        <f>+CON_HAB!F5*K_si!F$2</f>
        <v>0</v>
      </c>
      <c r="G5" s="4">
        <f>+CON_HAB!G5*K_si!G$2</f>
        <v>0</v>
      </c>
      <c r="H5" s="4">
        <f>+CON_HAB!H5*K_si!H$2</f>
        <v>0</v>
      </c>
      <c r="I5" s="4">
        <f>+CON_HAB!I5*K_si!I$2</f>
        <v>0</v>
      </c>
      <c r="J5" s="4">
        <f>+CON_HAB!J5*K_si!J$2</f>
        <v>0</v>
      </c>
      <c r="K5" s="4">
        <f>+CON_HAB!K5*K_si!K$2</f>
        <v>0</v>
      </c>
      <c r="L5" s="4">
        <f>+CON_HAB!L5*K_si!L$2</f>
        <v>0</v>
      </c>
      <c r="M5" s="4">
        <f>+CON_HAB!M5*K_si!M$2</f>
        <v>0</v>
      </c>
      <c r="N5" s="4">
        <f>+CON_HAB!N5*K_si!N$2</f>
        <v>0</v>
      </c>
      <c r="O5" s="4">
        <f>+CON_HAB!O5*K_si!O$2</f>
        <v>0</v>
      </c>
      <c r="P5" s="4">
        <f>+CON_HAB!P5*K_si!P$2</f>
        <v>1</v>
      </c>
      <c r="Q5" s="4">
        <f>+CON_HAB!Q5*K_si!Q$2</f>
        <v>0</v>
      </c>
      <c r="R5" s="4">
        <f>+CON_HAB!R5*K_si!R$2</f>
        <v>0</v>
      </c>
      <c r="S5" s="64">
        <f>+CON_HAB!S5*K_si!S$2</f>
        <v>0</v>
      </c>
      <c r="T5" s="4">
        <f>+CON_HAB!T5*K_si!T$2</f>
        <v>0</v>
      </c>
      <c r="U5" s="4">
        <f>+CON_HAB!U5*K_si!U$2</f>
        <v>1</v>
      </c>
      <c r="V5" s="4">
        <f>+CON_HAB!V5*K_si!V$2</f>
        <v>0</v>
      </c>
      <c r="W5" s="4">
        <f>+CON_HAB!W5*K_si!W$2</f>
        <v>0</v>
      </c>
      <c r="X5" s="4">
        <f>+CON_HAB!X5*K_si!X$2</f>
        <v>0</v>
      </c>
      <c r="Y5" s="4">
        <f>+CON_HAB!Y5*K_si!Y$2</f>
        <v>1</v>
      </c>
      <c r="Z5" s="4">
        <f>+CON_HAB!Z5*K_si!Z$2</f>
        <v>1</v>
      </c>
      <c r="AA5" s="4">
        <f>+CON_HAB!AA5*K_si!AA$2</f>
        <v>1</v>
      </c>
      <c r="AB5" s="60">
        <f>+CON_HAB!AB5*K_si!AB$2</f>
        <v>0</v>
      </c>
      <c r="AC5" s="4">
        <f>+CON_HAB!AC5*K_si!AC$2</f>
        <v>0</v>
      </c>
      <c r="AD5" s="4">
        <f>+CON_HAB!AD5*K_si!AD$2</f>
        <v>0</v>
      </c>
      <c r="AE5" s="4">
        <f>+CON_HAB!AE5*K_si!AE$2</f>
        <v>0</v>
      </c>
      <c r="AF5" s="4">
        <f>+CON_HAB!AF5*K_si!AF$2</f>
        <v>0</v>
      </c>
      <c r="AG5" s="4">
        <f>+CON_HAB!AG5*K_si!AG$2</f>
        <v>0</v>
      </c>
      <c r="AH5" s="4">
        <f>+CON_HAB!AH5*K_si!AH$2</f>
        <v>0</v>
      </c>
      <c r="AI5" s="4">
        <f>+CON_HAB!AI5*K_si!AI$2</f>
        <v>0</v>
      </c>
      <c r="AJ5" s="4">
        <f>+CON_HAB!AJ5*K_si!AJ$2</f>
        <v>0</v>
      </c>
      <c r="AK5" s="4">
        <f>+CON_HAB!AK5*K_si!AK$2</f>
        <v>0</v>
      </c>
      <c r="AL5" s="4">
        <f>+CON_HAB!AL5*K_si!AL$2</f>
        <v>0</v>
      </c>
      <c r="AM5" s="4">
        <f>+CON_HAB!AM5*K_si!AM$2</f>
        <v>0</v>
      </c>
      <c r="AN5" s="64">
        <f>+CON_HAB!AN5*K_si!AN$2</f>
        <v>0</v>
      </c>
      <c r="AO5" s="4">
        <f>+CON_HAB!AO5*K_si!AO$2</f>
        <v>0</v>
      </c>
      <c r="AP5" s="4">
        <f>+CON_HAB!AP5*K_si!AP$2</f>
        <v>0</v>
      </c>
      <c r="AQ5" s="4">
        <f>+CON_HAB!AQ5*K_si!AQ$2</f>
        <v>0</v>
      </c>
      <c r="AR5" s="4">
        <f>+CON_HAB!AR5*K_si!AR$2</f>
        <v>0</v>
      </c>
      <c r="AS5" s="4">
        <f>+CON_HAB!AS5*K_si!AS$2</f>
        <v>0</v>
      </c>
      <c r="AT5" s="4">
        <f>+CON_HAB!AT5*K_si!AT$2</f>
        <v>0</v>
      </c>
      <c r="AU5" s="4">
        <f>+CON_HAB!AU5*K_si!AU$2</f>
        <v>0</v>
      </c>
      <c r="AV5" s="60">
        <f>+CON_HAB!AV5*K_si!AV$2</f>
        <v>1</v>
      </c>
      <c r="AW5" s="4">
        <f>+CON_HAB!AW5*K_si!AW$2</f>
        <v>0</v>
      </c>
      <c r="AX5" s="4">
        <f>+CON_HAB!AX5*K_si!AX$2</f>
        <v>0</v>
      </c>
      <c r="AY5" s="64">
        <f>+CON_HAB!AY5*K_si!AY$2</f>
        <v>0</v>
      </c>
      <c r="AZ5" s="60">
        <f>+CON_HAB!AZ5*K_si!AZ$2</f>
        <v>0</v>
      </c>
      <c r="BA5" s="4">
        <f>+CON_HAB!BA5*K_si!BA$2</f>
        <v>0</v>
      </c>
      <c r="BB5" s="4">
        <f>+CON_HAB!BB5*K_si!BB$2</f>
        <v>0</v>
      </c>
      <c r="BC5" s="60">
        <f>+CON_HAB!BC5*K_si!BC$2</f>
        <v>0</v>
      </c>
    </row>
    <row r="6" spans="1:55" ht="18.75" customHeight="1" x14ac:dyDescent="0.25">
      <c r="A6" s="67" t="s">
        <v>42</v>
      </c>
      <c r="B6" s="64">
        <f>+CON_HAB!B6*K_si!B$2</f>
        <v>1</v>
      </c>
      <c r="C6" s="4">
        <f>+CON_HAB!C6*K_si!C$2</f>
        <v>1</v>
      </c>
      <c r="D6" s="4">
        <f>+CON_HAB!D6*K_si!D$2</f>
        <v>1</v>
      </c>
      <c r="E6" s="4">
        <f>+CON_HAB!E6*K_si!E$2</f>
        <v>1</v>
      </c>
      <c r="F6" s="4">
        <f>+CON_HAB!F6*K_si!F$2</f>
        <v>0</v>
      </c>
      <c r="G6" s="4">
        <f>+CON_HAB!G6*K_si!G$2</f>
        <v>0</v>
      </c>
      <c r="H6" s="4">
        <f>+CON_HAB!H6*K_si!H$2</f>
        <v>1</v>
      </c>
      <c r="I6" s="4">
        <f>+CON_HAB!I6*K_si!I$2</f>
        <v>1</v>
      </c>
      <c r="J6" s="4">
        <f>+CON_HAB!J6*K_si!J$2</f>
        <v>1</v>
      </c>
      <c r="K6" s="4">
        <f>+CON_HAB!K6*K_si!K$2</f>
        <v>0</v>
      </c>
      <c r="L6" s="4">
        <f>+CON_HAB!L6*K_si!L$2</f>
        <v>1</v>
      </c>
      <c r="M6" s="4">
        <f>+CON_HAB!M6*K_si!M$2</f>
        <v>1</v>
      </c>
      <c r="N6" s="4">
        <f>+CON_HAB!N6*K_si!N$2</f>
        <v>0</v>
      </c>
      <c r="O6" s="4">
        <f>+CON_HAB!O6*K_si!O$2</f>
        <v>0</v>
      </c>
      <c r="P6" s="4">
        <f>+CON_HAB!P6*K_si!P$2</f>
        <v>1</v>
      </c>
      <c r="Q6" s="4">
        <f>+CON_HAB!Q6*K_si!Q$2</f>
        <v>0</v>
      </c>
      <c r="R6" s="4">
        <f>+CON_HAB!R6*K_si!R$2</f>
        <v>1</v>
      </c>
      <c r="S6" s="64">
        <f>+CON_HAB!S6*K_si!S$2</f>
        <v>0</v>
      </c>
      <c r="T6" s="4">
        <f>+CON_HAB!T6*K_si!T$2</f>
        <v>0</v>
      </c>
      <c r="U6" s="4">
        <f>+CON_HAB!U6*K_si!U$2</f>
        <v>0</v>
      </c>
      <c r="V6" s="4">
        <f>+CON_HAB!V6*K_si!V$2</f>
        <v>0</v>
      </c>
      <c r="W6" s="4">
        <f>+CON_HAB!W6*K_si!W$2</f>
        <v>0</v>
      </c>
      <c r="X6" s="4">
        <f>+CON_HAB!X6*K_si!X$2</f>
        <v>0</v>
      </c>
      <c r="Y6" s="4">
        <f>+CON_HAB!Y6*K_si!Y$2</f>
        <v>0</v>
      </c>
      <c r="Z6" s="4">
        <f>+CON_HAB!Z6*K_si!Z$2</f>
        <v>0</v>
      </c>
      <c r="AA6" s="4">
        <f>+CON_HAB!AA6*K_si!AA$2</f>
        <v>0</v>
      </c>
      <c r="AB6" s="60">
        <f>+CON_HAB!AB6*K_si!AB$2</f>
        <v>0</v>
      </c>
      <c r="AC6" s="4">
        <f>+CON_HAB!AC6*K_si!AC$2</f>
        <v>0</v>
      </c>
      <c r="AD6" s="4">
        <f>+CON_HAB!AD6*K_si!AD$2</f>
        <v>0</v>
      </c>
      <c r="AE6" s="4">
        <f>+CON_HAB!AE6*K_si!AE$2</f>
        <v>0</v>
      </c>
      <c r="AF6" s="4">
        <f>+CON_HAB!AF6*K_si!AF$2</f>
        <v>0</v>
      </c>
      <c r="AG6" s="4">
        <f>+CON_HAB!AG6*K_si!AG$2</f>
        <v>0</v>
      </c>
      <c r="AH6" s="4">
        <f>+CON_HAB!AH6*K_si!AH$2</f>
        <v>0</v>
      </c>
      <c r="AI6" s="4">
        <f>+CON_HAB!AI6*K_si!AI$2</f>
        <v>0</v>
      </c>
      <c r="AJ6" s="4">
        <f>+CON_HAB!AJ6*K_si!AJ$2</f>
        <v>0</v>
      </c>
      <c r="AK6" s="4">
        <f>+CON_HAB!AK6*K_si!AK$2</f>
        <v>0</v>
      </c>
      <c r="AL6" s="4">
        <f>+CON_HAB!AL6*K_si!AL$2</f>
        <v>0</v>
      </c>
      <c r="AM6" s="4">
        <f>+CON_HAB!AM6*K_si!AM$2</f>
        <v>0</v>
      </c>
      <c r="AN6" s="64">
        <f>+CON_HAB!AN6*K_si!AN$2</f>
        <v>0</v>
      </c>
      <c r="AO6" s="4">
        <f>+CON_HAB!AO6*K_si!AO$2</f>
        <v>0</v>
      </c>
      <c r="AP6" s="4">
        <f>+CON_HAB!AP6*K_si!AP$2</f>
        <v>0</v>
      </c>
      <c r="AQ6" s="4">
        <f>+CON_HAB!AQ6*K_si!AQ$2</f>
        <v>0</v>
      </c>
      <c r="AR6" s="4">
        <f>+CON_HAB!AR6*K_si!AR$2</f>
        <v>0</v>
      </c>
      <c r="AS6" s="4">
        <f>+CON_HAB!AS6*K_si!AS$2</f>
        <v>0</v>
      </c>
      <c r="AT6" s="4">
        <f>+CON_HAB!AT6*K_si!AT$2</f>
        <v>0</v>
      </c>
      <c r="AU6" s="4">
        <f>+CON_HAB!AU6*K_si!AU$2</f>
        <v>0</v>
      </c>
      <c r="AV6" s="60">
        <f>+CON_HAB!AV6*K_si!AV$2</f>
        <v>1</v>
      </c>
      <c r="AW6" s="4">
        <f>+CON_HAB!AW6*K_si!AW$2</f>
        <v>0</v>
      </c>
      <c r="AX6" s="4">
        <f>+CON_HAB!AX6*K_si!AX$2</f>
        <v>0</v>
      </c>
      <c r="AY6" s="64">
        <f>+CON_HAB!AY6*K_si!AY$2</f>
        <v>0</v>
      </c>
      <c r="AZ6" s="60">
        <f>+CON_HAB!AZ6*K_si!AZ$2</f>
        <v>0</v>
      </c>
      <c r="BA6" s="4">
        <f>+CON_HAB!BA6*K_si!BA$2</f>
        <v>0</v>
      </c>
      <c r="BB6" s="4">
        <f>+CON_HAB!BB6*K_si!BB$2</f>
        <v>0</v>
      </c>
      <c r="BC6" s="60">
        <f>+CON_HAB!BC6*K_si!BC$2</f>
        <v>0</v>
      </c>
    </row>
    <row r="7" spans="1:55" ht="18.75" customHeight="1" x14ac:dyDescent="0.25">
      <c r="A7" s="67" t="s">
        <v>43</v>
      </c>
      <c r="B7" s="64">
        <f>+CON_HAB!B7*K_si!B$2</f>
        <v>0</v>
      </c>
      <c r="C7" s="4">
        <f>+CON_HAB!C7*K_si!C$2</f>
        <v>0</v>
      </c>
      <c r="D7" s="4">
        <f>+CON_HAB!D7*K_si!D$2</f>
        <v>0</v>
      </c>
      <c r="E7" s="4">
        <f>+CON_HAB!E7*K_si!E$2</f>
        <v>0</v>
      </c>
      <c r="F7" s="4">
        <f>+CON_HAB!F7*K_si!F$2</f>
        <v>0</v>
      </c>
      <c r="G7" s="4">
        <f>+CON_HAB!G7*K_si!G$2</f>
        <v>0</v>
      </c>
      <c r="H7" s="4">
        <f>+CON_HAB!H7*K_si!H$2</f>
        <v>0</v>
      </c>
      <c r="I7" s="4">
        <f>+CON_HAB!I7*K_si!I$2</f>
        <v>0</v>
      </c>
      <c r="J7" s="4">
        <f>+CON_HAB!J7*K_si!J$2</f>
        <v>0</v>
      </c>
      <c r="K7" s="4">
        <f>+CON_HAB!K7*K_si!K$2</f>
        <v>0</v>
      </c>
      <c r="L7" s="4">
        <f>+CON_HAB!L7*K_si!L$2</f>
        <v>0</v>
      </c>
      <c r="M7" s="4">
        <f>+CON_HAB!M7*K_si!M$2</f>
        <v>0</v>
      </c>
      <c r="N7" s="4">
        <f>+CON_HAB!N7*K_si!N$2</f>
        <v>0</v>
      </c>
      <c r="O7" s="4">
        <f>+CON_HAB!O7*K_si!O$2</f>
        <v>0</v>
      </c>
      <c r="P7" s="4">
        <f>+CON_HAB!P7*K_si!P$2</f>
        <v>1</v>
      </c>
      <c r="Q7" s="4">
        <f>+CON_HAB!Q7*K_si!Q$2</f>
        <v>0</v>
      </c>
      <c r="R7" s="4">
        <f>+CON_HAB!R7*K_si!R$2</f>
        <v>0</v>
      </c>
      <c r="S7" s="64">
        <f>+CON_HAB!S7*K_si!S$2</f>
        <v>0</v>
      </c>
      <c r="T7" s="4">
        <f>+CON_HAB!T7*K_si!T$2</f>
        <v>0</v>
      </c>
      <c r="U7" s="4">
        <f>+CON_HAB!U7*K_si!U$2</f>
        <v>1</v>
      </c>
      <c r="V7" s="4">
        <f>+CON_HAB!V7*K_si!V$2</f>
        <v>0</v>
      </c>
      <c r="W7" s="4">
        <f>+CON_HAB!W7*K_si!W$2</f>
        <v>0</v>
      </c>
      <c r="X7" s="4">
        <f>+CON_HAB!X7*K_si!X$2</f>
        <v>0</v>
      </c>
      <c r="Y7" s="4">
        <f>+CON_HAB!Y7*K_si!Y$2</f>
        <v>1</v>
      </c>
      <c r="Z7" s="4">
        <f>+CON_HAB!Z7*K_si!Z$2</f>
        <v>1</v>
      </c>
      <c r="AA7" s="4">
        <f>+CON_HAB!AA7*K_si!AA$2</f>
        <v>1</v>
      </c>
      <c r="AB7" s="60">
        <f>+CON_HAB!AB7*K_si!AB$2</f>
        <v>0</v>
      </c>
      <c r="AC7" s="4">
        <f>+CON_HAB!AC7*K_si!AC$2</f>
        <v>0</v>
      </c>
      <c r="AD7" s="4">
        <f>+CON_HAB!AD7*K_si!AD$2</f>
        <v>0</v>
      </c>
      <c r="AE7" s="4">
        <f>+CON_HAB!AE7*K_si!AE$2</f>
        <v>0</v>
      </c>
      <c r="AF7" s="4">
        <f>+CON_HAB!AF7*K_si!AF$2</f>
        <v>0</v>
      </c>
      <c r="AG7" s="4">
        <f>+CON_HAB!AG7*K_si!AG$2</f>
        <v>0</v>
      </c>
      <c r="AH7" s="4">
        <f>+CON_HAB!AH7*K_si!AH$2</f>
        <v>0</v>
      </c>
      <c r="AI7" s="4">
        <f>+CON_HAB!AI7*K_si!AI$2</f>
        <v>0</v>
      </c>
      <c r="AJ7" s="4">
        <f>+CON_HAB!AJ7*K_si!AJ$2</f>
        <v>0</v>
      </c>
      <c r="AK7" s="4">
        <f>+CON_HAB!AK7*K_si!AK$2</f>
        <v>0</v>
      </c>
      <c r="AL7" s="4">
        <f>+CON_HAB!AL7*K_si!AL$2</f>
        <v>0</v>
      </c>
      <c r="AM7" s="4">
        <f>+CON_HAB!AM7*K_si!AM$2</f>
        <v>0</v>
      </c>
      <c r="AN7" s="64">
        <f>+CON_HAB!AN7*K_si!AN$2</f>
        <v>0</v>
      </c>
      <c r="AO7" s="4">
        <f>+CON_HAB!AO7*K_si!AO$2</f>
        <v>0</v>
      </c>
      <c r="AP7" s="4">
        <f>+CON_HAB!AP7*K_si!AP$2</f>
        <v>0</v>
      </c>
      <c r="AQ7" s="4">
        <f>+CON_HAB!AQ7*K_si!AQ$2</f>
        <v>0</v>
      </c>
      <c r="AR7" s="4">
        <f>+CON_HAB!AR7*K_si!AR$2</f>
        <v>0</v>
      </c>
      <c r="AS7" s="4">
        <f>+CON_HAB!AS7*K_si!AS$2</f>
        <v>0</v>
      </c>
      <c r="AT7" s="4">
        <f>+CON_HAB!AT7*K_si!AT$2</f>
        <v>0</v>
      </c>
      <c r="AU7" s="4">
        <f>+CON_HAB!AU7*K_si!AU$2</f>
        <v>0</v>
      </c>
      <c r="AV7" s="60">
        <f>+CON_HAB!AV7*K_si!AV$2</f>
        <v>1</v>
      </c>
      <c r="AW7" s="4">
        <f>+CON_HAB!AW7*K_si!AW$2</f>
        <v>0</v>
      </c>
      <c r="AX7" s="4">
        <f>+CON_HAB!AX7*K_si!AX$2</f>
        <v>0</v>
      </c>
      <c r="AY7" s="64">
        <f>+CON_HAB!AY7*K_si!AY$2</f>
        <v>0</v>
      </c>
      <c r="AZ7" s="60">
        <f>+CON_HAB!AZ7*K_si!AZ$2</f>
        <v>0</v>
      </c>
      <c r="BA7" s="4">
        <f>+CON_HAB!BA7*K_si!BA$2</f>
        <v>0</v>
      </c>
      <c r="BB7" s="4">
        <f>+CON_HAB!BB7*K_si!BB$2</f>
        <v>0</v>
      </c>
      <c r="BC7" s="60">
        <f>+CON_HAB!BC7*K_si!BC$2</f>
        <v>0</v>
      </c>
    </row>
    <row r="8" spans="1:55" ht="18.75" customHeight="1" x14ac:dyDescent="0.25">
      <c r="A8" s="67" t="s">
        <v>44</v>
      </c>
      <c r="B8" s="64">
        <f>+CON_HAB!B8*K_si!B$2</f>
        <v>0</v>
      </c>
      <c r="C8" s="4">
        <f>+CON_HAB!C8*K_si!C$2</f>
        <v>0</v>
      </c>
      <c r="D8" s="4">
        <f>+CON_HAB!D8*K_si!D$2</f>
        <v>0</v>
      </c>
      <c r="E8" s="4">
        <f>+CON_HAB!E8*K_si!E$2</f>
        <v>0</v>
      </c>
      <c r="F8" s="4">
        <f>+CON_HAB!F8*K_si!F$2</f>
        <v>0</v>
      </c>
      <c r="G8" s="4">
        <f>+CON_HAB!G8*K_si!G$2</f>
        <v>0</v>
      </c>
      <c r="H8" s="4">
        <f>+CON_HAB!H8*K_si!H$2</f>
        <v>0</v>
      </c>
      <c r="I8" s="4">
        <f>+CON_HAB!I8*K_si!I$2</f>
        <v>0</v>
      </c>
      <c r="J8" s="4">
        <f>+CON_HAB!J8*K_si!J$2</f>
        <v>0</v>
      </c>
      <c r="K8" s="4">
        <f>+CON_HAB!K8*K_si!K$2</f>
        <v>0</v>
      </c>
      <c r="L8" s="4">
        <f>+CON_HAB!L8*K_si!L$2</f>
        <v>0</v>
      </c>
      <c r="M8" s="4">
        <f>+CON_HAB!M8*K_si!M$2</f>
        <v>0</v>
      </c>
      <c r="N8" s="4">
        <f>+CON_HAB!N8*K_si!N$2</f>
        <v>0</v>
      </c>
      <c r="O8" s="4">
        <f>+CON_HAB!O8*K_si!O$2</f>
        <v>0</v>
      </c>
      <c r="P8" s="4">
        <f>+CON_HAB!P8*K_si!P$2</f>
        <v>1</v>
      </c>
      <c r="Q8" s="4">
        <f>+CON_HAB!Q8*K_si!Q$2</f>
        <v>0</v>
      </c>
      <c r="R8" s="4">
        <f>+CON_HAB!R8*K_si!R$2</f>
        <v>0</v>
      </c>
      <c r="S8" s="64">
        <f>+CON_HAB!S8*K_si!S$2</f>
        <v>0</v>
      </c>
      <c r="T8" s="4">
        <f>+CON_HAB!T8*K_si!T$2</f>
        <v>0</v>
      </c>
      <c r="U8" s="4">
        <f>+CON_HAB!U8*K_si!U$2</f>
        <v>1</v>
      </c>
      <c r="V8" s="4">
        <f>+CON_HAB!V8*K_si!V$2</f>
        <v>0</v>
      </c>
      <c r="W8" s="4">
        <f>+CON_HAB!W8*K_si!W$2</f>
        <v>0</v>
      </c>
      <c r="X8" s="4">
        <f>+CON_HAB!X8*K_si!X$2</f>
        <v>0</v>
      </c>
      <c r="Y8" s="4">
        <f>+CON_HAB!Y8*K_si!Y$2</f>
        <v>1</v>
      </c>
      <c r="Z8" s="4">
        <f>+CON_HAB!Z8*K_si!Z$2</f>
        <v>1</v>
      </c>
      <c r="AA8" s="4">
        <f>+CON_HAB!AA8*K_si!AA$2</f>
        <v>1</v>
      </c>
      <c r="AB8" s="60">
        <f>+CON_HAB!AB8*K_si!AB$2</f>
        <v>0</v>
      </c>
      <c r="AC8" s="4">
        <f>+CON_HAB!AC8*K_si!AC$2</f>
        <v>0</v>
      </c>
      <c r="AD8" s="4">
        <f>+CON_HAB!AD8*K_si!AD$2</f>
        <v>0</v>
      </c>
      <c r="AE8" s="4">
        <f>+CON_HAB!AE8*K_si!AE$2</f>
        <v>0</v>
      </c>
      <c r="AF8" s="4">
        <f>+CON_HAB!AF8*K_si!AF$2</f>
        <v>0</v>
      </c>
      <c r="AG8" s="4">
        <f>+CON_HAB!AG8*K_si!AG$2</f>
        <v>0</v>
      </c>
      <c r="AH8" s="4">
        <f>+CON_HAB!AH8*K_si!AH$2</f>
        <v>0</v>
      </c>
      <c r="AI8" s="4">
        <f>+CON_HAB!AI8*K_si!AI$2</f>
        <v>0</v>
      </c>
      <c r="AJ8" s="4">
        <f>+CON_HAB!AJ8*K_si!AJ$2</f>
        <v>0</v>
      </c>
      <c r="AK8" s="4">
        <f>+CON_HAB!AK8*K_si!AK$2</f>
        <v>0</v>
      </c>
      <c r="AL8" s="4">
        <f>+CON_HAB!AL8*K_si!AL$2</f>
        <v>0</v>
      </c>
      <c r="AM8" s="4">
        <f>+CON_HAB!AM8*K_si!AM$2</f>
        <v>0</v>
      </c>
      <c r="AN8" s="64">
        <f>+CON_HAB!AN8*K_si!AN$2</f>
        <v>0</v>
      </c>
      <c r="AO8" s="4">
        <f>+CON_HAB!AO8*K_si!AO$2</f>
        <v>0</v>
      </c>
      <c r="AP8" s="4">
        <f>+CON_HAB!AP8*K_si!AP$2</f>
        <v>0</v>
      </c>
      <c r="AQ8" s="4">
        <f>+CON_HAB!AQ8*K_si!AQ$2</f>
        <v>0</v>
      </c>
      <c r="AR8" s="4">
        <f>+CON_HAB!AR8*K_si!AR$2</f>
        <v>0</v>
      </c>
      <c r="AS8" s="4">
        <f>+CON_HAB!AS8*K_si!AS$2</f>
        <v>0</v>
      </c>
      <c r="AT8" s="4">
        <f>+CON_HAB!AT8*K_si!AT$2</f>
        <v>0</v>
      </c>
      <c r="AU8" s="4">
        <f>+CON_HAB!AU8*K_si!AU$2</f>
        <v>0</v>
      </c>
      <c r="AV8" s="60">
        <f>+CON_HAB!AV8*K_si!AV$2</f>
        <v>1</v>
      </c>
      <c r="AW8" s="4">
        <f>+CON_HAB!AW8*K_si!AW$2</f>
        <v>0</v>
      </c>
      <c r="AX8" s="4">
        <f>+CON_HAB!AX8*K_si!AX$2</f>
        <v>0</v>
      </c>
      <c r="AY8" s="64">
        <f>+CON_HAB!AY8*K_si!AY$2</f>
        <v>0</v>
      </c>
      <c r="AZ8" s="60">
        <f>+CON_HAB!AZ8*K_si!AZ$2</f>
        <v>0</v>
      </c>
      <c r="BA8" s="4">
        <f>+CON_HAB!BA8*K_si!BA$2</f>
        <v>0</v>
      </c>
      <c r="BB8" s="4">
        <f>+CON_HAB!BB8*K_si!BB$2</f>
        <v>0</v>
      </c>
      <c r="BC8" s="60">
        <f>+CON_HAB!BC8*K_si!BC$2</f>
        <v>0</v>
      </c>
    </row>
    <row r="9" spans="1:55" ht="18.75" customHeight="1" x14ac:dyDescent="0.25">
      <c r="A9" s="67" t="s">
        <v>45</v>
      </c>
      <c r="B9" s="64">
        <f>+CON_HAB!B9*K_si!B$2</f>
        <v>1</v>
      </c>
      <c r="C9" s="4">
        <f>+CON_HAB!C9*K_si!C$2</f>
        <v>1</v>
      </c>
      <c r="D9" s="4">
        <f>+CON_HAB!D9*K_si!D$2</f>
        <v>1</v>
      </c>
      <c r="E9" s="4">
        <f>+CON_HAB!E9*K_si!E$2</f>
        <v>1</v>
      </c>
      <c r="F9" s="4">
        <f>+CON_HAB!F9*K_si!F$2</f>
        <v>0</v>
      </c>
      <c r="G9" s="4">
        <f>+CON_HAB!G9*K_si!G$2</f>
        <v>0</v>
      </c>
      <c r="H9" s="4">
        <f>+CON_HAB!H9*K_si!H$2</f>
        <v>1</v>
      </c>
      <c r="I9" s="4">
        <f>+CON_HAB!I9*K_si!I$2</f>
        <v>1</v>
      </c>
      <c r="J9" s="4">
        <f>+CON_HAB!J9*K_si!J$2</f>
        <v>1</v>
      </c>
      <c r="K9" s="4">
        <f>+CON_HAB!K9*K_si!K$2</f>
        <v>0</v>
      </c>
      <c r="L9" s="4">
        <f>+CON_HAB!L9*K_si!L$2</f>
        <v>1</v>
      </c>
      <c r="M9" s="4">
        <f>+CON_HAB!M9*K_si!M$2</f>
        <v>1</v>
      </c>
      <c r="N9" s="4">
        <f>+CON_HAB!N9*K_si!N$2</f>
        <v>0</v>
      </c>
      <c r="O9" s="4">
        <f>+CON_HAB!O9*K_si!O$2</f>
        <v>0</v>
      </c>
      <c r="P9" s="4">
        <f>+CON_HAB!P9*K_si!P$2</f>
        <v>1</v>
      </c>
      <c r="Q9" s="4">
        <f>+CON_HAB!Q9*K_si!Q$2</f>
        <v>0</v>
      </c>
      <c r="R9" s="4">
        <f>+CON_HAB!R9*K_si!R$2</f>
        <v>1</v>
      </c>
      <c r="S9" s="64">
        <f>+CON_HAB!S9*K_si!S$2</f>
        <v>0</v>
      </c>
      <c r="T9" s="4">
        <f>+CON_HAB!T9*K_si!T$2</f>
        <v>0</v>
      </c>
      <c r="U9" s="4">
        <f>+CON_HAB!U9*K_si!U$2</f>
        <v>0</v>
      </c>
      <c r="V9" s="4">
        <f>+CON_HAB!V9*K_si!V$2</f>
        <v>0</v>
      </c>
      <c r="W9" s="4">
        <f>+CON_HAB!W9*K_si!W$2</f>
        <v>0</v>
      </c>
      <c r="X9" s="4">
        <f>+CON_HAB!X9*K_si!X$2</f>
        <v>0</v>
      </c>
      <c r="Y9" s="4">
        <f>+CON_HAB!Y9*K_si!Y$2</f>
        <v>0</v>
      </c>
      <c r="Z9" s="4">
        <f>+CON_HAB!Z9*K_si!Z$2</f>
        <v>0</v>
      </c>
      <c r="AA9" s="4">
        <f>+CON_HAB!AA9*K_si!AA$2</f>
        <v>0</v>
      </c>
      <c r="AB9" s="60">
        <f>+CON_HAB!AB9*K_si!AB$2</f>
        <v>0</v>
      </c>
      <c r="AC9" s="4">
        <f>+CON_HAB!AC9*K_si!AC$2</f>
        <v>0</v>
      </c>
      <c r="AD9" s="4">
        <f>+CON_HAB!AD9*K_si!AD$2</f>
        <v>0</v>
      </c>
      <c r="AE9" s="4">
        <f>+CON_HAB!AE9*K_si!AE$2</f>
        <v>0</v>
      </c>
      <c r="AF9" s="4">
        <f>+CON_HAB!AF9*K_si!AF$2</f>
        <v>0</v>
      </c>
      <c r="AG9" s="4">
        <f>+CON_HAB!AG9*K_si!AG$2</f>
        <v>0</v>
      </c>
      <c r="AH9" s="4">
        <f>+CON_HAB!AH9*K_si!AH$2</f>
        <v>0</v>
      </c>
      <c r="AI9" s="4">
        <f>+CON_HAB!AI9*K_si!AI$2</f>
        <v>0</v>
      </c>
      <c r="AJ9" s="4">
        <f>+CON_HAB!AJ9*K_si!AJ$2</f>
        <v>0</v>
      </c>
      <c r="AK9" s="4">
        <f>+CON_HAB!AK9*K_si!AK$2</f>
        <v>0</v>
      </c>
      <c r="AL9" s="4">
        <f>+CON_HAB!AL9*K_si!AL$2</f>
        <v>0</v>
      </c>
      <c r="AM9" s="4">
        <f>+CON_HAB!AM9*K_si!AM$2</f>
        <v>0</v>
      </c>
      <c r="AN9" s="64">
        <f>+CON_HAB!AN9*K_si!AN$2</f>
        <v>0</v>
      </c>
      <c r="AO9" s="4">
        <f>+CON_HAB!AO9*K_si!AO$2</f>
        <v>0</v>
      </c>
      <c r="AP9" s="4">
        <f>+CON_HAB!AP9*K_si!AP$2</f>
        <v>0</v>
      </c>
      <c r="AQ9" s="4">
        <f>+CON_HAB!AQ9*K_si!AQ$2</f>
        <v>0</v>
      </c>
      <c r="AR9" s="4">
        <f>+CON_HAB!AR9*K_si!AR$2</f>
        <v>0</v>
      </c>
      <c r="AS9" s="4">
        <f>+CON_HAB!AS9*K_si!AS$2</f>
        <v>0</v>
      </c>
      <c r="AT9" s="4">
        <f>+CON_HAB!AT9*K_si!AT$2</f>
        <v>0</v>
      </c>
      <c r="AU9" s="4">
        <f>+CON_HAB!AU9*K_si!AU$2</f>
        <v>0</v>
      </c>
      <c r="AV9" s="60">
        <f>+CON_HAB!AV9*K_si!AV$2</f>
        <v>1</v>
      </c>
      <c r="AW9" s="4">
        <f>+CON_HAB!AW9*K_si!AW$2</f>
        <v>0</v>
      </c>
      <c r="AX9" s="4">
        <f>+CON_HAB!AX9*K_si!AX$2</f>
        <v>0</v>
      </c>
      <c r="AY9" s="64">
        <f>+CON_HAB!AY9*K_si!AY$2</f>
        <v>0</v>
      </c>
      <c r="AZ9" s="60">
        <f>+CON_HAB!AZ9*K_si!AZ$2</f>
        <v>0</v>
      </c>
      <c r="BA9" s="4">
        <f>+CON_HAB!BA9*K_si!BA$2</f>
        <v>0</v>
      </c>
      <c r="BB9" s="4">
        <f>+CON_HAB!BB9*K_si!BB$2</f>
        <v>0</v>
      </c>
      <c r="BC9" s="60">
        <f>+CON_HAB!BC9*K_si!BC$2</f>
        <v>0</v>
      </c>
    </row>
    <row r="10" spans="1:55" ht="18.75" customHeight="1" x14ac:dyDescent="0.25">
      <c r="A10" s="67" t="s">
        <v>46</v>
      </c>
      <c r="B10" s="64">
        <f>+CON_HAB!B10*K_si!B$2</f>
        <v>0</v>
      </c>
      <c r="C10" s="4">
        <f>+CON_HAB!C10*K_si!C$2</f>
        <v>0</v>
      </c>
      <c r="D10" s="4">
        <f>+CON_HAB!D10*K_si!D$2</f>
        <v>0</v>
      </c>
      <c r="E10" s="4">
        <f>+CON_HAB!E10*K_si!E$2</f>
        <v>0</v>
      </c>
      <c r="F10" s="4">
        <f>+CON_HAB!F10*K_si!F$2</f>
        <v>0</v>
      </c>
      <c r="G10" s="4">
        <f>+CON_HAB!G10*K_si!G$2</f>
        <v>0</v>
      </c>
      <c r="H10" s="4">
        <f>+CON_HAB!H10*K_si!H$2</f>
        <v>0</v>
      </c>
      <c r="I10" s="4">
        <f>+CON_HAB!I10*K_si!I$2</f>
        <v>0</v>
      </c>
      <c r="J10" s="4">
        <f>+CON_HAB!J10*K_si!J$2</f>
        <v>0</v>
      </c>
      <c r="K10" s="4">
        <f>+CON_HAB!K10*K_si!K$2</f>
        <v>0</v>
      </c>
      <c r="L10" s="4">
        <f>+CON_HAB!L10*K_si!L$2</f>
        <v>0</v>
      </c>
      <c r="M10" s="4">
        <f>+CON_HAB!M10*K_si!M$2</f>
        <v>0</v>
      </c>
      <c r="N10" s="4">
        <f>+CON_HAB!N10*K_si!N$2</f>
        <v>0</v>
      </c>
      <c r="O10" s="4">
        <f>+CON_HAB!O10*K_si!O$2</f>
        <v>0</v>
      </c>
      <c r="P10" s="4">
        <f>+CON_HAB!P10*K_si!P$2</f>
        <v>0</v>
      </c>
      <c r="Q10" s="4">
        <f>+CON_HAB!Q10*K_si!Q$2</f>
        <v>0</v>
      </c>
      <c r="R10" s="4">
        <f>+CON_HAB!R10*K_si!R$2</f>
        <v>0</v>
      </c>
      <c r="S10" s="64">
        <f>+CON_HAB!S10*K_si!S$2</f>
        <v>0</v>
      </c>
      <c r="T10" s="4">
        <f>+CON_HAB!T10*K_si!T$2</f>
        <v>0</v>
      </c>
      <c r="U10" s="4">
        <f>+CON_HAB!U10*K_si!U$2</f>
        <v>0</v>
      </c>
      <c r="V10" s="4">
        <f>+CON_HAB!V10*K_si!V$2</f>
        <v>0</v>
      </c>
      <c r="W10" s="4">
        <f>+CON_HAB!W10*K_si!W$2</f>
        <v>0</v>
      </c>
      <c r="X10" s="4">
        <f>+CON_HAB!X10*K_si!X$2</f>
        <v>0</v>
      </c>
      <c r="Y10" s="4">
        <f>+CON_HAB!Y10*K_si!Y$2</f>
        <v>0</v>
      </c>
      <c r="Z10" s="4">
        <f>+CON_HAB!Z10*K_si!Z$2</f>
        <v>0</v>
      </c>
      <c r="AA10" s="4">
        <f>+CON_HAB!AA10*K_si!AA$2</f>
        <v>0</v>
      </c>
      <c r="AB10" s="60">
        <f>+CON_HAB!AB10*K_si!AB$2</f>
        <v>0</v>
      </c>
      <c r="AC10" s="4">
        <f>+CON_HAB!AC10*K_si!AC$2</f>
        <v>0</v>
      </c>
      <c r="AD10" s="4">
        <f>+CON_HAB!AD10*K_si!AD$2</f>
        <v>0</v>
      </c>
      <c r="AE10" s="4">
        <f>+CON_HAB!AE10*K_si!AE$2</f>
        <v>0</v>
      </c>
      <c r="AF10" s="4">
        <f>+CON_HAB!AF10*K_si!AF$2</f>
        <v>0</v>
      </c>
      <c r="AG10" s="4">
        <f>+CON_HAB!AG10*K_si!AG$2</f>
        <v>0</v>
      </c>
      <c r="AH10" s="4">
        <f>+CON_HAB!AH10*K_si!AH$2</f>
        <v>0</v>
      </c>
      <c r="AI10" s="4">
        <f>+CON_HAB!AI10*K_si!AI$2</f>
        <v>0</v>
      </c>
      <c r="AJ10" s="4">
        <f>+CON_HAB!AJ10*K_si!AJ$2</f>
        <v>0</v>
      </c>
      <c r="AK10" s="4">
        <f>+CON_HAB!AK10*K_si!AK$2</f>
        <v>0</v>
      </c>
      <c r="AL10" s="4">
        <f>+CON_HAB!AL10*K_si!AL$2</f>
        <v>0</v>
      </c>
      <c r="AM10" s="4">
        <f>+CON_HAB!AM10*K_si!AM$2</f>
        <v>0</v>
      </c>
      <c r="AN10" s="64">
        <f>+CON_HAB!AN10*K_si!AN$2</f>
        <v>1</v>
      </c>
      <c r="AO10" s="4">
        <f>+CON_HAB!AO10*K_si!AO$2</f>
        <v>1</v>
      </c>
      <c r="AP10" s="4">
        <f>+CON_HAB!AP10*K_si!AP$2</f>
        <v>1</v>
      </c>
      <c r="AQ10" s="4">
        <f>+CON_HAB!AQ10*K_si!AQ$2</f>
        <v>1</v>
      </c>
      <c r="AR10" s="4">
        <f>+CON_HAB!AR10*K_si!AR$2</f>
        <v>0</v>
      </c>
      <c r="AS10" s="4">
        <f>+CON_HAB!AS10*K_si!AS$2</f>
        <v>1</v>
      </c>
      <c r="AT10" s="4">
        <f>+CON_HAB!AT10*K_si!AT$2</f>
        <v>1</v>
      </c>
      <c r="AU10" s="4">
        <f>+CON_HAB!AU10*K_si!AU$2</f>
        <v>1</v>
      </c>
      <c r="AV10" s="60">
        <f>+CON_HAB!AV10*K_si!AV$2</f>
        <v>0</v>
      </c>
      <c r="AW10" s="4">
        <f>+CON_HAB!AW10*K_si!AW$2</f>
        <v>0</v>
      </c>
      <c r="AX10" s="4">
        <f>+CON_HAB!AX10*K_si!AX$2</f>
        <v>0</v>
      </c>
      <c r="AY10" s="64">
        <f>+CON_HAB!AY10*K_si!AY$2</f>
        <v>0</v>
      </c>
      <c r="AZ10" s="60">
        <f>+CON_HAB!AZ10*K_si!AZ$2</f>
        <v>0</v>
      </c>
      <c r="BA10" s="4">
        <f>+CON_HAB!BA10*K_si!BA$2</f>
        <v>0</v>
      </c>
      <c r="BB10" s="4">
        <f>+CON_HAB!BB10*K_si!BB$2</f>
        <v>0</v>
      </c>
      <c r="BC10" s="60">
        <f>+CON_HAB!BC10*K_si!BC$2</f>
        <v>0</v>
      </c>
    </row>
    <row r="11" spans="1:55" ht="18.75" customHeight="1" x14ac:dyDescent="0.25">
      <c r="A11" s="67" t="s">
        <v>108</v>
      </c>
      <c r="B11" s="64">
        <f>+CON_HAB!B11*K_si!B$2</f>
        <v>0</v>
      </c>
      <c r="C11" s="4">
        <f>+CON_HAB!C11*K_si!C$2</f>
        <v>0</v>
      </c>
      <c r="D11" s="4">
        <f>+CON_HAB!D11*K_si!D$2</f>
        <v>0</v>
      </c>
      <c r="E11" s="4">
        <f>+CON_HAB!E11*K_si!E$2</f>
        <v>0</v>
      </c>
      <c r="F11" s="4">
        <f>+CON_HAB!F11*K_si!F$2</f>
        <v>0</v>
      </c>
      <c r="G11" s="4">
        <f>+CON_HAB!G11*K_si!G$2</f>
        <v>0</v>
      </c>
      <c r="H11" s="4">
        <f>+CON_HAB!H11*K_si!H$2</f>
        <v>0</v>
      </c>
      <c r="I11" s="4">
        <f>+CON_HAB!I11*K_si!I$2</f>
        <v>0</v>
      </c>
      <c r="J11" s="4">
        <f>+CON_HAB!J11*K_si!J$2</f>
        <v>0</v>
      </c>
      <c r="K11" s="4">
        <f>+CON_HAB!K11*K_si!K$2</f>
        <v>0</v>
      </c>
      <c r="L11" s="4">
        <f>+CON_HAB!L11*K_si!L$2</f>
        <v>0</v>
      </c>
      <c r="M11" s="4">
        <f>+CON_HAB!M11*K_si!M$2</f>
        <v>0</v>
      </c>
      <c r="N11" s="4">
        <f>+CON_HAB!N11*K_si!N$2</f>
        <v>0</v>
      </c>
      <c r="O11" s="4">
        <f>+CON_HAB!O11*K_si!O$2</f>
        <v>0</v>
      </c>
      <c r="P11" s="4">
        <f>+CON_HAB!P11*K_si!P$2</f>
        <v>0</v>
      </c>
      <c r="Q11" s="4">
        <f>+CON_HAB!Q11*K_si!Q$2</f>
        <v>0</v>
      </c>
      <c r="R11" s="4">
        <f>+CON_HAB!R11*K_si!R$2</f>
        <v>0</v>
      </c>
      <c r="S11" s="64">
        <f>+CON_HAB!S11*K_si!S$2</f>
        <v>0</v>
      </c>
      <c r="T11" s="4">
        <f>+CON_HAB!T11*K_si!T$2</f>
        <v>0</v>
      </c>
      <c r="U11" s="4">
        <f>+CON_HAB!U11*K_si!U$2</f>
        <v>0</v>
      </c>
      <c r="V11" s="4">
        <f>+CON_HAB!V11*K_si!V$2</f>
        <v>0</v>
      </c>
      <c r="W11" s="4">
        <f>+CON_HAB!W11*K_si!W$2</f>
        <v>0</v>
      </c>
      <c r="X11" s="4">
        <f>+CON_HAB!X11*K_si!X$2</f>
        <v>0</v>
      </c>
      <c r="Y11" s="4">
        <f>+CON_HAB!Y11*K_si!Y$2</f>
        <v>0</v>
      </c>
      <c r="Z11" s="4">
        <f>+CON_HAB!Z11*K_si!Z$2</f>
        <v>0</v>
      </c>
      <c r="AA11" s="4">
        <f>+CON_HAB!AA11*K_si!AA$2</f>
        <v>0</v>
      </c>
      <c r="AB11" s="60">
        <f>+CON_HAB!AB11*K_si!AB$2</f>
        <v>0</v>
      </c>
      <c r="AC11" s="4">
        <f>+CON_HAB!AC11*K_si!AC$2</f>
        <v>0</v>
      </c>
      <c r="AD11" s="4">
        <f>+CON_HAB!AD11*K_si!AD$2</f>
        <v>0</v>
      </c>
      <c r="AE11" s="4">
        <f>+CON_HAB!AE11*K_si!AE$2</f>
        <v>0</v>
      </c>
      <c r="AF11" s="4">
        <f>+CON_HAB!AF11*K_si!AF$2</f>
        <v>0</v>
      </c>
      <c r="AG11" s="4">
        <f>+CON_HAB!AG11*K_si!AG$2</f>
        <v>0</v>
      </c>
      <c r="AH11" s="4">
        <f>+CON_HAB!AH11*K_si!AH$2</f>
        <v>0</v>
      </c>
      <c r="AI11" s="4">
        <f>+CON_HAB!AI11*K_si!AI$2</f>
        <v>0</v>
      </c>
      <c r="AJ11" s="4">
        <f>+CON_HAB!AJ11*K_si!AJ$2</f>
        <v>0</v>
      </c>
      <c r="AK11" s="4">
        <f>+CON_HAB!AK11*K_si!AK$2</f>
        <v>0</v>
      </c>
      <c r="AL11" s="4">
        <f>+CON_HAB!AL11*K_si!AL$2</f>
        <v>0</v>
      </c>
      <c r="AM11" s="4">
        <f>+CON_HAB!AM11*K_si!AM$2</f>
        <v>0</v>
      </c>
      <c r="AN11" s="64">
        <f>+CON_HAB!AN11*K_si!AN$2</f>
        <v>1</v>
      </c>
      <c r="AO11" s="4">
        <f>+CON_HAB!AO11*K_si!AO$2</f>
        <v>1</v>
      </c>
      <c r="AP11" s="4">
        <f>+CON_HAB!AP11*K_si!AP$2</f>
        <v>1</v>
      </c>
      <c r="AQ11" s="4">
        <f>+CON_HAB!AQ11*K_si!AQ$2</f>
        <v>1</v>
      </c>
      <c r="AR11" s="4">
        <f>+CON_HAB!AR11*K_si!AR$2</f>
        <v>1</v>
      </c>
      <c r="AS11" s="4">
        <f>+CON_HAB!AS11*K_si!AS$2</f>
        <v>1</v>
      </c>
      <c r="AT11" s="4">
        <f>+CON_HAB!AT11*K_si!AT$2</f>
        <v>1</v>
      </c>
      <c r="AU11" s="4">
        <f>+CON_HAB!AU11*K_si!AU$2</f>
        <v>1</v>
      </c>
      <c r="AV11" s="60">
        <f>+CON_HAB!AV11*K_si!AV$2</f>
        <v>0</v>
      </c>
      <c r="AW11" s="4">
        <f>+CON_HAB!AW11*K_si!AW$2</f>
        <v>0</v>
      </c>
      <c r="AX11" s="4">
        <f>+CON_HAB!AX11*K_si!AX$2</f>
        <v>0</v>
      </c>
      <c r="AY11" s="64">
        <f>+CON_HAB!AY11*K_si!AY$2</f>
        <v>0</v>
      </c>
      <c r="AZ11" s="60">
        <f>+CON_HAB!AZ11*K_si!AZ$2</f>
        <v>0</v>
      </c>
      <c r="BA11" s="4">
        <f>+CON_HAB!BA11*K_si!BA$2</f>
        <v>0</v>
      </c>
      <c r="BB11" s="4">
        <f>+CON_HAB!BB11*K_si!BB$2</f>
        <v>0</v>
      </c>
      <c r="BC11" s="60">
        <f>+CON_HAB!BC11*K_si!BC$2</f>
        <v>0</v>
      </c>
    </row>
    <row r="12" spans="1:55" ht="18.75" customHeight="1" x14ac:dyDescent="0.25">
      <c r="A12" s="67" t="s">
        <v>109</v>
      </c>
      <c r="B12" s="64">
        <f>+CON_HAB!B12*K_si!B$2</f>
        <v>0</v>
      </c>
      <c r="C12" s="4">
        <f>+CON_HAB!C12*K_si!C$2</f>
        <v>0</v>
      </c>
      <c r="D12" s="4">
        <f>+CON_HAB!D12*K_si!D$2</f>
        <v>0</v>
      </c>
      <c r="E12" s="4">
        <f>+CON_HAB!E12*K_si!E$2</f>
        <v>0</v>
      </c>
      <c r="F12" s="4">
        <f>+CON_HAB!F12*K_si!F$2</f>
        <v>0</v>
      </c>
      <c r="G12" s="4">
        <f>+CON_HAB!G12*K_si!G$2</f>
        <v>0</v>
      </c>
      <c r="H12" s="4">
        <f>+CON_HAB!H12*K_si!H$2</f>
        <v>0</v>
      </c>
      <c r="I12" s="4">
        <f>+CON_HAB!I12*K_si!I$2</f>
        <v>0</v>
      </c>
      <c r="J12" s="4">
        <f>+CON_HAB!J12*K_si!J$2</f>
        <v>0</v>
      </c>
      <c r="K12" s="4">
        <f>+CON_HAB!K12*K_si!K$2</f>
        <v>0</v>
      </c>
      <c r="L12" s="4">
        <f>+CON_HAB!L12*K_si!L$2</f>
        <v>0</v>
      </c>
      <c r="M12" s="4">
        <f>+CON_HAB!M12*K_si!M$2</f>
        <v>0</v>
      </c>
      <c r="N12" s="4">
        <f>+CON_HAB!N12*K_si!N$2</f>
        <v>0</v>
      </c>
      <c r="O12" s="4">
        <f>+CON_HAB!O12*K_si!O$2</f>
        <v>0</v>
      </c>
      <c r="P12" s="4">
        <f>+CON_HAB!P12*K_si!P$2</f>
        <v>1</v>
      </c>
      <c r="Q12" s="4">
        <f>+CON_HAB!Q12*K_si!Q$2</f>
        <v>0</v>
      </c>
      <c r="R12" s="4">
        <f>+CON_HAB!R12*K_si!R$2</f>
        <v>0</v>
      </c>
      <c r="S12" s="64">
        <f>+CON_HAB!S12*K_si!S$2</f>
        <v>0</v>
      </c>
      <c r="T12" s="4">
        <f>+CON_HAB!T12*K_si!T$2</f>
        <v>0</v>
      </c>
      <c r="U12" s="4">
        <f>+CON_HAB!U12*K_si!U$2</f>
        <v>0</v>
      </c>
      <c r="V12" s="4">
        <f>+CON_HAB!V12*K_si!V$2</f>
        <v>0</v>
      </c>
      <c r="W12" s="4">
        <f>+CON_HAB!W12*K_si!W$2</f>
        <v>0</v>
      </c>
      <c r="X12" s="4">
        <f>+CON_HAB!X12*K_si!X$2</f>
        <v>0</v>
      </c>
      <c r="Y12" s="4">
        <f>+CON_HAB!Y12*K_si!Y$2</f>
        <v>0</v>
      </c>
      <c r="Z12" s="4">
        <f>+CON_HAB!Z12*K_si!Z$2</f>
        <v>0</v>
      </c>
      <c r="AA12" s="4">
        <f>+CON_HAB!AA12*K_si!AA$2</f>
        <v>0</v>
      </c>
      <c r="AB12" s="60">
        <f>+CON_HAB!AB12*K_si!AB$2</f>
        <v>0</v>
      </c>
      <c r="AC12" s="4">
        <f>+CON_HAB!AC12*K_si!AC$2</f>
        <v>0</v>
      </c>
      <c r="AD12" s="4">
        <f>+CON_HAB!AD12*K_si!AD$2</f>
        <v>0</v>
      </c>
      <c r="AE12" s="4">
        <f>+CON_HAB!AE12*K_si!AE$2</f>
        <v>0</v>
      </c>
      <c r="AF12" s="4">
        <f>+CON_HAB!AF12*K_si!AF$2</f>
        <v>0</v>
      </c>
      <c r="AG12" s="4">
        <f>+CON_HAB!AG12*K_si!AG$2</f>
        <v>0</v>
      </c>
      <c r="AH12" s="4">
        <f>+CON_HAB!AH12*K_si!AH$2</f>
        <v>0</v>
      </c>
      <c r="AI12" s="4">
        <f>+CON_HAB!AI12*K_si!AI$2</f>
        <v>0</v>
      </c>
      <c r="AJ12" s="4">
        <f>+CON_HAB!AJ12*K_si!AJ$2</f>
        <v>0</v>
      </c>
      <c r="AK12" s="4">
        <f>+CON_HAB!AK12*K_si!AK$2</f>
        <v>0</v>
      </c>
      <c r="AL12" s="4">
        <f>+CON_HAB!AL12*K_si!AL$2</f>
        <v>0</v>
      </c>
      <c r="AM12" s="4">
        <f>+CON_HAB!AM12*K_si!AM$2</f>
        <v>0</v>
      </c>
      <c r="AN12" s="64">
        <f>+CON_HAB!AN12*K_si!AN$2</f>
        <v>0</v>
      </c>
      <c r="AO12" s="4">
        <f>+CON_HAB!AO12*K_si!AO$2</f>
        <v>0</v>
      </c>
      <c r="AP12" s="4">
        <f>+CON_HAB!AP12*K_si!AP$2</f>
        <v>0</v>
      </c>
      <c r="AQ12" s="4">
        <f>+CON_HAB!AQ12*K_si!AQ$2</f>
        <v>0</v>
      </c>
      <c r="AR12" s="4">
        <f>+CON_HAB!AR12*K_si!AR$2</f>
        <v>0</v>
      </c>
      <c r="AS12" s="4">
        <f>+CON_HAB!AS12*K_si!AS$2</f>
        <v>0</v>
      </c>
      <c r="AT12" s="4">
        <f>+CON_HAB!AT12*K_si!AT$2</f>
        <v>0</v>
      </c>
      <c r="AU12" s="4">
        <f>+CON_HAB!AU12*K_si!AU$2</f>
        <v>0</v>
      </c>
      <c r="AV12" s="60">
        <f>+CON_HAB!AV12*K_si!AV$2</f>
        <v>1</v>
      </c>
      <c r="AW12" s="4">
        <f>+CON_HAB!AW12*K_si!AW$2</f>
        <v>0</v>
      </c>
      <c r="AX12" s="4">
        <f>+CON_HAB!AX12*K_si!AX$2</f>
        <v>0</v>
      </c>
      <c r="AY12" s="64">
        <f>+CON_HAB!AY12*K_si!AY$2</f>
        <v>1</v>
      </c>
      <c r="AZ12" s="60">
        <f>+CON_HAB!AZ12*K_si!AZ$2</f>
        <v>1</v>
      </c>
      <c r="BA12" s="4">
        <f>+CON_HAB!BA12*K_si!BA$2</f>
        <v>0</v>
      </c>
      <c r="BB12" s="4">
        <f>+CON_HAB!BB12*K_si!BB$2</f>
        <v>0</v>
      </c>
      <c r="BC12" s="60">
        <f>+CON_HAB!BC12*K_si!BC$2</f>
        <v>0</v>
      </c>
    </row>
    <row r="13" spans="1:55" ht="18.75" customHeight="1" thickBot="1" x14ac:dyDescent="0.3">
      <c r="A13" s="67" t="s">
        <v>110</v>
      </c>
      <c r="B13" s="65">
        <f>+CON_HAB!B13*K_si!B$2</f>
        <v>0</v>
      </c>
      <c r="C13" s="66">
        <f>+CON_HAB!C13*K_si!C$2</f>
        <v>0</v>
      </c>
      <c r="D13" s="66">
        <f>+CON_HAB!D13*K_si!D$2</f>
        <v>0</v>
      </c>
      <c r="E13" s="66">
        <f>+CON_HAB!E13*K_si!E$2</f>
        <v>0</v>
      </c>
      <c r="F13" s="66">
        <f>+CON_HAB!F13*K_si!F$2</f>
        <v>0</v>
      </c>
      <c r="G13" s="66">
        <f>+CON_HAB!G13*K_si!G$2</f>
        <v>0</v>
      </c>
      <c r="H13" s="66">
        <f>+CON_HAB!H13*K_si!H$2</f>
        <v>0</v>
      </c>
      <c r="I13" s="66">
        <f>+CON_HAB!I13*K_si!I$2</f>
        <v>0</v>
      </c>
      <c r="J13" s="66">
        <f>+CON_HAB!J13*K_si!J$2</f>
        <v>0</v>
      </c>
      <c r="K13" s="66">
        <f>+CON_HAB!K13*K_si!K$2</f>
        <v>0</v>
      </c>
      <c r="L13" s="66">
        <f>+CON_HAB!L13*K_si!L$2</f>
        <v>0</v>
      </c>
      <c r="M13" s="66">
        <f>+CON_HAB!M13*K_si!M$2</f>
        <v>0</v>
      </c>
      <c r="N13" s="66">
        <f>+CON_HAB!N13*K_si!N$2</f>
        <v>0</v>
      </c>
      <c r="O13" s="66">
        <f>+CON_HAB!O13*K_si!O$2</f>
        <v>0</v>
      </c>
      <c r="P13" s="66">
        <f>+CON_HAB!P13*K_si!P$2</f>
        <v>1</v>
      </c>
      <c r="Q13" s="66">
        <f>+CON_HAB!Q13*K_si!Q$2</f>
        <v>0</v>
      </c>
      <c r="R13" s="66">
        <f>+CON_HAB!R13*K_si!R$2</f>
        <v>0</v>
      </c>
      <c r="S13" s="65">
        <f>+CON_HAB!S13*K_si!S$2</f>
        <v>0</v>
      </c>
      <c r="T13" s="66">
        <f>+CON_HAB!T13*K_si!T$2</f>
        <v>0</v>
      </c>
      <c r="U13" s="66">
        <f>+CON_HAB!U13*K_si!U$2</f>
        <v>0</v>
      </c>
      <c r="V13" s="66">
        <f>+CON_HAB!V13*K_si!V$2</f>
        <v>0</v>
      </c>
      <c r="W13" s="66">
        <f>+CON_HAB!W13*K_si!W$2</f>
        <v>0</v>
      </c>
      <c r="X13" s="66">
        <f>+CON_HAB!X13*K_si!X$2</f>
        <v>0</v>
      </c>
      <c r="Y13" s="66">
        <f>+CON_HAB!Y13*K_si!Y$2</f>
        <v>0</v>
      </c>
      <c r="Z13" s="66">
        <f>+CON_HAB!Z13*K_si!Z$2</f>
        <v>0</v>
      </c>
      <c r="AA13" s="66">
        <f>+CON_HAB!AA13*K_si!AA$2</f>
        <v>0</v>
      </c>
      <c r="AB13" s="61">
        <f>+CON_HAB!AB13*K_si!AB$2</f>
        <v>0</v>
      </c>
      <c r="AC13" s="66">
        <f>+CON_HAB!AC13*K_si!AC$2</f>
        <v>1</v>
      </c>
      <c r="AD13" s="66">
        <f>+CON_HAB!AD13*K_si!AD$2</f>
        <v>0</v>
      </c>
      <c r="AE13" s="66">
        <f>+CON_HAB!AE13*K_si!AE$2</f>
        <v>1</v>
      </c>
      <c r="AF13" s="66">
        <f>+CON_HAB!AF13*K_si!AF$2</f>
        <v>1</v>
      </c>
      <c r="AG13" s="66">
        <f>+CON_HAB!AG13*K_si!AG$2</f>
        <v>1</v>
      </c>
      <c r="AH13" s="66">
        <f>+CON_HAB!AH13*K_si!AH$2</f>
        <v>1</v>
      </c>
      <c r="AI13" s="66">
        <f>+CON_HAB!AI13*K_si!AI$2</f>
        <v>1</v>
      </c>
      <c r="AJ13" s="66">
        <f>+CON_HAB!AJ13*K_si!AJ$2</f>
        <v>1</v>
      </c>
      <c r="AK13" s="66">
        <f>+CON_HAB!AK13*K_si!AK$2</f>
        <v>1</v>
      </c>
      <c r="AL13" s="66">
        <f>+CON_HAB!AL13*K_si!AL$2</f>
        <v>1</v>
      </c>
      <c r="AM13" s="66">
        <f>+CON_HAB!AM13*K_si!AM$2</f>
        <v>0</v>
      </c>
      <c r="AN13" s="65">
        <f>+CON_HAB!AN13*K_si!AN$2</f>
        <v>0</v>
      </c>
      <c r="AO13" s="66">
        <f>+CON_HAB!AO13*K_si!AO$2</f>
        <v>0</v>
      </c>
      <c r="AP13" s="66">
        <f>+CON_HAB!AP13*K_si!AP$2</f>
        <v>0</v>
      </c>
      <c r="AQ13" s="66">
        <f>+CON_HAB!AQ13*K_si!AQ$2</f>
        <v>0</v>
      </c>
      <c r="AR13" s="66">
        <f>+CON_HAB!AR13*K_si!AR$2</f>
        <v>0</v>
      </c>
      <c r="AS13" s="66">
        <f>+CON_HAB!AS13*K_si!AS$2</f>
        <v>0</v>
      </c>
      <c r="AT13" s="66">
        <f>+CON_HAB!AT13*K_si!AT$2</f>
        <v>0</v>
      </c>
      <c r="AU13" s="66">
        <f>+CON_HAB!AU13*K_si!AU$2</f>
        <v>0</v>
      </c>
      <c r="AV13" s="61">
        <f>+CON_HAB!AV13*K_si!AV$2</f>
        <v>0</v>
      </c>
      <c r="AW13" s="66">
        <f>+CON_HAB!AW13*K_si!AW$2</f>
        <v>1</v>
      </c>
      <c r="AX13" s="66">
        <f>+CON_HAB!AX13*K_si!AX$2</f>
        <v>1</v>
      </c>
      <c r="AY13" s="65">
        <f>+CON_HAB!AY13*K_si!AY$2</f>
        <v>0</v>
      </c>
      <c r="AZ13" s="61">
        <f>+CON_HAB!AZ13*K_si!AZ$2</f>
        <v>0</v>
      </c>
      <c r="BA13" s="66">
        <f>+CON_HAB!BA13*K_si!BA$2</f>
        <v>0</v>
      </c>
      <c r="BB13" s="66">
        <f>+CON_HAB!BB13*K_si!BB$2</f>
        <v>0</v>
      </c>
      <c r="BC13" s="61">
        <f>+CON_HAB!BC13*K_si!BC$2</f>
        <v>0</v>
      </c>
    </row>
  </sheetData>
  <conditionalFormatting sqref="B2:BC13">
    <cfRule type="cellIs" dxfId="11" priority="1" operator="equal">
      <formula>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BC13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4" width="4.5703125" style="7" bestFit="1" customWidth="1"/>
    <col min="55" max="55" width="5.42578125" style="7" bestFit="1" customWidth="1"/>
  </cols>
  <sheetData>
    <row r="1" spans="1:55" ht="18.75" customHeight="1" thickBot="1" x14ac:dyDescent="0.3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67" t="s">
        <v>38</v>
      </c>
      <c r="B2" s="62">
        <f>+CON_HAB!B17*K_si!B$3</f>
        <v>0</v>
      </c>
      <c r="C2" s="63">
        <f>+CON_HAB!C17*K_si!C$3</f>
        <v>0</v>
      </c>
      <c r="D2" s="63">
        <f>+CON_HAB!D17*K_si!D$3</f>
        <v>0</v>
      </c>
      <c r="E2" s="63">
        <f>+CON_HAB!E17*K_si!E$3</f>
        <v>0</v>
      </c>
      <c r="F2" s="63">
        <f>+CON_HAB!F17*K_si!F$3</f>
        <v>0</v>
      </c>
      <c r="G2" s="63">
        <f>+CON_HAB!G17*K_si!G$3</f>
        <v>1</v>
      </c>
      <c r="H2" s="63">
        <f>+CON_HAB!H17*K_si!H$3</f>
        <v>0</v>
      </c>
      <c r="I2" s="63">
        <f>+CON_HAB!I17*K_si!I$3</f>
        <v>0</v>
      </c>
      <c r="J2" s="63">
        <f>+CON_HAB!J17*K_si!J$3</f>
        <v>0</v>
      </c>
      <c r="K2" s="63">
        <f>+CON_HAB!K17*K_si!K$3</f>
        <v>1</v>
      </c>
      <c r="L2" s="63">
        <f>+CON_HAB!L17*K_si!L$3</f>
        <v>0</v>
      </c>
      <c r="M2" s="63">
        <f>+CON_HAB!M17*K_si!M$3</f>
        <v>0</v>
      </c>
      <c r="N2" s="63">
        <f>+CON_HAB!N17*K_si!N$3</f>
        <v>0</v>
      </c>
      <c r="O2" s="63">
        <f>+CON_HAB!O17*K_si!O$3</f>
        <v>0</v>
      </c>
      <c r="P2" s="63">
        <f>+CON_HAB!P17*K_si!P$3</f>
        <v>0</v>
      </c>
      <c r="Q2" s="63">
        <f>+CON_HAB!Q17*K_si!Q$3</f>
        <v>1</v>
      </c>
      <c r="R2" s="63">
        <f>+CON_HAB!R17*K_si!R$3</f>
        <v>0</v>
      </c>
      <c r="S2" s="62">
        <f>+CON_HAB!S17*K_si!S$3</f>
        <v>0</v>
      </c>
      <c r="T2" s="63">
        <f>+CON_HAB!T17*K_si!T$3</f>
        <v>0</v>
      </c>
      <c r="U2" s="63">
        <f>+CON_HAB!U17*K_si!U$3</f>
        <v>0</v>
      </c>
      <c r="V2" s="63">
        <f>+CON_HAB!V17*K_si!V$3</f>
        <v>0</v>
      </c>
      <c r="W2" s="63">
        <f>+CON_HAB!W17*K_si!W$3</f>
        <v>0</v>
      </c>
      <c r="X2" s="63">
        <f>+CON_HAB!X17*K_si!X$3</f>
        <v>0</v>
      </c>
      <c r="Y2" s="63">
        <f>+CON_HAB!Y17*K_si!Y$3</f>
        <v>0</v>
      </c>
      <c r="Z2" s="63">
        <f>+CON_HAB!Z17*K_si!Z$3</f>
        <v>0</v>
      </c>
      <c r="AA2" s="63">
        <f>+CON_HAB!AA17*K_si!AA$3</f>
        <v>0</v>
      </c>
      <c r="AB2" s="59">
        <f>+CON_HAB!AB17*K_si!AB$3</f>
        <v>0</v>
      </c>
      <c r="AC2" s="63">
        <f>+CON_HAB!AC17*K_si!AC$3</f>
        <v>0</v>
      </c>
      <c r="AD2" s="63">
        <f>+CON_HAB!AD17*K_si!AD$3</f>
        <v>0</v>
      </c>
      <c r="AE2" s="63">
        <f>+CON_HAB!AE17*K_si!AE$3</f>
        <v>0</v>
      </c>
      <c r="AF2" s="63">
        <f>+CON_HAB!AF17*K_si!AF$3</f>
        <v>0</v>
      </c>
      <c r="AG2" s="63">
        <f>+CON_HAB!AG17*K_si!AG$3</f>
        <v>0</v>
      </c>
      <c r="AH2" s="63">
        <f>+CON_HAB!AH17*K_si!AH$3</f>
        <v>0</v>
      </c>
      <c r="AI2" s="63">
        <f>+CON_HAB!AI17*K_si!AI$3</f>
        <v>0</v>
      </c>
      <c r="AJ2" s="63">
        <f>+CON_HAB!AJ17*K_si!AJ$3</f>
        <v>0</v>
      </c>
      <c r="AK2" s="63">
        <f>+CON_HAB!AK17*K_si!AK$3</f>
        <v>0</v>
      </c>
      <c r="AL2" s="63">
        <f>+CON_HAB!AL17*K_si!AL$3</f>
        <v>0</v>
      </c>
      <c r="AM2" s="63">
        <f>+CON_HAB!AM17*K_si!AM$3</f>
        <v>0</v>
      </c>
      <c r="AN2" s="62">
        <f>+CON_HAB!AN17*K_si!AN$3</f>
        <v>0</v>
      </c>
      <c r="AO2" s="63">
        <f>+CON_HAB!AO17*K_si!AO$3</f>
        <v>0</v>
      </c>
      <c r="AP2" s="63">
        <f>+CON_HAB!AP17*K_si!AP$3</f>
        <v>0</v>
      </c>
      <c r="AQ2" s="63">
        <f>+CON_HAB!AQ17*K_si!AQ$3</f>
        <v>0</v>
      </c>
      <c r="AR2" s="63">
        <f>+CON_HAB!AR17*K_si!AR$3</f>
        <v>0</v>
      </c>
      <c r="AS2" s="63">
        <f>+CON_HAB!AS17*K_si!AS$3</f>
        <v>0</v>
      </c>
      <c r="AT2" s="63">
        <f>+CON_HAB!AT17*K_si!AT$3</f>
        <v>0</v>
      </c>
      <c r="AU2" s="63">
        <f>+CON_HAB!AU17*K_si!AU$3</f>
        <v>0</v>
      </c>
      <c r="AV2" s="59">
        <f>+CON_HAB!AV17*K_si!AV$3</f>
        <v>0</v>
      </c>
      <c r="AW2" s="63">
        <f>+CON_HAB!AW17*K_si!AW$3</f>
        <v>0</v>
      </c>
      <c r="AX2" s="63">
        <f>+CON_HAB!AX17*K_si!AX$3</f>
        <v>0</v>
      </c>
      <c r="AY2" s="62">
        <f>+CON_HAB!AY17*K_si!AY$3</f>
        <v>0</v>
      </c>
      <c r="AZ2" s="59">
        <f>+CON_HAB!AZ17*K_si!AZ$3</f>
        <v>0</v>
      </c>
      <c r="BA2" s="63">
        <f>+CON_HAB!BA17*K_si!BA$3</f>
        <v>0</v>
      </c>
      <c r="BB2" s="63">
        <f>+CON_HAB!BB17*K_si!BB$3</f>
        <v>0</v>
      </c>
      <c r="BC2" s="59">
        <f>+CON_HAB!BC17*K_si!BC$3</f>
        <v>0</v>
      </c>
    </row>
    <row r="3" spans="1:55" ht="18.75" customHeight="1" x14ac:dyDescent="0.25">
      <c r="A3" s="67" t="s">
        <v>39</v>
      </c>
      <c r="B3" s="64">
        <f>+CON_HAB!B18*K_si!B$3</f>
        <v>0</v>
      </c>
      <c r="C3" s="4">
        <f>+CON_HAB!C18*K_si!C$3</f>
        <v>0</v>
      </c>
      <c r="D3" s="4">
        <f>+CON_HAB!D18*K_si!D$3</f>
        <v>0</v>
      </c>
      <c r="E3" s="4">
        <f>+CON_HAB!E18*K_si!E$3</f>
        <v>0</v>
      </c>
      <c r="F3" s="4">
        <f>+CON_HAB!F18*K_si!F$3</f>
        <v>0</v>
      </c>
      <c r="G3" s="4">
        <f>+CON_HAB!G18*K_si!G$3</f>
        <v>1</v>
      </c>
      <c r="H3" s="4">
        <f>+CON_HAB!H18*K_si!H$3</f>
        <v>0</v>
      </c>
      <c r="I3" s="4">
        <f>+CON_HAB!I18*K_si!I$3</f>
        <v>0</v>
      </c>
      <c r="J3" s="4">
        <f>+CON_HAB!J18*K_si!J$3</f>
        <v>0</v>
      </c>
      <c r="K3" s="4">
        <f>+CON_HAB!K18*K_si!K$3</f>
        <v>1</v>
      </c>
      <c r="L3" s="4">
        <f>+CON_HAB!L18*K_si!L$3</f>
        <v>0</v>
      </c>
      <c r="M3" s="4">
        <f>+CON_HAB!M18*K_si!M$3</f>
        <v>1</v>
      </c>
      <c r="N3" s="4">
        <f>+CON_HAB!N18*K_si!N$3</f>
        <v>0</v>
      </c>
      <c r="O3" s="4">
        <f>+CON_HAB!O18*K_si!O$3</f>
        <v>0</v>
      </c>
      <c r="P3" s="4">
        <f>+CON_HAB!P18*K_si!P$3</f>
        <v>0</v>
      </c>
      <c r="Q3" s="4">
        <f>+CON_HAB!Q18*K_si!Q$3</f>
        <v>1</v>
      </c>
      <c r="R3" s="4">
        <f>+CON_HAB!R18*K_si!R$3</f>
        <v>0</v>
      </c>
      <c r="S3" s="64">
        <f>+CON_HAB!S18*K_si!S$3</f>
        <v>0</v>
      </c>
      <c r="T3" s="4">
        <f>+CON_HAB!T18*K_si!T$3</f>
        <v>0</v>
      </c>
      <c r="U3" s="4">
        <f>+CON_HAB!U18*K_si!U$3</f>
        <v>0</v>
      </c>
      <c r="V3" s="4">
        <f>+CON_HAB!V18*K_si!V$3</f>
        <v>0</v>
      </c>
      <c r="W3" s="4">
        <f>+CON_HAB!W18*K_si!W$3</f>
        <v>0</v>
      </c>
      <c r="X3" s="4">
        <f>+CON_HAB!X18*K_si!X$3</f>
        <v>0</v>
      </c>
      <c r="Y3" s="4">
        <f>+CON_HAB!Y18*K_si!Y$3</f>
        <v>0</v>
      </c>
      <c r="Z3" s="4">
        <f>+CON_HAB!Z18*K_si!Z$3</f>
        <v>0</v>
      </c>
      <c r="AA3" s="4">
        <f>+CON_HAB!AA18*K_si!AA$3</f>
        <v>0</v>
      </c>
      <c r="AB3" s="60">
        <f>+CON_HAB!AB18*K_si!AB$3</f>
        <v>0</v>
      </c>
      <c r="AC3" s="4">
        <f>+CON_HAB!AC18*K_si!AC$3</f>
        <v>0</v>
      </c>
      <c r="AD3" s="4">
        <f>+CON_HAB!AD18*K_si!AD$3</f>
        <v>0</v>
      </c>
      <c r="AE3" s="4">
        <f>+CON_HAB!AE18*K_si!AE$3</f>
        <v>0</v>
      </c>
      <c r="AF3" s="4">
        <f>+CON_HAB!AF18*K_si!AF$3</f>
        <v>0</v>
      </c>
      <c r="AG3" s="4">
        <f>+CON_HAB!AG18*K_si!AG$3</f>
        <v>0</v>
      </c>
      <c r="AH3" s="4">
        <f>+CON_HAB!AH18*K_si!AH$3</f>
        <v>0</v>
      </c>
      <c r="AI3" s="4">
        <f>+CON_HAB!AI18*K_si!AI$3</f>
        <v>0</v>
      </c>
      <c r="AJ3" s="4">
        <f>+CON_HAB!AJ18*K_si!AJ$3</f>
        <v>0</v>
      </c>
      <c r="AK3" s="4">
        <f>+CON_HAB!AK18*K_si!AK$3</f>
        <v>0</v>
      </c>
      <c r="AL3" s="4">
        <f>+CON_HAB!AL18*K_si!AL$3</f>
        <v>0</v>
      </c>
      <c r="AM3" s="4">
        <f>+CON_HAB!AM18*K_si!AM$3</f>
        <v>0</v>
      </c>
      <c r="AN3" s="64">
        <f>+CON_HAB!AN18*K_si!AN$3</f>
        <v>0</v>
      </c>
      <c r="AO3" s="4">
        <f>+CON_HAB!AO18*K_si!AO$3</f>
        <v>0</v>
      </c>
      <c r="AP3" s="4">
        <f>+CON_HAB!AP18*K_si!AP$3</f>
        <v>0</v>
      </c>
      <c r="AQ3" s="4">
        <f>+CON_HAB!AQ18*K_si!AQ$3</f>
        <v>0</v>
      </c>
      <c r="AR3" s="4">
        <f>+CON_HAB!AR18*K_si!AR$3</f>
        <v>0</v>
      </c>
      <c r="AS3" s="4">
        <f>+CON_HAB!AS18*K_si!AS$3</f>
        <v>0</v>
      </c>
      <c r="AT3" s="4">
        <f>+CON_HAB!AT18*K_si!AT$3</f>
        <v>0</v>
      </c>
      <c r="AU3" s="4">
        <f>+CON_HAB!AU18*K_si!AU$3</f>
        <v>0</v>
      </c>
      <c r="AV3" s="60">
        <f>+CON_HAB!AV18*K_si!AV$3</f>
        <v>0</v>
      </c>
      <c r="AW3" s="4">
        <f>+CON_HAB!AW18*K_si!AW$3</f>
        <v>0</v>
      </c>
      <c r="AX3" s="4">
        <f>+CON_HAB!AX18*K_si!AX$3</f>
        <v>0</v>
      </c>
      <c r="AY3" s="64">
        <f>+CON_HAB!AY18*K_si!AY$3</f>
        <v>0</v>
      </c>
      <c r="AZ3" s="60">
        <f>+CON_HAB!AZ18*K_si!AZ$3</f>
        <v>0</v>
      </c>
      <c r="BA3" s="4">
        <f>+CON_HAB!BA18*K_si!BA$3</f>
        <v>0</v>
      </c>
      <c r="BB3" s="4">
        <f>+CON_HAB!BB18*K_si!BB$3</f>
        <v>0</v>
      </c>
      <c r="BC3" s="60">
        <f>+CON_HAB!BC18*K_si!BC$3</f>
        <v>0</v>
      </c>
    </row>
    <row r="4" spans="1:55" ht="18.75" customHeight="1" x14ac:dyDescent="0.25">
      <c r="A4" s="67" t="s">
        <v>40</v>
      </c>
      <c r="B4" s="64">
        <f>+CON_HAB!B19*K_si!B$3</f>
        <v>0</v>
      </c>
      <c r="C4" s="4">
        <f>+CON_HAB!C19*K_si!C$3</f>
        <v>0</v>
      </c>
      <c r="D4" s="4">
        <f>+CON_HAB!D19*K_si!D$3</f>
        <v>0</v>
      </c>
      <c r="E4" s="4">
        <f>+CON_HAB!E19*K_si!E$3</f>
        <v>0</v>
      </c>
      <c r="F4" s="4">
        <f>+CON_HAB!F19*K_si!F$3</f>
        <v>0</v>
      </c>
      <c r="G4" s="4">
        <f>+CON_HAB!G19*K_si!G$3</f>
        <v>1</v>
      </c>
      <c r="H4" s="4">
        <f>+CON_HAB!H19*K_si!H$3</f>
        <v>0</v>
      </c>
      <c r="I4" s="4">
        <f>+CON_HAB!I19*K_si!I$3</f>
        <v>0</v>
      </c>
      <c r="J4" s="4">
        <f>+CON_HAB!J19*K_si!J$3</f>
        <v>0</v>
      </c>
      <c r="K4" s="4">
        <f>+CON_HAB!K19*K_si!K$3</f>
        <v>1</v>
      </c>
      <c r="L4" s="4">
        <f>+CON_HAB!L19*K_si!L$3</f>
        <v>0</v>
      </c>
      <c r="M4" s="4">
        <f>+CON_HAB!M19*K_si!M$3</f>
        <v>1</v>
      </c>
      <c r="N4" s="4">
        <f>+CON_HAB!N19*K_si!N$3</f>
        <v>0</v>
      </c>
      <c r="O4" s="4">
        <f>+CON_HAB!O19*K_si!O$3</f>
        <v>0</v>
      </c>
      <c r="P4" s="4">
        <f>+CON_HAB!P19*K_si!P$3</f>
        <v>0</v>
      </c>
      <c r="Q4" s="4">
        <f>+CON_HAB!Q19*K_si!Q$3</f>
        <v>1</v>
      </c>
      <c r="R4" s="4">
        <f>+CON_HAB!R19*K_si!R$3</f>
        <v>0</v>
      </c>
      <c r="S4" s="64">
        <f>+CON_HAB!S19*K_si!S$3</f>
        <v>0</v>
      </c>
      <c r="T4" s="4">
        <f>+CON_HAB!T19*K_si!T$3</f>
        <v>0</v>
      </c>
      <c r="U4" s="4">
        <f>+CON_HAB!U19*K_si!U$3</f>
        <v>0</v>
      </c>
      <c r="V4" s="4">
        <f>+CON_HAB!V19*K_si!V$3</f>
        <v>0</v>
      </c>
      <c r="W4" s="4">
        <f>+CON_HAB!W19*K_si!W$3</f>
        <v>0</v>
      </c>
      <c r="X4" s="4">
        <f>+CON_HAB!X19*K_si!X$3</f>
        <v>0</v>
      </c>
      <c r="Y4" s="4">
        <f>+CON_HAB!Y19*K_si!Y$3</f>
        <v>0</v>
      </c>
      <c r="Z4" s="4">
        <f>+CON_HAB!Z19*K_si!Z$3</f>
        <v>0</v>
      </c>
      <c r="AA4" s="4">
        <f>+CON_HAB!AA19*K_si!AA$3</f>
        <v>0</v>
      </c>
      <c r="AB4" s="60">
        <f>+CON_HAB!AB19*K_si!AB$3</f>
        <v>0</v>
      </c>
      <c r="AC4" s="4">
        <f>+CON_HAB!AC19*K_si!AC$3</f>
        <v>0</v>
      </c>
      <c r="AD4" s="4">
        <f>+CON_HAB!AD19*K_si!AD$3</f>
        <v>0</v>
      </c>
      <c r="AE4" s="4">
        <f>+CON_HAB!AE19*K_si!AE$3</f>
        <v>0</v>
      </c>
      <c r="AF4" s="4">
        <f>+CON_HAB!AF19*K_si!AF$3</f>
        <v>0</v>
      </c>
      <c r="AG4" s="4">
        <f>+CON_HAB!AG19*K_si!AG$3</f>
        <v>0</v>
      </c>
      <c r="AH4" s="4">
        <f>+CON_HAB!AH19*K_si!AH$3</f>
        <v>0</v>
      </c>
      <c r="AI4" s="4">
        <f>+CON_HAB!AI19*K_si!AI$3</f>
        <v>0</v>
      </c>
      <c r="AJ4" s="4">
        <f>+CON_HAB!AJ19*K_si!AJ$3</f>
        <v>0</v>
      </c>
      <c r="AK4" s="4">
        <f>+CON_HAB!AK19*K_si!AK$3</f>
        <v>0</v>
      </c>
      <c r="AL4" s="4">
        <f>+CON_HAB!AL19*K_si!AL$3</f>
        <v>0</v>
      </c>
      <c r="AM4" s="4">
        <f>+CON_HAB!AM19*K_si!AM$3</f>
        <v>0</v>
      </c>
      <c r="AN4" s="64">
        <f>+CON_HAB!AN19*K_si!AN$3</f>
        <v>0</v>
      </c>
      <c r="AO4" s="4">
        <f>+CON_HAB!AO19*K_si!AO$3</f>
        <v>0</v>
      </c>
      <c r="AP4" s="4">
        <f>+CON_HAB!AP19*K_si!AP$3</f>
        <v>0</v>
      </c>
      <c r="AQ4" s="4">
        <f>+CON_HAB!AQ19*K_si!AQ$3</f>
        <v>0</v>
      </c>
      <c r="AR4" s="4">
        <f>+CON_HAB!AR19*K_si!AR$3</f>
        <v>0</v>
      </c>
      <c r="AS4" s="4">
        <f>+CON_HAB!AS19*K_si!AS$3</f>
        <v>0</v>
      </c>
      <c r="AT4" s="4">
        <f>+CON_HAB!AT19*K_si!AT$3</f>
        <v>0</v>
      </c>
      <c r="AU4" s="4">
        <f>+CON_HAB!AU19*K_si!AU$3</f>
        <v>0</v>
      </c>
      <c r="AV4" s="60">
        <f>+CON_HAB!AV19*K_si!AV$3</f>
        <v>0</v>
      </c>
      <c r="AW4" s="4">
        <f>+CON_HAB!AW19*K_si!AW$3</f>
        <v>0</v>
      </c>
      <c r="AX4" s="4">
        <f>+CON_HAB!AX19*K_si!AX$3</f>
        <v>0</v>
      </c>
      <c r="AY4" s="64">
        <f>+CON_HAB!AY19*K_si!AY$3</f>
        <v>0</v>
      </c>
      <c r="AZ4" s="60">
        <f>+CON_HAB!AZ19*K_si!AZ$3</f>
        <v>0</v>
      </c>
      <c r="BA4" s="4">
        <f>+CON_HAB!BA19*K_si!BA$3</f>
        <v>0</v>
      </c>
      <c r="BB4" s="4">
        <f>+CON_HAB!BB19*K_si!BB$3</f>
        <v>0</v>
      </c>
      <c r="BC4" s="60">
        <f>+CON_HAB!BC19*K_si!BC$3</f>
        <v>0</v>
      </c>
    </row>
    <row r="5" spans="1:55" ht="18.75" customHeight="1" x14ac:dyDescent="0.25">
      <c r="A5" s="67" t="s">
        <v>41</v>
      </c>
      <c r="B5" s="64">
        <f>+CON_HAB!B20*K_si!B$3</f>
        <v>0</v>
      </c>
      <c r="C5" s="4">
        <f>+CON_HAB!C20*K_si!C$3</f>
        <v>0</v>
      </c>
      <c r="D5" s="4">
        <f>+CON_HAB!D20*K_si!D$3</f>
        <v>0</v>
      </c>
      <c r="E5" s="4">
        <f>+CON_HAB!E20*K_si!E$3</f>
        <v>0</v>
      </c>
      <c r="F5" s="4">
        <f>+CON_HAB!F20*K_si!F$3</f>
        <v>0</v>
      </c>
      <c r="G5" s="4">
        <f>+CON_HAB!G20*K_si!G$3</f>
        <v>1</v>
      </c>
      <c r="H5" s="4">
        <f>+CON_HAB!H20*K_si!H$3</f>
        <v>0</v>
      </c>
      <c r="I5" s="4">
        <f>+CON_HAB!I20*K_si!I$3</f>
        <v>0</v>
      </c>
      <c r="J5" s="4">
        <f>+CON_HAB!J20*K_si!J$3</f>
        <v>0</v>
      </c>
      <c r="K5" s="4">
        <f>+CON_HAB!K20*K_si!K$3</f>
        <v>1</v>
      </c>
      <c r="L5" s="4">
        <f>+CON_HAB!L20*K_si!L$3</f>
        <v>0</v>
      </c>
      <c r="M5" s="4">
        <f>+CON_HAB!M20*K_si!M$3</f>
        <v>0</v>
      </c>
      <c r="N5" s="4">
        <f>+CON_HAB!N20*K_si!N$3</f>
        <v>0</v>
      </c>
      <c r="O5" s="4">
        <f>+CON_HAB!O20*K_si!O$3</f>
        <v>0</v>
      </c>
      <c r="P5" s="4">
        <f>+CON_HAB!P20*K_si!P$3</f>
        <v>0</v>
      </c>
      <c r="Q5" s="4">
        <f>+CON_HAB!Q20*K_si!Q$3</f>
        <v>1</v>
      </c>
      <c r="R5" s="4">
        <f>+CON_HAB!R20*K_si!R$3</f>
        <v>0</v>
      </c>
      <c r="S5" s="64">
        <f>+CON_HAB!S20*K_si!S$3</f>
        <v>0</v>
      </c>
      <c r="T5" s="4">
        <f>+CON_HAB!T20*K_si!T$3</f>
        <v>0</v>
      </c>
      <c r="U5" s="4">
        <f>+CON_HAB!U20*K_si!U$3</f>
        <v>0</v>
      </c>
      <c r="V5" s="4">
        <f>+CON_HAB!V20*K_si!V$3</f>
        <v>0</v>
      </c>
      <c r="W5" s="4">
        <f>+CON_HAB!W20*K_si!W$3</f>
        <v>0</v>
      </c>
      <c r="X5" s="4">
        <f>+CON_HAB!X20*K_si!X$3</f>
        <v>0</v>
      </c>
      <c r="Y5" s="4">
        <f>+CON_HAB!Y20*K_si!Y$3</f>
        <v>0</v>
      </c>
      <c r="Z5" s="4">
        <f>+CON_HAB!Z20*K_si!Z$3</f>
        <v>0</v>
      </c>
      <c r="AA5" s="4">
        <f>+CON_HAB!AA20*K_si!AA$3</f>
        <v>0</v>
      </c>
      <c r="AB5" s="60">
        <f>+CON_HAB!AB20*K_si!AB$3</f>
        <v>0</v>
      </c>
      <c r="AC5" s="4">
        <f>+CON_HAB!AC20*K_si!AC$3</f>
        <v>0</v>
      </c>
      <c r="AD5" s="4">
        <f>+CON_HAB!AD20*K_si!AD$3</f>
        <v>0</v>
      </c>
      <c r="AE5" s="4">
        <f>+CON_HAB!AE20*K_si!AE$3</f>
        <v>0</v>
      </c>
      <c r="AF5" s="4">
        <f>+CON_HAB!AF20*K_si!AF$3</f>
        <v>0</v>
      </c>
      <c r="AG5" s="4">
        <f>+CON_HAB!AG20*K_si!AG$3</f>
        <v>0</v>
      </c>
      <c r="AH5" s="4">
        <f>+CON_HAB!AH20*K_si!AH$3</f>
        <v>0</v>
      </c>
      <c r="AI5" s="4">
        <f>+CON_HAB!AI20*K_si!AI$3</f>
        <v>0</v>
      </c>
      <c r="AJ5" s="4">
        <f>+CON_HAB!AJ20*K_si!AJ$3</f>
        <v>0</v>
      </c>
      <c r="AK5" s="4">
        <f>+CON_HAB!AK20*K_si!AK$3</f>
        <v>0</v>
      </c>
      <c r="AL5" s="4">
        <f>+CON_HAB!AL20*K_si!AL$3</f>
        <v>0</v>
      </c>
      <c r="AM5" s="4">
        <f>+CON_HAB!AM20*K_si!AM$3</f>
        <v>0</v>
      </c>
      <c r="AN5" s="64">
        <f>+CON_HAB!AN20*K_si!AN$3</f>
        <v>0</v>
      </c>
      <c r="AO5" s="4">
        <f>+CON_HAB!AO20*K_si!AO$3</f>
        <v>0</v>
      </c>
      <c r="AP5" s="4">
        <f>+CON_HAB!AP20*K_si!AP$3</f>
        <v>0</v>
      </c>
      <c r="AQ5" s="4">
        <f>+CON_HAB!AQ20*K_si!AQ$3</f>
        <v>0</v>
      </c>
      <c r="AR5" s="4">
        <f>+CON_HAB!AR20*K_si!AR$3</f>
        <v>0</v>
      </c>
      <c r="AS5" s="4">
        <f>+CON_HAB!AS20*K_si!AS$3</f>
        <v>0</v>
      </c>
      <c r="AT5" s="4">
        <f>+CON_HAB!AT20*K_si!AT$3</f>
        <v>0</v>
      </c>
      <c r="AU5" s="4">
        <f>+CON_HAB!AU20*K_si!AU$3</f>
        <v>0</v>
      </c>
      <c r="AV5" s="60">
        <f>+CON_HAB!AV20*K_si!AV$3</f>
        <v>0</v>
      </c>
      <c r="AW5" s="4">
        <f>+CON_HAB!AW20*K_si!AW$3</f>
        <v>0</v>
      </c>
      <c r="AX5" s="4">
        <f>+CON_HAB!AX20*K_si!AX$3</f>
        <v>0</v>
      </c>
      <c r="AY5" s="64">
        <f>+CON_HAB!AY20*K_si!AY$3</f>
        <v>0</v>
      </c>
      <c r="AZ5" s="60">
        <f>+CON_HAB!AZ20*K_si!AZ$3</f>
        <v>0</v>
      </c>
      <c r="BA5" s="4">
        <f>+CON_HAB!BA20*K_si!BA$3</f>
        <v>0</v>
      </c>
      <c r="BB5" s="4">
        <f>+CON_HAB!BB20*K_si!BB$3</f>
        <v>0</v>
      </c>
      <c r="BC5" s="60">
        <f>+CON_HAB!BC20*K_si!BC$3</f>
        <v>0</v>
      </c>
    </row>
    <row r="6" spans="1:55" ht="18.75" customHeight="1" x14ac:dyDescent="0.25">
      <c r="A6" s="67" t="s">
        <v>42</v>
      </c>
      <c r="B6" s="64">
        <f>+CON_HAB!B21*K_si!B$3</f>
        <v>0</v>
      </c>
      <c r="C6" s="4">
        <f>+CON_HAB!C21*K_si!C$3</f>
        <v>0</v>
      </c>
      <c r="D6" s="4">
        <f>+CON_HAB!D21*K_si!D$3</f>
        <v>0</v>
      </c>
      <c r="E6" s="4">
        <f>+CON_HAB!E21*K_si!E$3</f>
        <v>0</v>
      </c>
      <c r="F6" s="4">
        <f>+CON_HAB!F21*K_si!F$3</f>
        <v>0</v>
      </c>
      <c r="G6" s="4">
        <f>+CON_HAB!G21*K_si!G$3</f>
        <v>1</v>
      </c>
      <c r="H6" s="4">
        <f>+CON_HAB!H21*K_si!H$3</f>
        <v>0</v>
      </c>
      <c r="I6" s="4">
        <f>+CON_HAB!I21*K_si!I$3</f>
        <v>0</v>
      </c>
      <c r="J6" s="4">
        <f>+CON_HAB!J21*K_si!J$3</f>
        <v>0</v>
      </c>
      <c r="K6" s="4">
        <f>+CON_HAB!K21*K_si!K$3</f>
        <v>1</v>
      </c>
      <c r="L6" s="4">
        <f>+CON_HAB!L21*K_si!L$3</f>
        <v>0</v>
      </c>
      <c r="M6" s="4">
        <f>+CON_HAB!M21*K_si!M$3</f>
        <v>1</v>
      </c>
      <c r="N6" s="4">
        <f>+CON_HAB!N21*K_si!N$3</f>
        <v>0</v>
      </c>
      <c r="O6" s="4">
        <f>+CON_HAB!O21*K_si!O$3</f>
        <v>0</v>
      </c>
      <c r="P6" s="4">
        <f>+CON_HAB!P21*K_si!P$3</f>
        <v>0</v>
      </c>
      <c r="Q6" s="4">
        <f>+CON_HAB!Q21*K_si!Q$3</f>
        <v>1</v>
      </c>
      <c r="R6" s="4">
        <f>+CON_HAB!R21*K_si!R$3</f>
        <v>0</v>
      </c>
      <c r="S6" s="64">
        <f>+CON_HAB!S21*K_si!S$3</f>
        <v>0</v>
      </c>
      <c r="T6" s="4">
        <f>+CON_HAB!T21*K_si!T$3</f>
        <v>0</v>
      </c>
      <c r="U6" s="4">
        <f>+CON_HAB!U21*K_si!U$3</f>
        <v>0</v>
      </c>
      <c r="V6" s="4">
        <f>+CON_HAB!V21*K_si!V$3</f>
        <v>0</v>
      </c>
      <c r="W6" s="4">
        <f>+CON_HAB!W21*K_si!W$3</f>
        <v>0</v>
      </c>
      <c r="X6" s="4">
        <f>+CON_HAB!X21*K_si!X$3</f>
        <v>0</v>
      </c>
      <c r="Y6" s="4">
        <f>+CON_HAB!Y21*K_si!Y$3</f>
        <v>0</v>
      </c>
      <c r="Z6" s="4">
        <f>+CON_HAB!Z21*K_si!Z$3</f>
        <v>0</v>
      </c>
      <c r="AA6" s="4">
        <f>+CON_HAB!AA21*K_si!AA$3</f>
        <v>0</v>
      </c>
      <c r="AB6" s="60">
        <f>+CON_HAB!AB21*K_si!AB$3</f>
        <v>0</v>
      </c>
      <c r="AC6" s="4">
        <f>+CON_HAB!AC21*K_si!AC$3</f>
        <v>0</v>
      </c>
      <c r="AD6" s="4">
        <f>+CON_HAB!AD21*K_si!AD$3</f>
        <v>0</v>
      </c>
      <c r="AE6" s="4">
        <f>+CON_HAB!AE21*K_si!AE$3</f>
        <v>0</v>
      </c>
      <c r="AF6" s="4">
        <f>+CON_HAB!AF21*K_si!AF$3</f>
        <v>0</v>
      </c>
      <c r="AG6" s="4">
        <f>+CON_HAB!AG21*K_si!AG$3</f>
        <v>0</v>
      </c>
      <c r="AH6" s="4">
        <f>+CON_HAB!AH21*K_si!AH$3</f>
        <v>0</v>
      </c>
      <c r="AI6" s="4">
        <f>+CON_HAB!AI21*K_si!AI$3</f>
        <v>0</v>
      </c>
      <c r="AJ6" s="4">
        <f>+CON_HAB!AJ21*K_si!AJ$3</f>
        <v>0</v>
      </c>
      <c r="AK6" s="4">
        <f>+CON_HAB!AK21*K_si!AK$3</f>
        <v>0</v>
      </c>
      <c r="AL6" s="4">
        <f>+CON_HAB!AL21*K_si!AL$3</f>
        <v>0</v>
      </c>
      <c r="AM6" s="4">
        <f>+CON_HAB!AM21*K_si!AM$3</f>
        <v>0</v>
      </c>
      <c r="AN6" s="64">
        <f>+CON_HAB!AN21*K_si!AN$3</f>
        <v>0</v>
      </c>
      <c r="AO6" s="4">
        <f>+CON_HAB!AO21*K_si!AO$3</f>
        <v>0</v>
      </c>
      <c r="AP6" s="4">
        <f>+CON_HAB!AP21*K_si!AP$3</f>
        <v>0</v>
      </c>
      <c r="AQ6" s="4">
        <f>+CON_HAB!AQ21*K_si!AQ$3</f>
        <v>0</v>
      </c>
      <c r="AR6" s="4">
        <f>+CON_HAB!AR21*K_si!AR$3</f>
        <v>0</v>
      </c>
      <c r="AS6" s="4">
        <f>+CON_HAB!AS21*K_si!AS$3</f>
        <v>0</v>
      </c>
      <c r="AT6" s="4">
        <f>+CON_HAB!AT21*K_si!AT$3</f>
        <v>0</v>
      </c>
      <c r="AU6" s="4">
        <f>+CON_HAB!AU21*K_si!AU$3</f>
        <v>0</v>
      </c>
      <c r="AV6" s="60">
        <f>+CON_HAB!AV21*K_si!AV$3</f>
        <v>0</v>
      </c>
      <c r="AW6" s="4">
        <f>+CON_HAB!AW21*K_si!AW$3</f>
        <v>0</v>
      </c>
      <c r="AX6" s="4">
        <f>+CON_HAB!AX21*K_si!AX$3</f>
        <v>0</v>
      </c>
      <c r="AY6" s="64">
        <f>+CON_HAB!AY21*K_si!AY$3</f>
        <v>0</v>
      </c>
      <c r="AZ6" s="60">
        <f>+CON_HAB!AZ21*K_si!AZ$3</f>
        <v>0</v>
      </c>
      <c r="BA6" s="4">
        <f>+CON_HAB!BA21*K_si!BA$3</f>
        <v>0</v>
      </c>
      <c r="BB6" s="4">
        <f>+CON_HAB!BB21*K_si!BB$3</f>
        <v>0</v>
      </c>
      <c r="BC6" s="60">
        <f>+CON_HAB!BC21*K_si!BC$3</f>
        <v>0</v>
      </c>
    </row>
    <row r="7" spans="1:55" ht="18.75" customHeight="1" x14ac:dyDescent="0.25">
      <c r="A7" s="67" t="s">
        <v>43</v>
      </c>
      <c r="B7" s="64">
        <f>+CON_HAB!B22*K_si!B$3</f>
        <v>0</v>
      </c>
      <c r="C7" s="4">
        <f>+CON_HAB!C22*K_si!C$3</f>
        <v>0</v>
      </c>
      <c r="D7" s="4">
        <f>+CON_HAB!D22*K_si!D$3</f>
        <v>0</v>
      </c>
      <c r="E7" s="4">
        <f>+CON_HAB!E22*K_si!E$3</f>
        <v>0</v>
      </c>
      <c r="F7" s="4">
        <f>+CON_HAB!F22*K_si!F$3</f>
        <v>1</v>
      </c>
      <c r="G7" s="4">
        <f>+CON_HAB!G22*K_si!G$3</f>
        <v>1</v>
      </c>
      <c r="H7" s="4">
        <f>+CON_HAB!H22*K_si!H$3</f>
        <v>0</v>
      </c>
      <c r="I7" s="4">
        <f>+CON_HAB!I22*K_si!I$3</f>
        <v>0</v>
      </c>
      <c r="J7" s="4">
        <f>+CON_HAB!J22*K_si!J$3</f>
        <v>0</v>
      </c>
      <c r="K7" s="4">
        <f>+CON_HAB!K22*K_si!K$3</f>
        <v>1</v>
      </c>
      <c r="L7" s="4">
        <f>+CON_HAB!L22*K_si!L$3</f>
        <v>0</v>
      </c>
      <c r="M7" s="4">
        <f>+CON_HAB!M22*K_si!M$3</f>
        <v>1</v>
      </c>
      <c r="N7" s="4">
        <f>+CON_HAB!N22*K_si!N$3</f>
        <v>0</v>
      </c>
      <c r="O7" s="4">
        <f>+CON_HAB!O22*K_si!O$3</f>
        <v>0</v>
      </c>
      <c r="P7" s="4">
        <f>+CON_HAB!P22*K_si!P$3</f>
        <v>0</v>
      </c>
      <c r="Q7" s="4">
        <f>+CON_HAB!Q22*K_si!Q$3</f>
        <v>0</v>
      </c>
      <c r="R7" s="4">
        <f>+CON_HAB!R22*K_si!R$3</f>
        <v>0</v>
      </c>
      <c r="S7" s="64">
        <f>+CON_HAB!S22*K_si!S$3</f>
        <v>0</v>
      </c>
      <c r="T7" s="4">
        <f>+CON_HAB!T22*K_si!T$3</f>
        <v>0</v>
      </c>
      <c r="U7" s="4">
        <f>+CON_HAB!U22*K_si!U$3</f>
        <v>0</v>
      </c>
      <c r="V7" s="4">
        <f>+CON_HAB!V22*K_si!V$3</f>
        <v>0</v>
      </c>
      <c r="W7" s="4">
        <f>+CON_HAB!W22*K_si!W$3</f>
        <v>0</v>
      </c>
      <c r="X7" s="4">
        <f>+CON_HAB!X22*K_si!X$3</f>
        <v>0</v>
      </c>
      <c r="Y7" s="4">
        <f>+CON_HAB!Y22*K_si!Y$3</f>
        <v>0</v>
      </c>
      <c r="Z7" s="4">
        <f>+CON_HAB!Z22*K_si!Z$3</f>
        <v>0</v>
      </c>
      <c r="AA7" s="4">
        <f>+CON_HAB!AA22*K_si!AA$3</f>
        <v>0</v>
      </c>
      <c r="AB7" s="60">
        <f>+CON_HAB!AB22*K_si!AB$3</f>
        <v>0</v>
      </c>
      <c r="AC7" s="4">
        <f>+CON_HAB!AC22*K_si!AC$3</f>
        <v>0</v>
      </c>
      <c r="AD7" s="4">
        <f>+CON_HAB!AD22*K_si!AD$3</f>
        <v>0</v>
      </c>
      <c r="AE7" s="4">
        <f>+CON_HAB!AE22*K_si!AE$3</f>
        <v>0</v>
      </c>
      <c r="AF7" s="4">
        <f>+CON_HAB!AF22*K_si!AF$3</f>
        <v>0</v>
      </c>
      <c r="AG7" s="4">
        <f>+CON_HAB!AG22*K_si!AG$3</f>
        <v>0</v>
      </c>
      <c r="AH7" s="4">
        <f>+CON_HAB!AH22*K_si!AH$3</f>
        <v>0</v>
      </c>
      <c r="AI7" s="4">
        <f>+CON_HAB!AI22*K_si!AI$3</f>
        <v>0</v>
      </c>
      <c r="AJ7" s="4">
        <f>+CON_HAB!AJ22*K_si!AJ$3</f>
        <v>0</v>
      </c>
      <c r="AK7" s="4">
        <f>+CON_HAB!AK22*K_si!AK$3</f>
        <v>0</v>
      </c>
      <c r="AL7" s="4">
        <f>+CON_HAB!AL22*K_si!AL$3</f>
        <v>0</v>
      </c>
      <c r="AM7" s="4">
        <f>+CON_HAB!AM22*K_si!AM$3</f>
        <v>0</v>
      </c>
      <c r="AN7" s="64">
        <f>+CON_HAB!AN22*K_si!AN$3</f>
        <v>0</v>
      </c>
      <c r="AO7" s="4">
        <f>+CON_HAB!AO22*K_si!AO$3</f>
        <v>0</v>
      </c>
      <c r="AP7" s="4">
        <f>+CON_HAB!AP22*K_si!AP$3</f>
        <v>0</v>
      </c>
      <c r="AQ7" s="4">
        <f>+CON_HAB!AQ22*K_si!AQ$3</f>
        <v>0</v>
      </c>
      <c r="AR7" s="4">
        <f>+CON_HAB!AR22*K_si!AR$3</f>
        <v>0</v>
      </c>
      <c r="AS7" s="4">
        <f>+CON_HAB!AS22*K_si!AS$3</f>
        <v>0</v>
      </c>
      <c r="AT7" s="4">
        <f>+CON_HAB!AT22*K_si!AT$3</f>
        <v>0</v>
      </c>
      <c r="AU7" s="4">
        <f>+CON_HAB!AU22*K_si!AU$3</f>
        <v>0</v>
      </c>
      <c r="AV7" s="60">
        <f>+CON_HAB!AV22*K_si!AV$3</f>
        <v>0</v>
      </c>
      <c r="AW7" s="4">
        <f>+CON_HAB!AW22*K_si!AW$3</f>
        <v>0</v>
      </c>
      <c r="AX7" s="4">
        <f>+CON_HAB!AX22*K_si!AX$3</f>
        <v>0</v>
      </c>
      <c r="AY7" s="64">
        <f>+CON_HAB!AY22*K_si!AY$3</f>
        <v>0</v>
      </c>
      <c r="AZ7" s="60">
        <f>+CON_HAB!AZ22*K_si!AZ$3</f>
        <v>0</v>
      </c>
      <c r="BA7" s="4">
        <f>+CON_HAB!BA22*K_si!BA$3</f>
        <v>0</v>
      </c>
      <c r="BB7" s="4">
        <f>+CON_HAB!BB22*K_si!BB$3</f>
        <v>0</v>
      </c>
      <c r="BC7" s="60">
        <f>+CON_HAB!BC22*K_si!BC$3</f>
        <v>0</v>
      </c>
    </row>
    <row r="8" spans="1:55" ht="18.75" customHeight="1" x14ac:dyDescent="0.25">
      <c r="A8" s="67" t="s">
        <v>44</v>
      </c>
      <c r="B8" s="64">
        <f>+CON_HAB!B23*K_si!B$3</f>
        <v>0</v>
      </c>
      <c r="C8" s="4">
        <f>+CON_HAB!C23*K_si!C$3</f>
        <v>0</v>
      </c>
      <c r="D8" s="4">
        <f>+CON_HAB!D23*K_si!D$3</f>
        <v>0</v>
      </c>
      <c r="E8" s="4">
        <f>+CON_HAB!E23*K_si!E$3</f>
        <v>0</v>
      </c>
      <c r="F8" s="4">
        <f>+CON_HAB!F23*K_si!F$3</f>
        <v>0</v>
      </c>
      <c r="G8" s="4">
        <f>+CON_HAB!G23*K_si!G$3</f>
        <v>0</v>
      </c>
      <c r="H8" s="4">
        <f>+CON_HAB!H23*K_si!H$3</f>
        <v>0</v>
      </c>
      <c r="I8" s="4">
        <f>+CON_HAB!I23*K_si!I$3</f>
        <v>0</v>
      </c>
      <c r="J8" s="4">
        <f>+CON_HAB!J23*K_si!J$3</f>
        <v>0</v>
      </c>
      <c r="K8" s="4">
        <f>+CON_HAB!K23*K_si!K$3</f>
        <v>1</v>
      </c>
      <c r="L8" s="4">
        <f>+CON_HAB!L23*K_si!L$3</f>
        <v>0</v>
      </c>
      <c r="M8" s="4">
        <f>+CON_HAB!M23*K_si!M$3</f>
        <v>0</v>
      </c>
      <c r="N8" s="4">
        <f>+CON_HAB!N23*K_si!N$3</f>
        <v>0</v>
      </c>
      <c r="O8" s="4">
        <f>+CON_HAB!O23*K_si!O$3</f>
        <v>0</v>
      </c>
      <c r="P8" s="4">
        <f>+CON_HAB!P23*K_si!P$3</f>
        <v>0</v>
      </c>
      <c r="Q8" s="4">
        <f>+CON_HAB!Q23*K_si!Q$3</f>
        <v>1</v>
      </c>
      <c r="R8" s="4">
        <f>+CON_HAB!R23*K_si!R$3</f>
        <v>0</v>
      </c>
      <c r="S8" s="64">
        <f>+CON_HAB!S23*K_si!S$3</f>
        <v>0</v>
      </c>
      <c r="T8" s="4">
        <f>+CON_HAB!T23*K_si!T$3</f>
        <v>0</v>
      </c>
      <c r="U8" s="4">
        <f>+CON_HAB!U23*K_si!U$3</f>
        <v>1</v>
      </c>
      <c r="V8" s="4">
        <f>+CON_HAB!V23*K_si!V$3</f>
        <v>0</v>
      </c>
      <c r="W8" s="4">
        <f>+CON_HAB!W23*K_si!W$3</f>
        <v>0</v>
      </c>
      <c r="X8" s="4">
        <f>+CON_HAB!X23*K_si!X$3</f>
        <v>1</v>
      </c>
      <c r="Y8" s="4">
        <f>+CON_HAB!Y23*K_si!Y$3</f>
        <v>0</v>
      </c>
      <c r="Z8" s="4">
        <f>+CON_HAB!Z23*K_si!Z$3</f>
        <v>0</v>
      </c>
      <c r="AA8" s="4">
        <f>+CON_HAB!AA23*K_si!AA$3</f>
        <v>0</v>
      </c>
      <c r="AB8" s="60">
        <f>+CON_HAB!AB23*K_si!AB$3</f>
        <v>1</v>
      </c>
      <c r="AC8" s="4">
        <f>+CON_HAB!AC23*K_si!AC$3</f>
        <v>0</v>
      </c>
      <c r="AD8" s="4">
        <f>+CON_HAB!AD23*K_si!AD$3</f>
        <v>0</v>
      </c>
      <c r="AE8" s="4">
        <f>+CON_HAB!AE23*K_si!AE$3</f>
        <v>0</v>
      </c>
      <c r="AF8" s="4">
        <f>+CON_HAB!AF23*K_si!AF$3</f>
        <v>0</v>
      </c>
      <c r="AG8" s="4">
        <f>+CON_HAB!AG23*K_si!AG$3</f>
        <v>0</v>
      </c>
      <c r="AH8" s="4">
        <f>+CON_HAB!AH23*K_si!AH$3</f>
        <v>0</v>
      </c>
      <c r="AI8" s="4">
        <f>+CON_HAB!AI23*K_si!AI$3</f>
        <v>0</v>
      </c>
      <c r="AJ8" s="4">
        <f>+CON_HAB!AJ23*K_si!AJ$3</f>
        <v>0</v>
      </c>
      <c r="AK8" s="4">
        <f>+CON_HAB!AK23*K_si!AK$3</f>
        <v>0</v>
      </c>
      <c r="AL8" s="4">
        <f>+CON_HAB!AL23*K_si!AL$3</f>
        <v>0</v>
      </c>
      <c r="AM8" s="4">
        <f>+CON_HAB!AM23*K_si!AM$3</f>
        <v>0</v>
      </c>
      <c r="AN8" s="64">
        <f>+CON_HAB!AN23*K_si!AN$3</f>
        <v>0</v>
      </c>
      <c r="AO8" s="4">
        <f>+CON_HAB!AO23*K_si!AO$3</f>
        <v>0</v>
      </c>
      <c r="AP8" s="4">
        <f>+CON_HAB!AP23*K_si!AP$3</f>
        <v>0</v>
      </c>
      <c r="AQ8" s="4">
        <f>+CON_HAB!AQ23*K_si!AQ$3</f>
        <v>0</v>
      </c>
      <c r="AR8" s="4">
        <f>+CON_HAB!AR23*K_si!AR$3</f>
        <v>0</v>
      </c>
      <c r="AS8" s="4">
        <f>+CON_HAB!AS23*K_si!AS$3</f>
        <v>0</v>
      </c>
      <c r="AT8" s="4">
        <f>+CON_HAB!AT23*K_si!AT$3</f>
        <v>0</v>
      </c>
      <c r="AU8" s="4">
        <f>+CON_HAB!AU23*K_si!AU$3</f>
        <v>0</v>
      </c>
      <c r="AV8" s="60">
        <f>+CON_HAB!AV23*K_si!AV$3</f>
        <v>0</v>
      </c>
      <c r="AW8" s="4">
        <f>+CON_HAB!AW23*K_si!AW$3</f>
        <v>0</v>
      </c>
      <c r="AX8" s="4">
        <f>+CON_HAB!AX23*K_si!AX$3</f>
        <v>0</v>
      </c>
      <c r="AY8" s="64">
        <f>+CON_HAB!AY23*K_si!AY$3</f>
        <v>0</v>
      </c>
      <c r="AZ8" s="60">
        <f>+CON_HAB!AZ23*K_si!AZ$3</f>
        <v>0</v>
      </c>
      <c r="BA8" s="4">
        <f>+CON_HAB!BA23*K_si!BA$3</f>
        <v>0</v>
      </c>
      <c r="BB8" s="4">
        <f>+CON_HAB!BB23*K_si!BB$3</f>
        <v>0</v>
      </c>
      <c r="BC8" s="60">
        <f>+CON_HAB!BC23*K_si!BC$3</f>
        <v>0</v>
      </c>
    </row>
    <row r="9" spans="1:55" ht="18.75" customHeight="1" x14ac:dyDescent="0.25">
      <c r="A9" s="67" t="s">
        <v>45</v>
      </c>
      <c r="B9" s="64">
        <f>+CON_HAB!B24*K_si!B$3</f>
        <v>0</v>
      </c>
      <c r="C9" s="4">
        <f>+CON_HAB!C24*K_si!C$3</f>
        <v>0</v>
      </c>
      <c r="D9" s="4">
        <f>+CON_HAB!D24*K_si!D$3</f>
        <v>0</v>
      </c>
      <c r="E9" s="4">
        <f>+CON_HAB!E24*K_si!E$3</f>
        <v>0</v>
      </c>
      <c r="F9" s="4">
        <f>+CON_HAB!F24*K_si!F$3</f>
        <v>0</v>
      </c>
      <c r="G9" s="4">
        <f>+CON_HAB!G24*K_si!G$3</f>
        <v>0</v>
      </c>
      <c r="H9" s="4">
        <f>+CON_HAB!H24*K_si!H$3</f>
        <v>0</v>
      </c>
      <c r="I9" s="4">
        <f>+CON_HAB!I24*K_si!I$3</f>
        <v>0</v>
      </c>
      <c r="J9" s="4">
        <f>+CON_HAB!J24*K_si!J$3</f>
        <v>0</v>
      </c>
      <c r="K9" s="4">
        <f>+CON_HAB!K24*K_si!K$3</f>
        <v>1</v>
      </c>
      <c r="L9" s="4">
        <f>+CON_HAB!L24*K_si!L$3</f>
        <v>0</v>
      </c>
      <c r="M9" s="4">
        <f>+CON_HAB!M24*K_si!M$3</f>
        <v>0</v>
      </c>
      <c r="N9" s="4">
        <f>+CON_HAB!N24*K_si!N$3</f>
        <v>0</v>
      </c>
      <c r="O9" s="4">
        <f>+CON_HAB!O24*K_si!O$3</f>
        <v>0</v>
      </c>
      <c r="P9" s="4">
        <f>+CON_HAB!P24*K_si!P$3</f>
        <v>0</v>
      </c>
      <c r="Q9" s="4">
        <f>+CON_HAB!Q24*K_si!Q$3</f>
        <v>1</v>
      </c>
      <c r="R9" s="4">
        <f>+CON_HAB!R24*K_si!R$3</f>
        <v>0</v>
      </c>
      <c r="S9" s="64">
        <f>+CON_HAB!S24*K_si!S$3</f>
        <v>0</v>
      </c>
      <c r="T9" s="4">
        <f>+CON_HAB!T24*K_si!T$3</f>
        <v>0</v>
      </c>
      <c r="U9" s="4">
        <f>+CON_HAB!U24*K_si!U$3</f>
        <v>1</v>
      </c>
      <c r="V9" s="4">
        <f>+CON_HAB!V24*K_si!V$3</f>
        <v>0</v>
      </c>
      <c r="W9" s="4">
        <f>+CON_HAB!W24*K_si!W$3</f>
        <v>0</v>
      </c>
      <c r="X9" s="4">
        <f>+CON_HAB!X24*K_si!X$3</f>
        <v>1</v>
      </c>
      <c r="Y9" s="4">
        <f>+CON_HAB!Y24*K_si!Y$3</f>
        <v>0</v>
      </c>
      <c r="Z9" s="4">
        <f>+CON_HAB!Z24*K_si!Z$3</f>
        <v>0</v>
      </c>
      <c r="AA9" s="4">
        <f>+CON_HAB!AA24*K_si!AA$3</f>
        <v>0</v>
      </c>
      <c r="AB9" s="60">
        <f>+CON_HAB!AB24*K_si!AB$3</f>
        <v>1</v>
      </c>
      <c r="AC9" s="4">
        <f>+CON_HAB!AC24*K_si!AC$3</f>
        <v>0</v>
      </c>
      <c r="AD9" s="4">
        <f>+CON_HAB!AD24*K_si!AD$3</f>
        <v>0</v>
      </c>
      <c r="AE9" s="4">
        <f>+CON_HAB!AE24*K_si!AE$3</f>
        <v>0</v>
      </c>
      <c r="AF9" s="4">
        <f>+CON_HAB!AF24*K_si!AF$3</f>
        <v>0</v>
      </c>
      <c r="AG9" s="4">
        <f>+CON_HAB!AG24*K_si!AG$3</f>
        <v>0</v>
      </c>
      <c r="AH9" s="4">
        <f>+CON_HAB!AH24*K_si!AH$3</f>
        <v>0</v>
      </c>
      <c r="AI9" s="4">
        <f>+CON_HAB!AI24*K_si!AI$3</f>
        <v>0</v>
      </c>
      <c r="AJ9" s="4">
        <f>+CON_HAB!AJ24*K_si!AJ$3</f>
        <v>0</v>
      </c>
      <c r="AK9" s="4">
        <f>+CON_HAB!AK24*K_si!AK$3</f>
        <v>0</v>
      </c>
      <c r="AL9" s="4">
        <f>+CON_HAB!AL24*K_si!AL$3</f>
        <v>0</v>
      </c>
      <c r="AM9" s="4">
        <f>+CON_HAB!AM24*K_si!AM$3</f>
        <v>0</v>
      </c>
      <c r="AN9" s="64">
        <f>+CON_HAB!AN24*K_si!AN$3</f>
        <v>0</v>
      </c>
      <c r="AO9" s="4">
        <f>+CON_HAB!AO24*K_si!AO$3</f>
        <v>0</v>
      </c>
      <c r="AP9" s="4">
        <f>+CON_HAB!AP24*K_si!AP$3</f>
        <v>0</v>
      </c>
      <c r="AQ9" s="4">
        <f>+CON_HAB!AQ24*K_si!AQ$3</f>
        <v>0</v>
      </c>
      <c r="AR9" s="4">
        <f>+CON_HAB!AR24*K_si!AR$3</f>
        <v>0</v>
      </c>
      <c r="AS9" s="4">
        <f>+CON_HAB!AS24*K_si!AS$3</f>
        <v>0</v>
      </c>
      <c r="AT9" s="4">
        <f>+CON_HAB!AT24*K_si!AT$3</f>
        <v>0</v>
      </c>
      <c r="AU9" s="4">
        <f>+CON_HAB!AU24*K_si!AU$3</f>
        <v>0</v>
      </c>
      <c r="AV9" s="60">
        <f>+CON_HAB!AV24*K_si!AV$3</f>
        <v>0</v>
      </c>
      <c r="AW9" s="4">
        <f>+CON_HAB!AW24*K_si!AW$3</f>
        <v>0</v>
      </c>
      <c r="AX9" s="4">
        <f>+CON_HAB!AX24*K_si!AX$3</f>
        <v>0</v>
      </c>
      <c r="AY9" s="64">
        <f>+CON_HAB!AY24*K_si!AY$3</f>
        <v>0</v>
      </c>
      <c r="AZ9" s="60">
        <f>+CON_HAB!AZ24*K_si!AZ$3</f>
        <v>0</v>
      </c>
      <c r="BA9" s="4">
        <f>+CON_HAB!BA24*K_si!BA$3</f>
        <v>0</v>
      </c>
      <c r="BB9" s="4">
        <f>+CON_HAB!BB24*K_si!BB$3</f>
        <v>0</v>
      </c>
      <c r="BC9" s="60">
        <f>+CON_HAB!BC24*K_si!BC$3</f>
        <v>0</v>
      </c>
    </row>
    <row r="10" spans="1:55" ht="18.75" customHeight="1" x14ac:dyDescent="0.25">
      <c r="A10" s="67" t="s">
        <v>46</v>
      </c>
      <c r="B10" s="64">
        <f>+CON_HAB!B25*K_si!B$3</f>
        <v>0</v>
      </c>
      <c r="C10" s="4">
        <f>+CON_HAB!C25*K_si!C$3</f>
        <v>0</v>
      </c>
      <c r="D10" s="4">
        <f>+CON_HAB!D25*K_si!D$3</f>
        <v>0</v>
      </c>
      <c r="E10" s="4">
        <f>+CON_HAB!E25*K_si!E$3</f>
        <v>0</v>
      </c>
      <c r="F10" s="4">
        <f>+CON_HAB!F25*K_si!F$3</f>
        <v>0</v>
      </c>
      <c r="G10" s="4">
        <f>+CON_HAB!G25*K_si!G$3</f>
        <v>0</v>
      </c>
      <c r="H10" s="4">
        <f>+CON_HAB!H25*K_si!H$3</f>
        <v>0</v>
      </c>
      <c r="I10" s="4">
        <f>+CON_HAB!I25*K_si!I$3</f>
        <v>0</v>
      </c>
      <c r="J10" s="4">
        <f>+CON_HAB!J25*K_si!J$3</f>
        <v>0</v>
      </c>
      <c r="K10" s="4">
        <f>+CON_HAB!K25*K_si!K$3</f>
        <v>1</v>
      </c>
      <c r="L10" s="4">
        <f>+CON_HAB!L25*K_si!L$3</f>
        <v>0</v>
      </c>
      <c r="M10" s="4">
        <f>+CON_HAB!M25*K_si!M$3</f>
        <v>0</v>
      </c>
      <c r="N10" s="4">
        <f>+CON_HAB!N25*K_si!N$3</f>
        <v>0</v>
      </c>
      <c r="O10" s="4">
        <f>+CON_HAB!O25*K_si!O$3</f>
        <v>0</v>
      </c>
      <c r="P10" s="4">
        <f>+CON_HAB!P25*K_si!P$3</f>
        <v>0</v>
      </c>
      <c r="Q10" s="4">
        <f>+CON_HAB!Q25*K_si!Q$3</f>
        <v>1</v>
      </c>
      <c r="R10" s="4">
        <f>+CON_HAB!R25*K_si!R$3</f>
        <v>0</v>
      </c>
      <c r="S10" s="64">
        <f>+CON_HAB!S25*K_si!S$3</f>
        <v>0</v>
      </c>
      <c r="T10" s="4">
        <f>+CON_HAB!T25*K_si!T$3</f>
        <v>0</v>
      </c>
      <c r="U10" s="4">
        <f>+CON_HAB!U25*K_si!U$3</f>
        <v>1</v>
      </c>
      <c r="V10" s="4">
        <f>+CON_HAB!V25*K_si!V$3</f>
        <v>1</v>
      </c>
      <c r="W10" s="4">
        <f>+CON_HAB!W25*K_si!W$3</f>
        <v>0</v>
      </c>
      <c r="X10" s="4">
        <f>+CON_HAB!X25*K_si!X$3</f>
        <v>1</v>
      </c>
      <c r="Y10" s="4">
        <f>+CON_HAB!Y25*K_si!Y$3</f>
        <v>0</v>
      </c>
      <c r="Z10" s="4">
        <f>+CON_HAB!Z25*K_si!Z$3</f>
        <v>0</v>
      </c>
      <c r="AA10" s="4">
        <f>+CON_HAB!AA25*K_si!AA$3</f>
        <v>0</v>
      </c>
      <c r="AB10" s="60">
        <f>+CON_HAB!AB25*K_si!AB$3</f>
        <v>1</v>
      </c>
      <c r="AC10" s="4">
        <f>+CON_HAB!AC25*K_si!AC$3</f>
        <v>0</v>
      </c>
      <c r="AD10" s="4">
        <f>+CON_HAB!AD25*K_si!AD$3</f>
        <v>0</v>
      </c>
      <c r="AE10" s="4">
        <f>+CON_HAB!AE25*K_si!AE$3</f>
        <v>0</v>
      </c>
      <c r="AF10" s="4">
        <f>+CON_HAB!AF25*K_si!AF$3</f>
        <v>0</v>
      </c>
      <c r="AG10" s="4">
        <f>+CON_HAB!AG25*K_si!AG$3</f>
        <v>0</v>
      </c>
      <c r="AH10" s="4">
        <f>+CON_HAB!AH25*K_si!AH$3</f>
        <v>0</v>
      </c>
      <c r="AI10" s="4">
        <f>+CON_HAB!AI25*K_si!AI$3</f>
        <v>0</v>
      </c>
      <c r="AJ10" s="4">
        <f>+CON_HAB!AJ25*K_si!AJ$3</f>
        <v>0</v>
      </c>
      <c r="AK10" s="4">
        <f>+CON_HAB!AK25*K_si!AK$3</f>
        <v>0</v>
      </c>
      <c r="AL10" s="4">
        <f>+CON_HAB!AL25*K_si!AL$3</f>
        <v>0</v>
      </c>
      <c r="AM10" s="4">
        <f>+CON_HAB!AM25*K_si!AM$3</f>
        <v>0</v>
      </c>
      <c r="AN10" s="64">
        <f>+CON_HAB!AN25*K_si!AN$3</f>
        <v>0</v>
      </c>
      <c r="AO10" s="4">
        <f>+CON_HAB!AO25*K_si!AO$3</f>
        <v>0</v>
      </c>
      <c r="AP10" s="4">
        <f>+CON_HAB!AP25*K_si!AP$3</f>
        <v>0</v>
      </c>
      <c r="AQ10" s="4">
        <f>+CON_HAB!AQ25*K_si!AQ$3</f>
        <v>0</v>
      </c>
      <c r="AR10" s="4">
        <f>+CON_HAB!AR25*K_si!AR$3</f>
        <v>0</v>
      </c>
      <c r="AS10" s="4">
        <f>+CON_HAB!AS25*K_si!AS$3</f>
        <v>0</v>
      </c>
      <c r="AT10" s="4">
        <f>+CON_HAB!AT25*K_si!AT$3</f>
        <v>0</v>
      </c>
      <c r="AU10" s="4">
        <f>+CON_HAB!AU25*K_si!AU$3</f>
        <v>0</v>
      </c>
      <c r="AV10" s="60">
        <f>+CON_HAB!AV25*K_si!AV$3</f>
        <v>0</v>
      </c>
      <c r="AW10" s="4">
        <f>+CON_HAB!AW25*K_si!AW$3</f>
        <v>0</v>
      </c>
      <c r="AX10" s="4">
        <f>+CON_HAB!AX25*K_si!AX$3</f>
        <v>0</v>
      </c>
      <c r="AY10" s="64">
        <f>+CON_HAB!AY25*K_si!AY$3</f>
        <v>0</v>
      </c>
      <c r="AZ10" s="60">
        <f>+CON_HAB!AZ25*K_si!AZ$3</f>
        <v>0</v>
      </c>
      <c r="BA10" s="4">
        <f>+CON_HAB!BA25*K_si!BA$3</f>
        <v>0</v>
      </c>
      <c r="BB10" s="4">
        <f>+CON_HAB!BB25*K_si!BB$3</f>
        <v>0</v>
      </c>
      <c r="BC10" s="60">
        <f>+CON_HAB!BC25*K_si!BC$3</f>
        <v>0</v>
      </c>
    </row>
    <row r="11" spans="1:55" ht="18.75" customHeight="1" x14ac:dyDescent="0.25">
      <c r="A11" s="67" t="s">
        <v>108</v>
      </c>
      <c r="B11" s="64">
        <f>+CON_HAB!B26*K_si!B$3</f>
        <v>0</v>
      </c>
      <c r="C11" s="4">
        <f>+CON_HAB!C26*K_si!C$3</f>
        <v>0</v>
      </c>
      <c r="D11" s="4">
        <f>+CON_HAB!D26*K_si!D$3</f>
        <v>0</v>
      </c>
      <c r="E11" s="4">
        <f>+CON_HAB!E26*K_si!E$3</f>
        <v>0</v>
      </c>
      <c r="F11" s="4">
        <f>+CON_HAB!F26*K_si!F$3</f>
        <v>0</v>
      </c>
      <c r="G11" s="4">
        <f>+CON_HAB!G26*K_si!G$3</f>
        <v>0</v>
      </c>
      <c r="H11" s="4">
        <f>+CON_HAB!H26*K_si!H$3</f>
        <v>0</v>
      </c>
      <c r="I11" s="4">
        <f>+CON_HAB!I26*K_si!I$3</f>
        <v>0</v>
      </c>
      <c r="J11" s="4">
        <f>+CON_HAB!J26*K_si!J$3</f>
        <v>0</v>
      </c>
      <c r="K11" s="4">
        <f>+CON_HAB!K26*K_si!K$3</f>
        <v>1</v>
      </c>
      <c r="L11" s="4">
        <f>+CON_HAB!L26*K_si!L$3</f>
        <v>0</v>
      </c>
      <c r="M11" s="4">
        <f>+CON_HAB!M26*K_si!M$3</f>
        <v>0</v>
      </c>
      <c r="N11" s="4">
        <f>+CON_HAB!N26*K_si!N$3</f>
        <v>0</v>
      </c>
      <c r="O11" s="4">
        <f>+CON_HAB!O26*K_si!O$3</f>
        <v>0</v>
      </c>
      <c r="P11" s="4">
        <f>+CON_HAB!P26*K_si!P$3</f>
        <v>0</v>
      </c>
      <c r="Q11" s="4">
        <f>+CON_HAB!Q26*K_si!Q$3</f>
        <v>1</v>
      </c>
      <c r="R11" s="4">
        <f>+CON_HAB!R26*K_si!R$3</f>
        <v>0</v>
      </c>
      <c r="S11" s="64">
        <f>+CON_HAB!S26*K_si!S$3</f>
        <v>0</v>
      </c>
      <c r="T11" s="4">
        <f>+CON_HAB!T26*K_si!T$3</f>
        <v>1</v>
      </c>
      <c r="U11" s="4">
        <f>+CON_HAB!U26*K_si!U$3</f>
        <v>0</v>
      </c>
      <c r="V11" s="4">
        <f>+CON_HAB!V26*K_si!V$3</f>
        <v>0</v>
      </c>
      <c r="W11" s="4">
        <f>+CON_HAB!W26*K_si!W$3</f>
        <v>0</v>
      </c>
      <c r="X11" s="4">
        <f>+CON_HAB!X26*K_si!X$3</f>
        <v>0</v>
      </c>
      <c r="Y11" s="4">
        <f>+CON_HAB!Y26*K_si!Y$3</f>
        <v>0</v>
      </c>
      <c r="Z11" s="4">
        <f>+CON_HAB!Z26*K_si!Z$3</f>
        <v>0</v>
      </c>
      <c r="AA11" s="4">
        <f>+CON_HAB!AA26*K_si!AA$3</f>
        <v>0</v>
      </c>
      <c r="AB11" s="60">
        <f>+CON_HAB!AB26*K_si!AB$3</f>
        <v>0</v>
      </c>
      <c r="AC11" s="4">
        <f>+CON_HAB!AC26*K_si!AC$3</f>
        <v>0</v>
      </c>
      <c r="AD11" s="4">
        <f>+CON_HAB!AD26*K_si!AD$3</f>
        <v>0</v>
      </c>
      <c r="AE11" s="4">
        <f>+CON_HAB!AE26*K_si!AE$3</f>
        <v>0</v>
      </c>
      <c r="AF11" s="4">
        <f>+CON_HAB!AF26*K_si!AF$3</f>
        <v>0</v>
      </c>
      <c r="AG11" s="4">
        <f>+CON_HAB!AG26*K_si!AG$3</f>
        <v>0</v>
      </c>
      <c r="AH11" s="4">
        <f>+CON_HAB!AH26*K_si!AH$3</f>
        <v>0</v>
      </c>
      <c r="AI11" s="4">
        <f>+CON_HAB!AI26*K_si!AI$3</f>
        <v>0</v>
      </c>
      <c r="AJ11" s="4">
        <f>+CON_HAB!AJ26*K_si!AJ$3</f>
        <v>0</v>
      </c>
      <c r="AK11" s="4">
        <f>+CON_HAB!AK26*K_si!AK$3</f>
        <v>0</v>
      </c>
      <c r="AL11" s="4">
        <f>+CON_HAB!AL26*K_si!AL$3</f>
        <v>0</v>
      </c>
      <c r="AM11" s="4">
        <f>+CON_HAB!AM26*K_si!AM$3</f>
        <v>0</v>
      </c>
      <c r="AN11" s="64">
        <f>+CON_HAB!AN26*K_si!AN$3</f>
        <v>0</v>
      </c>
      <c r="AO11" s="4">
        <f>+CON_HAB!AO26*K_si!AO$3</f>
        <v>0</v>
      </c>
      <c r="AP11" s="4">
        <f>+CON_HAB!AP26*K_si!AP$3</f>
        <v>0</v>
      </c>
      <c r="AQ11" s="4">
        <f>+CON_HAB!AQ26*K_si!AQ$3</f>
        <v>0</v>
      </c>
      <c r="AR11" s="4">
        <f>+CON_HAB!AR26*K_si!AR$3</f>
        <v>0</v>
      </c>
      <c r="AS11" s="4">
        <f>+CON_HAB!AS26*K_si!AS$3</f>
        <v>0</v>
      </c>
      <c r="AT11" s="4">
        <f>+CON_HAB!AT26*K_si!AT$3</f>
        <v>0</v>
      </c>
      <c r="AU11" s="4">
        <f>+CON_HAB!AU26*K_si!AU$3</f>
        <v>0</v>
      </c>
      <c r="AV11" s="60">
        <f>+CON_HAB!AV26*K_si!AV$3</f>
        <v>0</v>
      </c>
      <c r="AW11" s="4">
        <f>+CON_HAB!AW26*K_si!AW$3</f>
        <v>0</v>
      </c>
      <c r="AX11" s="4">
        <f>+CON_HAB!AX26*K_si!AX$3</f>
        <v>0</v>
      </c>
      <c r="AY11" s="64">
        <f>+CON_HAB!AY26*K_si!AY$3</f>
        <v>0</v>
      </c>
      <c r="AZ11" s="60">
        <f>+CON_HAB!AZ26*K_si!AZ$3</f>
        <v>0</v>
      </c>
      <c r="BA11" s="4">
        <f>+CON_HAB!BA26*K_si!BA$3</f>
        <v>0</v>
      </c>
      <c r="BB11" s="4">
        <f>+CON_HAB!BB26*K_si!BB$3</f>
        <v>0</v>
      </c>
      <c r="BC11" s="60">
        <f>+CON_HAB!BC26*K_si!BC$3</f>
        <v>0</v>
      </c>
    </row>
    <row r="12" spans="1:55" ht="18.75" customHeight="1" x14ac:dyDescent="0.25">
      <c r="A12" s="67" t="s">
        <v>109</v>
      </c>
      <c r="B12" s="64">
        <f>+CON_HAB!B27*K_si!B$3</f>
        <v>0</v>
      </c>
      <c r="C12" s="4">
        <f>+CON_HAB!C27*K_si!C$3</f>
        <v>0</v>
      </c>
      <c r="D12" s="4">
        <f>+CON_HAB!D27*K_si!D$3</f>
        <v>0</v>
      </c>
      <c r="E12" s="4">
        <f>+CON_HAB!E27*K_si!E$3</f>
        <v>0</v>
      </c>
      <c r="F12" s="4">
        <f>+CON_HAB!F27*K_si!F$3</f>
        <v>0</v>
      </c>
      <c r="G12" s="4">
        <f>+CON_HAB!G27*K_si!G$3</f>
        <v>0</v>
      </c>
      <c r="H12" s="4">
        <f>+CON_HAB!H27*K_si!H$3</f>
        <v>0</v>
      </c>
      <c r="I12" s="4">
        <f>+CON_HAB!I27*K_si!I$3</f>
        <v>0</v>
      </c>
      <c r="J12" s="4">
        <f>+CON_HAB!J27*K_si!J$3</f>
        <v>0</v>
      </c>
      <c r="K12" s="4">
        <f>+CON_HAB!K27*K_si!K$3</f>
        <v>0</v>
      </c>
      <c r="L12" s="4">
        <f>+CON_HAB!L27*K_si!L$3</f>
        <v>0</v>
      </c>
      <c r="M12" s="4">
        <f>+CON_HAB!M27*K_si!M$3</f>
        <v>0</v>
      </c>
      <c r="N12" s="4">
        <f>+CON_HAB!N27*K_si!N$3</f>
        <v>0</v>
      </c>
      <c r="O12" s="4">
        <f>+CON_HAB!O27*K_si!O$3</f>
        <v>0</v>
      </c>
      <c r="P12" s="4">
        <f>+CON_HAB!P27*K_si!P$3</f>
        <v>0</v>
      </c>
      <c r="Q12" s="4">
        <f>+CON_HAB!Q27*K_si!Q$3</f>
        <v>0</v>
      </c>
      <c r="R12" s="4">
        <f>+CON_HAB!R27*K_si!R$3</f>
        <v>0</v>
      </c>
      <c r="S12" s="64">
        <f>+CON_HAB!S27*K_si!S$3</f>
        <v>0</v>
      </c>
      <c r="T12" s="4">
        <f>+CON_HAB!T27*K_si!T$3</f>
        <v>0</v>
      </c>
      <c r="U12" s="4">
        <f>+CON_HAB!U27*K_si!U$3</f>
        <v>0</v>
      </c>
      <c r="V12" s="4">
        <f>+CON_HAB!V27*K_si!V$3</f>
        <v>0</v>
      </c>
      <c r="W12" s="4">
        <f>+CON_HAB!W27*K_si!W$3</f>
        <v>0</v>
      </c>
      <c r="X12" s="4">
        <f>+CON_HAB!X27*K_si!X$3</f>
        <v>0</v>
      </c>
      <c r="Y12" s="4">
        <f>+CON_HAB!Y27*K_si!Y$3</f>
        <v>0</v>
      </c>
      <c r="Z12" s="4">
        <f>+CON_HAB!Z27*K_si!Z$3</f>
        <v>0</v>
      </c>
      <c r="AA12" s="4">
        <f>+CON_HAB!AA27*K_si!AA$3</f>
        <v>0</v>
      </c>
      <c r="AB12" s="60">
        <f>+CON_HAB!AB27*K_si!AB$3</f>
        <v>0</v>
      </c>
      <c r="AC12" s="4">
        <f>+CON_HAB!AC27*K_si!AC$3</f>
        <v>0</v>
      </c>
      <c r="AD12" s="4">
        <f>+CON_HAB!AD27*K_si!AD$3</f>
        <v>0</v>
      </c>
      <c r="AE12" s="4">
        <f>+CON_HAB!AE27*K_si!AE$3</f>
        <v>0</v>
      </c>
      <c r="AF12" s="4">
        <f>+CON_HAB!AF27*K_si!AF$3</f>
        <v>0</v>
      </c>
      <c r="AG12" s="4">
        <f>+CON_HAB!AG27*K_si!AG$3</f>
        <v>0</v>
      </c>
      <c r="AH12" s="4">
        <f>+CON_HAB!AH27*K_si!AH$3</f>
        <v>0</v>
      </c>
      <c r="AI12" s="4">
        <f>+CON_HAB!AI27*K_si!AI$3</f>
        <v>0</v>
      </c>
      <c r="AJ12" s="4">
        <f>+CON_HAB!AJ27*K_si!AJ$3</f>
        <v>0</v>
      </c>
      <c r="AK12" s="4">
        <f>+CON_HAB!AK27*K_si!AK$3</f>
        <v>0</v>
      </c>
      <c r="AL12" s="4">
        <f>+CON_HAB!AL27*K_si!AL$3</f>
        <v>0</v>
      </c>
      <c r="AM12" s="4">
        <f>+CON_HAB!AM27*K_si!AM$3</f>
        <v>0</v>
      </c>
      <c r="AN12" s="64">
        <f>+CON_HAB!AN27*K_si!AN$3</f>
        <v>0</v>
      </c>
      <c r="AO12" s="4">
        <f>+CON_HAB!AO27*K_si!AO$3</f>
        <v>0</v>
      </c>
      <c r="AP12" s="4">
        <f>+CON_HAB!AP27*K_si!AP$3</f>
        <v>0</v>
      </c>
      <c r="AQ12" s="4">
        <f>+CON_HAB!AQ27*K_si!AQ$3</f>
        <v>0</v>
      </c>
      <c r="AR12" s="4">
        <f>+CON_HAB!AR27*K_si!AR$3</f>
        <v>0</v>
      </c>
      <c r="AS12" s="4">
        <f>+CON_HAB!AS27*K_si!AS$3</f>
        <v>0</v>
      </c>
      <c r="AT12" s="4">
        <f>+CON_HAB!AT27*K_si!AT$3</f>
        <v>0</v>
      </c>
      <c r="AU12" s="4">
        <f>+CON_HAB!AU27*K_si!AU$3</f>
        <v>0</v>
      </c>
      <c r="AV12" s="60">
        <f>+CON_HAB!AV27*K_si!AV$3</f>
        <v>0</v>
      </c>
      <c r="AW12" s="4">
        <f>+CON_HAB!AW27*K_si!AW$3</f>
        <v>0</v>
      </c>
      <c r="AX12" s="4">
        <f>+CON_HAB!AX27*K_si!AX$3</f>
        <v>0</v>
      </c>
      <c r="AY12" s="64">
        <f>+CON_HAB!AY27*K_si!AY$3</f>
        <v>0</v>
      </c>
      <c r="AZ12" s="60">
        <f>+CON_HAB!AZ27*K_si!AZ$3</f>
        <v>0</v>
      </c>
      <c r="BA12" s="4">
        <f>+CON_HAB!BA27*K_si!BA$3</f>
        <v>0</v>
      </c>
      <c r="BB12" s="4">
        <f>+CON_HAB!BB27*K_si!BB$3</f>
        <v>0</v>
      </c>
      <c r="BC12" s="60">
        <f>+CON_HAB!BC27*K_si!BC$3</f>
        <v>0</v>
      </c>
    </row>
    <row r="13" spans="1:55" ht="18.75" customHeight="1" thickBot="1" x14ac:dyDescent="0.3">
      <c r="A13" s="67" t="s">
        <v>110</v>
      </c>
      <c r="B13" s="65">
        <f>+CON_HAB!B28*K_si!B$3</f>
        <v>0</v>
      </c>
      <c r="C13" s="66">
        <f>+CON_HAB!C28*K_si!C$3</f>
        <v>0</v>
      </c>
      <c r="D13" s="66">
        <f>+CON_HAB!D28*K_si!D$3</f>
        <v>0</v>
      </c>
      <c r="E13" s="66">
        <f>+CON_HAB!E28*K_si!E$3</f>
        <v>0</v>
      </c>
      <c r="F13" s="66">
        <f>+CON_HAB!F28*K_si!F$3</f>
        <v>0</v>
      </c>
      <c r="G13" s="66">
        <f>+CON_HAB!G28*K_si!G$3</f>
        <v>0</v>
      </c>
      <c r="H13" s="66">
        <f>+CON_HAB!H28*K_si!H$3</f>
        <v>0</v>
      </c>
      <c r="I13" s="66">
        <f>+CON_HAB!I28*K_si!I$3</f>
        <v>0</v>
      </c>
      <c r="J13" s="66">
        <f>+CON_HAB!J28*K_si!J$3</f>
        <v>0</v>
      </c>
      <c r="K13" s="66">
        <f>+CON_HAB!K28*K_si!K$3</f>
        <v>0</v>
      </c>
      <c r="L13" s="66">
        <f>+CON_HAB!L28*K_si!L$3</f>
        <v>0</v>
      </c>
      <c r="M13" s="66">
        <f>+CON_HAB!M28*K_si!M$3</f>
        <v>0</v>
      </c>
      <c r="N13" s="66">
        <f>+CON_HAB!N28*K_si!N$3</f>
        <v>0</v>
      </c>
      <c r="O13" s="66">
        <f>+CON_HAB!O28*K_si!O$3</f>
        <v>0</v>
      </c>
      <c r="P13" s="66">
        <f>+CON_HAB!P28*K_si!P$3</f>
        <v>0</v>
      </c>
      <c r="Q13" s="66">
        <f>+CON_HAB!Q28*K_si!Q$3</f>
        <v>0</v>
      </c>
      <c r="R13" s="66">
        <f>+CON_HAB!R28*K_si!R$3</f>
        <v>0</v>
      </c>
      <c r="S13" s="65">
        <f>+CON_HAB!S28*K_si!S$3</f>
        <v>0</v>
      </c>
      <c r="T13" s="66">
        <f>+CON_HAB!T28*K_si!T$3</f>
        <v>0</v>
      </c>
      <c r="U13" s="66">
        <f>+CON_HAB!U28*K_si!U$3</f>
        <v>0</v>
      </c>
      <c r="V13" s="66">
        <f>+CON_HAB!V28*K_si!V$3</f>
        <v>0</v>
      </c>
      <c r="W13" s="66">
        <f>+CON_HAB!W28*K_si!W$3</f>
        <v>0</v>
      </c>
      <c r="X13" s="66">
        <f>+CON_HAB!X28*K_si!X$3</f>
        <v>0</v>
      </c>
      <c r="Y13" s="66">
        <f>+CON_HAB!Y28*K_si!Y$3</f>
        <v>0</v>
      </c>
      <c r="Z13" s="66">
        <f>+CON_HAB!Z28*K_si!Z$3</f>
        <v>0</v>
      </c>
      <c r="AA13" s="66">
        <f>+CON_HAB!AA28*K_si!AA$3</f>
        <v>0</v>
      </c>
      <c r="AB13" s="61">
        <f>+CON_HAB!AB28*K_si!AB$3</f>
        <v>0</v>
      </c>
      <c r="AC13" s="66">
        <f>+CON_HAB!AC28*K_si!AC$3</f>
        <v>0</v>
      </c>
      <c r="AD13" s="66">
        <f>+CON_HAB!AD28*K_si!AD$3</f>
        <v>0</v>
      </c>
      <c r="AE13" s="66">
        <f>+CON_HAB!AE28*K_si!AE$3</f>
        <v>0</v>
      </c>
      <c r="AF13" s="66">
        <f>+CON_HAB!AF28*K_si!AF$3</f>
        <v>0</v>
      </c>
      <c r="AG13" s="66">
        <f>+CON_HAB!AG28*K_si!AG$3</f>
        <v>0</v>
      </c>
      <c r="AH13" s="66">
        <f>+CON_HAB!AH28*K_si!AH$3</f>
        <v>0</v>
      </c>
      <c r="AI13" s="66">
        <f>+CON_HAB!AI28*K_si!AI$3</f>
        <v>0</v>
      </c>
      <c r="AJ13" s="66">
        <f>+CON_HAB!AJ28*K_si!AJ$3</f>
        <v>0</v>
      </c>
      <c r="AK13" s="66">
        <f>+CON_HAB!AK28*K_si!AK$3</f>
        <v>0</v>
      </c>
      <c r="AL13" s="66">
        <f>+CON_HAB!AL28*K_si!AL$3</f>
        <v>0</v>
      </c>
      <c r="AM13" s="66">
        <f>+CON_HAB!AM28*K_si!AM$3</f>
        <v>0</v>
      </c>
      <c r="AN13" s="65">
        <f>+CON_HAB!AN28*K_si!AN$3</f>
        <v>0</v>
      </c>
      <c r="AO13" s="66">
        <f>+CON_HAB!AO28*K_si!AO$3</f>
        <v>0</v>
      </c>
      <c r="AP13" s="66">
        <f>+CON_HAB!AP28*K_si!AP$3</f>
        <v>0</v>
      </c>
      <c r="AQ13" s="66">
        <f>+CON_HAB!AQ28*K_si!AQ$3</f>
        <v>0</v>
      </c>
      <c r="AR13" s="66">
        <f>+CON_HAB!AR28*K_si!AR$3</f>
        <v>0</v>
      </c>
      <c r="AS13" s="66">
        <f>+CON_HAB!AS28*K_si!AS$3</f>
        <v>0</v>
      </c>
      <c r="AT13" s="66">
        <f>+CON_HAB!AT28*K_si!AT$3</f>
        <v>0</v>
      </c>
      <c r="AU13" s="66">
        <f>+CON_HAB!AU28*K_si!AU$3</f>
        <v>0</v>
      </c>
      <c r="AV13" s="61">
        <f>+CON_HAB!AV28*K_si!AV$3</f>
        <v>0</v>
      </c>
      <c r="AW13" s="66">
        <f>+CON_HAB!AW28*K_si!AW$3</f>
        <v>0</v>
      </c>
      <c r="AX13" s="66">
        <f>+CON_HAB!AX28*K_si!AX$3</f>
        <v>0</v>
      </c>
      <c r="AY13" s="65">
        <f>+CON_HAB!AY28*K_si!AY$3</f>
        <v>0</v>
      </c>
      <c r="AZ13" s="61">
        <f>+CON_HAB!AZ28*K_si!AZ$3</f>
        <v>0</v>
      </c>
      <c r="BA13" s="66">
        <f>+CON_HAB!BA28*K_si!BA$3</f>
        <v>0</v>
      </c>
      <c r="BB13" s="66">
        <f>+CON_HAB!BB28*K_si!BB$3</f>
        <v>0</v>
      </c>
      <c r="BC13" s="61">
        <f>+CON_HAB!BC28*K_si!BC$3</f>
        <v>0</v>
      </c>
    </row>
  </sheetData>
  <conditionalFormatting sqref="B2:BC13">
    <cfRule type="cellIs" dxfId="10" priority="1" operator="equal">
      <formula>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BC15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bestFit="1" customWidth="1"/>
    <col min="2" max="55" width="4.5703125" style="14" bestFit="1" customWidth="1"/>
  </cols>
  <sheetData>
    <row r="1" spans="1:55" ht="18.75" customHeight="1" thickBot="1" x14ac:dyDescent="0.3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67" t="s">
        <v>38</v>
      </c>
      <c r="B2" s="62">
        <f>+K_si!B4*CON_HAB!B$32</f>
        <v>0</v>
      </c>
      <c r="C2" s="63">
        <f>+K_si!C4*CON_HAB!C$32</f>
        <v>0</v>
      </c>
      <c r="D2" s="63">
        <f>+K_si!D4*CON_HAB!D$32</f>
        <v>0</v>
      </c>
      <c r="E2" s="63">
        <f>+K_si!E4*CON_HAB!E$32</f>
        <v>0</v>
      </c>
      <c r="F2" s="63">
        <f>+K_si!F4*CON_HAB!F$32</f>
        <v>0</v>
      </c>
      <c r="G2" s="63">
        <f>+K_si!G4*CON_HAB!G$32</f>
        <v>1</v>
      </c>
      <c r="H2" s="63">
        <f>+K_si!H4*CON_HAB!H$32</f>
        <v>0</v>
      </c>
      <c r="I2" s="63">
        <f>+K_si!I4*CON_HAB!I$32</f>
        <v>0</v>
      </c>
      <c r="J2" s="63">
        <f>+K_si!J4*CON_HAB!J$32</f>
        <v>0</v>
      </c>
      <c r="K2" s="63">
        <f>+K_si!K4*CON_HAB!K$32</f>
        <v>1</v>
      </c>
      <c r="L2" s="63">
        <f>+K_si!L4*CON_HAB!L$32</f>
        <v>0</v>
      </c>
      <c r="M2" s="63">
        <f>+K_si!M4*CON_HAB!M$32</f>
        <v>0</v>
      </c>
      <c r="N2" s="63">
        <f>+K_si!N4*CON_HAB!N$32</f>
        <v>0</v>
      </c>
      <c r="O2" s="63">
        <f>+K_si!O4*CON_HAB!O$32</f>
        <v>0</v>
      </c>
      <c r="P2" s="63">
        <f>+K_si!P4*CON_HAB!P$32</f>
        <v>0</v>
      </c>
      <c r="Q2" s="63">
        <f>+K_si!Q4*CON_HAB!Q$32</f>
        <v>0</v>
      </c>
      <c r="R2" s="63">
        <f>+K_si!R4*CON_HAB!R$32</f>
        <v>0</v>
      </c>
      <c r="S2" s="62">
        <f>+K_si!S4*CON_HAB!S$32</f>
        <v>0</v>
      </c>
      <c r="T2" s="63">
        <f>+K_si!T4*CON_HAB!T$32</f>
        <v>0</v>
      </c>
      <c r="U2" s="63">
        <f>+K_si!U4*CON_HAB!U$32</f>
        <v>0</v>
      </c>
      <c r="V2" s="63">
        <f>+K_si!V4*CON_HAB!V$32</f>
        <v>0</v>
      </c>
      <c r="W2" s="63">
        <f>+K_si!W4*CON_HAB!W$32</f>
        <v>0</v>
      </c>
      <c r="X2" s="63">
        <f>+K_si!X4*CON_HAB!X$32</f>
        <v>0</v>
      </c>
      <c r="Y2" s="63">
        <f>+K_si!Y4*CON_HAB!Y$32</f>
        <v>0</v>
      </c>
      <c r="Z2" s="63">
        <f>+K_si!Z4*CON_HAB!Z$32</f>
        <v>0</v>
      </c>
      <c r="AA2" s="63">
        <f>+K_si!AA4*CON_HAB!AA$32</f>
        <v>0</v>
      </c>
      <c r="AB2" s="59">
        <f>+K_si!AB4*CON_HAB!AB$32</f>
        <v>0</v>
      </c>
      <c r="AC2" s="63">
        <f>+K_si!AC4*CON_HAB!AC$32</f>
        <v>0</v>
      </c>
      <c r="AD2" s="63">
        <f>+K_si!AD4*CON_HAB!AD$32</f>
        <v>0</v>
      </c>
      <c r="AE2" s="63">
        <f>+K_si!AE4*CON_HAB!AE$32</f>
        <v>0</v>
      </c>
      <c r="AF2" s="63">
        <f>+K_si!AF4*CON_HAB!AF$32</f>
        <v>0</v>
      </c>
      <c r="AG2" s="63">
        <f>+K_si!AG4*CON_HAB!AG$32</f>
        <v>0</v>
      </c>
      <c r="AH2" s="63">
        <f>+K_si!AH4*CON_HAB!AH$32</f>
        <v>0</v>
      </c>
      <c r="AI2" s="63">
        <f>+K_si!AI4*CON_HAB!AI$32</f>
        <v>0</v>
      </c>
      <c r="AJ2" s="63">
        <f>+K_si!AJ4*CON_HAB!AJ$32</f>
        <v>0</v>
      </c>
      <c r="AK2" s="63">
        <f>+K_si!AK4*CON_HAB!AK$32</f>
        <v>0</v>
      </c>
      <c r="AL2" s="63">
        <f>+K_si!AL4*CON_HAB!AL$32</f>
        <v>0</v>
      </c>
      <c r="AM2" s="63">
        <f>+K_si!AM4*CON_HAB!AM$32</f>
        <v>0</v>
      </c>
      <c r="AN2" s="62">
        <f>+K_si!AN4*CON_HAB!AN$32</f>
        <v>0</v>
      </c>
      <c r="AO2" s="63">
        <f>+K_si!AO4*CON_HAB!AO$32</f>
        <v>0</v>
      </c>
      <c r="AP2" s="63">
        <f>+K_si!AP4*CON_HAB!AP$32</f>
        <v>0</v>
      </c>
      <c r="AQ2" s="63">
        <f>+K_si!AQ4*CON_HAB!AQ$32</f>
        <v>0</v>
      </c>
      <c r="AR2" s="63">
        <f>+K_si!AR4*CON_HAB!AR$32</f>
        <v>0</v>
      </c>
      <c r="AS2" s="63">
        <f>+K_si!AS4*CON_HAB!AS$32</f>
        <v>0</v>
      </c>
      <c r="AT2" s="63">
        <f>+K_si!AT4*CON_HAB!AT$32</f>
        <v>0</v>
      </c>
      <c r="AU2" s="63">
        <f>+K_si!AU4*CON_HAB!AU$32</f>
        <v>0</v>
      </c>
      <c r="AV2" s="59">
        <f>+K_si!AV4*CON_HAB!AV$32</f>
        <v>0</v>
      </c>
      <c r="AW2" s="63">
        <f>+K_si!AW4*CON_HAB!AW$32</f>
        <v>0</v>
      </c>
      <c r="AX2" s="63">
        <f>+K_si!AX4*CON_HAB!AX$32</f>
        <v>0</v>
      </c>
      <c r="AY2" s="62">
        <f>+K_si!AY4*CON_HAB!AY$32</f>
        <v>0</v>
      </c>
      <c r="AZ2" s="59">
        <f>+K_si!AZ4*CON_HAB!AZ$32</f>
        <v>0</v>
      </c>
      <c r="BA2" s="63">
        <f>+K_si!BA4*CON_HAB!BA$32</f>
        <v>0</v>
      </c>
      <c r="BB2" s="63">
        <f>+K_si!BB4*CON_HAB!BB$32</f>
        <v>0</v>
      </c>
      <c r="BC2" s="59">
        <f>+K_si!BC4*CON_HAB!BC$32</f>
        <v>0</v>
      </c>
    </row>
    <row r="3" spans="1:55" ht="18.75" customHeight="1" x14ac:dyDescent="0.25">
      <c r="A3" s="67" t="s">
        <v>39</v>
      </c>
      <c r="B3" s="64">
        <f>+K_si!B5*CON_HAB!B$32</f>
        <v>0</v>
      </c>
      <c r="C3" s="4">
        <f>+K_si!C5*CON_HAB!C$32</f>
        <v>0</v>
      </c>
      <c r="D3" s="4">
        <f>+K_si!D5*CON_HAB!D$32</f>
        <v>0</v>
      </c>
      <c r="E3" s="4">
        <f>+K_si!E5*CON_HAB!E$32</f>
        <v>0</v>
      </c>
      <c r="F3" s="4">
        <f>+K_si!F5*CON_HAB!F$32</f>
        <v>0</v>
      </c>
      <c r="G3" s="4">
        <f>+K_si!G5*CON_HAB!G$32</f>
        <v>1</v>
      </c>
      <c r="H3" s="4">
        <f>+K_si!H5*CON_HAB!H$32</f>
        <v>0</v>
      </c>
      <c r="I3" s="4">
        <f>+K_si!I5*CON_HAB!I$32</f>
        <v>0</v>
      </c>
      <c r="J3" s="4">
        <f>+K_si!J5*CON_HAB!J$32</f>
        <v>0</v>
      </c>
      <c r="K3" s="4">
        <f>+K_si!K5*CON_HAB!K$32</f>
        <v>1</v>
      </c>
      <c r="L3" s="4">
        <f>+K_si!L5*CON_HAB!L$32</f>
        <v>1</v>
      </c>
      <c r="M3" s="4">
        <f>+K_si!M5*CON_HAB!M$32</f>
        <v>0</v>
      </c>
      <c r="N3" s="4">
        <f>+K_si!N5*CON_HAB!N$32</f>
        <v>0</v>
      </c>
      <c r="O3" s="4">
        <f>+K_si!O5*CON_HAB!O$32</f>
        <v>0</v>
      </c>
      <c r="P3" s="4">
        <f>+K_si!P5*CON_HAB!P$32</f>
        <v>0</v>
      </c>
      <c r="Q3" s="4">
        <f>+K_si!Q5*CON_HAB!Q$32</f>
        <v>0</v>
      </c>
      <c r="R3" s="4">
        <f>+K_si!R5*CON_HAB!R$32</f>
        <v>0</v>
      </c>
      <c r="S3" s="64">
        <f>+K_si!S5*CON_HAB!S$32</f>
        <v>0</v>
      </c>
      <c r="T3" s="4">
        <f>+K_si!T5*CON_HAB!T$32</f>
        <v>0</v>
      </c>
      <c r="U3" s="4">
        <f>+K_si!U5*CON_HAB!U$32</f>
        <v>0</v>
      </c>
      <c r="V3" s="4">
        <f>+K_si!V5*CON_HAB!V$32</f>
        <v>0</v>
      </c>
      <c r="W3" s="4">
        <f>+K_si!W5*CON_HAB!W$32</f>
        <v>0</v>
      </c>
      <c r="X3" s="4">
        <f>+K_si!X5*CON_HAB!X$32</f>
        <v>0</v>
      </c>
      <c r="Y3" s="4">
        <f>+K_si!Y5*CON_HAB!Y$32</f>
        <v>0</v>
      </c>
      <c r="Z3" s="4">
        <f>+K_si!Z5*CON_HAB!Z$32</f>
        <v>0</v>
      </c>
      <c r="AA3" s="4">
        <f>+K_si!AA5*CON_HAB!AA$32</f>
        <v>0</v>
      </c>
      <c r="AB3" s="60">
        <f>+K_si!AB5*CON_HAB!AB$32</f>
        <v>0</v>
      </c>
      <c r="AC3" s="4">
        <f>+K_si!AC5*CON_HAB!AC$32</f>
        <v>0</v>
      </c>
      <c r="AD3" s="4">
        <f>+K_si!AD5*CON_HAB!AD$32</f>
        <v>0</v>
      </c>
      <c r="AE3" s="4">
        <f>+K_si!AE5*CON_HAB!AE$32</f>
        <v>0</v>
      </c>
      <c r="AF3" s="4">
        <f>+K_si!AF5*CON_HAB!AF$32</f>
        <v>0</v>
      </c>
      <c r="AG3" s="4">
        <f>+K_si!AG5*CON_HAB!AG$32</f>
        <v>0</v>
      </c>
      <c r="AH3" s="4">
        <f>+K_si!AH5*CON_HAB!AH$32</f>
        <v>0</v>
      </c>
      <c r="AI3" s="4">
        <f>+K_si!AI5*CON_HAB!AI$32</f>
        <v>0</v>
      </c>
      <c r="AJ3" s="4">
        <f>+K_si!AJ5*CON_HAB!AJ$32</f>
        <v>0</v>
      </c>
      <c r="AK3" s="4">
        <f>+K_si!AK5*CON_HAB!AK$32</f>
        <v>0</v>
      </c>
      <c r="AL3" s="4">
        <f>+K_si!AL5*CON_HAB!AL$32</f>
        <v>0</v>
      </c>
      <c r="AM3" s="4">
        <f>+K_si!AM5*CON_HAB!AM$32</f>
        <v>0</v>
      </c>
      <c r="AN3" s="64">
        <f>+K_si!AN5*CON_HAB!AN$32</f>
        <v>0</v>
      </c>
      <c r="AO3" s="4">
        <f>+K_si!AO5*CON_HAB!AO$32</f>
        <v>0</v>
      </c>
      <c r="AP3" s="4">
        <f>+K_si!AP5*CON_HAB!AP$32</f>
        <v>0</v>
      </c>
      <c r="AQ3" s="4">
        <f>+K_si!AQ5*CON_HAB!AQ$32</f>
        <v>0</v>
      </c>
      <c r="AR3" s="4">
        <f>+K_si!AR5*CON_HAB!AR$32</f>
        <v>0</v>
      </c>
      <c r="AS3" s="4">
        <f>+K_si!AS5*CON_HAB!AS$32</f>
        <v>0</v>
      </c>
      <c r="AT3" s="4">
        <f>+K_si!AT5*CON_HAB!AT$32</f>
        <v>0</v>
      </c>
      <c r="AU3" s="4">
        <f>+K_si!AU5*CON_HAB!AU$32</f>
        <v>0</v>
      </c>
      <c r="AV3" s="60">
        <f>+K_si!AV5*CON_HAB!AV$32</f>
        <v>0</v>
      </c>
      <c r="AW3" s="4">
        <f>+K_si!AW5*CON_HAB!AW$32</f>
        <v>0</v>
      </c>
      <c r="AX3" s="4">
        <f>+K_si!AX5*CON_HAB!AX$32</f>
        <v>0</v>
      </c>
      <c r="AY3" s="64">
        <f>+K_si!AY5*CON_HAB!AY$32</f>
        <v>0</v>
      </c>
      <c r="AZ3" s="60">
        <f>+K_si!AZ5*CON_HAB!AZ$32</f>
        <v>0</v>
      </c>
      <c r="BA3" s="4">
        <f>+K_si!BA5*CON_HAB!BA$32</f>
        <v>0</v>
      </c>
      <c r="BB3" s="4">
        <f>+K_si!BB5*CON_HAB!BB$32</f>
        <v>0</v>
      </c>
      <c r="BC3" s="60">
        <f>+K_si!BC5*CON_HAB!BC$32</f>
        <v>0</v>
      </c>
    </row>
    <row r="4" spans="1:55" ht="18.75" customHeight="1" x14ac:dyDescent="0.25">
      <c r="A4" s="67" t="s">
        <v>40</v>
      </c>
      <c r="B4" s="64">
        <f>+K_si!B6*CON_HAB!B$32</f>
        <v>0</v>
      </c>
      <c r="C4" s="4">
        <f>+K_si!C6*CON_HAB!C$32</f>
        <v>0</v>
      </c>
      <c r="D4" s="4">
        <f>+K_si!D6*CON_HAB!D$32</f>
        <v>0</v>
      </c>
      <c r="E4" s="4">
        <f>+K_si!E6*CON_HAB!E$32</f>
        <v>0</v>
      </c>
      <c r="F4" s="4">
        <f>+K_si!F6*CON_HAB!F$32</f>
        <v>0</v>
      </c>
      <c r="G4" s="4">
        <f>+K_si!G6*CON_HAB!G$32</f>
        <v>0</v>
      </c>
      <c r="H4" s="4">
        <f>+K_si!H6*CON_HAB!H$32</f>
        <v>0</v>
      </c>
      <c r="I4" s="4">
        <f>+K_si!I6*CON_HAB!I$32</f>
        <v>0</v>
      </c>
      <c r="J4" s="4">
        <f>+K_si!J6*CON_HAB!J$32</f>
        <v>0</v>
      </c>
      <c r="K4" s="4">
        <f>+K_si!K6*CON_HAB!K$32</f>
        <v>0</v>
      </c>
      <c r="L4" s="4">
        <f>+K_si!L6*CON_HAB!L$32</f>
        <v>0</v>
      </c>
      <c r="M4" s="4">
        <f>+K_si!M6*CON_HAB!M$32</f>
        <v>0</v>
      </c>
      <c r="N4" s="4">
        <f>+K_si!N6*CON_HAB!N$32</f>
        <v>0</v>
      </c>
      <c r="O4" s="4">
        <f>+K_si!O6*CON_HAB!O$32</f>
        <v>0</v>
      </c>
      <c r="P4" s="4">
        <f>+K_si!P6*CON_HAB!P$32</f>
        <v>0</v>
      </c>
      <c r="Q4" s="4">
        <f>+K_si!Q6*CON_HAB!Q$32</f>
        <v>0</v>
      </c>
      <c r="R4" s="4">
        <f>+K_si!R6*CON_HAB!R$32</f>
        <v>0</v>
      </c>
      <c r="S4" s="64">
        <f>+K_si!S6*CON_HAB!S$32</f>
        <v>0</v>
      </c>
      <c r="T4" s="4">
        <f>+K_si!T6*CON_HAB!T$32</f>
        <v>0</v>
      </c>
      <c r="U4" s="4">
        <f>+K_si!U6*CON_HAB!U$32</f>
        <v>0</v>
      </c>
      <c r="V4" s="4">
        <f>+K_si!V6*CON_HAB!V$32</f>
        <v>0</v>
      </c>
      <c r="W4" s="4">
        <f>+K_si!W6*CON_HAB!W$32</f>
        <v>0</v>
      </c>
      <c r="X4" s="4">
        <f>+K_si!X6*CON_HAB!X$32</f>
        <v>0</v>
      </c>
      <c r="Y4" s="4">
        <f>+K_si!Y6*CON_HAB!Y$32</f>
        <v>0</v>
      </c>
      <c r="Z4" s="4">
        <f>+K_si!Z6*CON_HAB!Z$32</f>
        <v>0</v>
      </c>
      <c r="AA4" s="4">
        <f>+K_si!AA6*CON_HAB!AA$32</f>
        <v>0</v>
      </c>
      <c r="AB4" s="60">
        <f>+K_si!AB6*CON_HAB!AB$32</f>
        <v>0</v>
      </c>
      <c r="AC4" s="4">
        <f>+K_si!AC6*CON_HAB!AC$32</f>
        <v>0</v>
      </c>
      <c r="AD4" s="4">
        <f>+K_si!AD6*CON_HAB!AD$32</f>
        <v>0</v>
      </c>
      <c r="AE4" s="4">
        <f>+K_si!AE6*CON_HAB!AE$32</f>
        <v>0</v>
      </c>
      <c r="AF4" s="4">
        <f>+K_si!AF6*CON_HAB!AF$32</f>
        <v>0</v>
      </c>
      <c r="AG4" s="4">
        <f>+K_si!AG6*CON_HAB!AG$32</f>
        <v>0</v>
      </c>
      <c r="AH4" s="4">
        <f>+K_si!AH6*CON_HAB!AH$32</f>
        <v>0</v>
      </c>
      <c r="AI4" s="4">
        <f>+K_si!AI6*CON_HAB!AI$32</f>
        <v>0</v>
      </c>
      <c r="AJ4" s="4">
        <f>+K_si!AJ6*CON_HAB!AJ$32</f>
        <v>0</v>
      </c>
      <c r="AK4" s="4">
        <f>+K_si!AK6*CON_HAB!AK$32</f>
        <v>0</v>
      </c>
      <c r="AL4" s="4">
        <f>+K_si!AL6*CON_HAB!AL$32</f>
        <v>0</v>
      </c>
      <c r="AM4" s="4">
        <f>+K_si!AM6*CON_HAB!AM$32</f>
        <v>0</v>
      </c>
      <c r="AN4" s="64">
        <f>+K_si!AN6*CON_HAB!AN$32</f>
        <v>0</v>
      </c>
      <c r="AO4" s="4">
        <f>+K_si!AO6*CON_HAB!AO$32</f>
        <v>0</v>
      </c>
      <c r="AP4" s="4">
        <f>+K_si!AP6*CON_HAB!AP$32</f>
        <v>0</v>
      </c>
      <c r="AQ4" s="4">
        <f>+K_si!AQ6*CON_HAB!AQ$32</f>
        <v>0</v>
      </c>
      <c r="AR4" s="4">
        <f>+K_si!AR6*CON_HAB!AR$32</f>
        <v>0</v>
      </c>
      <c r="AS4" s="4">
        <f>+K_si!AS6*CON_HAB!AS$32</f>
        <v>0</v>
      </c>
      <c r="AT4" s="4">
        <f>+K_si!AT6*CON_HAB!AT$32</f>
        <v>0</v>
      </c>
      <c r="AU4" s="4">
        <f>+K_si!AU6*CON_HAB!AU$32</f>
        <v>0</v>
      </c>
      <c r="AV4" s="60">
        <f>+K_si!AV6*CON_HAB!AV$32</f>
        <v>0</v>
      </c>
      <c r="AW4" s="4">
        <f>+K_si!AW6*CON_HAB!AW$32</f>
        <v>0</v>
      </c>
      <c r="AX4" s="4">
        <f>+K_si!AX6*CON_HAB!AX$32</f>
        <v>0</v>
      </c>
      <c r="AY4" s="64">
        <f>+K_si!AY6*CON_HAB!AY$32</f>
        <v>0</v>
      </c>
      <c r="AZ4" s="60">
        <f>+K_si!AZ6*CON_HAB!AZ$32</f>
        <v>0</v>
      </c>
      <c r="BA4" s="4">
        <f>+K_si!BA6*CON_HAB!BA$32</f>
        <v>0</v>
      </c>
      <c r="BB4" s="4">
        <f>+K_si!BB6*CON_HAB!BB$32</f>
        <v>0</v>
      </c>
      <c r="BC4" s="60">
        <f>+K_si!BC6*CON_HAB!BC$32</f>
        <v>0</v>
      </c>
    </row>
    <row r="5" spans="1:55" ht="18.75" customHeight="1" x14ac:dyDescent="0.25">
      <c r="A5" s="67" t="s">
        <v>41</v>
      </c>
      <c r="B5" s="64">
        <f>+K_si!B7*CON_HAB!B$32</f>
        <v>0</v>
      </c>
      <c r="C5" s="4">
        <f>+K_si!C7*CON_HAB!C$32</f>
        <v>0</v>
      </c>
      <c r="D5" s="4">
        <f>+K_si!D7*CON_HAB!D$32</f>
        <v>0</v>
      </c>
      <c r="E5" s="4">
        <f>+K_si!E7*CON_HAB!E$32</f>
        <v>0</v>
      </c>
      <c r="F5" s="4">
        <f>+K_si!F7*CON_HAB!F$32</f>
        <v>0</v>
      </c>
      <c r="G5" s="4">
        <f>+K_si!G7*CON_HAB!G$32</f>
        <v>0</v>
      </c>
      <c r="H5" s="4">
        <f>+K_si!H7*CON_HAB!H$32</f>
        <v>0</v>
      </c>
      <c r="I5" s="4">
        <f>+K_si!I7*CON_HAB!I$32</f>
        <v>0</v>
      </c>
      <c r="J5" s="4">
        <f>+K_si!J7*CON_HAB!J$32</f>
        <v>0</v>
      </c>
      <c r="K5" s="4">
        <f>+K_si!K7*CON_HAB!K$32</f>
        <v>0</v>
      </c>
      <c r="L5" s="4">
        <f>+K_si!L7*CON_HAB!L$32</f>
        <v>0</v>
      </c>
      <c r="M5" s="4">
        <f>+K_si!M7*CON_HAB!M$32</f>
        <v>0</v>
      </c>
      <c r="N5" s="4">
        <f>+K_si!N7*CON_HAB!N$32</f>
        <v>0</v>
      </c>
      <c r="O5" s="4">
        <f>+K_si!O7*CON_HAB!O$32</f>
        <v>0</v>
      </c>
      <c r="P5" s="4">
        <f>+K_si!P7*CON_HAB!P$32</f>
        <v>0</v>
      </c>
      <c r="Q5" s="4">
        <f>+K_si!Q7*CON_HAB!Q$32</f>
        <v>0</v>
      </c>
      <c r="R5" s="4">
        <f>+K_si!R7*CON_HAB!R$32</f>
        <v>0</v>
      </c>
      <c r="S5" s="64">
        <f>+K_si!S7*CON_HAB!S$32</f>
        <v>0</v>
      </c>
      <c r="T5" s="4">
        <f>+K_si!T7*CON_HAB!T$32</f>
        <v>0</v>
      </c>
      <c r="U5" s="4">
        <f>+K_si!U7*CON_HAB!U$32</f>
        <v>0</v>
      </c>
      <c r="V5" s="4">
        <f>+K_si!V7*CON_HAB!V$32</f>
        <v>0</v>
      </c>
      <c r="W5" s="4">
        <f>+K_si!W7*CON_HAB!W$32</f>
        <v>0</v>
      </c>
      <c r="X5" s="4">
        <f>+K_si!X7*CON_HAB!X$32</f>
        <v>0</v>
      </c>
      <c r="Y5" s="4">
        <f>+K_si!Y7*CON_HAB!Y$32</f>
        <v>0</v>
      </c>
      <c r="Z5" s="4">
        <f>+K_si!Z7*CON_HAB!Z$32</f>
        <v>0</v>
      </c>
      <c r="AA5" s="4">
        <f>+K_si!AA7*CON_HAB!AA$32</f>
        <v>0</v>
      </c>
      <c r="AB5" s="60">
        <f>+K_si!AB7*CON_HAB!AB$32</f>
        <v>0</v>
      </c>
      <c r="AC5" s="4">
        <f>+K_si!AC7*CON_HAB!AC$32</f>
        <v>0</v>
      </c>
      <c r="AD5" s="4">
        <f>+K_si!AD7*CON_HAB!AD$32</f>
        <v>0</v>
      </c>
      <c r="AE5" s="4">
        <f>+K_si!AE7*CON_HAB!AE$32</f>
        <v>0</v>
      </c>
      <c r="AF5" s="4">
        <f>+K_si!AF7*CON_HAB!AF$32</f>
        <v>0</v>
      </c>
      <c r="AG5" s="4">
        <f>+K_si!AG7*CON_HAB!AG$32</f>
        <v>0</v>
      </c>
      <c r="AH5" s="4">
        <f>+K_si!AH7*CON_HAB!AH$32</f>
        <v>0</v>
      </c>
      <c r="AI5" s="4">
        <f>+K_si!AI7*CON_HAB!AI$32</f>
        <v>0</v>
      </c>
      <c r="AJ5" s="4">
        <f>+K_si!AJ7*CON_HAB!AJ$32</f>
        <v>0</v>
      </c>
      <c r="AK5" s="4">
        <f>+K_si!AK7*CON_HAB!AK$32</f>
        <v>0</v>
      </c>
      <c r="AL5" s="4">
        <f>+K_si!AL7*CON_HAB!AL$32</f>
        <v>0</v>
      </c>
      <c r="AM5" s="4">
        <f>+K_si!AM7*CON_HAB!AM$32</f>
        <v>0</v>
      </c>
      <c r="AN5" s="64">
        <f>+K_si!AN7*CON_HAB!AN$32</f>
        <v>0</v>
      </c>
      <c r="AO5" s="4">
        <f>+K_si!AO7*CON_HAB!AO$32</f>
        <v>0</v>
      </c>
      <c r="AP5" s="4">
        <f>+K_si!AP7*CON_HAB!AP$32</f>
        <v>0</v>
      </c>
      <c r="AQ5" s="4">
        <f>+K_si!AQ7*CON_HAB!AQ$32</f>
        <v>0</v>
      </c>
      <c r="AR5" s="4">
        <f>+K_si!AR7*CON_HAB!AR$32</f>
        <v>0</v>
      </c>
      <c r="AS5" s="4">
        <f>+K_si!AS7*CON_HAB!AS$32</f>
        <v>0</v>
      </c>
      <c r="AT5" s="4">
        <f>+K_si!AT7*CON_HAB!AT$32</f>
        <v>0</v>
      </c>
      <c r="AU5" s="4">
        <f>+K_si!AU7*CON_HAB!AU$32</f>
        <v>0</v>
      </c>
      <c r="AV5" s="60">
        <f>+K_si!AV7*CON_HAB!AV$32</f>
        <v>0</v>
      </c>
      <c r="AW5" s="4">
        <f>+K_si!AW7*CON_HAB!AW$32</f>
        <v>0</v>
      </c>
      <c r="AX5" s="4">
        <f>+K_si!AX7*CON_HAB!AX$32</f>
        <v>0</v>
      </c>
      <c r="AY5" s="64">
        <f>+K_si!AY7*CON_HAB!AY$32</f>
        <v>0</v>
      </c>
      <c r="AZ5" s="60">
        <f>+K_si!AZ7*CON_HAB!AZ$32</f>
        <v>0</v>
      </c>
      <c r="BA5" s="4">
        <f>+K_si!BA7*CON_HAB!BA$32</f>
        <v>0</v>
      </c>
      <c r="BB5" s="4">
        <f>+K_si!BB7*CON_HAB!BB$32</f>
        <v>0</v>
      </c>
      <c r="BC5" s="60">
        <f>+K_si!BC7*CON_HAB!BC$32</f>
        <v>0</v>
      </c>
    </row>
    <row r="6" spans="1:55" ht="18.75" customHeight="1" x14ac:dyDescent="0.25">
      <c r="A6" s="67" t="s">
        <v>42</v>
      </c>
      <c r="B6" s="64">
        <f>+K_si!B8*CON_HAB!B$32</f>
        <v>0</v>
      </c>
      <c r="C6" s="4">
        <f>+K_si!C8*CON_HAB!C$32</f>
        <v>0</v>
      </c>
      <c r="D6" s="4">
        <f>+K_si!D8*CON_HAB!D$32</f>
        <v>0</v>
      </c>
      <c r="E6" s="4">
        <f>+K_si!E8*CON_HAB!E$32</f>
        <v>0</v>
      </c>
      <c r="F6" s="4">
        <f>+K_si!F8*CON_HAB!F$32</f>
        <v>0</v>
      </c>
      <c r="G6" s="4">
        <f>+K_si!G8*CON_HAB!G$32</f>
        <v>0</v>
      </c>
      <c r="H6" s="4">
        <f>+K_si!H8*CON_HAB!H$32</f>
        <v>0</v>
      </c>
      <c r="I6" s="4">
        <f>+K_si!I8*CON_HAB!I$32</f>
        <v>0</v>
      </c>
      <c r="J6" s="4">
        <f>+K_si!J8*CON_HAB!J$32</f>
        <v>0</v>
      </c>
      <c r="K6" s="4">
        <f>+K_si!K8*CON_HAB!K$32</f>
        <v>0</v>
      </c>
      <c r="L6" s="4">
        <f>+K_si!L8*CON_HAB!L$32</f>
        <v>0</v>
      </c>
      <c r="M6" s="4">
        <f>+K_si!M8*CON_HAB!M$32</f>
        <v>0</v>
      </c>
      <c r="N6" s="4">
        <f>+K_si!N8*CON_HAB!N$32</f>
        <v>0</v>
      </c>
      <c r="O6" s="4">
        <f>+K_si!O8*CON_HAB!O$32</f>
        <v>0</v>
      </c>
      <c r="P6" s="4">
        <f>+K_si!P8*CON_HAB!P$32</f>
        <v>0</v>
      </c>
      <c r="Q6" s="4">
        <f>+K_si!Q8*CON_HAB!Q$32</f>
        <v>0</v>
      </c>
      <c r="R6" s="4">
        <f>+K_si!R8*CON_HAB!R$32</f>
        <v>0</v>
      </c>
      <c r="S6" s="64">
        <f>+K_si!S8*CON_HAB!S$32</f>
        <v>0</v>
      </c>
      <c r="T6" s="4">
        <f>+K_si!T8*CON_HAB!T$32</f>
        <v>0</v>
      </c>
      <c r="U6" s="4">
        <f>+K_si!U8*CON_HAB!U$32</f>
        <v>0</v>
      </c>
      <c r="V6" s="4">
        <f>+K_si!V8*CON_HAB!V$32</f>
        <v>0</v>
      </c>
      <c r="W6" s="4">
        <f>+K_si!W8*CON_HAB!W$32</f>
        <v>0</v>
      </c>
      <c r="X6" s="4">
        <f>+K_si!X8*CON_HAB!X$32</f>
        <v>0</v>
      </c>
      <c r="Y6" s="4">
        <f>+K_si!Y8*CON_HAB!Y$32</f>
        <v>0</v>
      </c>
      <c r="Z6" s="4">
        <f>+K_si!Z8*CON_HAB!Z$32</f>
        <v>0</v>
      </c>
      <c r="AA6" s="4">
        <f>+K_si!AA8*CON_HAB!AA$32</f>
        <v>0</v>
      </c>
      <c r="AB6" s="60">
        <f>+K_si!AB8*CON_HAB!AB$32</f>
        <v>0</v>
      </c>
      <c r="AC6" s="4">
        <f>+K_si!AC8*CON_HAB!AC$32</f>
        <v>0</v>
      </c>
      <c r="AD6" s="4">
        <f>+K_si!AD8*CON_HAB!AD$32</f>
        <v>0</v>
      </c>
      <c r="AE6" s="4">
        <f>+K_si!AE8*CON_HAB!AE$32</f>
        <v>0</v>
      </c>
      <c r="AF6" s="4">
        <f>+K_si!AF8*CON_HAB!AF$32</f>
        <v>0</v>
      </c>
      <c r="AG6" s="4">
        <f>+K_si!AG8*CON_HAB!AG$32</f>
        <v>0</v>
      </c>
      <c r="AH6" s="4">
        <f>+K_si!AH8*CON_HAB!AH$32</f>
        <v>0</v>
      </c>
      <c r="AI6" s="4">
        <f>+K_si!AI8*CON_HAB!AI$32</f>
        <v>0</v>
      </c>
      <c r="AJ6" s="4">
        <f>+K_si!AJ8*CON_HAB!AJ$32</f>
        <v>0</v>
      </c>
      <c r="AK6" s="4">
        <f>+K_si!AK8*CON_HAB!AK$32</f>
        <v>0</v>
      </c>
      <c r="AL6" s="4">
        <f>+K_si!AL8*CON_HAB!AL$32</f>
        <v>0</v>
      </c>
      <c r="AM6" s="4">
        <f>+K_si!AM8*CON_HAB!AM$32</f>
        <v>0</v>
      </c>
      <c r="AN6" s="64">
        <f>+K_si!AN8*CON_HAB!AN$32</f>
        <v>0</v>
      </c>
      <c r="AO6" s="4">
        <f>+K_si!AO8*CON_HAB!AO$32</f>
        <v>0</v>
      </c>
      <c r="AP6" s="4">
        <f>+K_si!AP8*CON_HAB!AP$32</f>
        <v>0</v>
      </c>
      <c r="AQ6" s="4">
        <f>+K_si!AQ8*CON_HAB!AQ$32</f>
        <v>0</v>
      </c>
      <c r="AR6" s="4">
        <f>+K_si!AR8*CON_HAB!AR$32</f>
        <v>0</v>
      </c>
      <c r="AS6" s="4">
        <f>+K_si!AS8*CON_HAB!AS$32</f>
        <v>0</v>
      </c>
      <c r="AT6" s="4">
        <f>+K_si!AT8*CON_HAB!AT$32</f>
        <v>0</v>
      </c>
      <c r="AU6" s="4">
        <f>+K_si!AU8*CON_HAB!AU$32</f>
        <v>0</v>
      </c>
      <c r="AV6" s="60">
        <f>+K_si!AV8*CON_HAB!AV$32</f>
        <v>0</v>
      </c>
      <c r="AW6" s="4">
        <f>+K_si!AW8*CON_HAB!AW$32</f>
        <v>0</v>
      </c>
      <c r="AX6" s="4">
        <f>+K_si!AX8*CON_HAB!AX$32</f>
        <v>0</v>
      </c>
      <c r="AY6" s="64">
        <f>+K_si!AY8*CON_HAB!AY$32</f>
        <v>0</v>
      </c>
      <c r="AZ6" s="60">
        <f>+K_si!AZ8*CON_HAB!AZ$32</f>
        <v>0</v>
      </c>
      <c r="BA6" s="4">
        <f>+K_si!BA8*CON_HAB!BA$32</f>
        <v>0</v>
      </c>
      <c r="BB6" s="4">
        <f>+K_si!BB8*CON_HAB!BB$32</f>
        <v>0</v>
      </c>
      <c r="BC6" s="60">
        <f>+K_si!BC8*CON_HAB!BC$32</f>
        <v>0</v>
      </c>
    </row>
    <row r="7" spans="1:55" ht="18.75" customHeight="1" x14ac:dyDescent="0.25">
      <c r="A7" s="67" t="s">
        <v>43</v>
      </c>
      <c r="B7" s="64">
        <f>+K_si!B9*CON_HAB!B$32</f>
        <v>0</v>
      </c>
      <c r="C7" s="4">
        <f>+K_si!C9*CON_HAB!C$32</f>
        <v>0</v>
      </c>
      <c r="D7" s="4">
        <f>+K_si!D9*CON_HAB!D$32</f>
        <v>0</v>
      </c>
      <c r="E7" s="4">
        <f>+K_si!E9*CON_HAB!E$32</f>
        <v>0</v>
      </c>
      <c r="F7" s="4">
        <f>+K_si!F9*CON_HAB!F$32</f>
        <v>0</v>
      </c>
      <c r="G7" s="4">
        <f>+K_si!G9*CON_HAB!G$32</f>
        <v>0</v>
      </c>
      <c r="H7" s="4">
        <f>+K_si!H9*CON_HAB!H$32</f>
        <v>0</v>
      </c>
      <c r="I7" s="4">
        <f>+K_si!I9*CON_HAB!I$32</f>
        <v>0</v>
      </c>
      <c r="J7" s="4">
        <f>+K_si!J9*CON_HAB!J$32</f>
        <v>0</v>
      </c>
      <c r="K7" s="4">
        <f>+K_si!K9*CON_HAB!K$32</f>
        <v>0</v>
      </c>
      <c r="L7" s="4">
        <f>+K_si!L9*CON_HAB!L$32</f>
        <v>0</v>
      </c>
      <c r="M7" s="4">
        <f>+K_si!M9*CON_HAB!M$32</f>
        <v>0</v>
      </c>
      <c r="N7" s="4">
        <f>+K_si!N9*CON_HAB!N$32</f>
        <v>0</v>
      </c>
      <c r="O7" s="4">
        <f>+K_si!O9*CON_HAB!O$32</f>
        <v>0</v>
      </c>
      <c r="P7" s="4">
        <f>+K_si!P9*CON_HAB!P$32</f>
        <v>0</v>
      </c>
      <c r="Q7" s="4">
        <f>+K_si!Q9*CON_HAB!Q$32</f>
        <v>0</v>
      </c>
      <c r="R7" s="4">
        <f>+K_si!R9*CON_HAB!R$32</f>
        <v>0</v>
      </c>
      <c r="S7" s="64">
        <f>+K_si!S9*CON_HAB!S$32</f>
        <v>0</v>
      </c>
      <c r="T7" s="4">
        <f>+K_si!T9*CON_HAB!T$32</f>
        <v>0</v>
      </c>
      <c r="U7" s="4">
        <f>+K_si!U9*CON_HAB!U$32</f>
        <v>0</v>
      </c>
      <c r="V7" s="4">
        <f>+K_si!V9*CON_HAB!V$32</f>
        <v>0</v>
      </c>
      <c r="W7" s="4">
        <f>+K_si!W9*CON_HAB!W$32</f>
        <v>0</v>
      </c>
      <c r="X7" s="4">
        <f>+K_si!X9*CON_HAB!X$32</f>
        <v>0</v>
      </c>
      <c r="Y7" s="4">
        <f>+K_si!Y9*CON_HAB!Y$32</f>
        <v>0</v>
      </c>
      <c r="Z7" s="4">
        <f>+K_si!Z9*CON_HAB!Z$32</f>
        <v>0</v>
      </c>
      <c r="AA7" s="4">
        <f>+K_si!AA9*CON_HAB!AA$32</f>
        <v>0</v>
      </c>
      <c r="AB7" s="60">
        <f>+K_si!AB9*CON_HAB!AB$32</f>
        <v>0</v>
      </c>
      <c r="AC7" s="4">
        <f>+K_si!AC9*CON_HAB!AC$32</f>
        <v>0</v>
      </c>
      <c r="AD7" s="4">
        <f>+K_si!AD9*CON_HAB!AD$32</f>
        <v>0</v>
      </c>
      <c r="AE7" s="4">
        <f>+K_si!AE9*CON_HAB!AE$32</f>
        <v>0</v>
      </c>
      <c r="AF7" s="4">
        <f>+K_si!AF9*CON_HAB!AF$32</f>
        <v>0</v>
      </c>
      <c r="AG7" s="4">
        <f>+K_si!AG9*CON_HAB!AG$32</f>
        <v>0</v>
      </c>
      <c r="AH7" s="4">
        <f>+K_si!AH9*CON_HAB!AH$32</f>
        <v>0</v>
      </c>
      <c r="AI7" s="4">
        <f>+K_si!AI9*CON_HAB!AI$32</f>
        <v>0</v>
      </c>
      <c r="AJ7" s="4">
        <f>+K_si!AJ9*CON_HAB!AJ$32</f>
        <v>0</v>
      </c>
      <c r="AK7" s="4">
        <f>+K_si!AK9*CON_HAB!AK$32</f>
        <v>0</v>
      </c>
      <c r="AL7" s="4">
        <f>+K_si!AL9*CON_HAB!AL$32</f>
        <v>0</v>
      </c>
      <c r="AM7" s="4">
        <f>+K_si!AM9*CON_HAB!AM$32</f>
        <v>0</v>
      </c>
      <c r="AN7" s="64">
        <f>+K_si!AN9*CON_HAB!AN$32</f>
        <v>0</v>
      </c>
      <c r="AO7" s="4">
        <f>+K_si!AO9*CON_HAB!AO$32</f>
        <v>0</v>
      </c>
      <c r="AP7" s="4">
        <f>+K_si!AP9*CON_HAB!AP$32</f>
        <v>0</v>
      </c>
      <c r="AQ7" s="4">
        <f>+K_si!AQ9*CON_HAB!AQ$32</f>
        <v>0</v>
      </c>
      <c r="AR7" s="4">
        <f>+K_si!AR9*CON_HAB!AR$32</f>
        <v>0</v>
      </c>
      <c r="AS7" s="4">
        <f>+K_si!AS9*CON_HAB!AS$32</f>
        <v>0</v>
      </c>
      <c r="AT7" s="4">
        <f>+K_si!AT9*CON_HAB!AT$32</f>
        <v>0</v>
      </c>
      <c r="AU7" s="4">
        <f>+K_si!AU9*CON_HAB!AU$32</f>
        <v>0</v>
      </c>
      <c r="AV7" s="60">
        <f>+K_si!AV9*CON_HAB!AV$32</f>
        <v>0</v>
      </c>
      <c r="AW7" s="4">
        <f>+K_si!AW9*CON_HAB!AW$32</f>
        <v>0</v>
      </c>
      <c r="AX7" s="4">
        <f>+K_si!AX9*CON_HAB!AX$32</f>
        <v>0</v>
      </c>
      <c r="AY7" s="64">
        <f>+K_si!AY9*CON_HAB!AY$32</f>
        <v>0</v>
      </c>
      <c r="AZ7" s="60">
        <f>+K_si!AZ9*CON_HAB!AZ$32</f>
        <v>0</v>
      </c>
      <c r="BA7" s="4">
        <f>+K_si!BA9*CON_HAB!BA$32</f>
        <v>0</v>
      </c>
      <c r="BB7" s="4">
        <f>+K_si!BB9*CON_HAB!BB$32</f>
        <v>0</v>
      </c>
      <c r="BC7" s="60">
        <f>+K_si!BC9*CON_HAB!BC$32</f>
        <v>0</v>
      </c>
    </row>
    <row r="8" spans="1:55" ht="18.75" customHeight="1" x14ac:dyDescent="0.25">
      <c r="A8" s="67" t="s">
        <v>44</v>
      </c>
      <c r="B8" s="64">
        <f>+K_si!B10*CON_HAB!B$32</f>
        <v>0</v>
      </c>
      <c r="C8" s="4">
        <f>+K_si!C10*CON_HAB!C$32</f>
        <v>0</v>
      </c>
      <c r="D8" s="4">
        <f>+K_si!D10*CON_HAB!D$32</f>
        <v>0</v>
      </c>
      <c r="E8" s="4">
        <f>+K_si!E10*CON_HAB!E$32</f>
        <v>0</v>
      </c>
      <c r="F8" s="4">
        <f>+K_si!F10*CON_HAB!F$32</f>
        <v>0</v>
      </c>
      <c r="G8" s="4">
        <f>+K_si!G10*CON_HAB!G$32</f>
        <v>0</v>
      </c>
      <c r="H8" s="4">
        <f>+K_si!H10*CON_HAB!H$32</f>
        <v>0</v>
      </c>
      <c r="I8" s="4">
        <f>+K_si!I10*CON_HAB!I$32</f>
        <v>0</v>
      </c>
      <c r="J8" s="4">
        <f>+K_si!J10*CON_HAB!J$32</f>
        <v>0</v>
      </c>
      <c r="K8" s="4">
        <f>+K_si!K10*CON_HAB!K$32</f>
        <v>0</v>
      </c>
      <c r="L8" s="4">
        <f>+K_si!L10*CON_HAB!L$32</f>
        <v>0</v>
      </c>
      <c r="M8" s="4">
        <f>+K_si!M10*CON_HAB!M$32</f>
        <v>0</v>
      </c>
      <c r="N8" s="4">
        <f>+K_si!N10*CON_HAB!N$32</f>
        <v>0</v>
      </c>
      <c r="O8" s="4">
        <f>+K_si!O10*CON_HAB!O$32</f>
        <v>0</v>
      </c>
      <c r="P8" s="4">
        <f>+K_si!P10*CON_HAB!P$32</f>
        <v>0</v>
      </c>
      <c r="Q8" s="4">
        <f>+K_si!Q10*CON_HAB!Q$32</f>
        <v>0</v>
      </c>
      <c r="R8" s="4">
        <f>+K_si!R10*CON_HAB!R$32</f>
        <v>0</v>
      </c>
      <c r="S8" s="64">
        <f>+K_si!S10*CON_HAB!S$32</f>
        <v>0</v>
      </c>
      <c r="T8" s="4">
        <f>+K_si!T10*CON_HAB!T$32</f>
        <v>0</v>
      </c>
      <c r="U8" s="4">
        <f>+K_si!U10*CON_HAB!U$32</f>
        <v>0</v>
      </c>
      <c r="V8" s="4">
        <f>+K_si!V10*CON_HAB!V$32</f>
        <v>0</v>
      </c>
      <c r="W8" s="4">
        <f>+K_si!W10*CON_HAB!W$32</f>
        <v>0</v>
      </c>
      <c r="X8" s="4">
        <f>+K_si!X10*CON_HAB!X$32</f>
        <v>0</v>
      </c>
      <c r="Y8" s="4">
        <f>+K_si!Y10*CON_HAB!Y$32</f>
        <v>0</v>
      </c>
      <c r="Z8" s="4">
        <f>+K_si!Z10*CON_HAB!Z$32</f>
        <v>0</v>
      </c>
      <c r="AA8" s="4">
        <f>+K_si!AA10*CON_HAB!AA$32</f>
        <v>0</v>
      </c>
      <c r="AB8" s="60">
        <f>+K_si!AB10*CON_HAB!AB$32</f>
        <v>0</v>
      </c>
      <c r="AC8" s="4">
        <f>+K_si!AC10*CON_HAB!AC$32</f>
        <v>0</v>
      </c>
      <c r="AD8" s="4">
        <f>+K_si!AD10*CON_HAB!AD$32</f>
        <v>0</v>
      </c>
      <c r="AE8" s="4">
        <f>+K_si!AE10*CON_HAB!AE$32</f>
        <v>0</v>
      </c>
      <c r="AF8" s="4">
        <f>+K_si!AF10*CON_HAB!AF$32</f>
        <v>0</v>
      </c>
      <c r="AG8" s="4">
        <f>+K_si!AG10*CON_HAB!AG$32</f>
        <v>0</v>
      </c>
      <c r="AH8" s="4">
        <f>+K_si!AH10*CON_HAB!AH$32</f>
        <v>0</v>
      </c>
      <c r="AI8" s="4">
        <f>+K_si!AI10*CON_HAB!AI$32</f>
        <v>0</v>
      </c>
      <c r="AJ8" s="4">
        <f>+K_si!AJ10*CON_HAB!AJ$32</f>
        <v>0</v>
      </c>
      <c r="AK8" s="4">
        <f>+K_si!AK10*CON_HAB!AK$32</f>
        <v>0</v>
      </c>
      <c r="AL8" s="4">
        <f>+K_si!AL10*CON_HAB!AL$32</f>
        <v>0</v>
      </c>
      <c r="AM8" s="4">
        <f>+K_si!AM10*CON_HAB!AM$32</f>
        <v>0</v>
      </c>
      <c r="AN8" s="64">
        <f>+K_si!AN10*CON_HAB!AN$32</f>
        <v>0</v>
      </c>
      <c r="AO8" s="4">
        <f>+K_si!AO10*CON_HAB!AO$32</f>
        <v>0</v>
      </c>
      <c r="AP8" s="4">
        <f>+K_si!AP10*CON_HAB!AP$32</f>
        <v>0</v>
      </c>
      <c r="AQ8" s="4">
        <f>+K_si!AQ10*CON_HAB!AQ$32</f>
        <v>0</v>
      </c>
      <c r="AR8" s="4">
        <f>+K_si!AR10*CON_HAB!AR$32</f>
        <v>0</v>
      </c>
      <c r="AS8" s="4">
        <f>+K_si!AS10*CON_HAB!AS$32</f>
        <v>0</v>
      </c>
      <c r="AT8" s="4">
        <f>+K_si!AT10*CON_HAB!AT$32</f>
        <v>0</v>
      </c>
      <c r="AU8" s="4">
        <f>+K_si!AU10*CON_HAB!AU$32</f>
        <v>0</v>
      </c>
      <c r="AV8" s="60">
        <f>+K_si!AV10*CON_HAB!AV$32</f>
        <v>0</v>
      </c>
      <c r="AW8" s="4">
        <f>+K_si!AW10*CON_HAB!AW$32</f>
        <v>0</v>
      </c>
      <c r="AX8" s="4">
        <f>+K_si!AX10*CON_HAB!AX$32</f>
        <v>0</v>
      </c>
      <c r="AY8" s="64">
        <f>+K_si!AY10*CON_HAB!AY$32</f>
        <v>0</v>
      </c>
      <c r="AZ8" s="60">
        <f>+K_si!AZ10*CON_HAB!AZ$32</f>
        <v>0</v>
      </c>
      <c r="BA8" s="4">
        <f>+K_si!BA10*CON_HAB!BA$32</f>
        <v>0</v>
      </c>
      <c r="BB8" s="4">
        <f>+K_si!BB10*CON_HAB!BB$32</f>
        <v>0</v>
      </c>
      <c r="BC8" s="60">
        <f>+K_si!BC10*CON_HAB!BC$32</f>
        <v>0</v>
      </c>
    </row>
    <row r="9" spans="1:55" ht="18.75" customHeight="1" x14ac:dyDescent="0.25">
      <c r="A9" s="67" t="s">
        <v>45</v>
      </c>
      <c r="B9" s="64">
        <f>+K_si!B11*CON_HAB!B$32</f>
        <v>0</v>
      </c>
      <c r="C9" s="4">
        <f>+K_si!C11*CON_HAB!C$32</f>
        <v>0</v>
      </c>
      <c r="D9" s="4">
        <f>+K_si!D11*CON_HAB!D$32</f>
        <v>0</v>
      </c>
      <c r="E9" s="4">
        <f>+K_si!E11*CON_HAB!E$32</f>
        <v>0</v>
      </c>
      <c r="F9" s="4">
        <f>+K_si!F11*CON_HAB!F$32</f>
        <v>0</v>
      </c>
      <c r="G9" s="4">
        <f>+K_si!G11*CON_HAB!G$32</f>
        <v>0</v>
      </c>
      <c r="H9" s="4">
        <f>+K_si!H11*CON_HAB!H$32</f>
        <v>0</v>
      </c>
      <c r="I9" s="4">
        <f>+K_si!I11*CON_HAB!I$32</f>
        <v>0</v>
      </c>
      <c r="J9" s="4">
        <f>+K_si!J11*CON_HAB!J$32</f>
        <v>0</v>
      </c>
      <c r="K9" s="4">
        <f>+K_si!K11*CON_HAB!K$32</f>
        <v>0</v>
      </c>
      <c r="L9" s="4">
        <f>+K_si!L11*CON_HAB!L$32</f>
        <v>0</v>
      </c>
      <c r="M9" s="4">
        <f>+K_si!M11*CON_HAB!M$32</f>
        <v>0</v>
      </c>
      <c r="N9" s="4">
        <f>+K_si!N11*CON_HAB!N$32</f>
        <v>0</v>
      </c>
      <c r="O9" s="4">
        <f>+K_si!O11*CON_HAB!O$32</f>
        <v>0</v>
      </c>
      <c r="P9" s="4">
        <f>+K_si!P11*CON_HAB!P$32</f>
        <v>0</v>
      </c>
      <c r="Q9" s="4">
        <f>+K_si!Q11*CON_HAB!Q$32</f>
        <v>0</v>
      </c>
      <c r="R9" s="4">
        <f>+K_si!R11*CON_HAB!R$32</f>
        <v>0</v>
      </c>
      <c r="S9" s="64">
        <f>+K_si!S11*CON_HAB!S$32</f>
        <v>0</v>
      </c>
      <c r="T9" s="4">
        <f>+K_si!T11*CON_HAB!T$32</f>
        <v>0</v>
      </c>
      <c r="U9" s="4">
        <f>+K_si!U11*CON_HAB!U$32</f>
        <v>0</v>
      </c>
      <c r="V9" s="4">
        <f>+K_si!V11*CON_HAB!V$32</f>
        <v>0</v>
      </c>
      <c r="W9" s="4">
        <f>+K_si!W11*CON_HAB!W$32</f>
        <v>0</v>
      </c>
      <c r="X9" s="4">
        <f>+K_si!X11*CON_HAB!X$32</f>
        <v>0</v>
      </c>
      <c r="Y9" s="4">
        <f>+K_si!Y11*CON_HAB!Y$32</f>
        <v>0</v>
      </c>
      <c r="Z9" s="4">
        <f>+K_si!Z11*CON_HAB!Z$32</f>
        <v>0</v>
      </c>
      <c r="AA9" s="4">
        <f>+K_si!AA11*CON_HAB!AA$32</f>
        <v>0</v>
      </c>
      <c r="AB9" s="60">
        <f>+K_si!AB11*CON_HAB!AB$32</f>
        <v>0</v>
      </c>
      <c r="AC9" s="4">
        <f>+K_si!AC11*CON_HAB!AC$32</f>
        <v>0</v>
      </c>
      <c r="AD9" s="4">
        <f>+K_si!AD11*CON_HAB!AD$32</f>
        <v>0</v>
      </c>
      <c r="AE9" s="4">
        <f>+K_si!AE11*CON_HAB!AE$32</f>
        <v>0</v>
      </c>
      <c r="AF9" s="4">
        <f>+K_si!AF11*CON_HAB!AF$32</f>
        <v>0</v>
      </c>
      <c r="AG9" s="4">
        <f>+K_si!AG11*CON_HAB!AG$32</f>
        <v>0</v>
      </c>
      <c r="AH9" s="4">
        <f>+K_si!AH11*CON_HAB!AH$32</f>
        <v>0</v>
      </c>
      <c r="AI9" s="4">
        <f>+K_si!AI11*CON_HAB!AI$32</f>
        <v>0</v>
      </c>
      <c r="AJ9" s="4">
        <f>+K_si!AJ11*CON_HAB!AJ$32</f>
        <v>0</v>
      </c>
      <c r="AK9" s="4">
        <f>+K_si!AK11*CON_HAB!AK$32</f>
        <v>0</v>
      </c>
      <c r="AL9" s="4">
        <f>+K_si!AL11*CON_HAB!AL$32</f>
        <v>0</v>
      </c>
      <c r="AM9" s="4">
        <f>+K_si!AM11*CON_HAB!AM$32</f>
        <v>0</v>
      </c>
      <c r="AN9" s="64">
        <f>+K_si!AN11*CON_HAB!AN$32</f>
        <v>0</v>
      </c>
      <c r="AO9" s="4">
        <f>+K_si!AO11*CON_HAB!AO$32</f>
        <v>0</v>
      </c>
      <c r="AP9" s="4">
        <f>+K_si!AP11*CON_HAB!AP$32</f>
        <v>0</v>
      </c>
      <c r="AQ9" s="4">
        <f>+K_si!AQ11*CON_HAB!AQ$32</f>
        <v>0</v>
      </c>
      <c r="AR9" s="4">
        <f>+K_si!AR11*CON_HAB!AR$32</f>
        <v>0</v>
      </c>
      <c r="AS9" s="4">
        <f>+K_si!AS11*CON_HAB!AS$32</f>
        <v>0</v>
      </c>
      <c r="AT9" s="4">
        <f>+K_si!AT11*CON_HAB!AT$32</f>
        <v>0</v>
      </c>
      <c r="AU9" s="4">
        <f>+K_si!AU11*CON_HAB!AU$32</f>
        <v>0</v>
      </c>
      <c r="AV9" s="60">
        <f>+K_si!AV11*CON_HAB!AV$32</f>
        <v>0</v>
      </c>
      <c r="AW9" s="4">
        <f>+K_si!AW11*CON_HAB!AW$32</f>
        <v>0</v>
      </c>
      <c r="AX9" s="4">
        <f>+K_si!AX11*CON_HAB!AX$32</f>
        <v>0</v>
      </c>
      <c r="AY9" s="64">
        <f>+K_si!AY11*CON_HAB!AY$32</f>
        <v>0</v>
      </c>
      <c r="AZ9" s="60">
        <f>+K_si!AZ11*CON_HAB!AZ$32</f>
        <v>0</v>
      </c>
      <c r="BA9" s="4">
        <f>+K_si!BA11*CON_HAB!BA$32</f>
        <v>0</v>
      </c>
      <c r="BB9" s="4">
        <f>+K_si!BB11*CON_HAB!BB$32</f>
        <v>0</v>
      </c>
      <c r="BC9" s="60">
        <f>+K_si!BC11*CON_HAB!BC$32</f>
        <v>0</v>
      </c>
    </row>
    <row r="10" spans="1:55" ht="18.75" customHeight="1" x14ac:dyDescent="0.25">
      <c r="A10" s="67" t="s">
        <v>46</v>
      </c>
      <c r="B10" s="64">
        <f>+K_si!B12*CON_HAB!B$32</f>
        <v>0</v>
      </c>
      <c r="C10" s="4">
        <f>+K_si!C12*CON_HAB!C$32</f>
        <v>0</v>
      </c>
      <c r="D10" s="4">
        <f>+K_si!D12*CON_HAB!D$32</f>
        <v>0</v>
      </c>
      <c r="E10" s="4">
        <f>+K_si!E12*CON_HAB!E$32</f>
        <v>0</v>
      </c>
      <c r="F10" s="4">
        <f>+K_si!F12*CON_HAB!F$32</f>
        <v>0</v>
      </c>
      <c r="G10" s="4">
        <f>+K_si!G12*CON_HAB!G$32</f>
        <v>0</v>
      </c>
      <c r="H10" s="4">
        <f>+K_si!H12*CON_HAB!H$32</f>
        <v>0</v>
      </c>
      <c r="I10" s="4">
        <f>+K_si!I12*CON_HAB!I$32</f>
        <v>0</v>
      </c>
      <c r="J10" s="4">
        <f>+K_si!J12*CON_HAB!J$32</f>
        <v>0</v>
      </c>
      <c r="K10" s="4">
        <f>+K_si!K12*CON_HAB!K$32</f>
        <v>0</v>
      </c>
      <c r="L10" s="4">
        <f>+K_si!L12*CON_HAB!L$32</f>
        <v>0</v>
      </c>
      <c r="M10" s="4">
        <f>+K_si!M12*CON_HAB!M$32</f>
        <v>0</v>
      </c>
      <c r="N10" s="4">
        <f>+K_si!N12*CON_HAB!N$32</f>
        <v>0</v>
      </c>
      <c r="O10" s="4">
        <f>+K_si!O12*CON_HAB!O$32</f>
        <v>0</v>
      </c>
      <c r="P10" s="4">
        <f>+K_si!P12*CON_HAB!P$32</f>
        <v>0</v>
      </c>
      <c r="Q10" s="4">
        <f>+K_si!Q12*CON_HAB!Q$32</f>
        <v>0</v>
      </c>
      <c r="R10" s="4">
        <f>+K_si!R12*CON_HAB!R$32</f>
        <v>0</v>
      </c>
      <c r="S10" s="64">
        <f>+K_si!S12*CON_HAB!S$32</f>
        <v>0</v>
      </c>
      <c r="T10" s="4">
        <f>+K_si!T12*CON_HAB!T$32</f>
        <v>0</v>
      </c>
      <c r="U10" s="4">
        <f>+K_si!U12*CON_HAB!U$32</f>
        <v>0</v>
      </c>
      <c r="V10" s="4">
        <f>+K_si!V12*CON_HAB!V$32</f>
        <v>0</v>
      </c>
      <c r="W10" s="4">
        <f>+K_si!W12*CON_HAB!W$32</f>
        <v>0</v>
      </c>
      <c r="X10" s="4">
        <f>+K_si!X12*CON_HAB!X$32</f>
        <v>0</v>
      </c>
      <c r="Y10" s="4">
        <f>+K_si!Y12*CON_HAB!Y$32</f>
        <v>0</v>
      </c>
      <c r="Z10" s="4">
        <f>+K_si!Z12*CON_HAB!Z$32</f>
        <v>0</v>
      </c>
      <c r="AA10" s="4">
        <f>+K_si!AA12*CON_HAB!AA$32</f>
        <v>0</v>
      </c>
      <c r="AB10" s="60">
        <f>+K_si!AB12*CON_HAB!AB$32</f>
        <v>0</v>
      </c>
      <c r="AC10" s="4">
        <f>+K_si!AC12*CON_HAB!AC$32</f>
        <v>0</v>
      </c>
      <c r="AD10" s="4">
        <f>+K_si!AD12*CON_HAB!AD$32</f>
        <v>0</v>
      </c>
      <c r="AE10" s="4">
        <f>+K_si!AE12*CON_HAB!AE$32</f>
        <v>0</v>
      </c>
      <c r="AF10" s="4">
        <f>+K_si!AF12*CON_HAB!AF$32</f>
        <v>0</v>
      </c>
      <c r="AG10" s="4">
        <f>+K_si!AG12*CON_HAB!AG$32</f>
        <v>0</v>
      </c>
      <c r="AH10" s="4">
        <f>+K_si!AH12*CON_HAB!AH$32</f>
        <v>0</v>
      </c>
      <c r="AI10" s="4">
        <f>+K_si!AI12*CON_HAB!AI$32</f>
        <v>0</v>
      </c>
      <c r="AJ10" s="4">
        <f>+K_si!AJ12*CON_HAB!AJ$32</f>
        <v>0</v>
      </c>
      <c r="AK10" s="4">
        <f>+K_si!AK12*CON_HAB!AK$32</f>
        <v>0</v>
      </c>
      <c r="AL10" s="4">
        <f>+K_si!AL12*CON_HAB!AL$32</f>
        <v>0</v>
      </c>
      <c r="AM10" s="4">
        <f>+K_si!AM12*CON_HAB!AM$32</f>
        <v>0</v>
      </c>
      <c r="AN10" s="64">
        <f>+K_si!AN12*CON_HAB!AN$32</f>
        <v>0</v>
      </c>
      <c r="AO10" s="4">
        <f>+K_si!AO12*CON_HAB!AO$32</f>
        <v>0</v>
      </c>
      <c r="AP10" s="4">
        <f>+K_si!AP12*CON_HAB!AP$32</f>
        <v>0</v>
      </c>
      <c r="AQ10" s="4">
        <f>+K_si!AQ12*CON_HAB!AQ$32</f>
        <v>0</v>
      </c>
      <c r="AR10" s="4">
        <f>+K_si!AR12*CON_HAB!AR$32</f>
        <v>0</v>
      </c>
      <c r="AS10" s="4">
        <f>+K_si!AS12*CON_HAB!AS$32</f>
        <v>0</v>
      </c>
      <c r="AT10" s="4">
        <f>+K_si!AT12*CON_HAB!AT$32</f>
        <v>0</v>
      </c>
      <c r="AU10" s="4">
        <f>+K_si!AU12*CON_HAB!AU$32</f>
        <v>0</v>
      </c>
      <c r="AV10" s="60">
        <f>+K_si!AV12*CON_HAB!AV$32</f>
        <v>0</v>
      </c>
      <c r="AW10" s="4">
        <f>+K_si!AW12*CON_HAB!AW$32</f>
        <v>0</v>
      </c>
      <c r="AX10" s="4">
        <f>+K_si!AX12*CON_HAB!AX$32</f>
        <v>0</v>
      </c>
      <c r="AY10" s="64">
        <f>+K_si!AY12*CON_HAB!AY$32</f>
        <v>0</v>
      </c>
      <c r="AZ10" s="60">
        <f>+K_si!AZ12*CON_HAB!AZ$32</f>
        <v>0</v>
      </c>
      <c r="BA10" s="4">
        <f>+K_si!BA12*CON_HAB!BA$32</f>
        <v>0</v>
      </c>
      <c r="BB10" s="4">
        <f>+K_si!BB12*CON_HAB!BB$32</f>
        <v>0</v>
      </c>
      <c r="BC10" s="60">
        <f>+K_si!BC12*CON_HAB!BC$32</f>
        <v>0</v>
      </c>
    </row>
    <row r="11" spans="1:55" ht="18.75" customHeight="1" x14ac:dyDescent="0.25">
      <c r="A11" s="67" t="s">
        <v>108</v>
      </c>
      <c r="B11" s="64">
        <f>+K_si!B13*CON_HAB!B$32</f>
        <v>0</v>
      </c>
      <c r="C11" s="4">
        <f>+K_si!C13*CON_HAB!C$32</f>
        <v>0</v>
      </c>
      <c r="D11" s="4">
        <f>+K_si!D13*CON_HAB!D$32</f>
        <v>0</v>
      </c>
      <c r="E11" s="4">
        <f>+K_si!E13*CON_HAB!E$32</f>
        <v>0</v>
      </c>
      <c r="F11" s="4">
        <f>+K_si!F13*CON_HAB!F$32</f>
        <v>0</v>
      </c>
      <c r="G11" s="4">
        <f>+K_si!G13*CON_HAB!G$32</f>
        <v>0</v>
      </c>
      <c r="H11" s="4">
        <f>+K_si!H13*CON_HAB!H$32</f>
        <v>0</v>
      </c>
      <c r="I11" s="4">
        <f>+K_si!I13*CON_HAB!I$32</f>
        <v>0</v>
      </c>
      <c r="J11" s="4">
        <f>+K_si!J13*CON_HAB!J$32</f>
        <v>0</v>
      </c>
      <c r="K11" s="4">
        <f>+K_si!K13*CON_HAB!K$32</f>
        <v>0</v>
      </c>
      <c r="L11" s="4">
        <f>+K_si!L13*CON_HAB!L$32</f>
        <v>0</v>
      </c>
      <c r="M11" s="4">
        <f>+K_si!M13*CON_HAB!M$32</f>
        <v>0</v>
      </c>
      <c r="N11" s="4">
        <f>+K_si!N13*CON_HAB!N$32</f>
        <v>0</v>
      </c>
      <c r="O11" s="4">
        <f>+K_si!O13*CON_HAB!O$32</f>
        <v>0</v>
      </c>
      <c r="P11" s="4">
        <f>+K_si!P13*CON_HAB!P$32</f>
        <v>0</v>
      </c>
      <c r="Q11" s="4">
        <f>+K_si!Q13*CON_HAB!Q$32</f>
        <v>0</v>
      </c>
      <c r="R11" s="4">
        <f>+K_si!R13*CON_HAB!R$32</f>
        <v>0</v>
      </c>
      <c r="S11" s="64">
        <f>+K_si!S13*CON_HAB!S$32</f>
        <v>0</v>
      </c>
      <c r="T11" s="4">
        <f>+K_si!T13*CON_HAB!T$32</f>
        <v>0</v>
      </c>
      <c r="U11" s="4">
        <f>+K_si!U13*CON_HAB!U$32</f>
        <v>0</v>
      </c>
      <c r="V11" s="4">
        <f>+K_si!V13*CON_HAB!V$32</f>
        <v>0</v>
      </c>
      <c r="W11" s="4">
        <f>+K_si!W13*CON_HAB!W$32</f>
        <v>0</v>
      </c>
      <c r="X11" s="4">
        <f>+K_si!X13*CON_HAB!X$32</f>
        <v>0</v>
      </c>
      <c r="Y11" s="4">
        <f>+K_si!Y13*CON_HAB!Y$32</f>
        <v>0</v>
      </c>
      <c r="Z11" s="4">
        <f>+K_si!Z13*CON_HAB!Z$32</f>
        <v>0</v>
      </c>
      <c r="AA11" s="4">
        <f>+K_si!AA13*CON_HAB!AA$32</f>
        <v>0</v>
      </c>
      <c r="AB11" s="60">
        <f>+K_si!AB13*CON_HAB!AB$32</f>
        <v>0</v>
      </c>
      <c r="AC11" s="4">
        <f>+K_si!AC13*CON_HAB!AC$32</f>
        <v>0</v>
      </c>
      <c r="AD11" s="4">
        <f>+K_si!AD13*CON_HAB!AD$32</f>
        <v>0</v>
      </c>
      <c r="AE11" s="4">
        <f>+K_si!AE13*CON_HAB!AE$32</f>
        <v>0</v>
      </c>
      <c r="AF11" s="4">
        <f>+K_si!AF13*CON_HAB!AF$32</f>
        <v>0</v>
      </c>
      <c r="AG11" s="4">
        <f>+K_si!AG13*CON_HAB!AG$32</f>
        <v>0</v>
      </c>
      <c r="AH11" s="4">
        <f>+K_si!AH13*CON_HAB!AH$32</f>
        <v>0</v>
      </c>
      <c r="AI11" s="4">
        <f>+K_si!AI13*CON_HAB!AI$32</f>
        <v>0</v>
      </c>
      <c r="AJ11" s="4">
        <f>+K_si!AJ13*CON_HAB!AJ$32</f>
        <v>0</v>
      </c>
      <c r="AK11" s="4">
        <f>+K_si!AK13*CON_HAB!AK$32</f>
        <v>0</v>
      </c>
      <c r="AL11" s="4">
        <f>+K_si!AL13*CON_HAB!AL$32</f>
        <v>0</v>
      </c>
      <c r="AM11" s="4">
        <f>+K_si!AM13*CON_HAB!AM$32</f>
        <v>0</v>
      </c>
      <c r="AN11" s="64">
        <f>+K_si!AN13*CON_HAB!AN$32</f>
        <v>0</v>
      </c>
      <c r="AO11" s="4">
        <f>+K_si!AO13*CON_HAB!AO$32</f>
        <v>0</v>
      </c>
      <c r="AP11" s="4">
        <f>+K_si!AP13*CON_HAB!AP$32</f>
        <v>0</v>
      </c>
      <c r="AQ11" s="4">
        <f>+K_si!AQ13*CON_HAB!AQ$32</f>
        <v>0</v>
      </c>
      <c r="AR11" s="4">
        <f>+K_si!AR13*CON_HAB!AR$32</f>
        <v>0</v>
      </c>
      <c r="AS11" s="4">
        <f>+K_si!AS13*CON_HAB!AS$32</f>
        <v>0</v>
      </c>
      <c r="AT11" s="4">
        <f>+K_si!AT13*CON_HAB!AT$32</f>
        <v>0</v>
      </c>
      <c r="AU11" s="4">
        <f>+K_si!AU13*CON_HAB!AU$32</f>
        <v>0</v>
      </c>
      <c r="AV11" s="60">
        <f>+K_si!AV13*CON_HAB!AV$32</f>
        <v>0</v>
      </c>
      <c r="AW11" s="4">
        <f>+K_si!AW13*CON_HAB!AW$32</f>
        <v>0</v>
      </c>
      <c r="AX11" s="4">
        <f>+K_si!AX13*CON_HAB!AX$32</f>
        <v>0</v>
      </c>
      <c r="AY11" s="64">
        <f>+K_si!AY13*CON_HAB!AY$32</f>
        <v>0</v>
      </c>
      <c r="AZ11" s="60">
        <f>+K_si!AZ13*CON_HAB!AZ$32</f>
        <v>0</v>
      </c>
      <c r="BA11" s="4">
        <f>+K_si!BA13*CON_HAB!BA$32</f>
        <v>0</v>
      </c>
      <c r="BB11" s="4">
        <f>+K_si!BB13*CON_HAB!BB$32</f>
        <v>0</v>
      </c>
      <c r="BC11" s="60">
        <f>+K_si!BC13*CON_HAB!BC$32</f>
        <v>0</v>
      </c>
    </row>
    <row r="12" spans="1:55" ht="18.75" customHeight="1" x14ac:dyDescent="0.25">
      <c r="A12" s="67" t="s">
        <v>109</v>
      </c>
      <c r="B12" s="64">
        <f>+K_si!B14*CON_HAB!B$32</f>
        <v>0</v>
      </c>
      <c r="C12" s="4">
        <f>+K_si!C14*CON_HAB!C$32</f>
        <v>0</v>
      </c>
      <c r="D12" s="4">
        <f>+K_si!D14*CON_HAB!D$32</f>
        <v>0</v>
      </c>
      <c r="E12" s="4">
        <f>+K_si!E14*CON_HAB!E$32</f>
        <v>0</v>
      </c>
      <c r="F12" s="4">
        <f>+K_si!F14*CON_HAB!F$32</f>
        <v>0</v>
      </c>
      <c r="G12" s="4">
        <f>+K_si!G14*CON_HAB!G$32</f>
        <v>0</v>
      </c>
      <c r="H12" s="4">
        <f>+K_si!H14*CON_HAB!H$32</f>
        <v>0</v>
      </c>
      <c r="I12" s="4">
        <f>+K_si!I14*CON_HAB!I$32</f>
        <v>0</v>
      </c>
      <c r="J12" s="4">
        <f>+K_si!J14*CON_HAB!J$32</f>
        <v>0</v>
      </c>
      <c r="K12" s="4">
        <f>+K_si!K14*CON_HAB!K$32</f>
        <v>0</v>
      </c>
      <c r="L12" s="4">
        <f>+K_si!L14*CON_HAB!L$32</f>
        <v>0</v>
      </c>
      <c r="M12" s="4">
        <f>+K_si!M14*CON_HAB!M$32</f>
        <v>0</v>
      </c>
      <c r="N12" s="4">
        <f>+K_si!N14*CON_HAB!N$32</f>
        <v>0</v>
      </c>
      <c r="O12" s="4">
        <f>+K_si!O14*CON_HAB!O$32</f>
        <v>0</v>
      </c>
      <c r="P12" s="4">
        <f>+K_si!P14*CON_HAB!P$32</f>
        <v>0</v>
      </c>
      <c r="Q12" s="4">
        <f>+K_si!Q14*CON_HAB!Q$32</f>
        <v>0</v>
      </c>
      <c r="R12" s="4">
        <f>+K_si!R14*CON_HAB!R$32</f>
        <v>0</v>
      </c>
      <c r="S12" s="64">
        <f>+K_si!S14*CON_HAB!S$32</f>
        <v>0</v>
      </c>
      <c r="T12" s="4">
        <f>+K_si!T14*CON_HAB!T$32</f>
        <v>0</v>
      </c>
      <c r="U12" s="4">
        <f>+K_si!U14*CON_HAB!U$32</f>
        <v>0</v>
      </c>
      <c r="V12" s="4">
        <f>+K_si!V14*CON_HAB!V$32</f>
        <v>0</v>
      </c>
      <c r="W12" s="4">
        <f>+K_si!W14*CON_HAB!W$32</f>
        <v>0</v>
      </c>
      <c r="X12" s="4">
        <f>+K_si!X14*CON_HAB!X$32</f>
        <v>0</v>
      </c>
      <c r="Y12" s="4">
        <f>+K_si!Y14*CON_HAB!Y$32</f>
        <v>0</v>
      </c>
      <c r="Z12" s="4">
        <f>+K_si!Z14*CON_HAB!Z$32</f>
        <v>0</v>
      </c>
      <c r="AA12" s="4">
        <f>+K_si!AA14*CON_HAB!AA$32</f>
        <v>0</v>
      </c>
      <c r="AB12" s="60">
        <f>+K_si!AB14*CON_HAB!AB$32</f>
        <v>0</v>
      </c>
      <c r="AC12" s="4">
        <f>+K_si!AC14*CON_HAB!AC$32</f>
        <v>0</v>
      </c>
      <c r="AD12" s="4">
        <f>+K_si!AD14*CON_HAB!AD$32</f>
        <v>0</v>
      </c>
      <c r="AE12" s="4">
        <f>+K_si!AE14*CON_HAB!AE$32</f>
        <v>0</v>
      </c>
      <c r="AF12" s="4">
        <f>+K_si!AF14*CON_HAB!AF$32</f>
        <v>0</v>
      </c>
      <c r="AG12" s="4">
        <f>+K_si!AG14*CON_HAB!AG$32</f>
        <v>0</v>
      </c>
      <c r="AH12" s="4">
        <f>+K_si!AH14*CON_HAB!AH$32</f>
        <v>0</v>
      </c>
      <c r="AI12" s="4">
        <f>+K_si!AI14*CON_HAB!AI$32</f>
        <v>0</v>
      </c>
      <c r="AJ12" s="4">
        <f>+K_si!AJ14*CON_HAB!AJ$32</f>
        <v>0</v>
      </c>
      <c r="AK12" s="4">
        <f>+K_si!AK14*CON_HAB!AK$32</f>
        <v>0</v>
      </c>
      <c r="AL12" s="4">
        <f>+K_si!AL14*CON_HAB!AL$32</f>
        <v>0</v>
      </c>
      <c r="AM12" s="4">
        <f>+K_si!AM14*CON_HAB!AM$32</f>
        <v>0</v>
      </c>
      <c r="AN12" s="64">
        <f>+K_si!AN14*CON_HAB!AN$32</f>
        <v>0</v>
      </c>
      <c r="AO12" s="4">
        <f>+K_si!AO14*CON_HAB!AO$32</f>
        <v>0</v>
      </c>
      <c r="AP12" s="4">
        <f>+K_si!AP14*CON_HAB!AP$32</f>
        <v>0</v>
      </c>
      <c r="AQ12" s="4">
        <f>+K_si!AQ14*CON_HAB!AQ$32</f>
        <v>0</v>
      </c>
      <c r="AR12" s="4">
        <f>+K_si!AR14*CON_HAB!AR$32</f>
        <v>0</v>
      </c>
      <c r="AS12" s="4">
        <f>+K_si!AS14*CON_HAB!AS$32</f>
        <v>0</v>
      </c>
      <c r="AT12" s="4">
        <f>+K_si!AT14*CON_HAB!AT$32</f>
        <v>0</v>
      </c>
      <c r="AU12" s="4">
        <f>+K_si!AU14*CON_HAB!AU$32</f>
        <v>0</v>
      </c>
      <c r="AV12" s="60">
        <f>+K_si!AV14*CON_HAB!AV$32</f>
        <v>0</v>
      </c>
      <c r="AW12" s="4">
        <f>+K_si!AW14*CON_HAB!AW$32</f>
        <v>0</v>
      </c>
      <c r="AX12" s="4">
        <f>+K_si!AX14*CON_HAB!AX$32</f>
        <v>0</v>
      </c>
      <c r="AY12" s="64">
        <f>+K_si!AY14*CON_HAB!AY$32</f>
        <v>0</v>
      </c>
      <c r="AZ12" s="60">
        <f>+K_si!AZ14*CON_HAB!AZ$32</f>
        <v>0</v>
      </c>
      <c r="BA12" s="4">
        <f>+K_si!BA14*CON_HAB!BA$32</f>
        <v>0</v>
      </c>
      <c r="BB12" s="4">
        <f>+K_si!BB14*CON_HAB!BB$32</f>
        <v>0</v>
      </c>
      <c r="BC12" s="60">
        <f>+K_si!BC14*CON_HAB!BC$32</f>
        <v>0</v>
      </c>
    </row>
    <row r="13" spans="1:55" ht="18.75" customHeight="1" thickBot="1" x14ac:dyDescent="0.3">
      <c r="A13" s="67" t="s">
        <v>110</v>
      </c>
      <c r="B13" s="65">
        <f>+K_si!B15*CON_HAB!B$32</f>
        <v>0</v>
      </c>
      <c r="C13" s="66">
        <f>+K_si!C15*CON_HAB!C$32</f>
        <v>0</v>
      </c>
      <c r="D13" s="66">
        <f>+K_si!D15*CON_HAB!D$32</f>
        <v>0</v>
      </c>
      <c r="E13" s="66">
        <f>+K_si!E15*CON_HAB!E$32</f>
        <v>0</v>
      </c>
      <c r="F13" s="66">
        <f>+K_si!F15*CON_HAB!F$32</f>
        <v>0</v>
      </c>
      <c r="G13" s="66">
        <f>+K_si!G15*CON_HAB!G$32</f>
        <v>0</v>
      </c>
      <c r="H13" s="66">
        <f>+K_si!H15*CON_HAB!H$32</f>
        <v>0</v>
      </c>
      <c r="I13" s="66">
        <f>+K_si!I15*CON_HAB!I$32</f>
        <v>0</v>
      </c>
      <c r="J13" s="66">
        <f>+K_si!J15*CON_HAB!J$32</f>
        <v>0</v>
      </c>
      <c r="K13" s="66">
        <f>+K_si!K15*CON_HAB!K$32</f>
        <v>0</v>
      </c>
      <c r="L13" s="66">
        <f>+K_si!L15*CON_HAB!L$32</f>
        <v>0</v>
      </c>
      <c r="M13" s="66">
        <f>+K_si!M15*CON_HAB!M$32</f>
        <v>0</v>
      </c>
      <c r="N13" s="66">
        <f>+K_si!N15*CON_HAB!N$32</f>
        <v>0</v>
      </c>
      <c r="O13" s="66">
        <f>+K_si!O15*CON_HAB!O$32</f>
        <v>0</v>
      </c>
      <c r="P13" s="66">
        <f>+K_si!P15*CON_HAB!P$32</f>
        <v>0</v>
      </c>
      <c r="Q13" s="66">
        <f>+K_si!Q15*CON_HAB!Q$32</f>
        <v>0</v>
      </c>
      <c r="R13" s="66">
        <f>+K_si!R15*CON_HAB!R$32</f>
        <v>0</v>
      </c>
      <c r="S13" s="65">
        <f>+K_si!S15*CON_HAB!S$32</f>
        <v>0</v>
      </c>
      <c r="T13" s="66">
        <f>+K_si!T15*CON_HAB!T$32</f>
        <v>0</v>
      </c>
      <c r="U13" s="66">
        <f>+K_si!U15*CON_HAB!U$32</f>
        <v>0</v>
      </c>
      <c r="V13" s="66">
        <f>+K_si!V15*CON_HAB!V$32</f>
        <v>0</v>
      </c>
      <c r="W13" s="66">
        <f>+K_si!W15*CON_HAB!W$32</f>
        <v>0</v>
      </c>
      <c r="X13" s="66">
        <f>+K_si!X15*CON_HAB!X$32</f>
        <v>0</v>
      </c>
      <c r="Y13" s="66">
        <f>+K_si!Y15*CON_HAB!Y$32</f>
        <v>0</v>
      </c>
      <c r="Z13" s="66">
        <f>+K_si!Z15*CON_HAB!Z$32</f>
        <v>0</v>
      </c>
      <c r="AA13" s="66">
        <f>+K_si!AA15*CON_HAB!AA$32</f>
        <v>0</v>
      </c>
      <c r="AB13" s="61">
        <f>+K_si!AB15*CON_HAB!AB$32</f>
        <v>0</v>
      </c>
      <c r="AC13" s="66">
        <f>+K_si!AC15*CON_HAB!AC$32</f>
        <v>0</v>
      </c>
      <c r="AD13" s="66">
        <f>+K_si!AD15*CON_HAB!AD$32</f>
        <v>0</v>
      </c>
      <c r="AE13" s="66">
        <f>+K_si!AE15*CON_HAB!AE$32</f>
        <v>0</v>
      </c>
      <c r="AF13" s="66">
        <f>+K_si!AF15*CON_HAB!AF$32</f>
        <v>0</v>
      </c>
      <c r="AG13" s="66">
        <f>+K_si!AG15*CON_HAB!AG$32</f>
        <v>0</v>
      </c>
      <c r="AH13" s="66">
        <f>+K_si!AH15*CON_HAB!AH$32</f>
        <v>0</v>
      </c>
      <c r="AI13" s="66">
        <f>+K_si!AI15*CON_HAB!AI$32</f>
        <v>0</v>
      </c>
      <c r="AJ13" s="66">
        <f>+K_si!AJ15*CON_HAB!AJ$32</f>
        <v>0</v>
      </c>
      <c r="AK13" s="66">
        <f>+K_si!AK15*CON_HAB!AK$32</f>
        <v>0</v>
      </c>
      <c r="AL13" s="66">
        <f>+K_si!AL15*CON_HAB!AL$32</f>
        <v>0</v>
      </c>
      <c r="AM13" s="66">
        <f>+K_si!AM15*CON_HAB!AM$32</f>
        <v>0</v>
      </c>
      <c r="AN13" s="65">
        <f>+K_si!AN15*CON_HAB!AN$32</f>
        <v>0</v>
      </c>
      <c r="AO13" s="66">
        <f>+K_si!AO15*CON_HAB!AO$32</f>
        <v>0</v>
      </c>
      <c r="AP13" s="66">
        <f>+K_si!AP15*CON_HAB!AP$32</f>
        <v>0</v>
      </c>
      <c r="AQ13" s="66">
        <f>+K_si!AQ15*CON_HAB!AQ$32</f>
        <v>0</v>
      </c>
      <c r="AR13" s="66">
        <f>+K_si!AR15*CON_HAB!AR$32</f>
        <v>0</v>
      </c>
      <c r="AS13" s="66">
        <f>+K_si!AS15*CON_HAB!AS$32</f>
        <v>0</v>
      </c>
      <c r="AT13" s="66">
        <f>+K_si!AT15*CON_HAB!AT$32</f>
        <v>0</v>
      </c>
      <c r="AU13" s="66">
        <f>+K_si!AU15*CON_HAB!AU$32</f>
        <v>0</v>
      </c>
      <c r="AV13" s="61">
        <f>+K_si!AV15*CON_HAB!AV$32</f>
        <v>0</v>
      </c>
      <c r="AW13" s="66">
        <f>+K_si!AW15*CON_HAB!AW$32</f>
        <v>0</v>
      </c>
      <c r="AX13" s="66">
        <f>+K_si!AX15*CON_HAB!AX$32</f>
        <v>0</v>
      </c>
      <c r="AY13" s="65">
        <f>+K_si!AY15*CON_HAB!AY$32</f>
        <v>0</v>
      </c>
      <c r="AZ13" s="61">
        <f>+K_si!AZ15*CON_HAB!AZ$32</f>
        <v>0</v>
      </c>
      <c r="BA13" s="66">
        <f>+K_si!BA15*CON_HAB!BA$32</f>
        <v>0</v>
      </c>
      <c r="BB13" s="66">
        <f>+K_si!BB15*CON_HAB!BB$32</f>
        <v>0</v>
      </c>
      <c r="BC13" s="61">
        <f>+K_si!BC15*CON_HAB!BC$32</f>
        <v>0</v>
      </c>
    </row>
    <row r="14" spans="1:55" ht="18.75" customHeight="1" x14ac:dyDescent="0.25"/>
    <row r="15" spans="1:55" ht="18.75" customHeight="1" x14ac:dyDescent="0.25"/>
  </sheetData>
  <conditionalFormatting sqref="B2:BC13">
    <cfRule type="cellIs" dxfId="9" priority="1" operator="equal">
      <formula>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BC13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4.5703125" style="7" bestFit="1" customWidth="1"/>
  </cols>
  <sheetData>
    <row r="1" spans="1:55" ht="18.75" customHeight="1" thickBot="1" x14ac:dyDescent="0.3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67" t="s">
        <v>38</v>
      </c>
      <c r="B2" s="62">
        <f>+CON_HAB!B47*K_si!B$5</f>
        <v>0</v>
      </c>
      <c r="C2" s="63">
        <f>+CON_HAB!C47*K_si!C$5</f>
        <v>0</v>
      </c>
      <c r="D2" s="63">
        <f>+CON_HAB!D47*K_si!D$5</f>
        <v>1</v>
      </c>
      <c r="E2" s="63">
        <f>+CON_HAB!E47*K_si!E$5</f>
        <v>1</v>
      </c>
      <c r="F2" s="63">
        <f>+CON_HAB!F47*K_si!F$5</f>
        <v>1</v>
      </c>
      <c r="G2" s="63">
        <f>+CON_HAB!G47*K_si!G$5</f>
        <v>1</v>
      </c>
      <c r="H2" s="63">
        <f>+CON_HAB!H47*K_si!H$5</f>
        <v>1</v>
      </c>
      <c r="I2" s="63">
        <f>+CON_HAB!I47*K_si!I$5</f>
        <v>1</v>
      </c>
      <c r="J2" s="63">
        <f>+CON_HAB!J47*K_si!J$5</f>
        <v>0</v>
      </c>
      <c r="K2" s="63">
        <f>+CON_HAB!K47*K_si!K$5</f>
        <v>1</v>
      </c>
      <c r="L2" s="63">
        <f>+CON_HAB!L47*K_si!L$5</f>
        <v>1</v>
      </c>
      <c r="M2" s="63">
        <f>+CON_HAB!M47*K_si!M$5</f>
        <v>0</v>
      </c>
      <c r="N2" s="63">
        <f>+CON_HAB!N47*K_si!N$5</f>
        <v>0</v>
      </c>
      <c r="O2" s="63">
        <f>+CON_HAB!O47*K_si!O$5</f>
        <v>0</v>
      </c>
      <c r="P2" s="63">
        <f>+CON_HAB!P47*K_si!P$5</f>
        <v>0</v>
      </c>
      <c r="Q2" s="63">
        <f>+CON_HAB!Q47*K_si!Q$5</f>
        <v>0</v>
      </c>
      <c r="R2" s="63">
        <f>+CON_HAB!R47*K_si!R$5</f>
        <v>0</v>
      </c>
      <c r="S2" s="62">
        <f>+CON_HAB!S47*K_si!S$5</f>
        <v>0</v>
      </c>
      <c r="T2" s="63">
        <f>+CON_HAB!T47*K_si!T$5</f>
        <v>0</v>
      </c>
      <c r="U2" s="63">
        <f>+CON_HAB!U47*K_si!U$5</f>
        <v>0</v>
      </c>
      <c r="V2" s="63">
        <f>+CON_HAB!V47*K_si!V$5</f>
        <v>0</v>
      </c>
      <c r="W2" s="63">
        <f>+CON_HAB!W47*K_si!W$5</f>
        <v>0</v>
      </c>
      <c r="X2" s="63">
        <f>+CON_HAB!X47*K_si!X$5</f>
        <v>0</v>
      </c>
      <c r="Y2" s="63">
        <f>+CON_HAB!Y47*K_si!Y$5</f>
        <v>0</v>
      </c>
      <c r="Z2" s="63">
        <f>+CON_HAB!Z47*K_si!Z$5</f>
        <v>0</v>
      </c>
      <c r="AA2" s="63">
        <f>+CON_HAB!AA47*K_si!AA$5</f>
        <v>0</v>
      </c>
      <c r="AB2" s="59">
        <f>+CON_HAB!AB47*K_si!AB$5</f>
        <v>0</v>
      </c>
      <c r="AC2" s="63">
        <f>+CON_HAB!AC47*K_si!AC$5</f>
        <v>0</v>
      </c>
      <c r="AD2" s="63">
        <f>+CON_HAB!AD47*K_si!AD$5</f>
        <v>0</v>
      </c>
      <c r="AE2" s="63">
        <f>+CON_HAB!AE47*K_si!AE$5</f>
        <v>0</v>
      </c>
      <c r="AF2" s="63">
        <f>+CON_HAB!AF47*K_si!AF$5</f>
        <v>0</v>
      </c>
      <c r="AG2" s="63">
        <f>+CON_HAB!AG47*K_si!AG$5</f>
        <v>0</v>
      </c>
      <c r="AH2" s="63">
        <f>+CON_HAB!AH47*K_si!AH$5</f>
        <v>0</v>
      </c>
      <c r="AI2" s="63">
        <f>+CON_HAB!AI47*K_si!AI$5</f>
        <v>0</v>
      </c>
      <c r="AJ2" s="63">
        <f>+CON_HAB!AJ47*K_si!AJ$5</f>
        <v>0</v>
      </c>
      <c r="AK2" s="63">
        <f>+CON_HAB!AK47*K_si!AK$5</f>
        <v>0</v>
      </c>
      <c r="AL2" s="63">
        <f>+CON_HAB!AL47*K_si!AL$5</f>
        <v>0</v>
      </c>
      <c r="AM2" s="63">
        <f>+CON_HAB!AM47*K_si!AM$5</f>
        <v>0</v>
      </c>
      <c r="AN2" s="62">
        <f>+CON_HAB!AN47*K_si!AN$5</f>
        <v>0</v>
      </c>
      <c r="AO2" s="63">
        <f>+CON_HAB!AO47*K_si!AO$5</f>
        <v>0</v>
      </c>
      <c r="AP2" s="63">
        <f>+CON_HAB!AP47*K_si!AP$5</f>
        <v>0</v>
      </c>
      <c r="AQ2" s="63">
        <f>+CON_HAB!AQ47*K_si!AQ$5</f>
        <v>0</v>
      </c>
      <c r="AR2" s="63">
        <f>+CON_HAB!AR47*K_si!AR$5</f>
        <v>0</v>
      </c>
      <c r="AS2" s="63">
        <f>+CON_HAB!AS47*K_si!AS$5</f>
        <v>0</v>
      </c>
      <c r="AT2" s="63">
        <f>+CON_HAB!AT47*K_si!AT$5</f>
        <v>0</v>
      </c>
      <c r="AU2" s="63">
        <f>+CON_HAB!AU47*K_si!AU$5</f>
        <v>0</v>
      </c>
      <c r="AV2" s="59">
        <f>+CON_HAB!AV47*K_si!AV$5</f>
        <v>0</v>
      </c>
      <c r="AW2" s="63">
        <f>+CON_HAB!AW47*K_si!AW$5</f>
        <v>0</v>
      </c>
      <c r="AX2" s="63">
        <f>+CON_HAB!AX47*K_si!AX$5</f>
        <v>0</v>
      </c>
      <c r="AY2" s="62">
        <f>+CON_HAB!AY47*K_si!AY$5</f>
        <v>0</v>
      </c>
      <c r="AZ2" s="59">
        <f>+CON_HAB!AZ47*K_si!AZ$5</f>
        <v>0</v>
      </c>
      <c r="BA2" s="63">
        <f>+CON_HAB!BA47*K_si!BA$5</f>
        <v>0</v>
      </c>
      <c r="BB2" s="63">
        <f>+CON_HAB!BB47*K_si!BB$5</f>
        <v>0</v>
      </c>
      <c r="BC2" s="59">
        <f>+CON_HAB!BC47*K_si!BC$5</f>
        <v>0</v>
      </c>
    </row>
    <row r="3" spans="1:55" ht="18.75" customHeight="1" x14ac:dyDescent="0.25">
      <c r="A3" s="67" t="s">
        <v>39</v>
      </c>
      <c r="B3" s="64">
        <f>+CON_HAB!B48*K_si!B$5</f>
        <v>0</v>
      </c>
      <c r="C3" s="4">
        <f>+CON_HAB!C48*K_si!C$5</f>
        <v>0</v>
      </c>
      <c r="D3" s="4">
        <f>+CON_HAB!D48*K_si!D$5</f>
        <v>0</v>
      </c>
      <c r="E3" s="4">
        <f>+CON_HAB!E48*K_si!E$5</f>
        <v>0</v>
      </c>
      <c r="F3" s="4">
        <f>+CON_HAB!F48*K_si!F$5</f>
        <v>0</v>
      </c>
      <c r="G3" s="4">
        <f>+CON_HAB!G48*K_si!G$5</f>
        <v>1</v>
      </c>
      <c r="H3" s="4">
        <f>+CON_HAB!H48*K_si!H$5</f>
        <v>0</v>
      </c>
      <c r="I3" s="4">
        <f>+CON_HAB!I48*K_si!I$5</f>
        <v>0</v>
      </c>
      <c r="J3" s="4">
        <f>+CON_HAB!J48*K_si!J$5</f>
        <v>0</v>
      </c>
      <c r="K3" s="4">
        <f>+CON_HAB!K48*K_si!K$5</f>
        <v>1</v>
      </c>
      <c r="L3" s="4">
        <f>+CON_HAB!L48*K_si!L$5</f>
        <v>0</v>
      </c>
      <c r="M3" s="4">
        <f>+CON_HAB!M48*K_si!M$5</f>
        <v>0</v>
      </c>
      <c r="N3" s="4">
        <f>+CON_HAB!N48*K_si!N$5</f>
        <v>0</v>
      </c>
      <c r="O3" s="4">
        <f>+CON_HAB!O48*K_si!O$5</f>
        <v>0</v>
      </c>
      <c r="P3" s="4">
        <f>+CON_HAB!P48*K_si!P$5</f>
        <v>0</v>
      </c>
      <c r="Q3" s="4">
        <f>+CON_HAB!Q48*K_si!Q$5</f>
        <v>0</v>
      </c>
      <c r="R3" s="4">
        <f>+CON_HAB!R48*K_si!R$5</f>
        <v>0</v>
      </c>
      <c r="S3" s="64">
        <f>+CON_HAB!S48*K_si!S$5</f>
        <v>0</v>
      </c>
      <c r="T3" s="4">
        <f>+CON_HAB!T48*K_si!T$5</f>
        <v>0</v>
      </c>
      <c r="U3" s="4">
        <f>+CON_HAB!U48*K_si!U$5</f>
        <v>1</v>
      </c>
      <c r="V3" s="4">
        <f>+CON_HAB!V48*K_si!V$5</f>
        <v>0</v>
      </c>
      <c r="W3" s="4">
        <f>+CON_HAB!W48*K_si!W$5</f>
        <v>0</v>
      </c>
      <c r="X3" s="4">
        <f>+CON_HAB!X48*K_si!X$5</f>
        <v>0</v>
      </c>
      <c r="Y3" s="4">
        <f>+CON_HAB!Y48*K_si!Y$5</f>
        <v>0</v>
      </c>
      <c r="Z3" s="4">
        <f>+CON_HAB!Z48*K_si!Z$5</f>
        <v>0</v>
      </c>
      <c r="AA3" s="4">
        <f>+CON_HAB!AA48*K_si!AA$5</f>
        <v>0</v>
      </c>
      <c r="AB3" s="60">
        <f>+CON_HAB!AB48*K_si!AB$5</f>
        <v>0</v>
      </c>
      <c r="AC3" s="4">
        <f>+CON_HAB!AC48*K_si!AC$5</f>
        <v>0</v>
      </c>
      <c r="AD3" s="4">
        <f>+CON_HAB!AD48*K_si!AD$5</f>
        <v>0</v>
      </c>
      <c r="AE3" s="4">
        <f>+CON_HAB!AE48*K_si!AE$5</f>
        <v>0</v>
      </c>
      <c r="AF3" s="4">
        <f>+CON_HAB!AF48*K_si!AF$5</f>
        <v>0</v>
      </c>
      <c r="AG3" s="4">
        <f>+CON_HAB!AG48*K_si!AG$5</f>
        <v>0</v>
      </c>
      <c r="AH3" s="4">
        <f>+CON_HAB!AH48*K_si!AH$5</f>
        <v>0</v>
      </c>
      <c r="AI3" s="4">
        <f>+CON_HAB!AI48*K_si!AI$5</f>
        <v>0</v>
      </c>
      <c r="AJ3" s="4">
        <f>+CON_HAB!AJ48*K_si!AJ$5</f>
        <v>0</v>
      </c>
      <c r="AK3" s="4">
        <f>+CON_HAB!AK48*K_si!AK$5</f>
        <v>0</v>
      </c>
      <c r="AL3" s="4">
        <f>+CON_HAB!AL48*K_si!AL$5</f>
        <v>0</v>
      </c>
      <c r="AM3" s="4">
        <f>+CON_HAB!AM48*K_si!AM$5</f>
        <v>0</v>
      </c>
      <c r="AN3" s="64">
        <f>+CON_HAB!AN48*K_si!AN$5</f>
        <v>0</v>
      </c>
      <c r="AO3" s="4">
        <f>+CON_HAB!AO48*K_si!AO$5</f>
        <v>0</v>
      </c>
      <c r="AP3" s="4">
        <f>+CON_HAB!AP48*K_si!AP$5</f>
        <v>0</v>
      </c>
      <c r="AQ3" s="4">
        <f>+CON_HAB!AQ48*K_si!AQ$5</f>
        <v>0</v>
      </c>
      <c r="AR3" s="4">
        <f>+CON_HAB!AR48*K_si!AR$5</f>
        <v>0</v>
      </c>
      <c r="AS3" s="4">
        <f>+CON_HAB!AS48*K_si!AS$5</f>
        <v>0</v>
      </c>
      <c r="AT3" s="4">
        <f>+CON_HAB!AT48*K_si!AT$5</f>
        <v>0</v>
      </c>
      <c r="AU3" s="4">
        <f>+CON_HAB!AU48*K_si!AU$5</f>
        <v>0</v>
      </c>
      <c r="AV3" s="60">
        <f>+CON_HAB!AV48*K_si!AV$5</f>
        <v>0</v>
      </c>
      <c r="AW3" s="4">
        <f>+CON_HAB!AW48*K_si!AW$5</f>
        <v>0</v>
      </c>
      <c r="AX3" s="4">
        <f>+CON_HAB!AX48*K_si!AX$5</f>
        <v>0</v>
      </c>
      <c r="AY3" s="64">
        <f>+CON_HAB!AY48*K_si!AY$5</f>
        <v>0</v>
      </c>
      <c r="AZ3" s="60">
        <f>+CON_HAB!AZ48*K_si!AZ$5</f>
        <v>0</v>
      </c>
      <c r="BA3" s="4">
        <f>+CON_HAB!BA48*K_si!BA$5</f>
        <v>0</v>
      </c>
      <c r="BB3" s="4">
        <f>+CON_HAB!BB48*K_si!BB$5</f>
        <v>0</v>
      </c>
      <c r="BC3" s="60">
        <f>+CON_HAB!BC48*K_si!BC$5</f>
        <v>0</v>
      </c>
    </row>
    <row r="4" spans="1:55" ht="18.75" customHeight="1" x14ac:dyDescent="0.25">
      <c r="A4" s="67" t="s">
        <v>40</v>
      </c>
      <c r="B4" s="64">
        <f>+CON_HAB!B49*K_si!B$5</f>
        <v>0</v>
      </c>
      <c r="C4" s="4">
        <f>+CON_HAB!C49*K_si!C$5</f>
        <v>0</v>
      </c>
      <c r="D4" s="4">
        <f>+CON_HAB!D49*K_si!D$5</f>
        <v>0</v>
      </c>
      <c r="E4" s="4">
        <f>+CON_HAB!E49*K_si!E$5</f>
        <v>0</v>
      </c>
      <c r="F4" s="4">
        <f>+CON_HAB!F49*K_si!F$5</f>
        <v>0</v>
      </c>
      <c r="G4" s="4">
        <f>+CON_HAB!G49*K_si!G$5</f>
        <v>0</v>
      </c>
      <c r="H4" s="4">
        <f>+CON_HAB!H49*K_si!H$5</f>
        <v>0</v>
      </c>
      <c r="I4" s="4">
        <f>+CON_HAB!I49*K_si!I$5</f>
        <v>0</v>
      </c>
      <c r="J4" s="4">
        <f>+CON_HAB!J49*K_si!J$5</f>
        <v>0</v>
      </c>
      <c r="K4" s="4">
        <f>+CON_HAB!K49*K_si!K$5</f>
        <v>0</v>
      </c>
      <c r="L4" s="4">
        <f>+CON_HAB!L49*K_si!L$5</f>
        <v>0</v>
      </c>
      <c r="M4" s="4">
        <f>+CON_HAB!M49*K_si!M$5</f>
        <v>0</v>
      </c>
      <c r="N4" s="4">
        <f>+CON_HAB!N49*K_si!N$5</f>
        <v>0</v>
      </c>
      <c r="O4" s="4">
        <f>+CON_HAB!O49*K_si!O$5</f>
        <v>0</v>
      </c>
      <c r="P4" s="4">
        <f>+CON_HAB!P49*K_si!P$5</f>
        <v>0</v>
      </c>
      <c r="Q4" s="4">
        <f>+CON_HAB!Q49*K_si!Q$5</f>
        <v>0</v>
      </c>
      <c r="R4" s="4">
        <f>+CON_HAB!R49*K_si!R$5</f>
        <v>0</v>
      </c>
      <c r="S4" s="64">
        <f>+CON_HAB!S49*K_si!S$5</f>
        <v>0</v>
      </c>
      <c r="T4" s="4">
        <f>+CON_HAB!T49*K_si!T$5</f>
        <v>0</v>
      </c>
      <c r="U4" s="4">
        <f>+CON_HAB!U49*K_si!U$5</f>
        <v>0</v>
      </c>
      <c r="V4" s="4">
        <f>+CON_HAB!V49*K_si!V$5</f>
        <v>0</v>
      </c>
      <c r="W4" s="4">
        <f>+CON_HAB!W49*K_si!W$5</f>
        <v>0</v>
      </c>
      <c r="X4" s="4">
        <f>+CON_HAB!X49*K_si!X$5</f>
        <v>0</v>
      </c>
      <c r="Y4" s="4">
        <f>+CON_HAB!Y49*K_si!Y$5</f>
        <v>0</v>
      </c>
      <c r="Z4" s="4">
        <f>+CON_HAB!Z49*K_si!Z$5</f>
        <v>0</v>
      </c>
      <c r="AA4" s="4">
        <f>+CON_HAB!AA49*K_si!AA$5</f>
        <v>0</v>
      </c>
      <c r="AB4" s="60">
        <f>+CON_HAB!AB49*K_si!AB$5</f>
        <v>0</v>
      </c>
      <c r="AC4" s="4">
        <f>+CON_HAB!AC49*K_si!AC$5</f>
        <v>0</v>
      </c>
      <c r="AD4" s="4">
        <f>+CON_HAB!AD49*K_si!AD$5</f>
        <v>0</v>
      </c>
      <c r="AE4" s="4">
        <f>+CON_HAB!AE49*K_si!AE$5</f>
        <v>0</v>
      </c>
      <c r="AF4" s="4">
        <f>+CON_HAB!AF49*K_si!AF$5</f>
        <v>0</v>
      </c>
      <c r="AG4" s="4">
        <f>+CON_HAB!AG49*K_si!AG$5</f>
        <v>0</v>
      </c>
      <c r="AH4" s="4">
        <f>+CON_HAB!AH49*K_si!AH$5</f>
        <v>0</v>
      </c>
      <c r="AI4" s="4">
        <f>+CON_HAB!AI49*K_si!AI$5</f>
        <v>0</v>
      </c>
      <c r="AJ4" s="4">
        <f>+CON_HAB!AJ49*K_si!AJ$5</f>
        <v>0</v>
      </c>
      <c r="AK4" s="4">
        <f>+CON_HAB!AK49*K_si!AK$5</f>
        <v>0</v>
      </c>
      <c r="AL4" s="4">
        <f>+CON_HAB!AL49*K_si!AL$5</f>
        <v>1</v>
      </c>
      <c r="AM4" s="4">
        <f>+CON_HAB!AM49*K_si!AM$5</f>
        <v>1</v>
      </c>
      <c r="AN4" s="64">
        <f>+CON_HAB!AN49*K_si!AN$5</f>
        <v>0</v>
      </c>
      <c r="AO4" s="4">
        <f>+CON_HAB!AO49*K_si!AO$5</f>
        <v>0</v>
      </c>
      <c r="AP4" s="4">
        <f>+CON_HAB!AP49*K_si!AP$5</f>
        <v>0</v>
      </c>
      <c r="AQ4" s="4">
        <f>+CON_HAB!AQ49*K_si!AQ$5</f>
        <v>0</v>
      </c>
      <c r="AR4" s="4">
        <f>+CON_HAB!AR49*K_si!AR$5</f>
        <v>0</v>
      </c>
      <c r="AS4" s="4">
        <f>+CON_HAB!AS49*K_si!AS$5</f>
        <v>0</v>
      </c>
      <c r="AT4" s="4">
        <f>+CON_HAB!AT49*K_si!AT$5</f>
        <v>0</v>
      </c>
      <c r="AU4" s="4">
        <f>+CON_HAB!AU49*K_si!AU$5</f>
        <v>0</v>
      </c>
      <c r="AV4" s="60">
        <f>+CON_HAB!AV49*K_si!AV$5</f>
        <v>0</v>
      </c>
      <c r="AW4" s="4">
        <f>+CON_HAB!AW49*K_si!AW$5</f>
        <v>0</v>
      </c>
      <c r="AX4" s="4">
        <f>+CON_HAB!AX49*K_si!AX$5</f>
        <v>0</v>
      </c>
      <c r="AY4" s="64">
        <f>+CON_HAB!AY49*K_si!AY$5</f>
        <v>0</v>
      </c>
      <c r="AZ4" s="60">
        <f>+CON_HAB!AZ49*K_si!AZ$5</f>
        <v>0</v>
      </c>
      <c r="BA4" s="4">
        <f>+CON_HAB!BA49*K_si!BA$5</f>
        <v>0</v>
      </c>
      <c r="BB4" s="4">
        <f>+CON_HAB!BB49*K_si!BB$5</f>
        <v>0</v>
      </c>
      <c r="BC4" s="60">
        <f>+CON_HAB!BC49*K_si!BC$5</f>
        <v>0</v>
      </c>
    </row>
    <row r="5" spans="1:55" ht="18.75" customHeight="1" x14ac:dyDescent="0.25">
      <c r="A5" s="67" t="s">
        <v>41</v>
      </c>
      <c r="B5" s="64">
        <f>+CON_HAB!B50*K_si!B$5</f>
        <v>0</v>
      </c>
      <c r="C5" s="4">
        <f>+CON_HAB!C50*K_si!C$5</f>
        <v>0</v>
      </c>
      <c r="D5" s="4">
        <f>+CON_HAB!D50*K_si!D$5</f>
        <v>0</v>
      </c>
      <c r="E5" s="4">
        <f>+CON_HAB!E50*K_si!E$5</f>
        <v>0</v>
      </c>
      <c r="F5" s="4">
        <f>+CON_HAB!F50*K_si!F$5</f>
        <v>0</v>
      </c>
      <c r="G5" s="4">
        <f>+CON_HAB!G50*K_si!G$5</f>
        <v>0</v>
      </c>
      <c r="H5" s="4">
        <f>+CON_HAB!H50*K_si!H$5</f>
        <v>0</v>
      </c>
      <c r="I5" s="4">
        <f>+CON_HAB!I50*K_si!I$5</f>
        <v>0</v>
      </c>
      <c r="J5" s="4">
        <f>+CON_HAB!J50*K_si!J$5</f>
        <v>0</v>
      </c>
      <c r="K5" s="4">
        <f>+CON_HAB!K50*K_si!K$5</f>
        <v>0</v>
      </c>
      <c r="L5" s="4">
        <f>+CON_HAB!L50*K_si!L$5</f>
        <v>0</v>
      </c>
      <c r="M5" s="4">
        <f>+CON_HAB!M50*K_si!M$5</f>
        <v>0</v>
      </c>
      <c r="N5" s="4">
        <f>+CON_HAB!N50*K_si!N$5</f>
        <v>0</v>
      </c>
      <c r="O5" s="4">
        <f>+CON_HAB!O50*K_si!O$5</f>
        <v>0</v>
      </c>
      <c r="P5" s="4">
        <f>+CON_HAB!P50*K_si!P$5</f>
        <v>0</v>
      </c>
      <c r="Q5" s="4">
        <f>+CON_HAB!Q50*K_si!Q$5</f>
        <v>0</v>
      </c>
      <c r="R5" s="4">
        <f>+CON_HAB!R50*K_si!R$5</f>
        <v>0</v>
      </c>
      <c r="S5" s="64">
        <f>+CON_HAB!S50*K_si!S$5</f>
        <v>0</v>
      </c>
      <c r="T5" s="4">
        <f>+CON_HAB!T50*K_si!T$5</f>
        <v>0</v>
      </c>
      <c r="U5" s="4">
        <f>+CON_HAB!U50*K_si!U$5</f>
        <v>0</v>
      </c>
      <c r="V5" s="4">
        <f>+CON_HAB!V50*K_si!V$5</f>
        <v>0</v>
      </c>
      <c r="W5" s="4">
        <f>+CON_HAB!W50*K_si!W$5</f>
        <v>0</v>
      </c>
      <c r="X5" s="4">
        <f>+CON_HAB!X50*K_si!X$5</f>
        <v>0</v>
      </c>
      <c r="Y5" s="4">
        <f>+CON_HAB!Y50*K_si!Y$5</f>
        <v>0</v>
      </c>
      <c r="Z5" s="4">
        <f>+CON_HAB!Z50*K_si!Z$5</f>
        <v>0</v>
      </c>
      <c r="AA5" s="4">
        <f>+CON_HAB!AA50*K_si!AA$5</f>
        <v>0</v>
      </c>
      <c r="AB5" s="60">
        <f>+CON_HAB!AB50*K_si!AB$5</f>
        <v>0</v>
      </c>
      <c r="AC5" s="4">
        <f>+CON_HAB!AC50*K_si!AC$5</f>
        <v>0</v>
      </c>
      <c r="AD5" s="4">
        <f>+CON_HAB!AD50*K_si!AD$5</f>
        <v>0</v>
      </c>
      <c r="AE5" s="4">
        <f>+CON_HAB!AE50*K_si!AE$5</f>
        <v>0</v>
      </c>
      <c r="AF5" s="4">
        <f>+CON_HAB!AF50*K_si!AF$5</f>
        <v>0</v>
      </c>
      <c r="AG5" s="4">
        <f>+CON_HAB!AG50*K_si!AG$5</f>
        <v>0</v>
      </c>
      <c r="AH5" s="4">
        <f>+CON_HAB!AH50*K_si!AH$5</f>
        <v>0</v>
      </c>
      <c r="AI5" s="4">
        <f>+CON_HAB!AI50*K_si!AI$5</f>
        <v>0</v>
      </c>
      <c r="AJ5" s="4">
        <f>+CON_HAB!AJ50*K_si!AJ$5</f>
        <v>0</v>
      </c>
      <c r="AK5" s="4">
        <f>+CON_HAB!AK50*K_si!AK$5</f>
        <v>0</v>
      </c>
      <c r="AL5" s="4">
        <f>+CON_HAB!AL50*K_si!AL$5</f>
        <v>0</v>
      </c>
      <c r="AM5" s="4">
        <f>+CON_HAB!AM50*K_si!AM$5</f>
        <v>0</v>
      </c>
      <c r="AN5" s="64">
        <f>+CON_HAB!AN50*K_si!AN$5</f>
        <v>0</v>
      </c>
      <c r="AO5" s="4">
        <f>+CON_HAB!AO50*K_si!AO$5</f>
        <v>0</v>
      </c>
      <c r="AP5" s="4">
        <f>+CON_HAB!AP50*K_si!AP$5</f>
        <v>0</v>
      </c>
      <c r="AQ5" s="4">
        <f>+CON_HAB!AQ50*K_si!AQ$5</f>
        <v>0</v>
      </c>
      <c r="AR5" s="4">
        <f>+CON_HAB!AR50*K_si!AR$5</f>
        <v>0</v>
      </c>
      <c r="AS5" s="4">
        <f>+CON_HAB!AS50*K_si!AS$5</f>
        <v>0</v>
      </c>
      <c r="AT5" s="4">
        <f>+CON_HAB!AT50*K_si!AT$5</f>
        <v>0</v>
      </c>
      <c r="AU5" s="4">
        <f>+CON_HAB!AU50*K_si!AU$5</f>
        <v>0</v>
      </c>
      <c r="AV5" s="60">
        <f>+CON_HAB!AV50*K_si!AV$5</f>
        <v>0</v>
      </c>
      <c r="AW5" s="4">
        <f>+CON_HAB!AW50*K_si!AW$5</f>
        <v>0</v>
      </c>
      <c r="AX5" s="4">
        <f>+CON_HAB!AX50*K_si!AX$5</f>
        <v>0</v>
      </c>
      <c r="AY5" s="64">
        <f>+CON_HAB!AY50*K_si!AY$5</f>
        <v>0</v>
      </c>
      <c r="AZ5" s="60">
        <f>+CON_HAB!AZ50*K_si!AZ$5</f>
        <v>0</v>
      </c>
      <c r="BA5" s="4">
        <f>+CON_HAB!BA50*K_si!BA$5</f>
        <v>0</v>
      </c>
      <c r="BB5" s="4">
        <f>+CON_HAB!BB50*K_si!BB$5</f>
        <v>0</v>
      </c>
      <c r="BC5" s="60">
        <f>+CON_HAB!BC50*K_si!BC$5</f>
        <v>0</v>
      </c>
    </row>
    <row r="6" spans="1:55" ht="18.75" customHeight="1" x14ac:dyDescent="0.25">
      <c r="A6" s="67" t="s">
        <v>42</v>
      </c>
      <c r="B6" s="64">
        <f>+CON_HAB!B51*K_si!B$5</f>
        <v>0</v>
      </c>
      <c r="C6" s="4">
        <f>+CON_HAB!C51*K_si!C$5</f>
        <v>0</v>
      </c>
      <c r="D6" s="4">
        <f>+CON_HAB!D51*K_si!D$5</f>
        <v>0</v>
      </c>
      <c r="E6" s="4">
        <f>+CON_HAB!E51*K_si!E$5</f>
        <v>0</v>
      </c>
      <c r="F6" s="4">
        <f>+CON_HAB!F51*K_si!F$5</f>
        <v>0</v>
      </c>
      <c r="G6" s="4">
        <f>+CON_HAB!G51*K_si!G$5</f>
        <v>0</v>
      </c>
      <c r="H6" s="4">
        <f>+CON_HAB!H51*K_si!H$5</f>
        <v>0</v>
      </c>
      <c r="I6" s="4">
        <f>+CON_HAB!I51*K_si!I$5</f>
        <v>0</v>
      </c>
      <c r="J6" s="4">
        <f>+CON_HAB!J51*K_si!J$5</f>
        <v>0</v>
      </c>
      <c r="K6" s="4">
        <f>+CON_HAB!K51*K_si!K$5</f>
        <v>0</v>
      </c>
      <c r="L6" s="4">
        <f>+CON_HAB!L51*K_si!L$5</f>
        <v>0</v>
      </c>
      <c r="M6" s="4">
        <f>+CON_HAB!M51*K_si!M$5</f>
        <v>0</v>
      </c>
      <c r="N6" s="4">
        <f>+CON_HAB!N51*K_si!N$5</f>
        <v>0</v>
      </c>
      <c r="O6" s="4">
        <f>+CON_HAB!O51*K_si!O$5</f>
        <v>0</v>
      </c>
      <c r="P6" s="4">
        <f>+CON_HAB!P51*K_si!P$5</f>
        <v>0</v>
      </c>
      <c r="Q6" s="4">
        <f>+CON_HAB!Q51*K_si!Q$5</f>
        <v>0</v>
      </c>
      <c r="R6" s="4">
        <f>+CON_HAB!R51*K_si!R$5</f>
        <v>0</v>
      </c>
      <c r="S6" s="64">
        <f>+CON_HAB!S51*K_si!S$5</f>
        <v>0</v>
      </c>
      <c r="T6" s="4">
        <f>+CON_HAB!T51*K_si!T$5</f>
        <v>0</v>
      </c>
      <c r="U6" s="4">
        <f>+CON_HAB!U51*K_si!U$5</f>
        <v>0</v>
      </c>
      <c r="V6" s="4">
        <f>+CON_HAB!V51*K_si!V$5</f>
        <v>0</v>
      </c>
      <c r="W6" s="4">
        <f>+CON_HAB!W51*K_si!W$5</f>
        <v>0</v>
      </c>
      <c r="X6" s="4">
        <f>+CON_HAB!X51*K_si!X$5</f>
        <v>0</v>
      </c>
      <c r="Y6" s="4">
        <f>+CON_HAB!Y51*K_si!Y$5</f>
        <v>0</v>
      </c>
      <c r="Z6" s="4">
        <f>+CON_HAB!Z51*K_si!Z$5</f>
        <v>0</v>
      </c>
      <c r="AA6" s="4">
        <f>+CON_HAB!AA51*K_si!AA$5</f>
        <v>0</v>
      </c>
      <c r="AB6" s="60">
        <f>+CON_HAB!AB51*K_si!AB$5</f>
        <v>0</v>
      </c>
      <c r="AC6" s="4">
        <f>+CON_HAB!AC51*K_si!AC$5</f>
        <v>0</v>
      </c>
      <c r="AD6" s="4">
        <f>+CON_HAB!AD51*K_si!AD$5</f>
        <v>0</v>
      </c>
      <c r="AE6" s="4">
        <f>+CON_HAB!AE51*K_si!AE$5</f>
        <v>0</v>
      </c>
      <c r="AF6" s="4">
        <f>+CON_HAB!AF51*K_si!AF$5</f>
        <v>0</v>
      </c>
      <c r="AG6" s="4">
        <f>+CON_HAB!AG51*K_si!AG$5</f>
        <v>0</v>
      </c>
      <c r="AH6" s="4">
        <f>+CON_HAB!AH51*K_si!AH$5</f>
        <v>0</v>
      </c>
      <c r="AI6" s="4">
        <f>+CON_HAB!AI51*K_si!AI$5</f>
        <v>0</v>
      </c>
      <c r="AJ6" s="4">
        <f>+CON_HAB!AJ51*K_si!AJ$5</f>
        <v>0</v>
      </c>
      <c r="AK6" s="4">
        <f>+CON_HAB!AK51*K_si!AK$5</f>
        <v>0</v>
      </c>
      <c r="AL6" s="4">
        <f>+CON_HAB!AL51*K_si!AL$5</f>
        <v>0</v>
      </c>
      <c r="AM6" s="4">
        <f>+CON_HAB!AM51*K_si!AM$5</f>
        <v>0</v>
      </c>
      <c r="AN6" s="64">
        <f>+CON_HAB!AN51*K_si!AN$5</f>
        <v>0</v>
      </c>
      <c r="AO6" s="4">
        <f>+CON_HAB!AO51*K_si!AO$5</f>
        <v>0</v>
      </c>
      <c r="AP6" s="4">
        <f>+CON_HAB!AP51*K_si!AP$5</f>
        <v>0</v>
      </c>
      <c r="AQ6" s="4">
        <f>+CON_HAB!AQ51*K_si!AQ$5</f>
        <v>0</v>
      </c>
      <c r="AR6" s="4">
        <f>+CON_HAB!AR51*K_si!AR$5</f>
        <v>0</v>
      </c>
      <c r="AS6" s="4">
        <f>+CON_HAB!AS51*K_si!AS$5</f>
        <v>0</v>
      </c>
      <c r="AT6" s="4">
        <f>+CON_HAB!AT51*K_si!AT$5</f>
        <v>0</v>
      </c>
      <c r="AU6" s="4">
        <f>+CON_HAB!AU51*K_si!AU$5</f>
        <v>0</v>
      </c>
      <c r="AV6" s="60">
        <f>+CON_HAB!AV51*K_si!AV$5</f>
        <v>0</v>
      </c>
      <c r="AW6" s="4">
        <f>+CON_HAB!AW51*K_si!AW$5</f>
        <v>0</v>
      </c>
      <c r="AX6" s="4">
        <f>+CON_HAB!AX51*K_si!AX$5</f>
        <v>0</v>
      </c>
      <c r="AY6" s="64">
        <f>+CON_HAB!AY51*K_si!AY$5</f>
        <v>0</v>
      </c>
      <c r="AZ6" s="60">
        <f>+CON_HAB!AZ51*K_si!AZ$5</f>
        <v>0</v>
      </c>
      <c r="BA6" s="4">
        <f>+CON_HAB!BA51*K_si!BA$5</f>
        <v>0</v>
      </c>
      <c r="BB6" s="4">
        <f>+CON_HAB!BB51*K_si!BB$5</f>
        <v>0</v>
      </c>
      <c r="BC6" s="60">
        <f>+CON_HAB!BC51*K_si!BC$5</f>
        <v>0</v>
      </c>
    </row>
    <row r="7" spans="1:55" ht="18.75" customHeight="1" x14ac:dyDescent="0.25">
      <c r="A7" s="67" t="s">
        <v>43</v>
      </c>
      <c r="B7" s="64">
        <f>+CON_HAB!B52*K_si!B$5</f>
        <v>0</v>
      </c>
      <c r="C7" s="4">
        <f>+CON_HAB!C52*K_si!C$5</f>
        <v>0</v>
      </c>
      <c r="D7" s="4">
        <f>+CON_HAB!D52*K_si!D$5</f>
        <v>0</v>
      </c>
      <c r="E7" s="4">
        <f>+CON_HAB!E52*K_si!E$5</f>
        <v>0</v>
      </c>
      <c r="F7" s="4">
        <f>+CON_HAB!F52*K_si!F$5</f>
        <v>0</v>
      </c>
      <c r="G7" s="4">
        <f>+CON_HAB!G52*K_si!G$5</f>
        <v>0</v>
      </c>
      <c r="H7" s="4">
        <f>+CON_HAB!H52*K_si!H$5</f>
        <v>0</v>
      </c>
      <c r="I7" s="4">
        <f>+CON_HAB!I52*K_si!I$5</f>
        <v>0</v>
      </c>
      <c r="J7" s="4">
        <f>+CON_HAB!J52*K_si!J$5</f>
        <v>0</v>
      </c>
      <c r="K7" s="4">
        <f>+CON_HAB!K52*K_si!K$5</f>
        <v>0</v>
      </c>
      <c r="L7" s="4">
        <f>+CON_HAB!L52*K_si!L$5</f>
        <v>0</v>
      </c>
      <c r="M7" s="4">
        <f>+CON_HAB!M52*K_si!M$5</f>
        <v>0</v>
      </c>
      <c r="N7" s="4">
        <f>+CON_HAB!N52*K_si!N$5</f>
        <v>0</v>
      </c>
      <c r="O7" s="4">
        <f>+CON_HAB!O52*K_si!O$5</f>
        <v>0</v>
      </c>
      <c r="P7" s="4">
        <f>+CON_HAB!P52*K_si!P$5</f>
        <v>0</v>
      </c>
      <c r="Q7" s="4">
        <f>+CON_HAB!Q52*K_si!Q$5</f>
        <v>0</v>
      </c>
      <c r="R7" s="4">
        <f>+CON_HAB!R52*K_si!R$5</f>
        <v>0</v>
      </c>
      <c r="S7" s="64">
        <f>+CON_HAB!S52*K_si!S$5</f>
        <v>0</v>
      </c>
      <c r="T7" s="4">
        <f>+CON_HAB!T52*K_si!T$5</f>
        <v>0</v>
      </c>
      <c r="U7" s="4">
        <f>+CON_HAB!U52*K_si!U$5</f>
        <v>0</v>
      </c>
      <c r="V7" s="4">
        <f>+CON_HAB!V52*K_si!V$5</f>
        <v>0</v>
      </c>
      <c r="W7" s="4">
        <f>+CON_HAB!W52*K_si!W$5</f>
        <v>0</v>
      </c>
      <c r="X7" s="4">
        <f>+CON_HAB!X52*K_si!X$5</f>
        <v>0</v>
      </c>
      <c r="Y7" s="4">
        <f>+CON_HAB!Y52*K_si!Y$5</f>
        <v>0</v>
      </c>
      <c r="Z7" s="4">
        <f>+CON_HAB!Z52*K_si!Z$5</f>
        <v>0</v>
      </c>
      <c r="AA7" s="4">
        <f>+CON_HAB!AA52*K_si!AA$5</f>
        <v>0</v>
      </c>
      <c r="AB7" s="60">
        <f>+CON_HAB!AB52*K_si!AB$5</f>
        <v>0</v>
      </c>
      <c r="AC7" s="4">
        <f>+CON_HAB!AC52*K_si!AC$5</f>
        <v>0</v>
      </c>
      <c r="AD7" s="4">
        <f>+CON_HAB!AD52*K_si!AD$5</f>
        <v>0</v>
      </c>
      <c r="AE7" s="4">
        <f>+CON_HAB!AE52*K_si!AE$5</f>
        <v>0</v>
      </c>
      <c r="AF7" s="4">
        <f>+CON_HAB!AF52*K_si!AF$5</f>
        <v>0</v>
      </c>
      <c r="AG7" s="4">
        <f>+CON_HAB!AG52*K_si!AG$5</f>
        <v>0</v>
      </c>
      <c r="AH7" s="4">
        <f>+CON_HAB!AH52*K_si!AH$5</f>
        <v>0</v>
      </c>
      <c r="AI7" s="4">
        <f>+CON_HAB!AI52*K_si!AI$5</f>
        <v>0</v>
      </c>
      <c r="AJ7" s="4">
        <f>+CON_HAB!AJ52*K_si!AJ$5</f>
        <v>0</v>
      </c>
      <c r="AK7" s="4">
        <f>+CON_HAB!AK52*K_si!AK$5</f>
        <v>0</v>
      </c>
      <c r="AL7" s="4">
        <f>+CON_HAB!AL52*K_si!AL$5</f>
        <v>0</v>
      </c>
      <c r="AM7" s="4">
        <f>+CON_HAB!AM52*K_si!AM$5</f>
        <v>0</v>
      </c>
      <c r="AN7" s="64">
        <f>+CON_HAB!AN52*K_si!AN$5</f>
        <v>0</v>
      </c>
      <c r="AO7" s="4">
        <f>+CON_HAB!AO52*K_si!AO$5</f>
        <v>0</v>
      </c>
      <c r="AP7" s="4">
        <f>+CON_HAB!AP52*K_si!AP$5</f>
        <v>0</v>
      </c>
      <c r="AQ7" s="4">
        <f>+CON_HAB!AQ52*K_si!AQ$5</f>
        <v>0</v>
      </c>
      <c r="AR7" s="4">
        <f>+CON_HAB!AR52*K_si!AR$5</f>
        <v>0</v>
      </c>
      <c r="AS7" s="4">
        <f>+CON_HAB!AS52*K_si!AS$5</f>
        <v>0</v>
      </c>
      <c r="AT7" s="4">
        <f>+CON_HAB!AT52*K_si!AT$5</f>
        <v>0</v>
      </c>
      <c r="AU7" s="4">
        <f>+CON_HAB!AU52*K_si!AU$5</f>
        <v>0</v>
      </c>
      <c r="AV7" s="60">
        <f>+CON_HAB!AV52*K_si!AV$5</f>
        <v>0</v>
      </c>
      <c r="AW7" s="4">
        <f>+CON_HAB!AW52*K_si!AW$5</f>
        <v>0</v>
      </c>
      <c r="AX7" s="4">
        <f>+CON_HAB!AX52*K_si!AX$5</f>
        <v>0</v>
      </c>
      <c r="AY7" s="64">
        <f>+CON_HAB!AY52*K_si!AY$5</f>
        <v>0</v>
      </c>
      <c r="AZ7" s="60">
        <f>+CON_HAB!AZ52*K_si!AZ$5</f>
        <v>0</v>
      </c>
      <c r="BA7" s="4">
        <f>+CON_HAB!BA52*K_si!BA$5</f>
        <v>0</v>
      </c>
      <c r="BB7" s="4">
        <f>+CON_HAB!BB52*K_si!BB$5</f>
        <v>0</v>
      </c>
      <c r="BC7" s="60">
        <f>+CON_HAB!BC52*K_si!BC$5</f>
        <v>0</v>
      </c>
    </row>
    <row r="8" spans="1:55" ht="18.75" customHeight="1" x14ac:dyDescent="0.25">
      <c r="A8" s="67" t="s">
        <v>44</v>
      </c>
      <c r="B8" s="64">
        <f>+CON_HAB!B53*K_si!B$5</f>
        <v>0</v>
      </c>
      <c r="C8" s="4">
        <f>+CON_HAB!C53*K_si!C$5</f>
        <v>0</v>
      </c>
      <c r="D8" s="4">
        <f>+CON_HAB!D53*K_si!D$5</f>
        <v>0</v>
      </c>
      <c r="E8" s="4">
        <f>+CON_HAB!E53*K_si!E$5</f>
        <v>0</v>
      </c>
      <c r="F8" s="4">
        <f>+CON_HAB!F53*K_si!F$5</f>
        <v>0</v>
      </c>
      <c r="G8" s="4">
        <f>+CON_HAB!G53*K_si!G$5</f>
        <v>0</v>
      </c>
      <c r="H8" s="4">
        <f>+CON_HAB!H53*K_si!H$5</f>
        <v>0</v>
      </c>
      <c r="I8" s="4">
        <f>+CON_HAB!I53*K_si!I$5</f>
        <v>0</v>
      </c>
      <c r="J8" s="4">
        <f>+CON_HAB!J53*K_si!J$5</f>
        <v>0</v>
      </c>
      <c r="K8" s="4">
        <f>+CON_HAB!K53*K_si!K$5</f>
        <v>0</v>
      </c>
      <c r="L8" s="4">
        <f>+CON_HAB!L53*K_si!L$5</f>
        <v>0</v>
      </c>
      <c r="M8" s="4">
        <f>+CON_HAB!M53*K_si!M$5</f>
        <v>0</v>
      </c>
      <c r="N8" s="4">
        <f>+CON_HAB!N53*K_si!N$5</f>
        <v>0</v>
      </c>
      <c r="O8" s="4">
        <f>+CON_HAB!O53*K_si!O$5</f>
        <v>0</v>
      </c>
      <c r="P8" s="4">
        <f>+CON_HAB!P53*K_si!P$5</f>
        <v>0</v>
      </c>
      <c r="Q8" s="4">
        <f>+CON_HAB!Q53*K_si!Q$5</f>
        <v>0</v>
      </c>
      <c r="R8" s="4">
        <f>+CON_HAB!R53*K_si!R$5</f>
        <v>0</v>
      </c>
      <c r="S8" s="64">
        <f>+CON_HAB!S53*K_si!S$5</f>
        <v>0</v>
      </c>
      <c r="T8" s="4">
        <f>+CON_HAB!T53*K_si!T$5</f>
        <v>0</v>
      </c>
      <c r="U8" s="4">
        <f>+CON_HAB!U53*K_si!U$5</f>
        <v>0</v>
      </c>
      <c r="V8" s="4">
        <f>+CON_HAB!V53*K_si!V$5</f>
        <v>0</v>
      </c>
      <c r="W8" s="4">
        <f>+CON_HAB!W53*K_si!W$5</f>
        <v>0</v>
      </c>
      <c r="X8" s="4">
        <f>+CON_HAB!X53*K_si!X$5</f>
        <v>0</v>
      </c>
      <c r="Y8" s="4">
        <f>+CON_HAB!Y53*K_si!Y$5</f>
        <v>0</v>
      </c>
      <c r="Z8" s="4">
        <f>+CON_HAB!Z53*K_si!Z$5</f>
        <v>0</v>
      </c>
      <c r="AA8" s="4">
        <f>+CON_HAB!AA53*K_si!AA$5</f>
        <v>0</v>
      </c>
      <c r="AB8" s="60">
        <f>+CON_HAB!AB53*K_si!AB$5</f>
        <v>0</v>
      </c>
      <c r="AC8" s="4">
        <f>+CON_HAB!AC53*K_si!AC$5</f>
        <v>0</v>
      </c>
      <c r="AD8" s="4">
        <f>+CON_HAB!AD53*K_si!AD$5</f>
        <v>0</v>
      </c>
      <c r="AE8" s="4">
        <f>+CON_HAB!AE53*K_si!AE$5</f>
        <v>0</v>
      </c>
      <c r="AF8" s="4">
        <f>+CON_HAB!AF53*K_si!AF$5</f>
        <v>0</v>
      </c>
      <c r="AG8" s="4">
        <f>+CON_HAB!AG53*K_si!AG$5</f>
        <v>0</v>
      </c>
      <c r="AH8" s="4">
        <f>+CON_HAB!AH53*K_si!AH$5</f>
        <v>0</v>
      </c>
      <c r="AI8" s="4">
        <f>+CON_HAB!AI53*K_si!AI$5</f>
        <v>0</v>
      </c>
      <c r="AJ8" s="4">
        <f>+CON_HAB!AJ53*K_si!AJ$5</f>
        <v>0</v>
      </c>
      <c r="AK8" s="4">
        <f>+CON_HAB!AK53*K_si!AK$5</f>
        <v>0</v>
      </c>
      <c r="AL8" s="4">
        <f>+CON_HAB!AL53*K_si!AL$5</f>
        <v>0</v>
      </c>
      <c r="AM8" s="4">
        <f>+CON_HAB!AM53*K_si!AM$5</f>
        <v>0</v>
      </c>
      <c r="AN8" s="64">
        <f>+CON_HAB!AN53*K_si!AN$5</f>
        <v>0</v>
      </c>
      <c r="AO8" s="4">
        <f>+CON_HAB!AO53*K_si!AO$5</f>
        <v>0</v>
      </c>
      <c r="AP8" s="4">
        <f>+CON_HAB!AP53*K_si!AP$5</f>
        <v>0</v>
      </c>
      <c r="AQ8" s="4">
        <f>+CON_HAB!AQ53*K_si!AQ$5</f>
        <v>0</v>
      </c>
      <c r="AR8" s="4">
        <f>+CON_HAB!AR53*K_si!AR$5</f>
        <v>0</v>
      </c>
      <c r="AS8" s="4">
        <f>+CON_HAB!AS53*K_si!AS$5</f>
        <v>0</v>
      </c>
      <c r="AT8" s="4">
        <f>+CON_HAB!AT53*K_si!AT$5</f>
        <v>0</v>
      </c>
      <c r="AU8" s="4">
        <f>+CON_HAB!AU53*K_si!AU$5</f>
        <v>0</v>
      </c>
      <c r="AV8" s="60">
        <f>+CON_HAB!AV53*K_si!AV$5</f>
        <v>0</v>
      </c>
      <c r="AW8" s="4">
        <f>+CON_HAB!AW53*K_si!AW$5</f>
        <v>0</v>
      </c>
      <c r="AX8" s="4">
        <f>+CON_HAB!AX53*K_si!AX$5</f>
        <v>0</v>
      </c>
      <c r="AY8" s="64">
        <f>+CON_HAB!AY53*K_si!AY$5</f>
        <v>0</v>
      </c>
      <c r="AZ8" s="60">
        <f>+CON_HAB!AZ53*K_si!AZ$5</f>
        <v>0</v>
      </c>
      <c r="BA8" s="4">
        <f>+CON_HAB!BA53*K_si!BA$5</f>
        <v>0</v>
      </c>
      <c r="BB8" s="4">
        <f>+CON_HAB!BB53*K_si!BB$5</f>
        <v>0</v>
      </c>
      <c r="BC8" s="60">
        <f>+CON_HAB!BC53*K_si!BC$5</f>
        <v>0</v>
      </c>
    </row>
    <row r="9" spans="1:55" ht="18.75" customHeight="1" x14ac:dyDescent="0.25">
      <c r="A9" s="67" t="s">
        <v>45</v>
      </c>
      <c r="B9" s="64">
        <f>+CON_HAB!B54*K_si!B$5</f>
        <v>0</v>
      </c>
      <c r="C9" s="4">
        <f>+CON_HAB!C54*K_si!C$5</f>
        <v>0</v>
      </c>
      <c r="D9" s="4">
        <f>+CON_HAB!D54*K_si!D$5</f>
        <v>0</v>
      </c>
      <c r="E9" s="4">
        <f>+CON_HAB!E54*K_si!E$5</f>
        <v>0</v>
      </c>
      <c r="F9" s="4">
        <f>+CON_HAB!F54*K_si!F$5</f>
        <v>0</v>
      </c>
      <c r="G9" s="4">
        <f>+CON_HAB!G54*K_si!G$5</f>
        <v>0</v>
      </c>
      <c r="H9" s="4">
        <f>+CON_HAB!H54*K_si!H$5</f>
        <v>0</v>
      </c>
      <c r="I9" s="4">
        <f>+CON_HAB!I54*K_si!I$5</f>
        <v>0</v>
      </c>
      <c r="J9" s="4">
        <f>+CON_HAB!J54*K_si!J$5</f>
        <v>0</v>
      </c>
      <c r="K9" s="4">
        <f>+CON_HAB!K54*K_si!K$5</f>
        <v>0</v>
      </c>
      <c r="L9" s="4">
        <f>+CON_HAB!L54*K_si!L$5</f>
        <v>0</v>
      </c>
      <c r="M9" s="4">
        <f>+CON_HAB!M54*K_si!M$5</f>
        <v>0</v>
      </c>
      <c r="N9" s="4">
        <f>+CON_HAB!N54*K_si!N$5</f>
        <v>0</v>
      </c>
      <c r="O9" s="4">
        <f>+CON_HAB!O54*K_si!O$5</f>
        <v>0</v>
      </c>
      <c r="P9" s="4">
        <f>+CON_HAB!P54*K_si!P$5</f>
        <v>0</v>
      </c>
      <c r="Q9" s="4">
        <f>+CON_HAB!Q54*K_si!Q$5</f>
        <v>0</v>
      </c>
      <c r="R9" s="4">
        <f>+CON_HAB!R54*K_si!R$5</f>
        <v>0</v>
      </c>
      <c r="S9" s="64">
        <f>+CON_HAB!S54*K_si!S$5</f>
        <v>0</v>
      </c>
      <c r="T9" s="4">
        <f>+CON_HAB!T54*K_si!T$5</f>
        <v>0</v>
      </c>
      <c r="U9" s="4">
        <f>+CON_HAB!U54*K_si!U$5</f>
        <v>0</v>
      </c>
      <c r="V9" s="4">
        <f>+CON_HAB!V54*K_si!V$5</f>
        <v>0</v>
      </c>
      <c r="W9" s="4">
        <f>+CON_HAB!W54*K_si!W$5</f>
        <v>0</v>
      </c>
      <c r="X9" s="4">
        <f>+CON_HAB!X54*K_si!X$5</f>
        <v>0</v>
      </c>
      <c r="Y9" s="4">
        <f>+CON_HAB!Y54*K_si!Y$5</f>
        <v>0</v>
      </c>
      <c r="Z9" s="4">
        <f>+CON_HAB!Z54*K_si!Z$5</f>
        <v>0</v>
      </c>
      <c r="AA9" s="4">
        <f>+CON_HAB!AA54*K_si!AA$5</f>
        <v>0</v>
      </c>
      <c r="AB9" s="60">
        <f>+CON_HAB!AB54*K_si!AB$5</f>
        <v>0</v>
      </c>
      <c r="AC9" s="4">
        <f>+CON_HAB!AC54*K_si!AC$5</f>
        <v>0</v>
      </c>
      <c r="AD9" s="4">
        <f>+CON_HAB!AD54*K_si!AD$5</f>
        <v>0</v>
      </c>
      <c r="AE9" s="4">
        <f>+CON_HAB!AE54*K_si!AE$5</f>
        <v>0</v>
      </c>
      <c r="AF9" s="4">
        <f>+CON_HAB!AF54*K_si!AF$5</f>
        <v>0</v>
      </c>
      <c r="AG9" s="4">
        <f>+CON_HAB!AG54*K_si!AG$5</f>
        <v>0</v>
      </c>
      <c r="AH9" s="4">
        <f>+CON_HAB!AH54*K_si!AH$5</f>
        <v>0</v>
      </c>
      <c r="AI9" s="4">
        <f>+CON_HAB!AI54*K_si!AI$5</f>
        <v>0</v>
      </c>
      <c r="AJ9" s="4">
        <f>+CON_HAB!AJ54*K_si!AJ$5</f>
        <v>0</v>
      </c>
      <c r="AK9" s="4">
        <f>+CON_HAB!AK54*K_si!AK$5</f>
        <v>0</v>
      </c>
      <c r="AL9" s="4">
        <f>+CON_HAB!AL54*K_si!AL$5</f>
        <v>0</v>
      </c>
      <c r="AM9" s="4">
        <f>+CON_HAB!AM54*K_si!AM$5</f>
        <v>0</v>
      </c>
      <c r="AN9" s="64">
        <f>+CON_HAB!AN54*K_si!AN$5</f>
        <v>0</v>
      </c>
      <c r="AO9" s="4">
        <f>+CON_HAB!AO54*K_si!AO$5</f>
        <v>0</v>
      </c>
      <c r="AP9" s="4">
        <f>+CON_HAB!AP54*K_si!AP$5</f>
        <v>0</v>
      </c>
      <c r="AQ9" s="4">
        <f>+CON_HAB!AQ54*K_si!AQ$5</f>
        <v>0</v>
      </c>
      <c r="AR9" s="4">
        <f>+CON_HAB!AR54*K_si!AR$5</f>
        <v>0</v>
      </c>
      <c r="AS9" s="4">
        <f>+CON_HAB!AS54*K_si!AS$5</f>
        <v>0</v>
      </c>
      <c r="AT9" s="4">
        <f>+CON_HAB!AT54*K_si!AT$5</f>
        <v>0</v>
      </c>
      <c r="AU9" s="4">
        <f>+CON_HAB!AU54*K_si!AU$5</f>
        <v>0</v>
      </c>
      <c r="AV9" s="60">
        <f>+CON_HAB!AV54*K_si!AV$5</f>
        <v>0</v>
      </c>
      <c r="AW9" s="4">
        <f>+CON_HAB!AW54*K_si!AW$5</f>
        <v>0</v>
      </c>
      <c r="AX9" s="4">
        <f>+CON_HAB!AX54*K_si!AX$5</f>
        <v>0</v>
      </c>
      <c r="AY9" s="64">
        <f>+CON_HAB!AY54*K_si!AY$5</f>
        <v>0</v>
      </c>
      <c r="AZ9" s="60">
        <f>+CON_HAB!AZ54*K_si!AZ$5</f>
        <v>0</v>
      </c>
      <c r="BA9" s="4">
        <f>+CON_HAB!BA54*K_si!BA$5</f>
        <v>0</v>
      </c>
      <c r="BB9" s="4">
        <f>+CON_HAB!BB54*K_si!BB$5</f>
        <v>0</v>
      </c>
      <c r="BC9" s="60">
        <f>+CON_HAB!BC54*K_si!BC$5</f>
        <v>0</v>
      </c>
    </row>
    <row r="10" spans="1:55" ht="18.75" customHeight="1" x14ac:dyDescent="0.25">
      <c r="A10" s="67" t="s">
        <v>46</v>
      </c>
      <c r="B10" s="64">
        <f>+CON_HAB!B55*K_si!B$5</f>
        <v>0</v>
      </c>
      <c r="C10" s="4">
        <f>+CON_HAB!C55*K_si!C$5</f>
        <v>0</v>
      </c>
      <c r="D10" s="4">
        <f>+CON_HAB!D55*K_si!D$5</f>
        <v>0</v>
      </c>
      <c r="E10" s="4">
        <f>+CON_HAB!E55*K_si!E$5</f>
        <v>0</v>
      </c>
      <c r="F10" s="4">
        <f>+CON_HAB!F55*K_si!F$5</f>
        <v>0</v>
      </c>
      <c r="G10" s="4">
        <f>+CON_HAB!G55*K_si!G$5</f>
        <v>0</v>
      </c>
      <c r="H10" s="4">
        <f>+CON_HAB!H55*K_si!H$5</f>
        <v>0</v>
      </c>
      <c r="I10" s="4">
        <f>+CON_HAB!I55*K_si!I$5</f>
        <v>0</v>
      </c>
      <c r="J10" s="4">
        <f>+CON_HAB!J55*K_si!J$5</f>
        <v>0</v>
      </c>
      <c r="K10" s="4">
        <f>+CON_HAB!K55*K_si!K$5</f>
        <v>0</v>
      </c>
      <c r="L10" s="4">
        <f>+CON_HAB!L55*K_si!L$5</f>
        <v>0</v>
      </c>
      <c r="M10" s="4">
        <f>+CON_HAB!M55*K_si!M$5</f>
        <v>0</v>
      </c>
      <c r="N10" s="4">
        <f>+CON_HAB!N55*K_si!N$5</f>
        <v>0</v>
      </c>
      <c r="O10" s="4">
        <f>+CON_HAB!O55*K_si!O$5</f>
        <v>0</v>
      </c>
      <c r="P10" s="4">
        <f>+CON_HAB!P55*K_si!P$5</f>
        <v>0</v>
      </c>
      <c r="Q10" s="4">
        <f>+CON_HAB!Q55*K_si!Q$5</f>
        <v>0</v>
      </c>
      <c r="R10" s="4">
        <f>+CON_HAB!R55*K_si!R$5</f>
        <v>0</v>
      </c>
      <c r="S10" s="64">
        <f>+CON_HAB!S55*K_si!S$5</f>
        <v>0</v>
      </c>
      <c r="T10" s="4">
        <f>+CON_HAB!T55*K_si!T$5</f>
        <v>0</v>
      </c>
      <c r="U10" s="4">
        <f>+CON_HAB!U55*K_si!U$5</f>
        <v>0</v>
      </c>
      <c r="V10" s="4">
        <f>+CON_HAB!V55*K_si!V$5</f>
        <v>0</v>
      </c>
      <c r="W10" s="4">
        <f>+CON_HAB!W55*K_si!W$5</f>
        <v>0</v>
      </c>
      <c r="X10" s="4">
        <f>+CON_HAB!X55*K_si!X$5</f>
        <v>0</v>
      </c>
      <c r="Y10" s="4">
        <f>+CON_HAB!Y55*K_si!Y$5</f>
        <v>0</v>
      </c>
      <c r="Z10" s="4">
        <f>+CON_HAB!Z55*K_si!Z$5</f>
        <v>0</v>
      </c>
      <c r="AA10" s="4">
        <f>+CON_HAB!AA55*K_si!AA$5</f>
        <v>0</v>
      </c>
      <c r="AB10" s="60">
        <f>+CON_HAB!AB55*K_si!AB$5</f>
        <v>0</v>
      </c>
      <c r="AC10" s="4">
        <f>+CON_HAB!AC55*K_si!AC$5</f>
        <v>0</v>
      </c>
      <c r="AD10" s="4">
        <f>+CON_HAB!AD55*K_si!AD$5</f>
        <v>0</v>
      </c>
      <c r="AE10" s="4">
        <f>+CON_HAB!AE55*K_si!AE$5</f>
        <v>0</v>
      </c>
      <c r="AF10" s="4">
        <f>+CON_HAB!AF55*K_si!AF$5</f>
        <v>0</v>
      </c>
      <c r="AG10" s="4">
        <f>+CON_HAB!AG55*K_si!AG$5</f>
        <v>0</v>
      </c>
      <c r="AH10" s="4">
        <f>+CON_HAB!AH55*K_si!AH$5</f>
        <v>0</v>
      </c>
      <c r="AI10" s="4">
        <f>+CON_HAB!AI55*K_si!AI$5</f>
        <v>0</v>
      </c>
      <c r="AJ10" s="4">
        <f>+CON_HAB!AJ55*K_si!AJ$5</f>
        <v>0</v>
      </c>
      <c r="AK10" s="4">
        <f>+CON_HAB!AK55*K_si!AK$5</f>
        <v>0</v>
      </c>
      <c r="AL10" s="4">
        <f>+CON_HAB!AL55*K_si!AL$5</f>
        <v>0</v>
      </c>
      <c r="AM10" s="4">
        <f>+CON_HAB!AM55*K_si!AM$5</f>
        <v>0</v>
      </c>
      <c r="AN10" s="64">
        <f>+CON_HAB!AN55*K_si!AN$5</f>
        <v>0</v>
      </c>
      <c r="AO10" s="4">
        <f>+CON_HAB!AO55*K_si!AO$5</f>
        <v>0</v>
      </c>
      <c r="AP10" s="4">
        <f>+CON_HAB!AP55*K_si!AP$5</f>
        <v>0</v>
      </c>
      <c r="AQ10" s="4">
        <f>+CON_HAB!AQ55*K_si!AQ$5</f>
        <v>0</v>
      </c>
      <c r="AR10" s="4">
        <f>+CON_HAB!AR55*K_si!AR$5</f>
        <v>0</v>
      </c>
      <c r="AS10" s="4">
        <f>+CON_HAB!AS55*K_si!AS$5</f>
        <v>0</v>
      </c>
      <c r="AT10" s="4">
        <f>+CON_HAB!AT55*K_si!AT$5</f>
        <v>0</v>
      </c>
      <c r="AU10" s="4">
        <f>+CON_HAB!AU55*K_si!AU$5</f>
        <v>0</v>
      </c>
      <c r="AV10" s="60">
        <f>+CON_HAB!AV55*K_si!AV$5</f>
        <v>0</v>
      </c>
      <c r="AW10" s="4">
        <f>+CON_HAB!AW55*K_si!AW$5</f>
        <v>0</v>
      </c>
      <c r="AX10" s="4">
        <f>+CON_HAB!AX55*K_si!AX$5</f>
        <v>0</v>
      </c>
      <c r="AY10" s="64">
        <f>+CON_HAB!AY55*K_si!AY$5</f>
        <v>0</v>
      </c>
      <c r="AZ10" s="60">
        <f>+CON_HAB!AZ55*K_si!AZ$5</f>
        <v>0</v>
      </c>
      <c r="BA10" s="4">
        <f>+CON_HAB!BA55*K_si!BA$5</f>
        <v>0</v>
      </c>
      <c r="BB10" s="4">
        <f>+CON_HAB!BB55*K_si!BB$5</f>
        <v>0</v>
      </c>
      <c r="BC10" s="60">
        <f>+CON_HAB!BC55*K_si!BC$5</f>
        <v>0</v>
      </c>
    </row>
    <row r="11" spans="1:55" ht="18.75" customHeight="1" x14ac:dyDescent="0.25">
      <c r="A11" s="67" t="s">
        <v>108</v>
      </c>
      <c r="B11" s="64">
        <f>+CON_HAB!B56*K_si!B$5</f>
        <v>0</v>
      </c>
      <c r="C11" s="4">
        <f>+CON_HAB!C56*K_si!C$5</f>
        <v>0</v>
      </c>
      <c r="D11" s="4">
        <f>+CON_HAB!D56*K_si!D$5</f>
        <v>0</v>
      </c>
      <c r="E11" s="4">
        <f>+CON_HAB!E56*K_si!E$5</f>
        <v>0</v>
      </c>
      <c r="F11" s="4">
        <f>+CON_HAB!F56*K_si!F$5</f>
        <v>0</v>
      </c>
      <c r="G11" s="4">
        <f>+CON_HAB!G56*K_si!G$5</f>
        <v>0</v>
      </c>
      <c r="H11" s="4">
        <f>+CON_HAB!H56*K_si!H$5</f>
        <v>0</v>
      </c>
      <c r="I11" s="4">
        <f>+CON_HAB!I56*K_si!I$5</f>
        <v>0</v>
      </c>
      <c r="J11" s="4">
        <f>+CON_HAB!J56*K_si!J$5</f>
        <v>0</v>
      </c>
      <c r="K11" s="4">
        <f>+CON_HAB!K56*K_si!K$5</f>
        <v>0</v>
      </c>
      <c r="L11" s="4">
        <f>+CON_HAB!L56*K_si!L$5</f>
        <v>0</v>
      </c>
      <c r="M11" s="4">
        <f>+CON_HAB!M56*K_si!M$5</f>
        <v>0</v>
      </c>
      <c r="N11" s="4">
        <f>+CON_HAB!N56*K_si!N$5</f>
        <v>0</v>
      </c>
      <c r="O11" s="4">
        <f>+CON_HAB!O56*K_si!O$5</f>
        <v>0</v>
      </c>
      <c r="P11" s="4">
        <f>+CON_HAB!P56*K_si!P$5</f>
        <v>0</v>
      </c>
      <c r="Q11" s="4">
        <f>+CON_HAB!Q56*K_si!Q$5</f>
        <v>0</v>
      </c>
      <c r="R11" s="4">
        <f>+CON_HAB!R56*K_si!R$5</f>
        <v>0</v>
      </c>
      <c r="S11" s="64">
        <f>+CON_HAB!S56*K_si!S$5</f>
        <v>0</v>
      </c>
      <c r="T11" s="4">
        <f>+CON_HAB!T56*K_si!T$5</f>
        <v>0</v>
      </c>
      <c r="U11" s="4">
        <f>+CON_HAB!U56*K_si!U$5</f>
        <v>0</v>
      </c>
      <c r="V11" s="4">
        <f>+CON_HAB!V56*K_si!V$5</f>
        <v>0</v>
      </c>
      <c r="W11" s="4">
        <f>+CON_HAB!W56*K_si!W$5</f>
        <v>0</v>
      </c>
      <c r="X11" s="4">
        <f>+CON_HAB!X56*K_si!X$5</f>
        <v>0</v>
      </c>
      <c r="Y11" s="4">
        <f>+CON_HAB!Y56*K_si!Y$5</f>
        <v>0</v>
      </c>
      <c r="Z11" s="4">
        <f>+CON_HAB!Z56*K_si!Z$5</f>
        <v>0</v>
      </c>
      <c r="AA11" s="4">
        <f>+CON_HAB!AA56*K_si!AA$5</f>
        <v>0</v>
      </c>
      <c r="AB11" s="60">
        <f>+CON_HAB!AB56*K_si!AB$5</f>
        <v>0</v>
      </c>
      <c r="AC11" s="4">
        <f>+CON_HAB!AC56*K_si!AC$5</f>
        <v>0</v>
      </c>
      <c r="AD11" s="4">
        <f>+CON_HAB!AD56*K_si!AD$5</f>
        <v>0</v>
      </c>
      <c r="AE11" s="4">
        <f>+CON_HAB!AE56*K_si!AE$5</f>
        <v>0</v>
      </c>
      <c r="AF11" s="4">
        <f>+CON_HAB!AF56*K_si!AF$5</f>
        <v>0</v>
      </c>
      <c r="AG11" s="4">
        <f>+CON_HAB!AG56*K_si!AG$5</f>
        <v>0</v>
      </c>
      <c r="AH11" s="4">
        <f>+CON_HAB!AH56*K_si!AH$5</f>
        <v>0</v>
      </c>
      <c r="AI11" s="4">
        <f>+CON_HAB!AI56*K_si!AI$5</f>
        <v>0</v>
      </c>
      <c r="AJ11" s="4">
        <f>+CON_HAB!AJ56*K_si!AJ$5</f>
        <v>0</v>
      </c>
      <c r="AK11" s="4">
        <f>+CON_HAB!AK56*K_si!AK$5</f>
        <v>0</v>
      </c>
      <c r="AL11" s="4">
        <f>+CON_HAB!AL56*K_si!AL$5</f>
        <v>0</v>
      </c>
      <c r="AM11" s="4">
        <f>+CON_HAB!AM56*K_si!AM$5</f>
        <v>0</v>
      </c>
      <c r="AN11" s="64">
        <f>+CON_HAB!AN56*K_si!AN$5</f>
        <v>0</v>
      </c>
      <c r="AO11" s="4">
        <f>+CON_HAB!AO56*K_si!AO$5</f>
        <v>0</v>
      </c>
      <c r="AP11" s="4">
        <f>+CON_HAB!AP56*K_si!AP$5</f>
        <v>0</v>
      </c>
      <c r="AQ11" s="4">
        <f>+CON_HAB!AQ56*K_si!AQ$5</f>
        <v>0</v>
      </c>
      <c r="AR11" s="4">
        <f>+CON_HAB!AR56*K_si!AR$5</f>
        <v>0</v>
      </c>
      <c r="AS11" s="4">
        <f>+CON_HAB!AS56*K_si!AS$5</f>
        <v>0</v>
      </c>
      <c r="AT11" s="4">
        <f>+CON_HAB!AT56*K_si!AT$5</f>
        <v>0</v>
      </c>
      <c r="AU11" s="4">
        <f>+CON_HAB!AU56*K_si!AU$5</f>
        <v>0</v>
      </c>
      <c r="AV11" s="60">
        <f>+CON_HAB!AV56*K_si!AV$5</f>
        <v>0</v>
      </c>
      <c r="AW11" s="4">
        <f>+CON_HAB!AW56*K_si!AW$5</f>
        <v>0</v>
      </c>
      <c r="AX11" s="4">
        <f>+CON_HAB!AX56*K_si!AX$5</f>
        <v>0</v>
      </c>
      <c r="AY11" s="64">
        <f>+CON_HAB!AY56*K_si!AY$5</f>
        <v>0</v>
      </c>
      <c r="AZ11" s="60">
        <f>+CON_HAB!AZ56*K_si!AZ$5</f>
        <v>0</v>
      </c>
      <c r="BA11" s="4">
        <f>+CON_HAB!BA56*K_si!BA$5</f>
        <v>0</v>
      </c>
      <c r="BB11" s="4">
        <f>+CON_HAB!BB56*K_si!BB$5</f>
        <v>0</v>
      </c>
      <c r="BC11" s="60">
        <f>+CON_HAB!BC56*K_si!BC$5</f>
        <v>0</v>
      </c>
    </row>
    <row r="12" spans="1:55" ht="18.75" customHeight="1" x14ac:dyDescent="0.25">
      <c r="A12" s="67" t="s">
        <v>109</v>
      </c>
      <c r="B12" s="64">
        <f>+CON_HAB!B57*K_si!B$5</f>
        <v>0</v>
      </c>
      <c r="C12" s="4">
        <f>+CON_HAB!C57*K_si!C$5</f>
        <v>0</v>
      </c>
      <c r="D12" s="4">
        <f>+CON_HAB!D57*K_si!D$5</f>
        <v>0</v>
      </c>
      <c r="E12" s="4">
        <f>+CON_HAB!E57*K_si!E$5</f>
        <v>0</v>
      </c>
      <c r="F12" s="4">
        <f>+CON_HAB!F57*K_si!F$5</f>
        <v>0</v>
      </c>
      <c r="G12" s="4">
        <f>+CON_HAB!G57*K_si!G$5</f>
        <v>0</v>
      </c>
      <c r="H12" s="4">
        <f>+CON_HAB!H57*K_si!H$5</f>
        <v>0</v>
      </c>
      <c r="I12" s="4">
        <f>+CON_HAB!I57*K_si!I$5</f>
        <v>0</v>
      </c>
      <c r="J12" s="4">
        <f>+CON_HAB!J57*K_si!J$5</f>
        <v>0</v>
      </c>
      <c r="K12" s="4">
        <f>+CON_HAB!K57*K_si!K$5</f>
        <v>0</v>
      </c>
      <c r="L12" s="4">
        <f>+CON_HAB!L57*K_si!L$5</f>
        <v>0</v>
      </c>
      <c r="M12" s="4">
        <f>+CON_HAB!M57*K_si!M$5</f>
        <v>0</v>
      </c>
      <c r="N12" s="4">
        <f>+CON_HAB!N57*K_si!N$5</f>
        <v>0</v>
      </c>
      <c r="O12" s="4">
        <f>+CON_HAB!O57*K_si!O$5</f>
        <v>0</v>
      </c>
      <c r="P12" s="4">
        <f>+CON_HAB!P57*K_si!P$5</f>
        <v>0</v>
      </c>
      <c r="Q12" s="4">
        <f>+CON_HAB!Q57*K_si!Q$5</f>
        <v>0</v>
      </c>
      <c r="R12" s="4">
        <f>+CON_HAB!R57*K_si!R$5</f>
        <v>0</v>
      </c>
      <c r="S12" s="64">
        <f>+CON_HAB!S57*K_si!S$5</f>
        <v>0</v>
      </c>
      <c r="T12" s="4">
        <f>+CON_HAB!T57*K_si!T$5</f>
        <v>0</v>
      </c>
      <c r="U12" s="4">
        <f>+CON_HAB!U57*K_si!U$5</f>
        <v>0</v>
      </c>
      <c r="V12" s="4">
        <f>+CON_HAB!V57*K_si!V$5</f>
        <v>0</v>
      </c>
      <c r="W12" s="4">
        <f>+CON_HAB!W57*K_si!W$5</f>
        <v>0</v>
      </c>
      <c r="X12" s="4">
        <f>+CON_HAB!X57*K_si!X$5</f>
        <v>0</v>
      </c>
      <c r="Y12" s="4">
        <f>+CON_HAB!Y57*K_si!Y$5</f>
        <v>0</v>
      </c>
      <c r="Z12" s="4">
        <f>+CON_HAB!Z57*K_si!Z$5</f>
        <v>0</v>
      </c>
      <c r="AA12" s="4">
        <f>+CON_HAB!AA57*K_si!AA$5</f>
        <v>0</v>
      </c>
      <c r="AB12" s="60">
        <f>+CON_HAB!AB57*K_si!AB$5</f>
        <v>0</v>
      </c>
      <c r="AC12" s="4">
        <f>+CON_HAB!AC57*K_si!AC$5</f>
        <v>0</v>
      </c>
      <c r="AD12" s="4">
        <f>+CON_HAB!AD57*K_si!AD$5</f>
        <v>0</v>
      </c>
      <c r="AE12" s="4">
        <f>+CON_HAB!AE57*K_si!AE$5</f>
        <v>0</v>
      </c>
      <c r="AF12" s="4">
        <f>+CON_HAB!AF57*K_si!AF$5</f>
        <v>0</v>
      </c>
      <c r="AG12" s="4">
        <f>+CON_HAB!AG57*K_si!AG$5</f>
        <v>0</v>
      </c>
      <c r="AH12" s="4">
        <f>+CON_HAB!AH57*K_si!AH$5</f>
        <v>0</v>
      </c>
      <c r="AI12" s="4">
        <f>+CON_HAB!AI57*K_si!AI$5</f>
        <v>0</v>
      </c>
      <c r="AJ12" s="4">
        <f>+CON_HAB!AJ57*K_si!AJ$5</f>
        <v>0</v>
      </c>
      <c r="AK12" s="4">
        <f>+CON_HAB!AK57*K_si!AK$5</f>
        <v>0</v>
      </c>
      <c r="AL12" s="4">
        <f>+CON_HAB!AL57*K_si!AL$5</f>
        <v>0</v>
      </c>
      <c r="AM12" s="4">
        <f>+CON_HAB!AM57*K_si!AM$5</f>
        <v>0</v>
      </c>
      <c r="AN12" s="64">
        <f>+CON_HAB!AN57*K_si!AN$5</f>
        <v>0</v>
      </c>
      <c r="AO12" s="4">
        <f>+CON_HAB!AO57*K_si!AO$5</f>
        <v>0</v>
      </c>
      <c r="AP12" s="4">
        <f>+CON_HAB!AP57*K_si!AP$5</f>
        <v>0</v>
      </c>
      <c r="AQ12" s="4">
        <f>+CON_HAB!AQ57*K_si!AQ$5</f>
        <v>0</v>
      </c>
      <c r="AR12" s="4">
        <f>+CON_HAB!AR57*K_si!AR$5</f>
        <v>0</v>
      </c>
      <c r="AS12" s="4">
        <f>+CON_HAB!AS57*K_si!AS$5</f>
        <v>0</v>
      </c>
      <c r="AT12" s="4">
        <f>+CON_HAB!AT57*K_si!AT$5</f>
        <v>0</v>
      </c>
      <c r="AU12" s="4">
        <f>+CON_HAB!AU57*K_si!AU$5</f>
        <v>0</v>
      </c>
      <c r="AV12" s="60">
        <f>+CON_HAB!AV57*K_si!AV$5</f>
        <v>0</v>
      </c>
      <c r="AW12" s="4">
        <f>+CON_HAB!AW57*K_si!AW$5</f>
        <v>0</v>
      </c>
      <c r="AX12" s="4">
        <f>+CON_HAB!AX57*K_si!AX$5</f>
        <v>0</v>
      </c>
      <c r="AY12" s="64">
        <f>+CON_HAB!AY57*K_si!AY$5</f>
        <v>0</v>
      </c>
      <c r="AZ12" s="60">
        <f>+CON_HAB!AZ57*K_si!AZ$5</f>
        <v>0</v>
      </c>
      <c r="BA12" s="4">
        <f>+CON_HAB!BA57*K_si!BA$5</f>
        <v>0</v>
      </c>
      <c r="BB12" s="4">
        <f>+CON_HAB!BB57*K_si!BB$5</f>
        <v>0</v>
      </c>
      <c r="BC12" s="60">
        <f>+CON_HAB!BC57*K_si!BC$5</f>
        <v>0</v>
      </c>
    </row>
    <row r="13" spans="1:55" ht="18.75" customHeight="1" thickBot="1" x14ac:dyDescent="0.3">
      <c r="A13" s="67" t="s">
        <v>110</v>
      </c>
      <c r="B13" s="65">
        <f>+CON_HAB!B58*K_si!B$5</f>
        <v>0</v>
      </c>
      <c r="C13" s="66">
        <f>+CON_HAB!C58*K_si!C$5</f>
        <v>0</v>
      </c>
      <c r="D13" s="66">
        <f>+CON_HAB!D58*K_si!D$5</f>
        <v>0</v>
      </c>
      <c r="E13" s="66">
        <f>+CON_HAB!E58*K_si!E$5</f>
        <v>0</v>
      </c>
      <c r="F13" s="66">
        <f>+CON_HAB!F58*K_si!F$5</f>
        <v>0</v>
      </c>
      <c r="G13" s="66">
        <f>+CON_HAB!G58*K_si!G$5</f>
        <v>0</v>
      </c>
      <c r="H13" s="66">
        <f>+CON_HAB!H58*K_si!H$5</f>
        <v>0</v>
      </c>
      <c r="I13" s="66">
        <f>+CON_HAB!I58*K_si!I$5</f>
        <v>0</v>
      </c>
      <c r="J13" s="66">
        <f>+CON_HAB!J58*K_si!J$5</f>
        <v>0</v>
      </c>
      <c r="K13" s="66">
        <f>+CON_HAB!K58*K_si!K$5</f>
        <v>0</v>
      </c>
      <c r="L13" s="66">
        <f>+CON_HAB!L58*K_si!L$5</f>
        <v>0</v>
      </c>
      <c r="M13" s="66">
        <f>+CON_HAB!M58*K_si!M$5</f>
        <v>0</v>
      </c>
      <c r="N13" s="66">
        <f>+CON_HAB!N58*K_si!N$5</f>
        <v>0</v>
      </c>
      <c r="O13" s="66">
        <f>+CON_HAB!O58*K_si!O$5</f>
        <v>0</v>
      </c>
      <c r="P13" s="66">
        <f>+CON_HAB!P58*K_si!P$5</f>
        <v>0</v>
      </c>
      <c r="Q13" s="66">
        <f>+CON_HAB!Q58*K_si!Q$5</f>
        <v>0</v>
      </c>
      <c r="R13" s="66">
        <f>+CON_HAB!R58*K_si!R$5</f>
        <v>0</v>
      </c>
      <c r="S13" s="65">
        <f>+CON_HAB!S58*K_si!S$5</f>
        <v>0</v>
      </c>
      <c r="T13" s="66">
        <f>+CON_HAB!T58*K_si!T$5</f>
        <v>0</v>
      </c>
      <c r="U13" s="66">
        <f>+CON_HAB!U58*K_si!U$5</f>
        <v>0</v>
      </c>
      <c r="V13" s="66">
        <f>+CON_HAB!V58*K_si!V$5</f>
        <v>0</v>
      </c>
      <c r="W13" s="66">
        <f>+CON_HAB!W58*K_si!W$5</f>
        <v>0</v>
      </c>
      <c r="X13" s="66">
        <f>+CON_HAB!X58*K_si!X$5</f>
        <v>0</v>
      </c>
      <c r="Y13" s="66">
        <f>+CON_HAB!Y58*K_si!Y$5</f>
        <v>0</v>
      </c>
      <c r="Z13" s="66">
        <f>+CON_HAB!Z58*K_si!Z$5</f>
        <v>0</v>
      </c>
      <c r="AA13" s="66">
        <f>+CON_HAB!AA58*K_si!AA$5</f>
        <v>0</v>
      </c>
      <c r="AB13" s="61">
        <f>+CON_HAB!AB58*K_si!AB$5</f>
        <v>0</v>
      </c>
      <c r="AC13" s="66">
        <f>+CON_HAB!AC58*K_si!AC$5</f>
        <v>0</v>
      </c>
      <c r="AD13" s="66">
        <f>+CON_HAB!AD58*K_si!AD$5</f>
        <v>0</v>
      </c>
      <c r="AE13" s="66">
        <f>+CON_HAB!AE58*K_si!AE$5</f>
        <v>0</v>
      </c>
      <c r="AF13" s="66">
        <f>+CON_HAB!AF58*K_si!AF$5</f>
        <v>0</v>
      </c>
      <c r="AG13" s="66">
        <f>+CON_HAB!AG58*K_si!AG$5</f>
        <v>0</v>
      </c>
      <c r="AH13" s="66">
        <f>+CON_HAB!AH58*K_si!AH$5</f>
        <v>0</v>
      </c>
      <c r="AI13" s="66">
        <f>+CON_HAB!AI58*K_si!AI$5</f>
        <v>0</v>
      </c>
      <c r="AJ13" s="66">
        <f>+CON_HAB!AJ58*K_si!AJ$5</f>
        <v>0</v>
      </c>
      <c r="AK13" s="66">
        <f>+CON_HAB!AK58*K_si!AK$5</f>
        <v>0</v>
      </c>
      <c r="AL13" s="66">
        <f>+CON_HAB!AL58*K_si!AL$5</f>
        <v>0</v>
      </c>
      <c r="AM13" s="66">
        <f>+CON_HAB!AM58*K_si!AM$5</f>
        <v>0</v>
      </c>
      <c r="AN13" s="65">
        <f>+CON_HAB!AN58*K_si!AN$5</f>
        <v>0</v>
      </c>
      <c r="AO13" s="66">
        <f>+CON_HAB!AO58*K_si!AO$5</f>
        <v>0</v>
      </c>
      <c r="AP13" s="66">
        <f>+CON_HAB!AP58*K_si!AP$5</f>
        <v>0</v>
      </c>
      <c r="AQ13" s="66">
        <f>+CON_HAB!AQ58*K_si!AQ$5</f>
        <v>0</v>
      </c>
      <c r="AR13" s="66">
        <f>+CON_HAB!AR58*K_si!AR$5</f>
        <v>0</v>
      </c>
      <c r="AS13" s="66">
        <f>+CON_HAB!AS58*K_si!AS$5</f>
        <v>0</v>
      </c>
      <c r="AT13" s="66">
        <f>+CON_HAB!AT58*K_si!AT$5</f>
        <v>0</v>
      </c>
      <c r="AU13" s="66">
        <f>+CON_HAB!AU58*K_si!AU$5</f>
        <v>0</v>
      </c>
      <c r="AV13" s="61">
        <f>+CON_HAB!AV58*K_si!AV$5</f>
        <v>0</v>
      </c>
      <c r="AW13" s="66">
        <f>+CON_HAB!AW58*K_si!AW$5</f>
        <v>0</v>
      </c>
      <c r="AX13" s="66">
        <f>+CON_HAB!AX58*K_si!AX$5</f>
        <v>0</v>
      </c>
      <c r="AY13" s="65">
        <f>+CON_HAB!AY58*K_si!AY$5</f>
        <v>0</v>
      </c>
      <c r="AZ13" s="61">
        <f>+CON_HAB!AZ58*K_si!AZ$5</f>
        <v>0</v>
      </c>
      <c r="BA13" s="66">
        <f>+CON_HAB!BA58*K_si!BA$5</f>
        <v>0</v>
      </c>
      <c r="BB13" s="66">
        <f>+CON_HAB!BB58*K_si!BB$5</f>
        <v>0</v>
      </c>
      <c r="BC13" s="61">
        <f>+CON_HAB!BC58*K_si!BC$5</f>
        <v>0</v>
      </c>
    </row>
  </sheetData>
  <conditionalFormatting sqref="B2:BC1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BC13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13.5703125" style="1" bestFit="1" customWidth="1"/>
    <col min="2" max="55" width="4.5703125" style="7" bestFit="1" customWidth="1"/>
  </cols>
  <sheetData>
    <row r="1" spans="1:55" ht="18.75" customHeight="1" thickBot="1" x14ac:dyDescent="0.3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  <c r="S1" s="56" t="s">
        <v>17</v>
      </c>
      <c r="T1" s="56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107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  <c r="AS1" s="56" t="s">
        <v>43</v>
      </c>
      <c r="AT1" s="56" t="s">
        <v>44</v>
      </c>
      <c r="AU1" s="56" t="s">
        <v>45</v>
      </c>
      <c r="AV1" s="56" t="s">
        <v>46</v>
      </c>
      <c r="AW1" s="56" t="s">
        <v>47</v>
      </c>
      <c r="AX1" s="56" t="s">
        <v>48</v>
      </c>
      <c r="AY1" s="56" t="s">
        <v>49</v>
      </c>
      <c r="AZ1" s="56" t="s">
        <v>50</v>
      </c>
      <c r="BA1" s="56" t="s">
        <v>27</v>
      </c>
      <c r="BB1" s="56" t="s">
        <v>28</v>
      </c>
      <c r="BC1" s="56" t="s">
        <v>29</v>
      </c>
    </row>
    <row r="2" spans="1:55" ht="18.75" customHeight="1" x14ac:dyDescent="0.25">
      <c r="A2" s="67" t="s">
        <v>38</v>
      </c>
      <c r="B2" s="62">
        <f>+CON_HAB!B62*K_si!B$6</f>
        <v>0</v>
      </c>
      <c r="C2" s="63">
        <f>+CON_HAB!C62*K_si!C$6</f>
        <v>0</v>
      </c>
      <c r="D2" s="63">
        <f>+CON_HAB!D62*K_si!D$6</f>
        <v>0</v>
      </c>
      <c r="E2" s="63">
        <f>+CON_HAB!E62*K_si!E$6</f>
        <v>0</v>
      </c>
      <c r="F2" s="63">
        <f>+CON_HAB!F62*K_si!F$6</f>
        <v>0</v>
      </c>
      <c r="G2" s="63">
        <f>+CON_HAB!G62*K_si!G$6</f>
        <v>0</v>
      </c>
      <c r="H2" s="63">
        <f>+CON_HAB!H62*K_si!H$6</f>
        <v>0</v>
      </c>
      <c r="I2" s="63">
        <f>+CON_HAB!I62*K_si!I$6</f>
        <v>0</v>
      </c>
      <c r="J2" s="63">
        <f>+CON_HAB!J62*K_si!J$6</f>
        <v>0</v>
      </c>
      <c r="K2" s="63">
        <f>+CON_HAB!K62*K_si!K$6</f>
        <v>0</v>
      </c>
      <c r="L2" s="63">
        <f>+CON_HAB!L62*K_si!L$6</f>
        <v>0</v>
      </c>
      <c r="M2" s="63">
        <f>+CON_HAB!M62*K_si!M$6</f>
        <v>0</v>
      </c>
      <c r="N2" s="63">
        <f>+CON_HAB!N62*K_si!N$6</f>
        <v>0</v>
      </c>
      <c r="O2" s="63">
        <f>+CON_HAB!O62*K_si!O$6</f>
        <v>0</v>
      </c>
      <c r="P2" s="63">
        <f>+CON_HAB!P62*K_si!P$6</f>
        <v>0</v>
      </c>
      <c r="Q2" s="63">
        <f>+CON_HAB!Q62*K_si!Q$6</f>
        <v>0</v>
      </c>
      <c r="R2" s="59">
        <f>+CON_HAB!R62*K_si!R$6</f>
        <v>0</v>
      </c>
      <c r="S2" s="63">
        <f>+CON_HAB!S62*K_si!S$6</f>
        <v>0</v>
      </c>
      <c r="T2" s="63">
        <f>+CON_HAB!T62*K_si!T$6</f>
        <v>0</v>
      </c>
      <c r="U2" s="63">
        <f>+CON_HAB!U62*K_si!U$6</f>
        <v>0</v>
      </c>
      <c r="V2" s="63">
        <f>+CON_HAB!V62*K_si!V$6</f>
        <v>0</v>
      </c>
      <c r="W2" s="63">
        <f>+CON_HAB!W62*K_si!W$6</f>
        <v>0</v>
      </c>
      <c r="X2" s="63">
        <f>+CON_HAB!X62*K_si!X$6</f>
        <v>0</v>
      </c>
      <c r="Y2" s="63">
        <f>+CON_HAB!Y62*K_si!Y$6</f>
        <v>0</v>
      </c>
      <c r="Z2" s="63">
        <f>+CON_HAB!Z62*K_si!Z$6</f>
        <v>0</v>
      </c>
      <c r="AA2" s="63">
        <f>+CON_HAB!AA62*K_si!AA$6</f>
        <v>0</v>
      </c>
      <c r="AB2" s="63">
        <f>+CON_HAB!AB62*K_si!AB$6</f>
        <v>0</v>
      </c>
      <c r="AC2" s="62">
        <f>+CON_HAB!AC62*K_si!AC$6</f>
        <v>0</v>
      </c>
      <c r="AD2" s="63">
        <f>+CON_HAB!AD62*K_si!AD$6</f>
        <v>0</v>
      </c>
      <c r="AE2" s="63">
        <f>+CON_HAB!AE62*K_si!AE$6</f>
        <v>0</v>
      </c>
      <c r="AF2" s="63">
        <f>+CON_HAB!AF62*K_si!AF$6</f>
        <v>0</v>
      </c>
      <c r="AG2" s="63">
        <f>+CON_HAB!AG62*K_si!AG$6</f>
        <v>0</v>
      </c>
      <c r="AH2" s="63">
        <f>+CON_HAB!AH62*K_si!AH$6</f>
        <v>0</v>
      </c>
      <c r="AI2" s="63">
        <f>+CON_HAB!AI62*K_si!AI$6</f>
        <v>0</v>
      </c>
      <c r="AJ2" s="63">
        <f>+CON_HAB!AJ62*K_si!AJ$6</f>
        <v>0</v>
      </c>
      <c r="AK2" s="63">
        <f>+CON_HAB!AK62*K_si!AK$6</f>
        <v>0</v>
      </c>
      <c r="AL2" s="63">
        <f>+CON_HAB!AL62*K_si!AL$6</f>
        <v>0</v>
      </c>
      <c r="AM2" s="59">
        <f>+CON_HAB!AM62*K_si!AM$6</f>
        <v>0</v>
      </c>
      <c r="AN2" s="63">
        <f>+CON_HAB!AN62*K_si!AN$6</f>
        <v>0</v>
      </c>
      <c r="AO2" s="63">
        <f>+CON_HAB!AO62*K_si!AO$6</f>
        <v>0</v>
      </c>
      <c r="AP2" s="63">
        <f>+CON_HAB!AP62*K_si!AP$6</f>
        <v>0</v>
      </c>
      <c r="AQ2" s="63">
        <f>+CON_HAB!AQ62*K_si!AQ$6</f>
        <v>0</v>
      </c>
      <c r="AR2" s="63">
        <f>+CON_HAB!AR62*K_si!AR$6</f>
        <v>0</v>
      </c>
      <c r="AS2" s="63">
        <f>+CON_HAB!AS62*K_si!AS$6</f>
        <v>0</v>
      </c>
      <c r="AT2" s="63">
        <f>+CON_HAB!AT62*K_si!AT$6</f>
        <v>0</v>
      </c>
      <c r="AU2" s="63">
        <f>+CON_HAB!AU62*K_si!AU$6</f>
        <v>0</v>
      </c>
      <c r="AV2" s="63">
        <f>+CON_HAB!AV62*K_si!AV$6</f>
        <v>0</v>
      </c>
      <c r="AW2" s="62">
        <f>+CON_HAB!AW62*K_si!AW$6</f>
        <v>0</v>
      </c>
      <c r="AX2" s="59">
        <f>+CON_HAB!AX62*K_si!AX$6</f>
        <v>0</v>
      </c>
      <c r="AY2" s="63">
        <f>+CON_HAB!AY62*K_si!AY$6</f>
        <v>0</v>
      </c>
      <c r="AZ2" s="63">
        <f>+CON_HAB!AZ62*K_si!AZ$6</f>
        <v>0</v>
      </c>
      <c r="BA2" s="62">
        <f>+CON_HAB!BA62*K_si!BA$6</f>
        <v>0</v>
      </c>
      <c r="BB2" s="63">
        <f>+CON_HAB!BB62*K_si!BB$6</f>
        <v>1</v>
      </c>
      <c r="BC2" s="59">
        <f>+CON_HAB!BC62*K_si!BC$6</f>
        <v>1</v>
      </c>
    </row>
    <row r="3" spans="1:55" ht="18.75" customHeight="1" x14ac:dyDescent="0.25">
      <c r="A3" s="67" t="s">
        <v>39</v>
      </c>
      <c r="B3" s="64">
        <f>+CON_HAB!B63*K_si!B$6</f>
        <v>0</v>
      </c>
      <c r="C3" s="4">
        <f>+CON_HAB!C63*K_si!C$6</f>
        <v>0</v>
      </c>
      <c r="D3" s="4">
        <f>+CON_HAB!D63*K_si!D$6</f>
        <v>0</v>
      </c>
      <c r="E3" s="4">
        <f>+CON_HAB!E63*K_si!E$6</f>
        <v>0</v>
      </c>
      <c r="F3" s="4">
        <f>+CON_HAB!F63*K_si!F$6</f>
        <v>0</v>
      </c>
      <c r="G3" s="4">
        <f>+CON_HAB!G63*K_si!G$6</f>
        <v>0</v>
      </c>
      <c r="H3" s="4">
        <f>+CON_HAB!H63*K_si!H$6</f>
        <v>0</v>
      </c>
      <c r="I3" s="4">
        <f>+CON_HAB!I63*K_si!I$6</f>
        <v>0</v>
      </c>
      <c r="J3" s="4">
        <f>+CON_HAB!J63*K_si!J$6</f>
        <v>0</v>
      </c>
      <c r="K3" s="4">
        <f>+CON_HAB!K63*K_si!K$6</f>
        <v>0</v>
      </c>
      <c r="L3" s="4">
        <f>+CON_HAB!L63*K_si!L$6</f>
        <v>0</v>
      </c>
      <c r="M3" s="4">
        <f>+CON_HAB!M63*K_si!M$6</f>
        <v>0</v>
      </c>
      <c r="N3" s="4">
        <f>+CON_HAB!N63*K_si!N$6</f>
        <v>0</v>
      </c>
      <c r="O3" s="4">
        <f>+CON_HAB!O63*K_si!O$6</f>
        <v>0</v>
      </c>
      <c r="P3" s="4">
        <f>+CON_HAB!P63*K_si!P$6</f>
        <v>0</v>
      </c>
      <c r="Q3" s="4">
        <f>+CON_HAB!Q63*K_si!Q$6</f>
        <v>0</v>
      </c>
      <c r="R3" s="60">
        <f>+CON_HAB!R63*K_si!R$6</f>
        <v>0</v>
      </c>
      <c r="S3" s="4">
        <f>+CON_HAB!S63*K_si!S$6</f>
        <v>0</v>
      </c>
      <c r="T3" s="4">
        <f>+CON_HAB!T63*K_si!T$6</f>
        <v>0</v>
      </c>
      <c r="U3" s="4">
        <f>+CON_HAB!U63*K_si!U$6</f>
        <v>0</v>
      </c>
      <c r="V3" s="4">
        <f>+CON_HAB!V63*K_si!V$6</f>
        <v>0</v>
      </c>
      <c r="W3" s="4">
        <f>+CON_HAB!W63*K_si!W$6</f>
        <v>0</v>
      </c>
      <c r="X3" s="4">
        <f>+CON_HAB!X63*K_si!X$6</f>
        <v>0</v>
      </c>
      <c r="Y3" s="4">
        <f>+CON_HAB!Y63*K_si!Y$6</f>
        <v>0</v>
      </c>
      <c r="Z3" s="4">
        <f>+CON_HAB!Z63*K_si!Z$6</f>
        <v>0</v>
      </c>
      <c r="AA3" s="4">
        <f>+CON_HAB!AA63*K_si!AA$6</f>
        <v>0</v>
      </c>
      <c r="AB3" s="4">
        <f>+CON_HAB!AB63*K_si!AB$6</f>
        <v>0</v>
      </c>
      <c r="AC3" s="64">
        <f>+CON_HAB!AC63*K_si!AC$6</f>
        <v>0</v>
      </c>
      <c r="AD3" s="4">
        <f>+CON_HAB!AD63*K_si!AD$6</f>
        <v>0</v>
      </c>
      <c r="AE3" s="4">
        <f>+CON_HAB!AE63*K_si!AE$6</f>
        <v>0</v>
      </c>
      <c r="AF3" s="4">
        <f>+CON_HAB!AF63*K_si!AF$6</f>
        <v>0</v>
      </c>
      <c r="AG3" s="4">
        <f>+CON_HAB!AG63*K_si!AG$6</f>
        <v>0</v>
      </c>
      <c r="AH3" s="4">
        <f>+CON_HAB!AH63*K_si!AH$6</f>
        <v>0</v>
      </c>
      <c r="AI3" s="4">
        <f>+CON_HAB!AI63*K_si!AI$6</f>
        <v>0</v>
      </c>
      <c r="AJ3" s="4">
        <f>+CON_HAB!AJ63*K_si!AJ$6</f>
        <v>0</v>
      </c>
      <c r="AK3" s="4">
        <f>+CON_HAB!AK63*K_si!AK$6</f>
        <v>0</v>
      </c>
      <c r="AL3" s="4">
        <f>+CON_HAB!AL63*K_si!AL$6</f>
        <v>0</v>
      </c>
      <c r="AM3" s="60">
        <f>+CON_HAB!AM63*K_si!AM$6</f>
        <v>0</v>
      </c>
      <c r="AN3" s="4">
        <f>+CON_HAB!AN63*K_si!AN$6</f>
        <v>0</v>
      </c>
      <c r="AO3" s="4">
        <f>+CON_HAB!AO63*K_si!AO$6</f>
        <v>0</v>
      </c>
      <c r="AP3" s="4">
        <f>+CON_HAB!AP63*K_si!AP$6</f>
        <v>0</v>
      </c>
      <c r="AQ3" s="4">
        <f>+CON_HAB!AQ63*K_si!AQ$6</f>
        <v>0</v>
      </c>
      <c r="AR3" s="4">
        <f>+CON_HAB!AR63*K_si!AR$6</f>
        <v>0</v>
      </c>
      <c r="AS3" s="4">
        <f>+CON_HAB!AS63*K_si!AS$6</f>
        <v>0</v>
      </c>
      <c r="AT3" s="4">
        <f>+CON_HAB!AT63*K_si!AT$6</f>
        <v>0</v>
      </c>
      <c r="AU3" s="4">
        <f>+CON_HAB!AU63*K_si!AU$6</f>
        <v>0</v>
      </c>
      <c r="AV3" s="4">
        <f>+CON_HAB!AV63*K_si!AV$6</f>
        <v>0</v>
      </c>
      <c r="AW3" s="64">
        <f>+CON_HAB!AW63*K_si!AW$6</f>
        <v>0</v>
      </c>
      <c r="AX3" s="60">
        <f>+CON_HAB!AX63*K_si!AX$6</f>
        <v>0</v>
      </c>
      <c r="AY3" s="4">
        <f>+CON_HAB!AY63*K_si!AY$6</f>
        <v>0</v>
      </c>
      <c r="AZ3" s="4">
        <f>+CON_HAB!AZ63*K_si!AZ$6</f>
        <v>0</v>
      </c>
      <c r="BA3" s="64">
        <f>+CON_HAB!BA63*K_si!BA$6</f>
        <v>0</v>
      </c>
      <c r="BB3" s="4">
        <f>+CON_HAB!BB63*K_si!BB$6</f>
        <v>1</v>
      </c>
      <c r="BC3" s="60">
        <f>+CON_HAB!BC63*K_si!BC$6</f>
        <v>1</v>
      </c>
    </row>
    <row r="4" spans="1:55" ht="18.75" customHeight="1" x14ac:dyDescent="0.25">
      <c r="A4" s="67" t="s">
        <v>40</v>
      </c>
      <c r="B4" s="64">
        <f>+CON_HAB!B64*K_si!B$6</f>
        <v>0</v>
      </c>
      <c r="C4" s="4">
        <f>+CON_HAB!C64*K_si!C$6</f>
        <v>0</v>
      </c>
      <c r="D4" s="4">
        <f>+CON_HAB!D64*K_si!D$6</f>
        <v>0</v>
      </c>
      <c r="E4" s="4">
        <f>+CON_HAB!E64*K_si!E$6</f>
        <v>0</v>
      </c>
      <c r="F4" s="4">
        <f>+CON_HAB!F64*K_si!F$6</f>
        <v>0</v>
      </c>
      <c r="G4" s="4">
        <f>+CON_HAB!G64*K_si!G$6</f>
        <v>0</v>
      </c>
      <c r="H4" s="4">
        <f>+CON_HAB!H64*K_si!H$6</f>
        <v>0</v>
      </c>
      <c r="I4" s="4">
        <f>+CON_HAB!I64*K_si!I$6</f>
        <v>0</v>
      </c>
      <c r="J4" s="4">
        <f>+CON_HAB!J64*K_si!J$6</f>
        <v>0</v>
      </c>
      <c r="K4" s="4">
        <f>+CON_HAB!K64*K_si!K$6</f>
        <v>0</v>
      </c>
      <c r="L4" s="4">
        <f>+CON_HAB!L64*K_si!L$6</f>
        <v>0</v>
      </c>
      <c r="M4" s="4">
        <f>+CON_HAB!M64*K_si!M$6</f>
        <v>0</v>
      </c>
      <c r="N4" s="4">
        <f>+CON_HAB!N64*K_si!N$6</f>
        <v>0</v>
      </c>
      <c r="O4" s="4">
        <f>+CON_HAB!O64*K_si!O$6</f>
        <v>0</v>
      </c>
      <c r="P4" s="4">
        <f>+CON_HAB!P64*K_si!P$6</f>
        <v>0</v>
      </c>
      <c r="Q4" s="4">
        <f>+CON_HAB!Q64*K_si!Q$6</f>
        <v>0</v>
      </c>
      <c r="R4" s="60">
        <f>+CON_HAB!R64*K_si!R$6</f>
        <v>0</v>
      </c>
      <c r="S4" s="4">
        <f>+CON_HAB!S64*K_si!S$6</f>
        <v>0</v>
      </c>
      <c r="T4" s="4">
        <f>+CON_HAB!T64*K_si!T$6</f>
        <v>0</v>
      </c>
      <c r="U4" s="4">
        <f>+CON_HAB!U64*K_si!U$6</f>
        <v>0</v>
      </c>
      <c r="V4" s="4">
        <f>+CON_HAB!V64*K_si!V$6</f>
        <v>0</v>
      </c>
      <c r="W4" s="4">
        <f>+CON_HAB!W64*K_si!W$6</f>
        <v>0</v>
      </c>
      <c r="X4" s="4">
        <f>+CON_HAB!X64*K_si!X$6</f>
        <v>0</v>
      </c>
      <c r="Y4" s="4">
        <f>+CON_HAB!Y64*K_si!Y$6</f>
        <v>0</v>
      </c>
      <c r="Z4" s="4">
        <f>+CON_HAB!Z64*K_si!Z$6</f>
        <v>0</v>
      </c>
      <c r="AA4" s="4">
        <f>+CON_HAB!AA64*K_si!AA$6</f>
        <v>0</v>
      </c>
      <c r="AB4" s="4">
        <f>+CON_HAB!AB64*K_si!AB$6</f>
        <v>0</v>
      </c>
      <c r="AC4" s="64">
        <f>+CON_HAB!AC64*K_si!AC$6</f>
        <v>0</v>
      </c>
      <c r="AD4" s="4">
        <f>+CON_HAB!AD64*K_si!AD$6</f>
        <v>0</v>
      </c>
      <c r="AE4" s="4">
        <f>+CON_HAB!AE64*K_si!AE$6</f>
        <v>0</v>
      </c>
      <c r="AF4" s="4">
        <f>+CON_HAB!AF64*K_si!AF$6</f>
        <v>0</v>
      </c>
      <c r="AG4" s="4">
        <f>+CON_HAB!AG64*K_si!AG$6</f>
        <v>0</v>
      </c>
      <c r="AH4" s="4">
        <f>+CON_HAB!AH64*K_si!AH$6</f>
        <v>0</v>
      </c>
      <c r="AI4" s="4">
        <f>+CON_HAB!AI64*K_si!AI$6</f>
        <v>0</v>
      </c>
      <c r="AJ4" s="4">
        <f>+CON_HAB!AJ64*K_si!AJ$6</f>
        <v>0</v>
      </c>
      <c r="AK4" s="4">
        <f>+CON_HAB!AK64*K_si!AK$6</f>
        <v>0</v>
      </c>
      <c r="AL4" s="4">
        <f>+CON_HAB!AL64*K_si!AL$6</f>
        <v>0</v>
      </c>
      <c r="AM4" s="60">
        <f>+CON_HAB!AM64*K_si!AM$6</f>
        <v>0</v>
      </c>
      <c r="AN4" s="4">
        <f>+CON_HAB!AN64*K_si!AN$6</f>
        <v>0</v>
      </c>
      <c r="AO4" s="4">
        <f>+CON_HAB!AO64*K_si!AO$6</f>
        <v>0</v>
      </c>
      <c r="AP4" s="4">
        <f>+CON_HAB!AP64*K_si!AP$6</f>
        <v>0</v>
      </c>
      <c r="AQ4" s="4">
        <f>+CON_HAB!AQ64*K_si!AQ$6</f>
        <v>0</v>
      </c>
      <c r="AR4" s="4">
        <f>+CON_HAB!AR64*K_si!AR$6</f>
        <v>0</v>
      </c>
      <c r="AS4" s="4">
        <f>+CON_HAB!AS64*K_si!AS$6</f>
        <v>0</v>
      </c>
      <c r="AT4" s="4">
        <f>+CON_HAB!AT64*K_si!AT$6</f>
        <v>0</v>
      </c>
      <c r="AU4" s="4">
        <f>+CON_HAB!AU64*K_si!AU$6</f>
        <v>0</v>
      </c>
      <c r="AV4" s="4">
        <f>+CON_HAB!AV64*K_si!AV$6</f>
        <v>0</v>
      </c>
      <c r="AW4" s="64">
        <f>+CON_HAB!AW64*K_si!AW$6</f>
        <v>0</v>
      </c>
      <c r="AX4" s="60">
        <f>+CON_HAB!AX64*K_si!AX$6</f>
        <v>0</v>
      </c>
      <c r="AY4" s="4">
        <f>+CON_HAB!AY64*K_si!AY$6</f>
        <v>0</v>
      </c>
      <c r="AZ4" s="4">
        <f>+CON_HAB!AZ64*K_si!AZ$6</f>
        <v>0</v>
      </c>
      <c r="BA4" s="64">
        <f>+CON_HAB!BA64*K_si!BA$6</f>
        <v>1</v>
      </c>
      <c r="BB4" s="4">
        <f>+CON_HAB!BB64*K_si!BB$6</f>
        <v>0</v>
      </c>
      <c r="BC4" s="60">
        <f>+CON_HAB!BC64*K_si!BC$6</f>
        <v>0</v>
      </c>
    </row>
    <row r="5" spans="1:55" ht="18.75" customHeight="1" x14ac:dyDescent="0.25">
      <c r="A5" s="67" t="s">
        <v>41</v>
      </c>
      <c r="B5" s="64">
        <f>+CON_HAB!B65*K_si!B$6</f>
        <v>0</v>
      </c>
      <c r="C5" s="4">
        <f>+CON_HAB!C65*K_si!C$6</f>
        <v>0</v>
      </c>
      <c r="D5" s="4">
        <f>+CON_HAB!D65*K_si!D$6</f>
        <v>0</v>
      </c>
      <c r="E5" s="4">
        <f>+CON_HAB!E65*K_si!E$6</f>
        <v>0</v>
      </c>
      <c r="F5" s="4">
        <f>+CON_HAB!F65*K_si!F$6</f>
        <v>0</v>
      </c>
      <c r="G5" s="4">
        <f>+CON_HAB!G65*K_si!G$6</f>
        <v>0</v>
      </c>
      <c r="H5" s="4">
        <f>+CON_HAB!H65*K_si!H$6</f>
        <v>0</v>
      </c>
      <c r="I5" s="4">
        <f>+CON_HAB!I65*K_si!I$6</f>
        <v>0</v>
      </c>
      <c r="J5" s="4">
        <f>+CON_HAB!J65*K_si!J$6</f>
        <v>0</v>
      </c>
      <c r="K5" s="4">
        <f>+CON_HAB!K65*K_si!K$6</f>
        <v>0</v>
      </c>
      <c r="L5" s="4">
        <f>+CON_HAB!L65*K_si!L$6</f>
        <v>0</v>
      </c>
      <c r="M5" s="4">
        <f>+CON_HAB!M65*K_si!M$6</f>
        <v>0</v>
      </c>
      <c r="N5" s="4">
        <f>+CON_HAB!N65*K_si!N$6</f>
        <v>0</v>
      </c>
      <c r="O5" s="4">
        <f>+CON_HAB!O65*K_si!O$6</f>
        <v>0</v>
      </c>
      <c r="P5" s="4">
        <f>+CON_HAB!P65*K_si!P$6</f>
        <v>0</v>
      </c>
      <c r="Q5" s="4">
        <f>+CON_HAB!Q65*K_si!Q$6</f>
        <v>0</v>
      </c>
      <c r="R5" s="60">
        <f>+CON_HAB!R65*K_si!R$6</f>
        <v>0</v>
      </c>
      <c r="S5" s="4">
        <f>+CON_HAB!S65*K_si!S$6</f>
        <v>0</v>
      </c>
      <c r="T5" s="4">
        <f>+CON_HAB!T65*K_si!T$6</f>
        <v>0</v>
      </c>
      <c r="U5" s="4">
        <f>+CON_HAB!U65*K_si!U$6</f>
        <v>0</v>
      </c>
      <c r="V5" s="4">
        <f>+CON_HAB!V65*K_si!V$6</f>
        <v>0</v>
      </c>
      <c r="W5" s="4">
        <f>+CON_HAB!W65*K_si!W$6</f>
        <v>0</v>
      </c>
      <c r="X5" s="4">
        <f>+CON_HAB!X65*K_si!X$6</f>
        <v>0</v>
      </c>
      <c r="Y5" s="4">
        <f>+CON_HAB!Y65*K_si!Y$6</f>
        <v>0</v>
      </c>
      <c r="Z5" s="4">
        <f>+CON_HAB!Z65*K_si!Z$6</f>
        <v>0</v>
      </c>
      <c r="AA5" s="4">
        <f>+CON_HAB!AA65*K_si!AA$6</f>
        <v>0</v>
      </c>
      <c r="AB5" s="4">
        <f>+CON_HAB!AB65*K_si!AB$6</f>
        <v>0</v>
      </c>
      <c r="AC5" s="64">
        <f>+CON_HAB!AC65*K_si!AC$6</f>
        <v>0</v>
      </c>
      <c r="AD5" s="4">
        <f>+CON_HAB!AD65*K_si!AD$6</f>
        <v>0</v>
      </c>
      <c r="AE5" s="4">
        <f>+CON_HAB!AE65*K_si!AE$6</f>
        <v>0</v>
      </c>
      <c r="AF5" s="4">
        <f>+CON_HAB!AF65*K_si!AF$6</f>
        <v>0</v>
      </c>
      <c r="AG5" s="4">
        <f>+CON_HAB!AG65*K_si!AG$6</f>
        <v>0</v>
      </c>
      <c r="AH5" s="4">
        <f>+CON_HAB!AH65*K_si!AH$6</f>
        <v>0</v>
      </c>
      <c r="AI5" s="4">
        <f>+CON_HAB!AI65*K_si!AI$6</f>
        <v>0</v>
      </c>
      <c r="AJ5" s="4">
        <f>+CON_HAB!AJ65*K_si!AJ$6</f>
        <v>0</v>
      </c>
      <c r="AK5" s="4">
        <f>+CON_HAB!AK65*K_si!AK$6</f>
        <v>0</v>
      </c>
      <c r="AL5" s="4">
        <f>+CON_HAB!AL65*K_si!AL$6</f>
        <v>0</v>
      </c>
      <c r="AM5" s="60">
        <f>+CON_HAB!AM65*K_si!AM$6</f>
        <v>0</v>
      </c>
      <c r="AN5" s="4">
        <f>+CON_HAB!AN65*K_si!AN$6</f>
        <v>0</v>
      </c>
      <c r="AO5" s="4">
        <f>+CON_HAB!AO65*K_si!AO$6</f>
        <v>0</v>
      </c>
      <c r="AP5" s="4">
        <f>+CON_HAB!AP65*K_si!AP$6</f>
        <v>0</v>
      </c>
      <c r="AQ5" s="4">
        <f>+CON_HAB!AQ65*K_si!AQ$6</f>
        <v>0</v>
      </c>
      <c r="AR5" s="4">
        <f>+CON_HAB!AR65*K_si!AR$6</f>
        <v>0</v>
      </c>
      <c r="AS5" s="4">
        <f>+CON_HAB!AS65*K_si!AS$6</f>
        <v>0</v>
      </c>
      <c r="AT5" s="4">
        <f>+CON_HAB!AT65*K_si!AT$6</f>
        <v>0</v>
      </c>
      <c r="AU5" s="4">
        <f>+CON_HAB!AU65*K_si!AU$6</f>
        <v>0</v>
      </c>
      <c r="AV5" s="4">
        <f>+CON_HAB!AV65*K_si!AV$6</f>
        <v>0</v>
      </c>
      <c r="AW5" s="64">
        <f>+CON_HAB!AW65*K_si!AW$6</f>
        <v>0</v>
      </c>
      <c r="AX5" s="60">
        <f>+CON_HAB!AX65*K_si!AX$6</f>
        <v>0</v>
      </c>
      <c r="AY5" s="4">
        <f>+CON_HAB!AY65*K_si!AY$6</f>
        <v>0</v>
      </c>
      <c r="AZ5" s="4">
        <f>+CON_HAB!AZ65*K_si!AZ$6</f>
        <v>0</v>
      </c>
      <c r="BA5" s="64">
        <f>+CON_HAB!BA65*K_si!BA$6</f>
        <v>0</v>
      </c>
      <c r="BB5" s="4">
        <f>+CON_HAB!BB65*K_si!BB$6</f>
        <v>0</v>
      </c>
      <c r="BC5" s="60">
        <f>+CON_HAB!BC65*K_si!BC$6</f>
        <v>0</v>
      </c>
    </row>
    <row r="6" spans="1:55" ht="18.75" customHeight="1" x14ac:dyDescent="0.25">
      <c r="A6" s="67" t="s">
        <v>42</v>
      </c>
      <c r="B6" s="64">
        <f>+CON_HAB!B66*K_si!B$6</f>
        <v>0</v>
      </c>
      <c r="C6" s="4">
        <f>+CON_HAB!C66*K_si!C$6</f>
        <v>0</v>
      </c>
      <c r="D6" s="4">
        <f>+CON_HAB!D66*K_si!D$6</f>
        <v>0</v>
      </c>
      <c r="E6" s="4">
        <f>+CON_HAB!E66*K_si!E$6</f>
        <v>0</v>
      </c>
      <c r="F6" s="4">
        <f>+CON_HAB!F66*K_si!F$6</f>
        <v>0</v>
      </c>
      <c r="G6" s="4">
        <f>+CON_HAB!G66*K_si!G$6</f>
        <v>0</v>
      </c>
      <c r="H6" s="4">
        <f>+CON_HAB!H66*K_si!H$6</f>
        <v>0</v>
      </c>
      <c r="I6" s="4">
        <f>+CON_HAB!I66*K_si!I$6</f>
        <v>0</v>
      </c>
      <c r="J6" s="4">
        <f>+CON_HAB!J66*K_si!J$6</f>
        <v>0</v>
      </c>
      <c r="K6" s="4">
        <f>+CON_HAB!K66*K_si!K$6</f>
        <v>0</v>
      </c>
      <c r="L6" s="4">
        <f>+CON_HAB!L66*K_si!L$6</f>
        <v>0</v>
      </c>
      <c r="M6" s="4">
        <f>+CON_HAB!M66*K_si!M$6</f>
        <v>0</v>
      </c>
      <c r="N6" s="4">
        <f>+CON_HAB!N66*K_si!N$6</f>
        <v>0</v>
      </c>
      <c r="O6" s="4">
        <f>+CON_HAB!O66*K_si!O$6</f>
        <v>0</v>
      </c>
      <c r="P6" s="4">
        <f>+CON_HAB!P66*K_si!P$6</f>
        <v>0</v>
      </c>
      <c r="Q6" s="4">
        <f>+CON_HAB!Q66*K_si!Q$6</f>
        <v>0</v>
      </c>
      <c r="R6" s="60">
        <f>+CON_HAB!R66*K_si!R$6</f>
        <v>0</v>
      </c>
      <c r="S6" s="4">
        <f>+CON_HAB!S66*K_si!S$6</f>
        <v>0</v>
      </c>
      <c r="T6" s="4">
        <f>+CON_HAB!T66*K_si!T$6</f>
        <v>0</v>
      </c>
      <c r="U6" s="4">
        <f>+CON_HAB!U66*K_si!U$6</f>
        <v>0</v>
      </c>
      <c r="V6" s="4">
        <f>+CON_HAB!V66*K_si!V$6</f>
        <v>0</v>
      </c>
      <c r="W6" s="4">
        <f>+CON_HAB!W66*K_si!W$6</f>
        <v>0</v>
      </c>
      <c r="X6" s="4">
        <f>+CON_HAB!X66*K_si!X$6</f>
        <v>0</v>
      </c>
      <c r="Y6" s="4">
        <f>+CON_HAB!Y66*K_si!Y$6</f>
        <v>0</v>
      </c>
      <c r="Z6" s="4">
        <f>+CON_HAB!Z66*K_si!Z$6</f>
        <v>0</v>
      </c>
      <c r="AA6" s="4">
        <f>+CON_HAB!AA66*K_si!AA$6</f>
        <v>0</v>
      </c>
      <c r="AB6" s="4">
        <f>+CON_HAB!AB66*K_si!AB$6</f>
        <v>0</v>
      </c>
      <c r="AC6" s="64">
        <f>+CON_HAB!AC66*K_si!AC$6</f>
        <v>0</v>
      </c>
      <c r="AD6" s="4">
        <f>+CON_HAB!AD66*K_si!AD$6</f>
        <v>0</v>
      </c>
      <c r="AE6" s="4">
        <f>+CON_HAB!AE66*K_si!AE$6</f>
        <v>0</v>
      </c>
      <c r="AF6" s="4">
        <f>+CON_HAB!AF66*K_si!AF$6</f>
        <v>0</v>
      </c>
      <c r="AG6" s="4">
        <f>+CON_HAB!AG66*K_si!AG$6</f>
        <v>0</v>
      </c>
      <c r="AH6" s="4">
        <f>+CON_HAB!AH66*K_si!AH$6</f>
        <v>0</v>
      </c>
      <c r="AI6" s="4">
        <f>+CON_HAB!AI66*K_si!AI$6</f>
        <v>0</v>
      </c>
      <c r="AJ6" s="4">
        <f>+CON_HAB!AJ66*K_si!AJ$6</f>
        <v>0</v>
      </c>
      <c r="AK6" s="4">
        <f>+CON_HAB!AK66*K_si!AK$6</f>
        <v>0</v>
      </c>
      <c r="AL6" s="4">
        <f>+CON_HAB!AL66*K_si!AL$6</f>
        <v>0</v>
      </c>
      <c r="AM6" s="60">
        <f>+CON_HAB!AM66*K_si!AM$6</f>
        <v>0</v>
      </c>
      <c r="AN6" s="4">
        <f>+CON_HAB!AN66*K_si!AN$6</f>
        <v>0</v>
      </c>
      <c r="AO6" s="4">
        <f>+CON_HAB!AO66*K_si!AO$6</f>
        <v>0</v>
      </c>
      <c r="AP6" s="4">
        <f>+CON_HAB!AP66*K_si!AP$6</f>
        <v>0</v>
      </c>
      <c r="AQ6" s="4">
        <f>+CON_HAB!AQ66*K_si!AQ$6</f>
        <v>0</v>
      </c>
      <c r="AR6" s="4">
        <f>+CON_HAB!AR66*K_si!AR$6</f>
        <v>0</v>
      </c>
      <c r="AS6" s="4">
        <f>+CON_HAB!AS66*K_si!AS$6</f>
        <v>0</v>
      </c>
      <c r="AT6" s="4">
        <f>+CON_HAB!AT66*K_si!AT$6</f>
        <v>0</v>
      </c>
      <c r="AU6" s="4">
        <f>+CON_HAB!AU66*K_si!AU$6</f>
        <v>0</v>
      </c>
      <c r="AV6" s="4">
        <f>+CON_HAB!AV66*K_si!AV$6</f>
        <v>0</v>
      </c>
      <c r="AW6" s="64">
        <f>+CON_HAB!AW66*K_si!AW$6</f>
        <v>0</v>
      </c>
      <c r="AX6" s="60">
        <f>+CON_HAB!AX66*K_si!AX$6</f>
        <v>0</v>
      </c>
      <c r="AY6" s="4">
        <f>+CON_HAB!AY66*K_si!AY$6</f>
        <v>0</v>
      </c>
      <c r="AZ6" s="4">
        <f>+CON_HAB!AZ66*K_si!AZ$6</f>
        <v>0</v>
      </c>
      <c r="BA6" s="64">
        <f>+CON_HAB!BA66*K_si!BA$6</f>
        <v>0</v>
      </c>
      <c r="BB6" s="4">
        <f>+CON_HAB!BB66*K_si!BB$6</f>
        <v>0</v>
      </c>
      <c r="BC6" s="60">
        <f>+CON_HAB!BC66*K_si!BC$6</f>
        <v>0</v>
      </c>
    </row>
    <row r="7" spans="1:55" ht="18.75" customHeight="1" x14ac:dyDescent="0.25">
      <c r="A7" s="67" t="s">
        <v>43</v>
      </c>
      <c r="B7" s="64">
        <f>+CON_HAB!B67*K_si!B$6</f>
        <v>0</v>
      </c>
      <c r="C7" s="4">
        <f>+CON_HAB!C67*K_si!C$6</f>
        <v>0</v>
      </c>
      <c r="D7" s="4">
        <f>+CON_HAB!D67*K_si!D$6</f>
        <v>0</v>
      </c>
      <c r="E7" s="4">
        <f>+CON_HAB!E67*K_si!E$6</f>
        <v>0</v>
      </c>
      <c r="F7" s="4">
        <f>+CON_HAB!F67*K_si!F$6</f>
        <v>0</v>
      </c>
      <c r="G7" s="4">
        <f>+CON_HAB!G67*K_si!G$6</f>
        <v>0</v>
      </c>
      <c r="H7" s="4">
        <f>+CON_HAB!H67*K_si!H$6</f>
        <v>0</v>
      </c>
      <c r="I7" s="4">
        <f>+CON_HAB!I67*K_si!I$6</f>
        <v>0</v>
      </c>
      <c r="J7" s="4">
        <f>+CON_HAB!J67*K_si!J$6</f>
        <v>0</v>
      </c>
      <c r="K7" s="4">
        <f>+CON_HAB!K67*K_si!K$6</f>
        <v>0</v>
      </c>
      <c r="L7" s="4">
        <f>+CON_HAB!L67*K_si!L$6</f>
        <v>0</v>
      </c>
      <c r="M7" s="4">
        <f>+CON_HAB!M67*K_si!M$6</f>
        <v>0</v>
      </c>
      <c r="N7" s="4">
        <f>+CON_HAB!N67*K_si!N$6</f>
        <v>0</v>
      </c>
      <c r="O7" s="4">
        <f>+CON_HAB!O67*K_si!O$6</f>
        <v>0</v>
      </c>
      <c r="P7" s="4">
        <f>+CON_HAB!P67*K_si!P$6</f>
        <v>0</v>
      </c>
      <c r="Q7" s="4">
        <f>+CON_HAB!Q67*K_si!Q$6</f>
        <v>0</v>
      </c>
      <c r="R7" s="60">
        <f>+CON_HAB!R67*K_si!R$6</f>
        <v>0</v>
      </c>
      <c r="S7" s="4">
        <f>+CON_HAB!S67*K_si!S$6</f>
        <v>0</v>
      </c>
      <c r="T7" s="4">
        <f>+CON_HAB!T67*K_si!T$6</f>
        <v>0</v>
      </c>
      <c r="U7" s="4">
        <f>+CON_HAB!U67*K_si!U$6</f>
        <v>0</v>
      </c>
      <c r="V7" s="4">
        <f>+CON_HAB!V67*K_si!V$6</f>
        <v>0</v>
      </c>
      <c r="W7" s="4">
        <f>+CON_HAB!W67*K_si!W$6</f>
        <v>0</v>
      </c>
      <c r="X7" s="4">
        <f>+CON_HAB!X67*K_si!X$6</f>
        <v>0</v>
      </c>
      <c r="Y7" s="4">
        <f>+CON_HAB!Y67*K_si!Y$6</f>
        <v>0</v>
      </c>
      <c r="Z7" s="4">
        <f>+CON_HAB!Z67*K_si!Z$6</f>
        <v>0</v>
      </c>
      <c r="AA7" s="4">
        <f>+CON_HAB!AA67*K_si!AA$6</f>
        <v>0</v>
      </c>
      <c r="AB7" s="4">
        <f>+CON_HAB!AB67*K_si!AB$6</f>
        <v>0</v>
      </c>
      <c r="AC7" s="64">
        <f>+CON_HAB!AC67*K_si!AC$6</f>
        <v>0</v>
      </c>
      <c r="AD7" s="4">
        <f>+CON_HAB!AD67*K_si!AD$6</f>
        <v>0</v>
      </c>
      <c r="AE7" s="4">
        <f>+CON_HAB!AE67*K_si!AE$6</f>
        <v>0</v>
      </c>
      <c r="AF7" s="4">
        <f>+CON_HAB!AF67*K_si!AF$6</f>
        <v>0</v>
      </c>
      <c r="AG7" s="4">
        <f>+CON_HAB!AG67*K_si!AG$6</f>
        <v>0</v>
      </c>
      <c r="AH7" s="4">
        <f>+CON_HAB!AH67*K_si!AH$6</f>
        <v>0</v>
      </c>
      <c r="AI7" s="4">
        <f>+CON_HAB!AI67*K_si!AI$6</f>
        <v>0</v>
      </c>
      <c r="AJ7" s="4">
        <f>+CON_HAB!AJ67*K_si!AJ$6</f>
        <v>0</v>
      </c>
      <c r="AK7" s="4">
        <f>+CON_HAB!AK67*K_si!AK$6</f>
        <v>0</v>
      </c>
      <c r="AL7" s="4">
        <f>+CON_HAB!AL67*K_si!AL$6</f>
        <v>0</v>
      </c>
      <c r="AM7" s="60">
        <f>+CON_HAB!AM67*K_si!AM$6</f>
        <v>0</v>
      </c>
      <c r="AN7" s="4">
        <f>+CON_HAB!AN67*K_si!AN$6</f>
        <v>0</v>
      </c>
      <c r="AO7" s="4">
        <f>+CON_HAB!AO67*K_si!AO$6</f>
        <v>0</v>
      </c>
      <c r="AP7" s="4">
        <f>+CON_HAB!AP67*K_si!AP$6</f>
        <v>0</v>
      </c>
      <c r="AQ7" s="4">
        <f>+CON_HAB!AQ67*K_si!AQ$6</f>
        <v>0</v>
      </c>
      <c r="AR7" s="4">
        <f>+CON_HAB!AR67*K_si!AR$6</f>
        <v>0</v>
      </c>
      <c r="AS7" s="4">
        <f>+CON_HAB!AS67*K_si!AS$6</f>
        <v>0</v>
      </c>
      <c r="AT7" s="4">
        <f>+CON_HAB!AT67*K_si!AT$6</f>
        <v>0</v>
      </c>
      <c r="AU7" s="4">
        <f>+CON_HAB!AU67*K_si!AU$6</f>
        <v>0</v>
      </c>
      <c r="AV7" s="4">
        <f>+CON_HAB!AV67*K_si!AV$6</f>
        <v>0</v>
      </c>
      <c r="AW7" s="64">
        <f>+CON_HAB!AW67*K_si!AW$6</f>
        <v>0</v>
      </c>
      <c r="AX7" s="60">
        <f>+CON_HAB!AX67*K_si!AX$6</f>
        <v>0</v>
      </c>
      <c r="AY7" s="4">
        <f>+CON_HAB!AY67*K_si!AY$6</f>
        <v>0</v>
      </c>
      <c r="AZ7" s="4">
        <f>+CON_HAB!AZ67*K_si!AZ$6</f>
        <v>0</v>
      </c>
      <c r="BA7" s="64">
        <f>+CON_HAB!BA67*K_si!BA$6</f>
        <v>0</v>
      </c>
      <c r="BB7" s="4">
        <f>+CON_HAB!BB67*K_si!BB$6</f>
        <v>0</v>
      </c>
      <c r="BC7" s="60">
        <f>+CON_HAB!BC67*K_si!BC$6</f>
        <v>0</v>
      </c>
    </row>
    <row r="8" spans="1:55" ht="18.75" customHeight="1" x14ac:dyDescent="0.25">
      <c r="A8" s="67" t="s">
        <v>44</v>
      </c>
      <c r="B8" s="64">
        <f>+CON_HAB!B68*K_si!B$6</f>
        <v>0</v>
      </c>
      <c r="C8" s="4">
        <f>+CON_HAB!C68*K_si!C$6</f>
        <v>0</v>
      </c>
      <c r="D8" s="4">
        <f>+CON_HAB!D68*K_si!D$6</f>
        <v>0</v>
      </c>
      <c r="E8" s="4">
        <f>+CON_HAB!E68*K_si!E$6</f>
        <v>0</v>
      </c>
      <c r="F8" s="4">
        <f>+CON_HAB!F68*K_si!F$6</f>
        <v>0</v>
      </c>
      <c r="G8" s="4">
        <f>+CON_HAB!G68*K_si!G$6</f>
        <v>0</v>
      </c>
      <c r="H8" s="4">
        <f>+CON_HAB!H68*K_si!H$6</f>
        <v>0</v>
      </c>
      <c r="I8" s="4">
        <f>+CON_HAB!I68*K_si!I$6</f>
        <v>0</v>
      </c>
      <c r="J8" s="4">
        <f>+CON_HAB!J68*K_si!J$6</f>
        <v>0</v>
      </c>
      <c r="K8" s="4">
        <f>+CON_HAB!K68*K_si!K$6</f>
        <v>0</v>
      </c>
      <c r="L8" s="4">
        <f>+CON_HAB!L68*K_si!L$6</f>
        <v>0</v>
      </c>
      <c r="M8" s="4">
        <f>+CON_HAB!M68*K_si!M$6</f>
        <v>0</v>
      </c>
      <c r="N8" s="4">
        <f>+CON_HAB!N68*K_si!N$6</f>
        <v>0</v>
      </c>
      <c r="O8" s="4">
        <f>+CON_HAB!O68*K_si!O$6</f>
        <v>0</v>
      </c>
      <c r="P8" s="4">
        <f>+CON_HAB!P68*K_si!P$6</f>
        <v>0</v>
      </c>
      <c r="Q8" s="4">
        <f>+CON_HAB!Q68*K_si!Q$6</f>
        <v>0</v>
      </c>
      <c r="R8" s="60">
        <f>+CON_HAB!R68*K_si!R$6</f>
        <v>0</v>
      </c>
      <c r="S8" s="4">
        <f>+CON_HAB!S68*K_si!S$6</f>
        <v>0</v>
      </c>
      <c r="T8" s="4">
        <f>+CON_HAB!T68*K_si!T$6</f>
        <v>0</v>
      </c>
      <c r="U8" s="4">
        <f>+CON_HAB!U68*K_si!U$6</f>
        <v>0</v>
      </c>
      <c r="V8" s="4">
        <f>+CON_HAB!V68*K_si!V$6</f>
        <v>0</v>
      </c>
      <c r="W8" s="4">
        <f>+CON_HAB!W68*K_si!W$6</f>
        <v>0</v>
      </c>
      <c r="X8" s="4">
        <f>+CON_HAB!X68*K_si!X$6</f>
        <v>0</v>
      </c>
      <c r="Y8" s="4">
        <f>+CON_HAB!Y68*K_si!Y$6</f>
        <v>0</v>
      </c>
      <c r="Z8" s="4">
        <f>+CON_HAB!Z68*K_si!Z$6</f>
        <v>0</v>
      </c>
      <c r="AA8" s="4">
        <f>+CON_HAB!AA68*K_si!AA$6</f>
        <v>0</v>
      </c>
      <c r="AB8" s="4">
        <f>+CON_HAB!AB68*K_si!AB$6</f>
        <v>0</v>
      </c>
      <c r="AC8" s="64">
        <f>+CON_HAB!AC68*K_si!AC$6</f>
        <v>0</v>
      </c>
      <c r="AD8" s="4">
        <f>+CON_HAB!AD68*K_si!AD$6</f>
        <v>0</v>
      </c>
      <c r="AE8" s="4">
        <f>+CON_HAB!AE68*K_si!AE$6</f>
        <v>0</v>
      </c>
      <c r="AF8" s="4">
        <f>+CON_HAB!AF68*K_si!AF$6</f>
        <v>0</v>
      </c>
      <c r="AG8" s="4">
        <f>+CON_HAB!AG68*K_si!AG$6</f>
        <v>0</v>
      </c>
      <c r="AH8" s="4">
        <f>+CON_HAB!AH68*K_si!AH$6</f>
        <v>0</v>
      </c>
      <c r="AI8" s="4">
        <f>+CON_HAB!AI68*K_si!AI$6</f>
        <v>0</v>
      </c>
      <c r="AJ8" s="4">
        <f>+CON_HAB!AJ68*K_si!AJ$6</f>
        <v>0</v>
      </c>
      <c r="AK8" s="4">
        <f>+CON_HAB!AK68*K_si!AK$6</f>
        <v>0</v>
      </c>
      <c r="AL8" s="4">
        <f>+CON_HAB!AL68*K_si!AL$6</f>
        <v>0</v>
      </c>
      <c r="AM8" s="60">
        <f>+CON_HAB!AM68*K_si!AM$6</f>
        <v>0</v>
      </c>
      <c r="AN8" s="4">
        <f>+CON_HAB!AN68*K_si!AN$6</f>
        <v>0</v>
      </c>
      <c r="AO8" s="4">
        <f>+CON_HAB!AO68*K_si!AO$6</f>
        <v>0</v>
      </c>
      <c r="AP8" s="4">
        <f>+CON_HAB!AP68*K_si!AP$6</f>
        <v>0</v>
      </c>
      <c r="AQ8" s="4">
        <f>+CON_HAB!AQ68*K_si!AQ$6</f>
        <v>0</v>
      </c>
      <c r="AR8" s="4">
        <f>+CON_HAB!AR68*K_si!AR$6</f>
        <v>0</v>
      </c>
      <c r="AS8" s="4">
        <f>+CON_HAB!AS68*K_si!AS$6</f>
        <v>0</v>
      </c>
      <c r="AT8" s="4">
        <f>+CON_HAB!AT68*K_si!AT$6</f>
        <v>0</v>
      </c>
      <c r="AU8" s="4">
        <f>+CON_HAB!AU68*K_si!AU$6</f>
        <v>0</v>
      </c>
      <c r="AV8" s="4">
        <f>+CON_HAB!AV68*K_si!AV$6</f>
        <v>0</v>
      </c>
      <c r="AW8" s="64">
        <f>+CON_HAB!AW68*K_si!AW$6</f>
        <v>0</v>
      </c>
      <c r="AX8" s="60">
        <f>+CON_HAB!AX68*K_si!AX$6</f>
        <v>0</v>
      </c>
      <c r="AY8" s="4">
        <f>+CON_HAB!AY68*K_si!AY$6</f>
        <v>0</v>
      </c>
      <c r="AZ8" s="4">
        <f>+CON_HAB!AZ68*K_si!AZ$6</f>
        <v>0</v>
      </c>
      <c r="BA8" s="64">
        <f>+CON_HAB!BA68*K_si!BA$6</f>
        <v>0</v>
      </c>
      <c r="BB8" s="4">
        <f>+CON_HAB!BB68*K_si!BB$6</f>
        <v>0</v>
      </c>
      <c r="BC8" s="60">
        <f>+CON_HAB!BC68*K_si!BC$6</f>
        <v>0</v>
      </c>
    </row>
    <row r="9" spans="1:55" ht="18.75" customHeight="1" x14ac:dyDescent="0.25">
      <c r="A9" s="67" t="s">
        <v>45</v>
      </c>
      <c r="B9" s="64">
        <f>+CON_HAB!B69*K_si!B$6</f>
        <v>0</v>
      </c>
      <c r="C9" s="4">
        <f>+CON_HAB!C69*K_si!C$6</f>
        <v>0</v>
      </c>
      <c r="D9" s="4">
        <f>+CON_HAB!D69*K_si!D$6</f>
        <v>0</v>
      </c>
      <c r="E9" s="4">
        <f>+CON_HAB!E69*K_si!E$6</f>
        <v>0</v>
      </c>
      <c r="F9" s="4">
        <f>+CON_HAB!F69*K_si!F$6</f>
        <v>0</v>
      </c>
      <c r="G9" s="4">
        <f>+CON_HAB!G69*K_si!G$6</f>
        <v>0</v>
      </c>
      <c r="H9" s="4">
        <f>+CON_HAB!H69*K_si!H$6</f>
        <v>0</v>
      </c>
      <c r="I9" s="4">
        <f>+CON_HAB!I69*K_si!I$6</f>
        <v>0</v>
      </c>
      <c r="J9" s="4">
        <f>+CON_HAB!J69*K_si!J$6</f>
        <v>0</v>
      </c>
      <c r="K9" s="4">
        <f>+CON_HAB!K69*K_si!K$6</f>
        <v>0</v>
      </c>
      <c r="L9" s="4">
        <f>+CON_HAB!L69*K_si!L$6</f>
        <v>0</v>
      </c>
      <c r="M9" s="4">
        <f>+CON_HAB!M69*K_si!M$6</f>
        <v>0</v>
      </c>
      <c r="N9" s="4">
        <f>+CON_HAB!N69*K_si!N$6</f>
        <v>0</v>
      </c>
      <c r="O9" s="4">
        <f>+CON_HAB!O69*K_si!O$6</f>
        <v>0</v>
      </c>
      <c r="P9" s="4">
        <f>+CON_HAB!P69*K_si!P$6</f>
        <v>0</v>
      </c>
      <c r="Q9" s="4">
        <f>+CON_HAB!Q69*K_si!Q$6</f>
        <v>0</v>
      </c>
      <c r="R9" s="60">
        <f>+CON_HAB!R69*K_si!R$6</f>
        <v>0</v>
      </c>
      <c r="S9" s="4">
        <f>+CON_HAB!S69*K_si!S$6</f>
        <v>0</v>
      </c>
      <c r="T9" s="4">
        <f>+CON_HAB!T69*K_si!T$6</f>
        <v>0</v>
      </c>
      <c r="U9" s="4">
        <f>+CON_HAB!U69*K_si!U$6</f>
        <v>0</v>
      </c>
      <c r="V9" s="4">
        <f>+CON_HAB!V69*K_si!V$6</f>
        <v>0</v>
      </c>
      <c r="W9" s="4">
        <f>+CON_HAB!W69*K_si!W$6</f>
        <v>0</v>
      </c>
      <c r="X9" s="4">
        <f>+CON_HAB!X69*K_si!X$6</f>
        <v>0</v>
      </c>
      <c r="Y9" s="4">
        <f>+CON_HAB!Y69*K_si!Y$6</f>
        <v>0</v>
      </c>
      <c r="Z9" s="4">
        <f>+CON_HAB!Z69*K_si!Z$6</f>
        <v>0</v>
      </c>
      <c r="AA9" s="4">
        <f>+CON_HAB!AA69*K_si!AA$6</f>
        <v>0</v>
      </c>
      <c r="AB9" s="4">
        <f>+CON_HAB!AB69*K_si!AB$6</f>
        <v>0</v>
      </c>
      <c r="AC9" s="64">
        <f>+CON_HAB!AC69*K_si!AC$6</f>
        <v>0</v>
      </c>
      <c r="AD9" s="4">
        <f>+CON_HAB!AD69*K_si!AD$6</f>
        <v>0</v>
      </c>
      <c r="AE9" s="4">
        <f>+CON_HAB!AE69*K_si!AE$6</f>
        <v>0</v>
      </c>
      <c r="AF9" s="4">
        <f>+CON_HAB!AF69*K_si!AF$6</f>
        <v>0</v>
      </c>
      <c r="AG9" s="4">
        <f>+CON_HAB!AG69*K_si!AG$6</f>
        <v>0</v>
      </c>
      <c r="AH9" s="4">
        <f>+CON_HAB!AH69*K_si!AH$6</f>
        <v>0</v>
      </c>
      <c r="AI9" s="4">
        <f>+CON_HAB!AI69*K_si!AI$6</f>
        <v>0</v>
      </c>
      <c r="AJ9" s="4">
        <f>+CON_HAB!AJ69*K_si!AJ$6</f>
        <v>0</v>
      </c>
      <c r="AK9" s="4">
        <f>+CON_HAB!AK69*K_si!AK$6</f>
        <v>0</v>
      </c>
      <c r="AL9" s="4">
        <f>+CON_HAB!AL69*K_si!AL$6</f>
        <v>0</v>
      </c>
      <c r="AM9" s="60">
        <f>+CON_HAB!AM69*K_si!AM$6</f>
        <v>0</v>
      </c>
      <c r="AN9" s="4">
        <f>+CON_HAB!AN69*K_si!AN$6</f>
        <v>0</v>
      </c>
      <c r="AO9" s="4">
        <f>+CON_HAB!AO69*K_si!AO$6</f>
        <v>0</v>
      </c>
      <c r="AP9" s="4">
        <f>+CON_HAB!AP69*K_si!AP$6</f>
        <v>0</v>
      </c>
      <c r="AQ9" s="4">
        <f>+CON_HAB!AQ69*K_si!AQ$6</f>
        <v>0</v>
      </c>
      <c r="AR9" s="4">
        <f>+CON_HAB!AR69*K_si!AR$6</f>
        <v>0</v>
      </c>
      <c r="AS9" s="4">
        <f>+CON_HAB!AS69*K_si!AS$6</f>
        <v>0</v>
      </c>
      <c r="AT9" s="4">
        <f>+CON_HAB!AT69*K_si!AT$6</f>
        <v>0</v>
      </c>
      <c r="AU9" s="4">
        <f>+CON_HAB!AU69*K_si!AU$6</f>
        <v>0</v>
      </c>
      <c r="AV9" s="4">
        <f>+CON_HAB!AV69*K_si!AV$6</f>
        <v>0</v>
      </c>
      <c r="AW9" s="64">
        <f>+CON_HAB!AW69*K_si!AW$6</f>
        <v>0</v>
      </c>
      <c r="AX9" s="60">
        <f>+CON_HAB!AX69*K_si!AX$6</f>
        <v>0</v>
      </c>
      <c r="AY9" s="4">
        <f>+CON_HAB!AY69*K_si!AY$6</f>
        <v>0</v>
      </c>
      <c r="AZ9" s="4">
        <f>+CON_HAB!AZ69*K_si!AZ$6</f>
        <v>0</v>
      </c>
      <c r="BA9" s="64">
        <f>+CON_HAB!BA69*K_si!BA$6</f>
        <v>0</v>
      </c>
      <c r="BB9" s="4">
        <f>+CON_HAB!BB69*K_si!BB$6</f>
        <v>0</v>
      </c>
      <c r="BC9" s="60">
        <f>+CON_HAB!BC69*K_si!BC$6</f>
        <v>0</v>
      </c>
    </row>
    <row r="10" spans="1:55" ht="18.75" customHeight="1" x14ac:dyDescent="0.25">
      <c r="A10" s="67" t="s">
        <v>46</v>
      </c>
      <c r="B10" s="64">
        <f>+CON_HAB!B70*K_si!B$6</f>
        <v>0</v>
      </c>
      <c r="C10" s="4">
        <f>+CON_HAB!C70*K_si!C$6</f>
        <v>0</v>
      </c>
      <c r="D10" s="4">
        <f>+CON_HAB!D70*K_si!D$6</f>
        <v>0</v>
      </c>
      <c r="E10" s="4">
        <f>+CON_HAB!E70*K_si!E$6</f>
        <v>0</v>
      </c>
      <c r="F10" s="4">
        <f>+CON_HAB!F70*K_si!F$6</f>
        <v>0</v>
      </c>
      <c r="G10" s="4">
        <f>+CON_HAB!G70*K_si!G$6</f>
        <v>0</v>
      </c>
      <c r="H10" s="4">
        <f>+CON_HAB!H70*K_si!H$6</f>
        <v>0</v>
      </c>
      <c r="I10" s="4">
        <f>+CON_HAB!I70*K_si!I$6</f>
        <v>0</v>
      </c>
      <c r="J10" s="4">
        <f>+CON_HAB!J70*K_si!J$6</f>
        <v>0</v>
      </c>
      <c r="K10" s="4">
        <f>+CON_HAB!K70*K_si!K$6</f>
        <v>0</v>
      </c>
      <c r="L10" s="4">
        <f>+CON_HAB!L70*K_si!L$6</f>
        <v>0</v>
      </c>
      <c r="M10" s="4">
        <f>+CON_HAB!M70*K_si!M$6</f>
        <v>0</v>
      </c>
      <c r="N10" s="4">
        <f>+CON_HAB!N70*K_si!N$6</f>
        <v>0</v>
      </c>
      <c r="O10" s="4">
        <f>+CON_HAB!O70*K_si!O$6</f>
        <v>0</v>
      </c>
      <c r="P10" s="4">
        <f>+CON_HAB!P70*K_si!P$6</f>
        <v>0</v>
      </c>
      <c r="Q10" s="4">
        <f>+CON_HAB!Q70*K_si!Q$6</f>
        <v>0</v>
      </c>
      <c r="R10" s="60">
        <f>+CON_HAB!R70*K_si!R$6</f>
        <v>0</v>
      </c>
      <c r="S10" s="4">
        <f>+CON_HAB!S70*K_si!S$6</f>
        <v>0</v>
      </c>
      <c r="T10" s="4">
        <f>+CON_HAB!T70*K_si!T$6</f>
        <v>0</v>
      </c>
      <c r="U10" s="4">
        <f>+CON_HAB!U70*K_si!U$6</f>
        <v>0</v>
      </c>
      <c r="V10" s="4">
        <f>+CON_HAB!V70*K_si!V$6</f>
        <v>0</v>
      </c>
      <c r="W10" s="4">
        <f>+CON_HAB!W70*K_si!W$6</f>
        <v>0</v>
      </c>
      <c r="X10" s="4">
        <f>+CON_HAB!X70*K_si!X$6</f>
        <v>0</v>
      </c>
      <c r="Y10" s="4">
        <f>+CON_HAB!Y70*K_si!Y$6</f>
        <v>0</v>
      </c>
      <c r="Z10" s="4">
        <f>+CON_HAB!Z70*K_si!Z$6</f>
        <v>0</v>
      </c>
      <c r="AA10" s="4">
        <f>+CON_HAB!AA70*K_si!AA$6</f>
        <v>0</v>
      </c>
      <c r="AB10" s="4">
        <f>+CON_HAB!AB70*K_si!AB$6</f>
        <v>0</v>
      </c>
      <c r="AC10" s="64">
        <f>+CON_HAB!AC70*K_si!AC$6</f>
        <v>0</v>
      </c>
      <c r="AD10" s="4">
        <f>+CON_HAB!AD70*K_si!AD$6</f>
        <v>0</v>
      </c>
      <c r="AE10" s="4">
        <f>+CON_HAB!AE70*K_si!AE$6</f>
        <v>0</v>
      </c>
      <c r="AF10" s="4">
        <f>+CON_HAB!AF70*K_si!AF$6</f>
        <v>0</v>
      </c>
      <c r="AG10" s="4">
        <f>+CON_HAB!AG70*K_si!AG$6</f>
        <v>0</v>
      </c>
      <c r="AH10" s="4">
        <f>+CON_HAB!AH70*K_si!AH$6</f>
        <v>0</v>
      </c>
      <c r="AI10" s="4">
        <f>+CON_HAB!AI70*K_si!AI$6</f>
        <v>0</v>
      </c>
      <c r="AJ10" s="4">
        <f>+CON_HAB!AJ70*K_si!AJ$6</f>
        <v>0</v>
      </c>
      <c r="AK10" s="4">
        <f>+CON_HAB!AK70*K_si!AK$6</f>
        <v>0</v>
      </c>
      <c r="AL10" s="4">
        <f>+CON_HAB!AL70*K_si!AL$6</f>
        <v>0</v>
      </c>
      <c r="AM10" s="60">
        <f>+CON_HAB!AM70*K_si!AM$6</f>
        <v>0</v>
      </c>
      <c r="AN10" s="4">
        <f>+CON_HAB!AN70*K_si!AN$6</f>
        <v>0</v>
      </c>
      <c r="AO10" s="4">
        <f>+CON_HAB!AO70*K_si!AO$6</f>
        <v>0</v>
      </c>
      <c r="AP10" s="4">
        <f>+CON_HAB!AP70*K_si!AP$6</f>
        <v>0</v>
      </c>
      <c r="AQ10" s="4">
        <f>+CON_HAB!AQ70*K_si!AQ$6</f>
        <v>0</v>
      </c>
      <c r="AR10" s="4">
        <f>+CON_HAB!AR70*K_si!AR$6</f>
        <v>0</v>
      </c>
      <c r="AS10" s="4">
        <f>+CON_HAB!AS70*K_si!AS$6</f>
        <v>0</v>
      </c>
      <c r="AT10" s="4">
        <f>+CON_HAB!AT70*K_si!AT$6</f>
        <v>0</v>
      </c>
      <c r="AU10" s="4">
        <f>+CON_HAB!AU70*K_si!AU$6</f>
        <v>0</v>
      </c>
      <c r="AV10" s="4">
        <f>+CON_HAB!AV70*K_si!AV$6</f>
        <v>0</v>
      </c>
      <c r="AW10" s="64">
        <f>+CON_HAB!AW70*K_si!AW$6</f>
        <v>0</v>
      </c>
      <c r="AX10" s="60">
        <f>+CON_HAB!AX70*K_si!AX$6</f>
        <v>0</v>
      </c>
      <c r="AY10" s="4">
        <f>+CON_HAB!AY70*K_si!AY$6</f>
        <v>0</v>
      </c>
      <c r="AZ10" s="4">
        <f>+CON_HAB!AZ70*K_si!AZ$6</f>
        <v>0</v>
      </c>
      <c r="BA10" s="64">
        <f>+CON_HAB!BA70*K_si!BA$6</f>
        <v>0</v>
      </c>
      <c r="BB10" s="4">
        <f>+CON_HAB!BB70*K_si!BB$6</f>
        <v>0</v>
      </c>
      <c r="BC10" s="60">
        <f>+CON_HAB!BC70*K_si!BC$6</f>
        <v>0</v>
      </c>
    </row>
    <row r="11" spans="1:55" ht="18.75" customHeight="1" x14ac:dyDescent="0.25">
      <c r="A11" s="67" t="s">
        <v>108</v>
      </c>
      <c r="B11" s="64">
        <f>+CON_HAB!B71*K_si!B$6</f>
        <v>0</v>
      </c>
      <c r="C11" s="4">
        <f>+CON_HAB!C71*K_si!C$6</f>
        <v>0</v>
      </c>
      <c r="D11" s="4">
        <f>+CON_HAB!D71*K_si!D$6</f>
        <v>0</v>
      </c>
      <c r="E11" s="4">
        <f>+CON_HAB!E71*K_si!E$6</f>
        <v>0</v>
      </c>
      <c r="F11" s="4">
        <f>+CON_HAB!F71*K_si!F$6</f>
        <v>0</v>
      </c>
      <c r="G11" s="4">
        <f>+CON_HAB!G71*K_si!G$6</f>
        <v>0</v>
      </c>
      <c r="H11" s="4">
        <f>+CON_HAB!H71*K_si!H$6</f>
        <v>0</v>
      </c>
      <c r="I11" s="4">
        <f>+CON_HAB!I71*K_si!I$6</f>
        <v>0</v>
      </c>
      <c r="J11" s="4">
        <f>+CON_HAB!J71*K_si!J$6</f>
        <v>0</v>
      </c>
      <c r="K11" s="4">
        <f>+CON_HAB!K71*K_si!K$6</f>
        <v>0</v>
      </c>
      <c r="L11" s="4">
        <f>+CON_HAB!L71*K_si!L$6</f>
        <v>0</v>
      </c>
      <c r="M11" s="4">
        <f>+CON_HAB!M71*K_si!M$6</f>
        <v>0</v>
      </c>
      <c r="N11" s="4">
        <f>+CON_HAB!N71*K_si!N$6</f>
        <v>0</v>
      </c>
      <c r="O11" s="4">
        <f>+CON_HAB!O71*K_si!O$6</f>
        <v>0</v>
      </c>
      <c r="P11" s="4">
        <f>+CON_HAB!P71*K_si!P$6</f>
        <v>0</v>
      </c>
      <c r="Q11" s="4">
        <f>+CON_HAB!Q71*K_si!Q$6</f>
        <v>0</v>
      </c>
      <c r="R11" s="60">
        <f>+CON_HAB!R71*K_si!R$6</f>
        <v>0</v>
      </c>
      <c r="S11" s="4">
        <f>+CON_HAB!S71*K_si!S$6</f>
        <v>0</v>
      </c>
      <c r="T11" s="4">
        <f>+CON_HAB!T71*K_si!T$6</f>
        <v>0</v>
      </c>
      <c r="U11" s="4">
        <f>+CON_HAB!U71*K_si!U$6</f>
        <v>0</v>
      </c>
      <c r="V11" s="4">
        <f>+CON_HAB!V71*K_si!V$6</f>
        <v>0</v>
      </c>
      <c r="W11" s="4">
        <f>+CON_HAB!W71*K_si!W$6</f>
        <v>0</v>
      </c>
      <c r="X11" s="4">
        <f>+CON_HAB!X71*K_si!X$6</f>
        <v>0</v>
      </c>
      <c r="Y11" s="4">
        <f>+CON_HAB!Y71*K_si!Y$6</f>
        <v>0</v>
      </c>
      <c r="Z11" s="4">
        <f>+CON_HAB!Z71*K_si!Z$6</f>
        <v>0</v>
      </c>
      <c r="AA11" s="4">
        <f>+CON_HAB!AA71*K_si!AA$6</f>
        <v>0</v>
      </c>
      <c r="AB11" s="4">
        <f>+CON_HAB!AB71*K_si!AB$6</f>
        <v>0</v>
      </c>
      <c r="AC11" s="64">
        <f>+CON_HAB!AC71*K_si!AC$6</f>
        <v>0</v>
      </c>
      <c r="AD11" s="4">
        <f>+CON_HAB!AD71*K_si!AD$6</f>
        <v>0</v>
      </c>
      <c r="AE11" s="4">
        <f>+CON_HAB!AE71*K_si!AE$6</f>
        <v>0</v>
      </c>
      <c r="AF11" s="4">
        <f>+CON_HAB!AF71*K_si!AF$6</f>
        <v>0</v>
      </c>
      <c r="AG11" s="4">
        <f>+CON_HAB!AG71*K_si!AG$6</f>
        <v>0</v>
      </c>
      <c r="AH11" s="4">
        <f>+CON_HAB!AH71*K_si!AH$6</f>
        <v>0</v>
      </c>
      <c r="AI11" s="4">
        <f>+CON_HAB!AI71*K_si!AI$6</f>
        <v>0</v>
      </c>
      <c r="AJ11" s="4">
        <f>+CON_HAB!AJ71*K_si!AJ$6</f>
        <v>0</v>
      </c>
      <c r="AK11" s="4">
        <f>+CON_HAB!AK71*K_si!AK$6</f>
        <v>0</v>
      </c>
      <c r="AL11" s="4">
        <f>+CON_HAB!AL71*K_si!AL$6</f>
        <v>0</v>
      </c>
      <c r="AM11" s="60">
        <f>+CON_HAB!AM71*K_si!AM$6</f>
        <v>0</v>
      </c>
      <c r="AN11" s="4">
        <f>+CON_HAB!AN71*K_si!AN$6</f>
        <v>0</v>
      </c>
      <c r="AO11" s="4">
        <f>+CON_HAB!AO71*K_si!AO$6</f>
        <v>0</v>
      </c>
      <c r="AP11" s="4">
        <f>+CON_HAB!AP71*K_si!AP$6</f>
        <v>0</v>
      </c>
      <c r="AQ11" s="4">
        <f>+CON_HAB!AQ71*K_si!AQ$6</f>
        <v>0</v>
      </c>
      <c r="AR11" s="4">
        <f>+CON_HAB!AR71*K_si!AR$6</f>
        <v>0</v>
      </c>
      <c r="AS11" s="4">
        <f>+CON_HAB!AS71*K_si!AS$6</f>
        <v>0</v>
      </c>
      <c r="AT11" s="4">
        <f>+CON_HAB!AT71*K_si!AT$6</f>
        <v>0</v>
      </c>
      <c r="AU11" s="4">
        <f>+CON_HAB!AU71*K_si!AU$6</f>
        <v>0</v>
      </c>
      <c r="AV11" s="4">
        <f>+CON_HAB!AV71*K_si!AV$6</f>
        <v>0</v>
      </c>
      <c r="AW11" s="64">
        <f>+CON_HAB!AW71*K_si!AW$6</f>
        <v>0</v>
      </c>
      <c r="AX11" s="60">
        <f>+CON_HAB!AX71*K_si!AX$6</f>
        <v>0</v>
      </c>
      <c r="AY11" s="4">
        <f>+CON_HAB!AY71*K_si!AY$6</f>
        <v>0</v>
      </c>
      <c r="AZ11" s="4">
        <f>+CON_HAB!AZ71*K_si!AZ$6</f>
        <v>0</v>
      </c>
      <c r="BA11" s="64">
        <f>+CON_HAB!BA71*K_si!BA$6</f>
        <v>0</v>
      </c>
      <c r="BB11" s="4">
        <f>+CON_HAB!BB71*K_si!BB$6</f>
        <v>0</v>
      </c>
      <c r="BC11" s="60">
        <f>+CON_HAB!BC71*K_si!BC$6</f>
        <v>0</v>
      </c>
    </row>
    <row r="12" spans="1:55" ht="18.75" customHeight="1" x14ac:dyDescent="0.25">
      <c r="A12" s="67" t="s">
        <v>109</v>
      </c>
      <c r="B12" s="64">
        <f>+CON_HAB!B72*K_si!B$6</f>
        <v>0</v>
      </c>
      <c r="C12" s="4">
        <f>+CON_HAB!C72*K_si!C$6</f>
        <v>0</v>
      </c>
      <c r="D12" s="4">
        <f>+CON_HAB!D72*K_si!D$6</f>
        <v>0</v>
      </c>
      <c r="E12" s="4">
        <f>+CON_HAB!E72*K_si!E$6</f>
        <v>0</v>
      </c>
      <c r="F12" s="4">
        <f>+CON_HAB!F72*K_si!F$6</f>
        <v>0</v>
      </c>
      <c r="G12" s="4">
        <f>+CON_HAB!G72*K_si!G$6</f>
        <v>0</v>
      </c>
      <c r="H12" s="4">
        <f>+CON_HAB!H72*K_si!H$6</f>
        <v>0</v>
      </c>
      <c r="I12" s="4">
        <f>+CON_HAB!I72*K_si!I$6</f>
        <v>0</v>
      </c>
      <c r="J12" s="4">
        <f>+CON_HAB!J72*K_si!J$6</f>
        <v>0</v>
      </c>
      <c r="K12" s="4">
        <f>+CON_HAB!K72*K_si!K$6</f>
        <v>0</v>
      </c>
      <c r="L12" s="4">
        <f>+CON_HAB!L72*K_si!L$6</f>
        <v>0</v>
      </c>
      <c r="M12" s="4">
        <f>+CON_HAB!M72*K_si!M$6</f>
        <v>0</v>
      </c>
      <c r="N12" s="4">
        <f>+CON_HAB!N72*K_si!N$6</f>
        <v>0</v>
      </c>
      <c r="O12" s="4">
        <f>+CON_HAB!O72*K_si!O$6</f>
        <v>0</v>
      </c>
      <c r="P12" s="4">
        <f>+CON_HAB!P72*K_si!P$6</f>
        <v>0</v>
      </c>
      <c r="Q12" s="4">
        <f>+CON_HAB!Q72*K_si!Q$6</f>
        <v>0</v>
      </c>
      <c r="R12" s="60">
        <f>+CON_HAB!R72*K_si!R$6</f>
        <v>0</v>
      </c>
      <c r="S12" s="4">
        <f>+CON_HAB!S72*K_si!S$6</f>
        <v>0</v>
      </c>
      <c r="T12" s="4">
        <f>+CON_HAB!T72*K_si!T$6</f>
        <v>0</v>
      </c>
      <c r="U12" s="4">
        <f>+CON_HAB!U72*K_si!U$6</f>
        <v>0</v>
      </c>
      <c r="V12" s="4">
        <f>+CON_HAB!V72*K_si!V$6</f>
        <v>0</v>
      </c>
      <c r="W12" s="4">
        <f>+CON_HAB!W72*K_si!W$6</f>
        <v>0</v>
      </c>
      <c r="X12" s="4">
        <f>+CON_HAB!X72*K_si!X$6</f>
        <v>0</v>
      </c>
      <c r="Y12" s="4">
        <f>+CON_HAB!Y72*K_si!Y$6</f>
        <v>0</v>
      </c>
      <c r="Z12" s="4">
        <f>+CON_HAB!Z72*K_si!Z$6</f>
        <v>0</v>
      </c>
      <c r="AA12" s="4">
        <f>+CON_HAB!AA72*K_si!AA$6</f>
        <v>0</v>
      </c>
      <c r="AB12" s="4">
        <f>+CON_HAB!AB72*K_si!AB$6</f>
        <v>0</v>
      </c>
      <c r="AC12" s="64">
        <f>+CON_HAB!AC72*K_si!AC$6</f>
        <v>0</v>
      </c>
      <c r="AD12" s="4">
        <f>+CON_HAB!AD72*K_si!AD$6</f>
        <v>0</v>
      </c>
      <c r="AE12" s="4">
        <f>+CON_HAB!AE72*K_si!AE$6</f>
        <v>0</v>
      </c>
      <c r="AF12" s="4">
        <f>+CON_HAB!AF72*K_si!AF$6</f>
        <v>0</v>
      </c>
      <c r="AG12" s="4">
        <f>+CON_HAB!AG72*K_si!AG$6</f>
        <v>0</v>
      </c>
      <c r="AH12" s="4">
        <f>+CON_HAB!AH72*K_si!AH$6</f>
        <v>0</v>
      </c>
      <c r="AI12" s="4">
        <f>+CON_HAB!AI72*K_si!AI$6</f>
        <v>0</v>
      </c>
      <c r="AJ12" s="4">
        <f>+CON_HAB!AJ72*K_si!AJ$6</f>
        <v>0</v>
      </c>
      <c r="AK12" s="4">
        <f>+CON_HAB!AK72*K_si!AK$6</f>
        <v>0</v>
      </c>
      <c r="AL12" s="4">
        <f>+CON_HAB!AL72*K_si!AL$6</f>
        <v>0</v>
      </c>
      <c r="AM12" s="60">
        <f>+CON_HAB!AM72*K_si!AM$6</f>
        <v>0</v>
      </c>
      <c r="AN12" s="4">
        <f>+CON_HAB!AN72*K_si!AN$6</f>
        <v>0</v>
      </c>
      <c r="AO12" s="4">
        <f>+CON_HAB!AO72*K_si!AO$6</f>
        <v>0</v>
      </c>
      <c r="AP12" s="4">
        <f>+CON_HAB!AP72*K_si!AP$6</f>
        <v>0</v>
      </c>
      <c r="AQ12" s="4">
        <f>+CON_HAB!AQ72*K_si!AQ$6</f>
        <v>0</v>
      </c>
      <c r="AR12" s="4">
        <f>+CON_HAB!AR72*K_si!AR$6</f>
        <v>0</v>
      </c>
      <c r="AS12" s="4">
        <f>+CON_HAB!AS72*K_si!AS$6</f>
        <v>0</v>
      </c>
      <c r="AT12" s="4">
        <f>+CON_HAB!AT72*K_si!AT$6</f>
        <v>0</v>
      </c>
      <c r="AU12" s="4">
        <f>+CON_HAB!AU72*K_si!AU$6</f>
        <v>0</v>
      </c>
      <c r="AV12" s="4">
        <f>+CON_HAB!AV72*K_si!AV$6</f>
        <v>0</v>
      </c>
      <c r="AW12" s="64">
        <f>+CON_HAB!AW72*K_si!AW$6</f>
        <v>0</v>
      </c>
      <c r="AX12" s="60">
        <f>+CON_HAB!AX72*K_si!AX$6</f>
        <v>0</v>
      </c>
      <c r="AY12" s="4">
        <f>+CON_HAB!AY72*K_si!AY$6</f>
        <v>0</v>
      </c>
      <c r="AZ12" s="4">
        <f>+CON_HAB!AZ72*K_si!AZ$6</f>
        <v>0</v>
      </c>
      <c r="BA12" s="64">
        <f>+CON_HAB!BA72*K_si!BA$6</f>
        <v>0</v>
      </c>
      <c r="BB12" s="4">
        <f>+CON_HAB!BB72*K_si!BB$6</f>
        <v>0</v>
      </c>
      <c r="BC12" s="60">
        <f>+CON_HAB!BC72*K_si!BC$6</f>
        <v>0</v>
      </c>
    </row>
    <row r="13" spans="1:55" ht="18.75" customHeight="1" thickBot="1" x14ac:dyDescent="0.3">
      <c r="A13" s="67" t="s">
        <v>110</v>
      </c>
      <c r="B13" s="65">
        <f>+CON_HAB!B73*K_si!B$6</f>
        <v>0</v>
      </c>
      <c r="C13" s="66">
        <f>+CON_HAB!C73*K_si!C$6</f>
        <v>0</v>
      </c>
      <c r="D13" s="66">
        <f>+CON_HAB!D73*K_si!D$6</f>
        <v>0</v>
      </c>
      <c r="E13" s="66">
        <f>+CON_HAB!E73*K_si!E$6</f>
        <v>0</v>
      </c>
      <c r="F13" s="66">
        <f>+CON_HAB!F73*K_si!F$6</f>
        <v>0</v>
      </c>
      <c r="G13" s="66">
        <f>+CON_HAB!G73*K_si!G$6</f>
        <v>0</v>
      </c>
      <c r="H13" s="66">
        <f>+CON_HAB!H73*K_si!H$6</f>
        <v>0</v>
      </c>
      <c r="I13" s="66">
        <f>+CON_HAB!I73*K_si!I$6</f>
        <v>0</v>
      </c>
      <c r="J13" s="66">
        <f>+CON_HAB!J73*K_si!J$6</f>
        <v>0</v>
      </c>
      <c r="K13" s="66">
        <f>+CON_HAB!K73*K_si!K$6</f>
        <v>0</v>
      </c>
      <c r="L13" s="66">
        <f>+CON_HAB!L73*K_si!L$6</f>
        <v>0</v>
      </c>
      <c r="M13" s="66">
        <f>+CON_HAB!M73*K_si!M$6</f>
        <v>0</v>
      </c>
      <c r="N13" s="66">
        <f>+CON_HAB!N73*K_si!N$6</f>
        <v>0</v>
      </c>
      <c r="O13" s="66">
        <f>+CON_HAB!O73*K_si!O$6</f>
        <v>0</v>
      </c>
      <c r="P13" s="66">
        <f>+CON_HAB!P73*K_si!P$6</f>
        <v>0</v>
      </c>
      <c r="Q13" s="66">
        <f>+CON_HAB!Q73*K_si!Q$6</f>
        <v>0</v>
      </c>
      <c r="R13" s="61">
        <f>+CON_HAB!R73*K_si!R$6</f>
        <v>0</v>
      </c>
      <c r="S13" s="66">
        <f>+CON_HAB!S73*K_si!S$6</f>
        <v>0</v>
      </c>
      <c r="T13" s="66">
        <f>+CON_HAB!T73*K_si!T$6</f>
        <v>0</v>
      </c>
      <c r="U13" s="66">
        <f>+CON_HAB!U73*K_si!U$6</f>
        <v>0</v>
      </c>
      <c r="V13" s="66">
        <f>+CON_HAB!V73*K_si!V$6</f>
        <v>0</v>
      </c>
      <c r="W13" s="66">
        <f>+CON_HAB!W73*K_si!W$6</f>
        <v>0</v>
      </c>
      <c r="X13" s="66">
        <f>+CON_HAB!X73*K_si!X$6</f>
        <v>0</v>
      </c>
      <c r="Y13" s="66">
        <f>+CON_HAB!Y73*K_si!Y$6</f>
        <v>0</v>
      </c>
      <c r="Z13" s="66">
        <f>+CON_HAB!Z73*K_si!Z$6</f>
        <v>0</v>
      </c>
      <c r="AA13" s="66">
        <f>+CON_HAB!AA73*K_si!AA$6</f>
        <v>0</v>
      </c>
      <c r="AB13" s="66">
        <f>+CON_HAB!AB73*K_si!AB$6</f>
        <v>0</v>
      </c>
      <c r="AC13" s="65">
        <f>+CON_HAB!AC73*K_si!AC$6</f>
        <v>0</v>
      </c>
      <c r="AD13" s="66">
        <f>+CON_HAB!AD73*K_si!AD$6</f>
        <v>0</v>
      </c>
      <c r="AE13" s="66">
        <f>+CON_HAB!AE73*K_si!AE$6</f>
        <v>0</v>
      </c>
      <c r="AF13" s="66">
        <f>+CON_HAB!AF73*K_si!AF$6</f>
        <v>0</v>
      </c>
      <c r="AG13" s="66">
        <f>+CON_HAB!AG73*K_si!AG$6</f>
        <v>0</v>
      </c>
      <c r="AH13" s="66">
        <f>+CON_HAB!AH73*K_si!AH$6</f>
        <v>0</v>
      </c>
      <c r="AI13" s="66">
        <f>+CON_HAB!AI73*K_si!AI$6</f>
        <v>0</v>
      </c>
      <c r="AJ13" s="66">
        <f>+CON_HAB!AJ73*K_si!AJ$6</f>
        <v>0</v>
      </c>
      <c r="AK13" s="66">
        <f>+CON_HAB!AK73*K_si!AK$6</f>
        <v>0</v>
      </c>
      <c r="AL13" s="66">
        <f>+CON_HAB!AL73*K_si!AL$6</f>
        <v>0</v>
      </c>
      <c r="AM13" s="61">
        <f>+CON_HAB!AM73*K_si!AM$6</f>
        <v>0</v>
      </c>
      <c r="AN13" s="66">
        <f>+CON_HAB!AN73*K_si!AN$6</f>
        <v>0</v>
      </c>
      <c r="AO13" s="66">
        <f>+CON_HAB!AO73*K_si!AO$6</f>
        <v>0</v>
      </c>
      <c r="AP13" s="66">
        <f>+CON_HAB!AP73*K_si!AP$6</f>
        <v>0</v>
      </c>
      <c r="AQ13" s="66">
        <f>+CON_HAB!AQ73*K_si!AQ$6</f>
        <v>0</v>
      </c>
      <c r="AR13" s="66">
        <f>+CON_HAB!AR73*K_si!AR$6</f>
        <v>0</v>
      </c>
      <c r="AS13" s="66">
        <f>+CON_HAB!AS73*K_si!AS$6</f>
        <v>0</v>
      </c>
      <c r="AT13" s="66">
        <f>+CON_HAB!AT73*K_si!AT$6</f>
        <v>0</v>
      </c>
      <c r="AU13" s="66">
        <f>+CON_HAB!AU73*K_si!AU$6</f>
        <v>0</v>
      </c>
      <c r="AV13" s="66">
        <f>+CON_HAB!AV73*K_si!AV$6</f>
        <v>0</v>
      </c>
      <c r="AW13" s="65">
        <f>+CON_HAB!AW73*K_si!AW$6</f>
        <v>0</v>
      </c>
      <c r="AX13" s="61">
        <f>+CON_HAB!AX73*K_si!AX$6</f>
        <v>0</v>
      </c>
      <c r="AY13" s="66">
        <f>+CON_HAB!AY73*K_si!AY$6</f>
        <v>0</v>
      </c>
      <c r="AZ13" s="66">
        <f>+CON_HAB!AZ73*K_si!AZ$6</f>
        <v>0</v>
      </c>
      <c r="BA13" s="65">
        <f>+CON_HAB!BA73*K_si!BA$6</f>
        <v>0</v>
      </c>
      <c r="BB13" s="66">
        <f>+CON_HAB!BB73*K_si!BB$6</f>
        <v>0</v>
      </c>
      <c r="BC13" s="61">
        <f>+CON_HAB!BC73*K_si!BC$6</f>
        <v>0</v>
      </c>
    </row>
  </sheetData>
  <conditionalFormatting sqref="B2:BC1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BG51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5" width="7.5703125" style="7" bestFit="1" customWidth="1"/>
    <col min="56" max="59" width="13.5703125" style="14" bestFit="1" customWidth="1"/>
  </cols>
  <sheetData>
    <row r="1" spans="1:59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8" t="s">
        <v>98</v>
      </c>
      <c r="BE1" s="8" t="s">
        <v>99</v>
      </c>
      <c r="BF1" s="8" t="s">
        <v>100</v>
      </c>
      <c r="BG1" s="8" t="s">
        <v>101</v>
      </c>
    </row>
    <row r="2" spans="1:59" ht="18.75" customHeight="1" x14ac:dyDescent="0.25">
      <c r="A2" s="3" t="str">
        <f>"T"&amp;_xlfn.SEQUENCE(36,1,1,1)</f>
        <v>T1</v>
      </c>
      <c r="B2" s="9">
        <v>10000</v>
      </c>
      <c r="C2" s="10">
        <v>10000</v>
      </c>
      <c r="D2" s="10">
        <v>10000</v>
      </c>
      <c r="E2" s="10">
        <v>15</v>
      </c>
      <c r="F2" s="10">
        <v>10000</v>
      </c>
      <c r="G2" s="10">
        <v>10000</v>
      </c>
      <c r="H2" s="10">
        <v>10000</v>
      </c>
      <c r="I2" s="10">
        <v>10000</v>
      </c>
      <c r="J2" s="10">
        <v>20</v>
      </c>
      <c r="K2" s="10">
        <v>10000</v>
      </c>
      <c r="L2" s="10">
        <v>12</v>
      </c>
      <c r="M2" s="10">
        <v>12</v>
      </c>
      <c r="N2" s="10">
        <v>12</v>
      </c>
      <c r="O2" s="10">
        <v>10000</v>
      </c>
      <c r="P2" s="10">
        <v>10000</v>
      </c>
      <c r="Q2" s="10">
        <v>10000</v>
      </c>
      <c r="R2" s="10">
        <v>20</v>
      </c>
      <c r="S2" s="9">
        <v>10000</v>
      </c>
      <c r="T2" s="10">
        <v>10000</v>
      </c>
      <c r="U2" s="10">
        <v>10000</v>
      </c>
      <c r="V2" s="10">
        <v>10000</v>
      </c>
      <c r="W2" s="10">
        <v>10000</v>
      </c>
      <c r="X2" s="10">
        <v>10000</v>
      </c>
      <c r="Y2" s="10">
        <v>10000</v>
      </c>
      <c r="Z2" s="10">
        <v>10000</v>
      </c>
      <c r="AA2" s="10">
        <v>10000</v>
      </c>
      <c r="AB2" s="11">
        <v>10000</v>
      </c>
      <c r="AC2" s="10">
        <v>10000</v>
      </c>
      <c r="AD2" s="10">
        <v>10000</v>
      </c>
      <c r="AE2" s="10">
        <v>10000</v>
      </c>
      <c r="AF2" s="10">
        <v>10000</v>
      </c>
      <c r="AG2" s="10">
        <v>10000</v>
      </c>
      <c r="AH2" s="10">
        <v>10000</v>
      </c>
      <c r="AI2" s="10">
        <v>10000</v>
      </c>
      <c r="AJ2" s="10">
        <v>10000</v>
      </c>
      <c r="AK2" s="10">
        <v>10000</v>
      </c>
      <c r="AL2" s="10">
        <v>10000</v>
      </c>
      <c r="AM2" s="10">
        <v>10000</v>
      </c>
      <c r="AN2" s="9">
        <v>10000</v>
      </c>
      <c r="AO2" s="10">
        <v>10000</v>
      </c>
      <c r="AP2" s="10">
        <v>30</v>
      </c>
      <c r="AQ2" s="10">
        <v>10000</v>
      </c>
      <c r="AR2" s="10">
        <v>10000</v>
      </c>
      <c r="AS2" s="10">
        <v>10000</v>
      </c>
      <c r="AT2" s="10">
        <v>10000</v>
      </c>
      <c r="AU2" s="10">
        <v>10000</v>
      </c>
      <c r="AV2" s="11">
        <v>10000</v>
      </c>
      <c r="AW2" s="10">
        <v>10000</v>
      </c>
      <c r="AX2" s="10">
        <v>15</v>
      </c>
      <c r="AY2" s="9">
        <v>10000</v>
      </c>
      <c r="AZ2" s="11">
        <v>10000</v>
      </c>
      <c r="BA2" s="10">
        <v>10000</v>
      </c>
      <c r="BB2" s="10">
        <v>15</v>
      </c>
      <c r="BC2" s="11">
        <v>10000</v>
      </c>
      <c r="BD2" s="4">
        <f>+Habilidad!B2</f>
        <v>1</v>
      </c>
      <c r="BE2" s="4">
        <f>+Habilidad!C2</f>
        <v>1</v>
      </c>
      <c r="BF2" s="4">
        <f>+Habilidad!D2</f>
        <v>1</v>
      </c>
      <c r="BG2" s="4">
        <f>+Habilidad!E2</f>
        <v>0</v>
      </c>
    </row>
    <row r="3" spans="1:59" ht="18.75" customHeight="1" x14ac:dyDescent="0.25">
      <c r="A3" s="5" t="s">
        <v>54</v>
      </c>
      <c r="B3" s="12">
        <v>10000</v>
      </c>
      <c r="C3" s="4">
        <v>10000</v>
      </c>
      <c r="D3" s="4">
        <v>10000</v>
      </c>
      <c r="E3" s="4">
        <v>15</v>
      </c>
      <c r="F3" s="4">
        <v>10000</v>
      </c>
      <c r="G3" s="4">
        <v>12</v>
      </c>
      <c r="H3" s="4">
        <v>10000</v>
      </c>
      <c r="I3" s="4">
        <v>10000</v>
      </c>
      <c r="J3" s="4">
        <v>15</v>
      </c>
      <c r="K3" s="4">
        <v>10000</v>
      </c>
      <c r="L3" s="4">
        <v>12</v>
      </c>
      <c r="M3" s="4">
        <v>12</v>
      </c>
      <c r="N3" s="4">
        <v>15</v>
      </c>
      <c r="O3" s="4">
        <v>10000</v>
      </c>
      <c r="P3" s="4">
        <v>10000</v>
      </c>
      <c r="Q3" s="4">
        <v>5</v>
      </c>
      <c r="R3" s="4">
        <v>15</v>
      </c>
      <c r="S3" s="12">
        <v>10000</v>
      </c>
      <c r="T3" s="4">
        <v>10000</v>
      </c>
      <c r="U3" s="4">
        <v>10000</v>
      </c>
      <c r="V3" s="4">
        <v>10000</v>
      </c>
      <c r="W3" s="4">
        <v>10000</v>
      </c>
      <c r="X3" s="4">
        <v>10000</v>
      </c>
      <c r="Y3" s="4">
        <v>10000</v>
      </c>
      <c r="Z3" s="4">
        <v>10000</v>
      </c>
      <c r="AA3" s="4">
        <v>10000</v>
      </c>
      <c r="AB3" s="13">
        <v>10000</v>
      </c>
      <c r="AC3" s="4">
        <v>10000</v>
      </c>
      <c r="AD3" s="4">
        <v>10000</v>
      </c>
      <c r="AE3" s="4">
        <v>10000</v>
      </c>
      <c r="AF3" s="4">
        <v>10000</v>
      </c>
      <c r="AG3" s="4">
        <v>10000</v>
      </c>
      <c r="AH3" s="4">
        <v>10000</v>
      </c>
      <c r="AI3" s="4">
        <v>10000</v>
      </c>
      <c r="AJ3" s="4">
        <v>10000</v>
      </c>
      <c r="AK3" s="4">
        <v>10000</v>
      </c>
      <c r="AL3" s="4">
        <v>10000</v>
      </c>
      <c r="AM3" s="4">
        <v>10000</v>
      </c>
      <c r="AN3" s="12">
        <v>10000</v>
      </c>
      <c r="AO3" s="4">
        <v>10000</v>
      </c>
      <c r="AP3" s="4">
        <v>40</v>
      </c>
      <c r="AQ3" s="4">
        <v>10000</v>
      </c>
      <c r="AR3" s="4">
        <v>10000</v>
      </c>
      <c r="AS3" s="4">
        <v>10000</v>
      </c>
      <c r="AT3" s="4">
        <v>10000</v>
      </c>
      <c r="AU3" s="4">
        <v>10000</v>
      </c>
      <c r="AV3" s="13">
        <v>10000</v>
      </c>
      <c r="AW3" s="4">
        <v>10000</v>
      </c>
      <c r="AX3" s="4">
        <v>15</v>
      </c>
      <c r="AY3" s="12">
        <v>10000</v>
      </c>
      <c r="AZ3" s="13">
        <v>10000</v>
      </c>
      <c r="BA3" s="4">
        <v>10000</v>
      </c>
      <c r="BB3" s="4">
        <v>10000</v>
      </c>
      <c r="BC3" s="13">
        <v>10000</v>
      </c>
      <c r="BD3" s="4">
        <f>+Habilidad!B3</f>
        <v>1</v>
      </c>
      <c r="BE3" s="4">
        <f>+Habilidad!C3</f>
        <v>1</v>
      </c>
      <c r="BF3" s="4">
        <f>+Habilidad!D3</f>
        <v>1</v>
      </c>
      <c r="BG3" s="4">
        <f>+Habilidad!E3</f>
        <v>0</v>
      </c>
    </row>
    <row r="4" spans="1:59" ht="18.75" customHeight="1" x14ac:dyDescent="0.25">
      <c r="A4" s="5" t="s">
        <v>55</v>
      </c>
      <c r="B4" s="12">
        <v>10000</v>
      </c>
      <c r="C4" s="4">
        <v>10000</v>
      </c>
      <c r="D4" s="4">
        <v>10000</v>
      </c>
      <c r="E4" s="4">
        <v>15</v>
      </c>
      <c r="F4" s="4">
        <v>10000</v>
      </c>
      <c r="G4" s="4">
        <v>12</v>
      </c>
      <c r="H4" s="4">
        <v>10000</v>
      </c>
      <c r="I4" s="4">
        <v>10000</v>
      </c>
      <c r="J4" s="4">
        <v>15</v>
      </c>
      <c r="K4" s="4">
        <v>10000</v>
      </c>
      <c r="L4" s="4">
        <v>12</v>
      </c>
      <c r="M4" s="4">
        <v>12</v>
      </c>
      <c r="N4" s="4">
        <v>15</v>
      </c>
      <c r="O4" s="4">
        <v>10000</v>
      </c>
      <c r="P4" s="4">
        <v>10000</v>
      </c>
      <c r="Q4" s="4">
        <v>5</v>
      </c>
      <c r="R4" s="4">
        <v>15</v>
      </c>
      <c r="S4" s="12">
        <v>10000</v>
      </c>
      <c r="T4" s="4">
        <v>10000</v>
      </c>
      <c r="U4" s="4">
        <v>10000</v>
      </c>
      <c r="V4" s="4">
        <v>10000</v>
      </c>
      <c r="W4" s="4">
        <v>10000</v>
      </c>
      <c r="X4" s="4">
        <v>10000</v>
      </c>
      <c r="Y4" s="4">
        <v>10000</v>
      </c>
      <c r="Z4" s="4">
        <v>10000</v>
      </c>
      <c r="AA4" s="4">
        <v>10000</v>
      </c>
      <c r="AB4" s="13">
        <v>10000</v>
      </c>
      <c r="AC4" s="4">
        <v>10000</v>
      </c>
      <c r="AD4" s="4">
        <v>10000</v>
      </c>
      <c r="AE4" s="4">
        <v>10000</v>
      </c>
      <c r="AF4" s="4">
        <v>10000</v>
      </c>
      <c r="AG4" s="4">
        <v>10000</v>
      </c>
      <c r="AH4" s="4">
        <v>10000</v>
      </c>
      <c r="AI4" s="4">
        <v>10000</v>
      </c>
      <c r="AJ4" s="4">
        <v>10000</v>
      </c>
      <c r="AK4" s="4">
        <v>10000</v>
      </c>
      <c r="AL4" s="4">
        <v>12</v>
      </c>
      <c r="AM4" s="4">
        <v>10000</v>
      </c>
      <c r="AN4" s="12">
        <v>10000</v>
      </c>
      <c r="AO4" s="4">
        <v>10000</v>
      </c>
      <c r="AP4" s="4">
        <v>40</v>
      </c>
      <c r="AQ4" s="4">
        <v>25</v>
      </c>
      <c r="AR4" s="4">
        <v>10000</v>
      </c>
      <c r="AS4" s="4">
        <v>10000</v>
      </c>
      <c r="AT4" s="4">
        <v>10000</v>
      </c>
      <c r="AU4" s="4">
        <v>10000</v>
      </c>
      <c r="AV4" s="13">
        <v>10000</v>
      </c>
      <c r="AW4" s="4">
        <v>10000</v>
      </c>
      <c r="AX4" s="4">
        <v>15</v>
      </c>
      <c r="AY4" s="12">
        <v>10000</v>
      </c>
      <c r="AZ4" s="13">
        <v>10000</v>
      </c>
      <c r="BA4" s="4">
        <v>10000</v>
      </c>
      <c r="BB4" s="4">
        <v>10000</v>
      </c>
      <c r="BC4" s="13">
        <v>10000</v>
      </c>
      <c r="BD4" s="4">
        <f>+Habilidad!B4</f>
        <v>1</v>
      </c>
      <c r="BE4" s="4">
        <f>+Habilidad!C4</f>
        <v>1</v>
      </c>
      <c r="BF4" s="4">
        <f>+Habilidad!D4</f>
        <v>1</v>
      </c>
      <c r="BG4" s="4">
        <f>+Habilidad!E4</f>
        <v>1</v>
      </c>
    </row>
    <row r="5" spans="1:59" ht="18.75" customHeight="1" x14ac:dyDescent="0.25">
      <c r="A5" s="5" t="s">
        <v>56</v>
      </c>
      <c r="B5" s="12">
        <v>10000</v>
      </c>
      <c r="C5" s="4">
        <v>10000</v>
      </c>
      <c r="D5" s="4">
        <v>10000</v>
      </c>
      <c r="E5" s="4">
        <v>15</v>
      </c>
      <c r="F5" s="4">
        <v>10000</v>
      </c>
      <c r="G5" s="4">
        <v>12</v>
      </c>
      <c r="H5" s="4">
        <v>10000</v>
      </c>
      <c r="I5" s="4">
        <v>10000</v>
      </c>
      <c r="J5" s="4">
        <v>15</v>
      </c>
      <c r="K5" s="4">
        <v>10000</v>
      </c>
      <c r="L5" s="4">
        <v>12</v>
      </c>
      <c r="M5" s="4">
        <v>12</v>
      </c>
      <c r="N5" s="4">
        <v>15</v>
      </c>
      <c r="O5" s="4">
        <v>10000</v>
      </c>
      <c r="P5" s="4">
        <v>10000</v>
      </c>
      <c r="Q5" s="4">
        <v>5</v>
      </c>
      <c r="R5" s="4">
        <v>15</v>
      </c>
      <c r="S5" s="12">
        <v>10000</v>
      </c>
      <c r="T5" s="4">
        <v>10000</v>
      </c>
      <c r="U5" s="4">
        <v>10000</v>
      </c>
      <c r="V5" s="4">
        <v>10000</v>
      </c>
      <c r="W5" s="4">
        <v>10000</v>
      </c>
      <c r="X5" s="4">
        <v>10000</v>
      </c>
      <c r="Y5" s="4">
        <v>10000</v>
      </c>
      <c r="Z5" s="4">
        <v>10000</v>
      </c>
      <c r="AA5" s="4">
        <v>10000</v>
      </c>
      <c r="AB5" s="13">
        <v>10000</v>
      </c>
      <c r="AC5" s="4">
        <v>10000</v>
      </c>
      <c r="AD5" s="4">
        <v>10000</v>
      </c>
      <c r="AE5" s="4">
        <v>10000</v>
      </c>
      <c r="AF5" s="4">
        <v>10000</v>
      </c>
      <c r="AG5" s="4">
        <v>10000</v>
      </c>
      <c r="AH5" s="4">
        <v>10000</v>
      </c>
      <c r="AI5" s="4">
        <v>10000</v>
      </c>
      <c r="AJ5" s="4">
        <v>10000</v>
      </c>
      <c r="AK5" s="4">
        <v>10000</v>
      </c>
      <c r="AL5" s="4">
        <v>10000</v>
      </c>
      <c r="AM5" s="4">
        <v>10000</v>
      </c>
      <c r="AN5" s="12">
        <v>10000</v>
      </c>
      <c r="AO5" s="4">
        <v>10000</v>
      </c>
      <c r="AP5" s="4">
        <v>40</v>
      </c>
      <c r="AQ5" s="4">
        <v>25</v>
      </c>
      <c r="AR5" s="4">
        <v>10000</v>
      </c>
      <c r="AS5" s="4">
        <v>10000</v>
      </c>
      <c r="AT5" s="4">
        <v>10000</v>
      </c>
      <c r="AU5" s="4">
        <v>10000</v>
      </c>
      <c r="AV5" s="13">
        <v>10000</v>
      </c>
      <c r="AW5" s="4">
        <v>10000</v>
      </c>
      <c r="AX5" s="4">
        <v>15</v>
      </c>
      <c r="AY5" s="12">
        <v>10000</v>
      </c>
      <c r="AZ5" s="13">
        <v>10000</v>
      </c>
      <c r="BA5" s="4">
        <v>10000</v>
      </c>
      <c r="BB5" s="4">
        <v>10000</v>
      </c>
      <c r="BC5" s="13">
        <v>10000</v>
      </c>
      <c r="BD5" s="4">
        <f>+Habilidad!B5</f>
        <v>1</v>
      </c>
      <c r="BE5" s="4">
        <f>+Habilidad!C5</f>
        <v>1</v>
      </c>
      <c r="BF5" s="4">
        <f>+Habilidad!D5</f>
        <v>1</v>
      </c>
      <c r="BG5" s="4">
        <f>+Habilidad!E5</f>
        <v>0</v>
      </c>
    </row>
    <row r="6" spans="1:59" ht="18.75" customHeight="1" x14ac:dyDescent="0.25">
      <c r="A6" s="5" t="s">
        <v>57</v>
      </c>
      <c r="B6" s="12">
        <v>10000</v>
      </c>
      <c r="C6" s="4">
        <v>10000</v>
      </c>
      <c r="D6" s="4">
        <v>15</v>
      </c>
      <c r="E6" s="4">
        <v>10000</v>
      </c>
      <c r="F6" s="4">
        <v>10000</v>
      </c>
      <c r="G6" s="4">
        <v>12</v>
      </c>
      <c r="H6" s="4">
        <v>10000</v>
      </c>
      <c r="I6" s="4">
        <v>10000</v>
      </c>
      <c r="J6" s="4">
        <v>15</v>
      </c>
      <c r="K6" s="4">
        <v>10000</v>
      </c>
      <c r="L6" s="4">
        <v>12</v>
      </c>
      <c r="M6" s="4">
        <v>12</v>
      </c>
      <c r="N6" s="4">
        <v>15</v>
      </c>
      <c r="O6" s="4">
        <v>10000</v>
      </c>
      <c r="P6" s="4">
        <v>10000</v>
      </c>
      <c r="Q6" s="4">
        <v>10000</v>
      </c>
      <c r="R6" s="4">
        <v>10000</v>
      </c>
      <c r="S6" s="12">
        <v>10000</v>
      </c>
      <c r="T6" s="4">
        <v>10000</v>
      </c>
      <c r="U6" s="4">
        <v>10000</v>
      </c>
      <c r="V6" s="4">
        <v>10000</v>
      </c>
      <c r="W6" s="4">
        <v>10000</v>
      </c>
      <c r="X6" s="4">
        <v>10000</v>
      </c>
      <c r="Y6" s="4">
        <v>10000</v>
      </c>
      <c r="Z6" s="4">
        <v>10000</v>
      </c>
      <c r="AA6" s="4">
        <v>10000</v>
      </c>
      <c r="AB6" s="13">
        <v>10000</v>
      </c>
      <c r="AC6" s="4">
        <v>10000</v>
      </c>
      <c r="AD6" s="4">
        <v>10000</v>
      </c>
      <c r="AE6" s="4">
        <v>10000</v>
      </c>
      <c r="AF6" s="4">
        <v>10000</v>
      </c>
      <c r="AG6" s="4">
        <v>10000</v>
      </c>
      <c r="AH6" s="4">
        <v>10000</v>
      </c>
      <c r="AI6" s="4">
        <v>10000</v>
      </c>
      <c r="AJ6" s="4">
        <v>10000</v>
      </c>
      <c r="AK6" s="4">
        <v>10000</v>
      </c>
      <c r="AL6" s="4">
        <v>10000</v>
      </c>
      <c r="AM6" s="4">
        <v>10000</v>
      </c>
      <c r="AN6" s="12">
        <v>40</v>
      </c>
      <c r="AO6" s="4">
        <v>10000</v>
      </c>
      <c r="AP6" s="4">
        <v>10000</v>
      </c>
      <c r="AQ6" s="4">
        <v>10000</v>
      </c>
      <c r="AR6" s="4">
        <v>10000</v>
      </c>
      <c r="AS6" s="4">
        <v>10000</v>
      </c>
      <c r="AT6" s="4">
        <v>10000</v>
      </c>
      <c r="AU6" s="4">
        <v>10000</v>
      </c>
      <c r="AV6" s="13">
        <v>10000</v>
      </c>
      <c r="AW6" s="4">
        <v>10000</v>
      </c>
      <c r="AX6" s="4">
        <v>10000</v>
      </c>
      <c r="AY6" s="12">
        <v>10000</v>
      </c>
      <c r="AZ6" s="13">
        <v>15</v>
      </c>
      <c r="BA6" s="4">
        <v>10000</v>
      </c>
      <c r="BB6" s="4">
        <v>10000</v>
      </c>
      <c r="BC6" s="13">
        <v>10000</v>
      </c>
      <c r="BD6" s="4">
        <f>+Habilidad!B6</f>
        <v>1</v>
      </c>
      <c r="BE6" s="4">
        <f>+Habilidad!C6</f>
        <v>1</v>
      </c>
      <c r="BF6" s="4">
        <f>+Habilidad!D6</f>
        <v>0</v>
      </c>
      <c r="BG6" s="4">
        <f>+Habilidad!E6</f>
        <v>1</v>
      </c>
    </row>
    <row r="7" spans="1:59" ht="18.75" customHeight="1" x14ac:dyDescent="0.25">
      <c r="A7" s="5" t="s">
        <v>58</v>
      </c>
      <c r="B7" s="12">
        <v>10000</v>
      </c>
      <c r="C7" s="4">
        <v>10000</v>
      </c>
      <c r="D7" s="4">
        <v>10000</v>
      </c>
      <c r="E7" s="4">
        <v>10000</v>
      </c>
      <c r="F7" s="4">
        <v>10000</v>
      </c>
      <c r="G7" s="4">
        <v>12</v>
      </c>
      <c r="H7" s="4">
        <v>15</v>
      </c>
      <c r="I7" s="4">
        <v>15</v>
      </c>
      <c r="J7" s="4">
        <v>15</v>
      </c>
      <c r="K7" s="4">
        <v>10000</v>
      </c>
      <c r="L7" s="4">
        <v>12</v>
      </c>
      <c r="M7" s="4">
        <v>12</v>
      </c>
      <c r="N7" s="4">
        <v>15</v>
      </c>
      <c r="O7" s="4">
        <v>10000</v>
      </c>
      <c r="P7" s="4">
        <v>10000</v>
      </c>
      <c r="Q7" s="4">
        <v>5</v>
      </c>
      <c r="R7" s="4">
        <v>15</v>
      </c>
      <c r="S7" s="12">
        <v>10000</v>
      </c>
      <c r="T7" s="4">
        <v>10000</v>
      </c>
      <c r="U7" s="4">
        <v>10000</v>
      </c>
      <c r="V7" s="4">
        <v>10000</v>
      </c>
      <c r="W7" s="4">
        <v>10000</v>
      </c>
      <c r="X7" s="4">
        <v>10000</v>
      </c>
      <c r="Y7" s="4">
        <v>10000</v>
      </c>
      <c r="Z7" s="4">
        <v>10000</v>
      </c>
      <c r="AA7" s="4">
        <v>10000</v>
      </c>
      <c r="AB7" s="13">
        <v>10000</v>
      </c>
      <c r="AC7" s="4">
        <v>10000</v>
      </c>
      <c r="AD7" s="4">
        <v>10000</v>
      </c>
      <c r="AE7" s="4">
        <v>10000</v>
      </c>
      <c r="AF7" s="4">
        <v>10000</v>
      </c>
      <c r="AG7" s="4">
        <v>10000</v>
      </c>
      <c r="AH7" s="4">
        <v>10000</v>
      </c>
      <c r="AI7" s="4">
        <v>10000</v>
      </c>
      <c r="AJ7" s="4">
        <v>10000</v>
      </c>
      <c r="AK7" s="4">
        <v>10000</v>
      </c>
      <c r="AL7" s="4">
        <v>12</v>
      </c>
      <c r="AM7" s="4">
        <v>10000</v>
      </c>
      <c r="AN7" s="12">
        <v>10000</v>
      </c>
      <c r="AO7" s="4">
        <v>10000</v>
      </c>
      <c r="AP7" s="4">
        <v>10000</v>
      </c>
      <c r="AQ7" s="4">
        <v>25</v>
      </c>
      <c r="AR7" s="4">
        <v>10000</v>
      </c>
      <c r="AS7" s="4">
        <v>10000</v>
      </c>
      <c r="AT7" s="4">
        <v>10000</v>
      </c>
      <c r="AU7" s="4">
        <v>10000</v>
      </c>
      <c r="AV7" s="13">
        <v>10000</v>
      </c>
      <c r="AW7" s="4">
        <v>10000</v>
      </c>
      <c r="AX7" s="4">
        <v>15</v>
      </c>
      <c r="AY7" s="12">
        <v>10000</v>
      </c>
      <c r="AZ7" s="13">
        <v>10000</v>
      </c>
      <c r="BA7" s="4">
        <v>10000</v>
      </c>
      <c r="BB7" s="4">
        <v>10000</v>
      </c>
      <c r="BC7" s="13">
        <v>10000</v>
      </c>
      <c r="BD7" s="4">
        <f>+Habilidad!B7</f>
        <v>1</v>
      </c>
      <c r="BE7" s="4">
        <f>+Habilidad!C7</f>
        <v>1</v>
      </c>
      <c r="BF7" s="4">
        <f>+Habilidad!D7</f>
        <v>1</v>
      </c>
      <c r="BG7" s="4">
        <f>+Habilidad!E7</f>
        <v>1</v>
      </c>
    </row>
    <row r="8" spans="1:59" ht="18.75" customHeight="1" x14ac:dyDescent="0.25">
      <c r="A8" s="5" t="s">
        <v>59</v>
      </c>
      <c r="B8" s="12">
        <v>10000</v>
      </c>
      <c r="C8" s="4">
        <v>10000</v>
      </c>
      <c r="D8" s="4">
        <v>10000</v>
      </c>
      <c r="E8" s="4">
        <v>10000</v>
      </c>
      <c r="F8" s="4">
        <v>10000</v>
      </c>
      <c r="G8" s="4">
        <v>12</v>
      </c>
      <c r="H8" s="4">
        <v>10000</v>
      </c>
      <c r="I8" s="4">
        <v>10000</v>
      </c>
      <c r="J8" s="4">
        <v>15</v>
      </c>
      <c r="K8" s="4">
        <v>10000</v>
      </c>
      <c r="L8" s="4">
        <v>12</v>
      </c>
      <c r="M8" s="4">
        <v>12</v>
      </c>
      <c r="N8" s="4">
        <v>15</v>
      </c>
      <c r="O8" s="4">
        <v>10000</v>
      </c>
      <c r="P8" s="4">
        <v>10000</v>
      </c>
      <c r="Q8" s="4">
        <v>5</v>
      </c>
      <c r="R8" s="4">
        <v>15</v>
      </c>
      <c r="S8" s="12">
        <v>10000</v>
      </c>
      <c r="T8" s="4">
        <v>10000</v>
      </c>
      <c r="U8" s="4">
        <v>10000</v>
      </c>
      <c r="V8" s="4">
        <v>10000</v>
      </c>
      <c r="W8" s="4">
        <v>10000</v>
      </c>
      <c r="X8" s="4">
        <v>10000</v>
      </c>
      <c r="Y8" s="4">
        <v>10000</v>
      </c>
      <c r="Z8" s="4">
        <v>10000</v>
      </c>
      <c r="AA8" s="4">
        <v>10000</v>
      </c>
      <c r="AB8" s="13">
        <v>10000</v>
      </c>
      <c r="AC8" s="4">
        <v>10000</v>
      </c>
      <c r="AD8" s="4">
        <v>10000</v>
      </c>
      <c r="AE8" s="4">
        <v>10000</v>
      </c>
      <c r="AF8" s="4">
        <v>10000</v>
      </c>
      <c r="AG8" s="4">
        <v>10000</v>
      </c>
      <c r="AH8" s="4">
        <v>10000</v>
      </c>
      <c r="AI8" s="4">
        <v>10000</v>
      </c>
      <c r="AJ8" s="4">
        <v>10000</v>
      </c>
      <c r="AK8" s="4">
        <v>10000</v>
      </c>
      <c r="AL8" s="4">
        <v>10000</v>
      </c>
      <c r="AM8" s="4">
        <v>10000</v>
      </c>
      <c r="AN8" s="12">
        <v>10000</v>
      </c>
      <c r="AO8" s="4">
        <v>10000</v>
      </c>
      <c r="AP8" s="4">
        <v>10000</v>
      </c>
      <c r="AQ8" s="4">
        <v>25</v>
      </c>
      <c r="AR8" s="4">
        <v>10000</v>
      </c>
      <c r="AS8" s="4">
        <v>10000</v>
      </c>
      <c r="AT8" s="4">
        <v>10000</v>
      </c>
      <c r="AU8" s="4">
        <v>10000</v>
      </c>
      <c r="AV8" s="13">
        <v>10000</v>
      </c>
      <c r="AW8" s="4">
        <v>10000</v>
      </c>
      <c r="AX8" s="4">
        <v>15</v>
      </c>
      <c r="AY8" s="12">
        <v>10000</v>
      </c>
      <c r="AZ8" s="13">
        <v>10000</v>
      </c>
      <c r="BA8" s="4">
        <v>10000</v>
      </c>
      <c r="BB8" s="4">
        <v>15</v>
      </c>
      <c r="BC8" s="13">
        <v>10000</v>
      </c>
      <c r="BD8" s="4">
        <f>+Habilidad!B8</f>
        <v>1</v>
      </c>
      <c r="BE8" s="4">
        <f>+Habilidad!C8</f>
        <v>1</v>
      </c>
      <c r="BF8" s="4">
        <f>+Habilidad!D8</f>
        <v>1</v>
      </c>
      <c r="BG8" s="4">
        <f>+Habilidad!E8</f>
        <v>0</v>
      </c>
    </row>
    <row r="9" spans="1:59" ht="18.75" customHeight="1" x14ac:dyDescent="0.25">
      <c r="A9" s="5" t="s">
        <v>60</v>
      </c>
      <c r="B9" s="12">
        <v>10000</v>
      </c>
      <c r="C9" s="4">
        <v>10000</v>
      </c>
      <c r="D9" s="4">
        <v>10000</v>
      </c>
      <c r="E9" s="4">
        <v>15</v>
      </c>
      <c r="F9" s="4">
        <v>10000</v>
      </c>
      <c r="G9" s="4">
        <v>12</v>
      </c>
      <c r="H9" s="4">
        <v>10000</v>
      </c>
      <c r="I9" s="4">
        <v>10000</v>
      </c>
      <c r="J9" s="4">
        <v>15</v>
      </c>
      <c r="K9" s="4">
        <v>10000</v>
      </c>
      <c r="L9" s="4">
        <v>12</v>
      </c>
      <c r="M9" s="4">
        <v>12</v>
      </c>
      <c r="N9" s="4">
        <v>15</v>
      </c>
      <c r="O9" s="4">
        <v>10000</v>
      </c>
      <c r="P9" s="4">
        <v>10000</v>
      </c>
      <c r="Q9" s="4">
        <v>5</v>
      </c>
      <c r="R9" s="4">
        <v>15</v>
      </c>
      <c r="S9" s="12">
        <v>10000</v>
      </c>
      <c r="T9" s="4">
        <v>10000</v>
      </c>
      <c r="U9" s="4">
        <v>10000</v>
      </c>
      <c r="V9" s="4">
        <v>10000</v>
      </c>
      <c r="W9" s="4">
        <v>10000</v>
      </c>
      <c r="X9" s="4">
        <v>10000</v>
      </c>
      <c r="Y9" s="4">
        <v>10000</v>
      </c>
      <c r="Z9" s="4">
        <v>10000</v>
      </c>
      <c r="AA9" s="4">
        <v>10000</v>
      </c>
      <c r="AB9" s="13">
        <v>10000</v>
      </c>
      <c r="AC9" s="4">
        <v>10000</v>
      </c>
      <c r="AD9" s="4">
        <v>10000</v>
      </c>
      <c r="AE9" s="4">
        <v>10000</v>
      </c>
      <c r="AF9" s="4">
        <v>10000</v>
      </c>
      <c r="AG9" s="4">
        <v>10000</v>
      </c>
      <c r="AH9" s="4">
        <v>10000</v>
      </c>
      <c r="AI9" s="4">
        <v>10000</v>
      </c>
      <c r="AJ9" s="4">
        <v>10000</v>
      </c>
      <c r="AK9" s="4">
        <v>10000</v>
      </c>
      <c r="AL9" s="4">
        <v>12</v>
      </c>
      <c r="AM9" s="4">
        <v>10000</v>
      </c>
      <c r="AN9" s="12">
        <v>10000</v>
      </c>
      <c r="AO9" s="4">
        <v>10000</v>
      </c>
      <c r="AP9" s="4">
        <v>10000</v>
      </c>
      <c r="AQ9" s="4">
        <v>25</v>
      </c>
      <c r="AR9" s="4">
        <v>10000</v>
      </c>
      <c r="AS9" s="4">
        <v>10000</v>
      </c>
      <c r="AT9" s="4">
        <v>60</v>
      </c>
      <c r="AU9" s="4">
        <v>10000</v>
      </c>
      <c r="AV9" s="13">
        <v>10000</v>
      </c>
      <c r="AW9" s="4">
        <v>10000</v>
      </c>
      <c r="AX9" s="4">
        <v>15</v>
      </c>
      <c r="AY9" s="12">
        <v>10000</v>
      </c>
      <c r="AZ9" s="13">
        <v>10000</v>
      </c>
      <c r="BA9" s="4">
        <v>10000</v>
      </c>
      <c r="BB9" s="4">
        <v>15</v>
      </c>
      <c r="BC9" s="13">
        <v>10000</v>
      </c>
      <c r="BD9" s="4">
        <f>+Habilidad!B9</f>
        <v>1</v>
      </c>
      <c r="BE9" s="4">
        <f>+Habilidad!C9</f>
        <v>1</v>
      </c>
      <c r="BF9" s="4">
        <f>+Habilidad!D9</f>
        <v>1</v>
      </c>
      <c r="BG9" s="4">
        <f>+Habilidad!E9</f>
        <v>0</v>
      </c>
    </row>
    <row r="10" spans="1:59" ht="18.75" customHeight="1" x14ac:dyDescent="0.25">
      <c r="A10" s="5" t="s">
        <v>61</v>
      </c>
      <c r="B10" s="12">
        <v>10000</v>
      </c>
      <c r="C10" s="4">
        <v>10000</v>
      </c>
      <c r="D10" s="4">
        <v>15</v>
      </c>
      <c r="E10" s="4">
        <v>10000</v>
      </c>
      <c r="F10" s="4">
        <v>10000</v>
      </c>
      <c r="G10" s="4">
        <v>12</v>
      </c>
      <c r="H10" s="4">
        <v>10000</v>
      </c>
      <c r="I10" s="4">
        <v>10000</v>
      </c>
      <c r="J10" s="4">
        <v>15</v>
      </c>
      <c r="K10" s="4">
        <v>10000</v>
      </c>
      <c r="L10" s="4">
        <v>12</v>
      </c>
      <c r="M10" s="4">
        <v>12</v>
      </c>
      <c r="N10" s="4">
        <v>15</v>
      </c>
      <c r="O10" s="4">
        <v>10000</v>
      </c>
      <c r="P10" s="4">
        <v>10000</v>
      </c>
      <c r="Q10" s="4">
        <v>10000</v>
      </c>
      <c r="R10" s="4">
        <v>15</v>
      </c>
      <c r="S10" s="12">
        <v>10000</v>
      </c>
      <c r="T10" s="4">
        <v>10000</v>
      </c>
      <c r="U10" s="4">
        <v>10000</v>
      </c>
      <c r="V10" s="4">
        <v>10000</v>
      </c>
      <c r="W10" s="4">
        <v>10000</v>
      </c>
      <c r="X10" s="4">
        <v>10000</v>
      </c>
      <c r="Y10" s="4">
        <v>10000</v>
      </c>
      <c r="Z10" s="4">
        <v>10000</v>
      </c>
      <c r="AA10" s="4">
        <v>10000</v>
      </c>
      <c r="AB10" s="13">
        <v>10000</v>
      </c>
      <c r="AC10" s="4">
        <v>10000</v>
      </c>
      <c r="AD10" s="4">
        <v>10000</v>
      </c>
      <c r="AE10" s="4">
        <v>10000</v>
      </c>
      <c r="AF10" s="4">
        <v>10000</v>
      </c>
      <c r="AG10" s="4">
        <v>10000</v>
      </c>
      <c r="AH10" s="4">
        <v>10000</v>
      </c>
      <c r="AI10" s="4">
        <v>10000</v>
      </c>
      <c r="AJ10" s="4">
        <v>10000</v>
      </c>
      <c r="AK10" s="4">
        <v>10000</v>
      </c>
      <c r="AL10" s="4">
        <v>10000</v>
      </c>
      <c r="AM10" s="4">
        <v>10000</v>
      </c>
      <c r="AN10" s="12">
        <v>60</v>
      </c>
      <c r="AO10" s="4">
        <v>10000</v>
      </c>
      <c r="AP10" s="4">
        <v>10000</v>
      </c>
      <c r="AQ10" s="4">
        <v>10000</v>
      </c>
      <c r="AR10" s="4">
        <v>10000</v>
      </c>
      <c r="AS10" s="4">
        <v>10000</v>
      </c>
      <c r="AT10" s="4">
        <v>10000</v>
      </c>
      <c r="AU10" s="4">
        <v>10000</v>
      </c>
      <c r="AV10" s="13">
        <v>10000</v>
      </c>
      <c r="AW10" s="4">
        <v>10000</v>
      </c>
      <c r="AX10" s="4">
        <v>10000</v>
      </c>
      <c r="AY10" s="12">
        <v>10000</v>
      </c>
      <c r="AZ10" s="13">
        <v>15</v>
      </c>
      <c r="BA10" s="4">
        <v>10000</v>
      </c>
      <c r="BB10" s="4">
        <v>10000</v>
      </c>
      <c r="BC10" s="13">
        <v>10000</v>
      </c>
      <c r="BD10" s="4">
        <f>+Habilidad!B10</f>
        <v>1</v>
      </c>
      <c r="BE10" s="4">
        <f>+Habilidad!C10</f>
        <v>1</v>
      </c>
      <c r="BF10" s="4">
        <f>+Habilidad!D10</f>
        <v>0</v>
      </c>
      <c r="BG10" s="4">
        <f>+Habilidad!E10</f>
        <v>0</v>
      </c>
    </row>
    <row r="11" spans="1:59" ht="18.75" customHeight="1" x14ac:dyDescent="0.25">
      <c r="A11" s="5" t="s">
        <v>62</v>
      </c>
      <c r="B11" s="12">
        <v>10000</v>
      </c>
      <c r="C11" s="4">
        <v>10000</v>
      </c>
      <c r="D11" s="4">
        <v>10000</v>
      </c>
      <c r="E11" s="4">
        <v>10000</v>
      </c>
      <c r="F11" s="4">
        <v>15</v>
      </c>
      <c r="G11" s="4">
        <v>10000</v>
      </c>
      <c r="H11" s="4">
        <v>10000</v>
      </c>
      <c r="I11" s="4">
        <v>10000</v>
      </c>
      <c r="J11" s="4">
        <v>15</v>
      </c>
      <c r="K11" s="4">
        <v>10000</v>
      </c>
      <c r="L11" s="4">
        <v>15</v>
      </c>
      <c r="M11" s="4">
        <v>15</v>
      </c>
      <c r="N11" s="4">
        <v>10000</v>
      </c>
      <c r="O11" s="4">
        <v>10000</v>
      </c>
      <c r="P11" s="4">
        <v>10000</v>
      </c>
      <c r="Q11" s="4">
        <v>10000</v>
      </c>
      <c r="R11" s="4">
        <v>15</v>
      </c>
      <c r="S11" s="12">
        <v>10000</v>
      </c>
      <c r="T11" s="4">
        <v>10000</v>
      </c>
      <c r="U11" s="4">
        <v>10000</v>
      </c>
      <c r="V11" s="4">
        <v>10000</v>
      </c>
      <c r="W11" s="4">
        <v>10000</v>
      </c>
      <c r="X11" s="4">
        <v>10000</v>
      </c>
      <c r="Y11" s="4">
        <v>10000</v>
      </c>
      <c r="Z11" s="4">
        <v>10000</v>
      </c>
      <c r="AA11" s="4">
        <v>10000</v>
      </c>
      <c r="AB11" s="13">
        <v>10000</v>
      </c>
      <c r="AC11" s="4">
        <v>10000</v>
      </c>
      <c r="AD11" s="4">
        <v>10000</v>
      </c>
      <c r="AE11" s="4">
        <v>10000</v>
      </c>
      <c r="AF11" s="4">
        <v>10000</v>
      </c>
      <c r="AG11" s="4">
        <v>10000</v>
      </c>
      <c r="AH11" s="4">
        <v>10000</v>
      </c>
      <c r="AI11" s="4">
        <v>10000</v>
      </c>
      <c r="AJ11" s="4">
        <v>10000</v>
      </c>
      <c r="AK11" s="4">
        <v>10000</v>
      </c>
      <c r="AL11" s="4">
        <v>10000</v>
      </c>
      <c r="AM11" s="4">
        <v>10000</v>
      </c>
      <c r="AN11" s="12">
        <v>10000</v>
      </c>
      <c r="AO11" s="4">
        <v>108</v>
      </c>
      <c r="AP11" s="4">
        <v>10000</v>
      </c>
      <c r="AQ11" s="4">
        <v>10000</v>
      </c>
      <c r="AR11" s="4">
        <v>10000</v>
      </c>
      <c r="AS11" s="4">
        <v>10000</v>
      </c>
      <c r="AT11" s="4">
        <v>10000</v>
      </c>
      <c r="AU11" s="4">
        <v>10000</v>
      </c>
      <c r="AV11" s="13">
        <v>10000</v>
      </c>
      <c r="AW11" s="4">
        <v>10000</v>
      </c>
      <c r="AX11" s="4">
        <v>10000</v>
      </c>
      <c r="AY11" s="12">
        <v>10000</v>
      </c>
      <c r="AZ11" s="13">
        <v>10000</v>
      </c>
      <c r="BA11" s="4">
        <v>10000</v>
      </c>
      <c r="BB11" s="4">
        <v>10000</v>
      </c>
      <c r="BC11" s="13">
        <v>10000</v>
      </c>
      <c r="BD11" s="4">
        <f>+Habilidad!B11</f>
        <v>1</v>
      </c>
      <c r="BE11" s="4">
        <f>+Habilidad!C11</f>
        <v>1</v>
      </c>
      <c r="BF11" s="4">
        <f>+Habilidad!D11</f>
        <v>0</v>
      </c>
      <c r="BG11" s="4">
        <f>+Habilidad!E11</f>
        <v>1</v>
      </c>
    </row>
    <row r="12" spans="1:59" ht="18.75" customHeight="1" x14ac:dyDescent="0.25">
      <c r="A12" s="5" t="s">
        <v>63</v>
      </c>
      <c r="B12" s="12">
        <v>10000</v>
      </c>
      <c r="C12" s="4">
        <v>10000</v>
      </c>
      <c r="D12" s="4">
        <v>10000</v>
      </c>
      <c r="E12" s="4">
        <v>10000</v>
      </c>
      <c r="F12" s="4">
        <v>10000</v>
      </c>
      <c r="G12" s="4">
        <v>12</v>
      </c>
      <c r="H12" s="4">
        <v>10000</v>
      </c>
      <c r="I12" s="4">
        <v>10000</v>
      </c>
      <c r="J12" s="4">
        <v>15</v>
      </c>
      <c r="K12" s="4">
        <v>10000</v>
      </c>
      <c r="L12" s="4">
        <v>12</v>
      </c>
      <c r="M12" s="4">
        <v>12</v>
      </c>
      <c r="N12" s="4">
        <v>10000</v>
      </c>
      <c r="O12" s="4">
        <v>10000</v>
      </c>
      <c r="P12" s="4">
        <v>10000</v>
      </c>
      <c r="Q12" s="4">
        <v>10000</v>
      </c>
      <c r="R12" s="4">
        <v>10000</v>
      </c>
      <c r="S12" s="12">
        <v>10000</v>
      </c>
      <c r="T12" s="4">
        <v>10000</v>
      </c>
      <c r="U12" s="4">
        <v>10000</v>
      </c>
      <c r="V12" s="4">
        <v>10000</v>
      </c>
      <c r="W12" s="4">
        <v>10000</v>
      </c>
      <c r="X12" s="4">
        <v>10000</v>
      </c>
      <c r="Y12" s="4">
        <v>10000</v>
      </c>
      <c r="Z12" s="4">
        <v>10000</v>
      </c>
      <c r="AA12" s="4">
        <v>10000</v>
      </c>
      <c r="AB12" s="13">
        <v>10000</v>
      </c>
      <c r="AC12" s="4">
        <v>10000</v>
      </c>
      <c r="AD12" s="4">
        <v>10000</v>
      </c>
      <c r="AE12" s="4">
        <v>10000</v>
      </c>
      <c r="AF12" s="4">
        <v>10000</v>
      </c>
      <c r="AG12" s="4">
        <v>10000</v>
      </c>
      <c r="AH12" s="4">
        <v>10000</v>
      </c>
      <c r="AI12" s="4">
        <v>10000</v>
      </c>
      <c r="AJ12" s="4">
        <v>10000</v>
      </c>
      <c r="AK12" s="4">
        <v>10000</v>
      </c>
      <c r="AL12" s="4">
        <v>10000</v>
      </c>
      <c r="AM12" s="4">
        <v>10000</v>
      </c>
      <c r="AN12" s="12">
        <v>10000</v>
      </c>
      <c r="AO12" s="4">
        <v>10000</v>
      </c>
      <c r="AP12" s="4">
        <v>10000</v>
      </c>
      <c r="AQ12" s="4">
        <v>10000</v>
      </c>
      <c r="AR12" s="4">
        <v>10000</v>
      </c>
      <c r="AS12" s="4">
        <v>10000</v>
      </c>
      <c r="AT12" s="4">
        <v>10000</v>
      </c>
      <c r="AU12" s="4">
        <v>10000</v>
      </c>
      <c r="AV12" s="13">
        <v>10000</v>
      </c>
      <c r="AW12" s="4">
        <v>10000</v>
      </c>
      <c r="AX12" s="4">
        <v>10000</v>
      </c>
      <c r="AY12" s="12">
        <v>10000</v>
      </c>
      <c r="AZ12" s="13">
        <v>10000</v>
      </c>
      <c r="BA12" s="4">
        <v>10000</v>
      </c>
      <c r="BB12" s="4">
        <v>10000</v>
      </c>
      <c r="BC12" s="13">
        <v>10000</v>
      </c>
      <c r="BD12" s="4">
        <f>+Habilidad!B12</f>
        <v>1</v>
      </c>
      <c r="BE12" s="4">
        <f>+Habilidad!C12</f>
        <v>1</v>
      </c>
      <c r="BF12" s="4">
        <f>+Habilidad!D12</f>
        <v>1</v>
      </c>
      <c r="BG12" s="4">
        <f>+Habilidad!E12</f>
        <v>0</v>
      </c>
    </row>
    <row r="13" spans="1:59" ht="18.75" customHeight="1" x14ac:dyDescent="0.25">
      <c r="A13" s="5" t="s">
        <v>64</v>
      </c>
      <c r="B13" s="12">
        <v>10000</v>
      </c>
      <c r="C13" s="4">
        <v>10000</v>
      </c>
      <c r="D13" s="4">
        <v>10000</v>
      </c>
      <c r="E13" s="4">
        <v>10000</v>
      </c>
      <c r="F13" s="4">
        <v>15</v>
      </c>
      <c r="G13" s="4">
        <v>10000</v>
      </c>
      <c r="H13" s="4">
        <v>10000</v>
      </c>
      <c r="I13" s="4">
        <v>10000</v>
      </c>
      <c r="J13" s="4">
        <v>15</v>
      </c>
      <c r="K13" s="4">
        <v>10000</v>
      </c>
      <c r="L13" s="4">
        <v>12</v>
      </c>
      <c r="M13" s="4">
        <v>12</v>
      </c>
      <c r="N13" s="4">
        <v>10000</v>
      </c>
      <c r="O13" s="4">
        <v>10000</v>
      </c>
      <c r="P13" s="4">
        <v>10000</v>
      </c>
      <c r="Q13" s="4">
        <v>10000</v>
      </c>
      <c r="R13" s="4">
        <v>15</v>
      </c>
      <c r="S13" s="12">
        <v>10000</v>
      </c>
      <c r="T13" s="4">
        <v>10000</v>
      </c>
      <c r="U13" s="4">
        <v>10000</v>
      </c>
      <c r="V13" s="4">
        <v>10000</v>
      </c>
      <c r="W13" s="4">
        <v>10000</v>
      </c>
      <c r="X13" s="4">
        <v>10000</v>
      </c>
      <c r="Y13" s="4">
        <v>10000</v>
      </c>
      <c r="Z13" s="4">
        <v>10000</v>
      </c>
      <c r="AA13" s="4">
        <v>10000</v>
      </c>
      <c r="AB13" s="13">
        <v>10000</v>
      </c>
      <c r="AC13" s="4">
        <v>10000</v>
      </c>
      <c r="AD13" s="4">
        <v>10000</v>
      </c>
      <c r="AE13" s="4">
        <v>10000</v>
      </c>
      <c r="AF13" s="4">
        <v>10000</v>
      </c>
      <c r="AG13" s="4">
        <v>10000</v>
      </c>
      <c r="AH13" s="4">
        <v>10000</v>
      </c>
      <c r="AI13" s="4">
        <v>10000</v>
      </c>
      <c r="AJ13" s="4">
        <v>10000</v>
      </c>
      <c r="AK13" s="4">
        <v>10000</v>
      </c>
      <c r="AL13" s="4">
        <v>10000</v>
      </c>
      <c r="AM13" s="4">
        <v>10000</v>
      </c>
      <c r="AN13" s="12">
        <v>10000</v>
      </c>
      <c r="AO13" s="4">
        <v>108</v>
      </c>
      <c r="AP13" s="4">
        <v>10000</v>
      </c>
      <c r="AQ13" s="4">
        <v>10000</v>
      </c>
      <c r="AR13" s="4">
        <v>10000</v>
      </c>
      <c r="AS13" s="4">
        <v>10000</v>
      </c>
      <c r="AT13" s="4">
        <v>10000</v>
      </c>
      <c r="AU13" s="4">
        <v>10000</v>
      </c>
      <c r="AV13" s="13">
        <v>10000</v>
      </c>
      <c r="AW13" s="4">
        <v>10000</v>
      </c>
      <c r="AX13" s="4">
        <v>10000</v>
      </c>
      <c r="AY13" s="12">
        <v>10000</v>
      </c>
      <c r="AZ13" s="13">
        <v>10000</v>
      </c>
      <c r="BA13" s="4">
        <v>10000</v>
      </c>
      <c r="BB13" s="4">
        <v>10000</v>
      </c>
      <c r="BC13" s="13">
        <v>10000</v>
      </c>
      <c r="BD13" s="4">
        <f>+Habilidad!B13</f>
        <v>1</v>
      </c>
      <c r="BE13" s="4">
        <f>+Habilidad!C13</f>
        <v>1</v>
      </c>
      <c r="BF13" s="4">
        <f>+Habilidad!D13</f>
        <v>0</v>
      </c>
      <c r="BG13" s="4">
        <f>+Habilidad!E13</f>
        <v>1</v>
      </c>
    </row>
    <row r="14" spans="1:59" ht="18.75" customHeight="1" x14ac:dyDescent="0.25">
      <c r="A14" s="5" t="s">
        <v>65</v>
      </c>
      <c r="B14" s="12">
        <v>12</v>
      </c>
      <c r="C14" s="4">
        <v>10000</v>
      </c>
      <c r="D14" s="4">
        <v>10000</v>
      </c>
      <c r="E14" s="4">
        <v>10000</v>
      </c>
      <c r="F14" s="4">
        <v>10000</v>
      </c>
      <c r="G14" s="4">
        <v>10000</v>
      </c>
      <c r="H14" s="4">
        <v>10000</v>
      </c>
      <c r="I14" s="4">
        <v>10000</v>
      </c>
      <c r="J14" s="4">
        <v>10000</v>
      </c>
      <c r="K14" s="4">
        <v>10000</v>
      </c>
      <c r="L14" s="4">
        <v>12</v>
      </c>
      <c r="M14" s="4">
        <v>12</v>
      </c>
      <c r="N14" s="4">
        <v>10000</v>
      </c>
      <c r="O14" s="4">
        <v>6</v>
      </c>
      <c r="P14" s="4">
        <v>10000</v>
      </c>
      <c r="Q14" s="4">
        <v>10000</v>
      </c>
      <c r="R14" s="4">
        <v>10000</v>
      </c>
      <c r="S14" s="12">
        <v>10000</v>
      </c>
      <c r="T14" s="4">
        <v>10000</v>
      </c>
      <c r="U14" s="4">
        <v>10000</v>
      </c>
      <c r="V14" s="4">
        <v>10000</v>
      </c>
      <c r="W14" s="4">
        <v>10000</v>
      </c>
      <c r="X14" s="4">
        <v>10000</v>
      </c>
      <c r="Y14" s="4">
        <v>10000</v>
      </c>
      <c r="Z14" s="4">
        <v>10000</v>
      </c>
      <c r="AA14" s="4">
        <v>10000</v>
      </c>
      <c r="AB14" s="13">
        <v>10000</v>
      </c>
      <c r="AC14" s="4">
        <v>10000</v>
      </c>
      <c r="AD14" s="4">
        <v>10000</v>
      </c>
      <c r="AE14" s="4">
        <v>10000</v>
      </c>
      <c r="AF14" s="4">
        <v>10000</v>
      </c>
      <c r="AG14" s="4">
        <v>10000</v>
      </c>
      <c r="AH14" s="4">
        <v>10000</v>
      </c>
      <c r="AI14" s="4">
        <v>10000</v>
      </c>
      <c r="AJ14" s="4">
        <v>10000</v>
      </c>
      <c r="AK14" s="4">
        <v>10000</v>
      </c>
      <c r="AL14" s="4">
        <v>10000</v>
      </c>
      <c r="AM14" s="4">
        <v>10000</v>
      </c>
      <c r="AN14" s="12">
        <v>10000</v>
      </c>
      <c r="AO14" s="4">
        <v>10000</v>
      </c>
      <c r="AP14" s="4">
        <v>10000</v>
      </c>
      <c r="AQ14" s="4">
        <v>10000</v>
      </c>
      <c r="AR14" s="4">
        <v>54</v>
      </c>
      <c r="AS14" s="4">
        <v>12</v>
      </c>
      <c r="AT14" s="4">
        <v>10000</v>
      </c>
      <c r="AU14" s="4">
        <v>10000</v>
      </c>
      <c r="AV14" s="13">
        <v>10000</v>
      </c>
      <c r="AW14" s="4">
        <v>12</v>
      </c>
      <c r="AX14" s="4">
        <v>10000</v>
      </c>
      <c r="AY14" s="12">
        <v>10000</v>
      </c>
      <c r="AZ14" s="13">
        <v>10000</v>
      </c>
      <c r="BA14" s="4">
        <v>10000</v>
      </c>
      <c r="BB14" s="4">
        <v>10000</v>
      </c>
      <c r="BC14" s="13">
        <v>10000</v>
      </c>
      <c r="BD14" s="4">
        <f>+Habilidad!B14</f>
        <v>1</v>
      </c>
      <c r="BE14" s="4">
        <f>+Habilidad!C14</f>
        <v>0</v>
      </c>
      <c r="BF14" s="4">
        <f>+Habilidad!D14</f>
        <v>0</v>
      </c>
      <c r="BG14" s="4">
        <f>+Habilidad!E14</f>
        <v>0</v>
      </c>
    </row>
    <row r="15" spans="1:59" ht="18.75" customHeight="1" x14ac:dyDescent="0.25">
      <c r="A15" s="5" t="s">
        <v>66</v>
      </c>
      <c r="B15" s="12">
        <v>10000</v>
      </c>
      <c r="C15" s="4">
        <v>15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10000</v>
      </c>
      <c r="K15" s="4">
        <v>10000</v>
      </c>
      <c r="L15" s="4">
        <v>12</v>
      </c>
      <c r="M15" s="4">
        <v>12</v>
      </c>
      <c r="N15" s="4">
        <v>10000</v>
      </c>
      <c r="O15" s="4">
        <v>10000</v>
      </c>
      <c r="P15" s="4">
        <v>8</v>
      </c>
      <c r="Q15" s="4">
        <v>10000</v>
      </c>
      <c r="R15" s="4">
        <v>10000</v>
      </c>
      <c r="S15" s="12">
        <v>10000</v>
      </c>
      <c r="T15" s="4">
        <v>10000</v>
      </c>
      <c r="U15" s="4">
        <v>10000</v>
      </c>
      <c r="V15" s="4">
        <v>10000</v>
      </c>
      <c r="W15" s="4">
        <v>10000</v>
      </c>
      <c r="X15" s="4">
        <v>10000</v>
      </c>
      <c r="Y15" s="4">
        <v>10000</v>
      </c>
      <c r="Z15" s="4">
        <v>10000</v>
      </c>
      <c r="AA15" s="4">
        <v>10000</v>
      </c>
      <c r="AB15" s="13">
        <v>10000</v>
      </c>
      <c r="AC15" s="4">
        <v>10000</v>
      </c>
      <c r="AD15" s="4">
        <v>10000</v>
      </c>
      <c r="AE15" s="4">
        <v>10000</v>
      </c>
      <c r="AF15" s="4">
        <v>10000</v>
      </c>
      <c r="AG15" s="4">
        <v>10000</v>
      </c>
      <c r="AH15" s="4">
        <v>10000</v>
      </c>
      <c r="AI15" s="4">
        <v>10000</v>
      </c>
      <c r="AJ15" s="4">
        <v>10000</v>
      </c>
      <c r="AK15" s="4">
        <v>10000</v>
      </c>
      <c r="AL15" s="4">
        <v>10000</v>
      </c>
      <c r="AM15" s="4">
        <v>10000</v>
      </c>
      <c r="AN15" s="12">
        <v>10000</v>
      </c>
      <c r="AO15" s="4">
        <v>10000</v>
      </c>
      <c r="AP15" s="4">
        <v>10000</v>
      </c>
      <c r="AQ15" s="4">
        <v>10000</v>
      </c>
      <c r="AR15" s="4">
        <v>10000</v>
      </c>
      <c r="AS15" s="4">
        <v>10000</v>
      </c>
      <c r="AT15" s="4">
        <v>10000</v>
      </c>
      <c r="AU15" s="4">
        <v>50</v>
      </c>
      <c r="AV15" s="13">
        <v>10000</v>
      </c>
      <c r="AW15" s="4">
        <v>10000</v>
      </c>
      <c r="AX15" s="4">
        <v>15</v>
      </c>
      <c r="AY15" s="12">
        <v>10000</v>
      </c>
      <c r="AZ15" s="13">
        <v>10000</v>
      </c>
      <c r="BA15" s="4">
        <v>10000</v>
      </c>
      <c r="BB15" s="4">
        <v>10000</v>
      </c>
      <c r="BC15" s="13">
        <v>10000</v>
      </c>
      <c r="BD15" s="4">
        <f>+Habilidad!B15</f>
        <v>1</v>
      </c>
      <c r="BE15" s="4">
        <f>+Habilidad!C15</f>
        <v>0</v>
      </c>
      <c r="BF15" s="4">
        <f>+Habilidad!D15</f>
        <v>0</v>
      </c>
      <c r="BG15" s="4">
        <f>+Habilidad!E15</f>
        <v>0</v>
      </c>
    </row>
    <row r="16" spans="1:59" ht="18.75" customHeight="1" x14ac:dyDescent="0.25">
      <c r="A16" s="5" t="s">
        <v>67</v>
      </c>
      <c r="B16" s="12">
        <v>10000</v>
      </c>
      <c r="C16" s="4">
        <v>10000</v>
      </c>
      <c r="D16" s="4">
        <v>10000</v>
      </c>
      <c r="E16" s="4">
        <v>10000</v>
      </c>
      <c r="F16" s="4">
        <v>10000</v>
      </c>
      <c r="G16" s="4">
        <v>12</v>
      </c>
      <c r="H16" s="4">
        <v>10000</v>
      </c>
      <c r="I16" s="4">
        <v>10000</v>
      </c>
      <c r="J16" s="4">
        <v>15</v>
      </c>
      <c r="K16" s="4">
        <v>10000</v>
      </c>
      <c r="L16" s="4">
        <v>12</v>
      </c>
      <c r="M16" s="4">
        <v>12</v>
      </c>
      <c r="N16" s="4">
        <v>15</v>
      </c>
      <c r="O16" s="4">
        <v>10000</v>
      </c>
      <c r="P16" s="4">
        <v>10000</v>
      </c>
      <c r="Q16" s="4">
        <v>5</v>
      </c>
      <c r="R16" s="4">
        <v>15</v>
      </c>
      <c r="S16" s="12">
        <v>10000</v>
      </c>
      <c r="T16" s="4">
        <v>10000</v>
      </c>
      <c r="U16" s="4">
        <v>10000</v>
      </c>
      <c r="V16" s="4">
        <v>10000</v>
      </c>
      <c r="W16" s="4">
        <v>10000</v>
      </c>
      <c r="X16" s="4">
        <v>10000</v>
      </c>
      <c r="Y16" s="4">
        <v>10000</v>
      </c>
      <c r="Z16" s="4">
        <v>10000</v>
      </c>
      <c r="AA16" s="4">
        <v>10000</v>
      </c>
      <c r="AB16" s="13">
        <v>10000</v>
      </c>
      <c r="AC16" s="4">
        <v>10000</v>
      </c>
      <c r="AD16" s="4">
        <v>10000</v>
      </c>
      <c r="AE16" s="4">
        <v>10000</v>
      </c>
      <c r="AF16" s="4">
        <v>10000</v>
      </c>
      <c r="AG16" s="4">
        <v>10000</v>
      </c>
      <c r="AH16" s="4">
        <v>10000</v>
      </c>
      <c r="AI16" s="4">
        <v>10000</v>
      </c>
      <c r="AJ16" s="4">
        <v>10000</v>
      </c>
      <c r="AK16" s="4">
        <v>10000</v>
      </c>
      <c r="AL16" s="4">
        <v>10000</v>
      </c>
      <c r="AM16" s="4">
        <v>10000</v>
      </c>
      <c r="AN16" s="12">
        <v>10000</v>
      </c>
      <c r="AO16" s="4">
        <v>10000</v>
      </c>
      <c r="AP16" s="4">
        <v>10000</v>
      </c>
      <c r="AQ16" s="4">
        <v>25</v>
      </c>
      <c r="AR16" s="4">
        <v>10000</v>
      </c>
      <c r="AS16" s="4">
        <v>10000</v>
      </c>
      <c r="AT16" s="4">
        <v>10000</v>
      </c>
      <c r="AU16" s="4">
        <v>10000</v>
      </c>
      <c r="AV16" s="13">
        <v>10000</v>
      </c>
      <c r="AW16" s="4">
        <v>10000</v>
      </c>
      <c r="AX16" s="4">
        <v>15</v>
      </c>
      <c r="AY16" s="12">
        <v>10000</v>
      </c>
      <c r="AZ16" s="13">
        <v>10000</v>
      </c>
      <c r="BA16" s="4">
        <v>10000</v>
      </c>
      <c r="BB16" s="4">
        <v>10000</v>
      </c>
      <c r="BC16" s="13">
        <v>10000</v>
      </c>
      <c r="BD16" s="4">
        <f>+Habilidad!B16</f>
        <v>1</v>
      </c>
      <c r="BE16" s="4">
        <f>+Habilidad!C16</f>
        <v>1</v>
      </c>
      <c r="BF16" s="4">
        <f>+Habilidad!D16</f>
        <v>1</v>
      </c>
      <c r="BG16" s="4">
        <f>+Habilidad!E16</f>
        <v>1</v>
      </c>
    </row>
    <row r="17" spans="1:59" ht="18.75" customHeight="1" x14ac:dyDescent="0.25">
      <c r="A17" s="5" t="s">
        <v>68</v>
      </c>
      <c r="B17" s="12">
        <v>10000</v>
      </c>
      <c r="C17" s="4">
        <v>12</v>
      </c>
      <c r="D17" s="4">
        <v>10000</v>
      </c>
      <c r="E17" s="4">
        <v>10000</v>
      </c>
      <c r="F17" s="4">
        <v>10000</v>
      </c>
      <c r="G17" s="4">
        <v>10000</v>
      </c>
      <c r="H17" s="4">
        <v>10000</v>
      </c>
      <c r="I17" s="4">
        <v>10000</v>
      </c>
      <c r="J17" s="4">
        <v>10000</v>
      </c>
      <c r="K17" s="4">
        <v>10000</v>
      </c>
      <c r="L17" s="4">
        <v>12</v>
      </c>
      <c r="M17" s="4">
        <v>12</v>
      </c>
      <c r="N17" s="4">
        <v>10000</v>
      </c>
      <c r="O17" s="4">
        <v>10000</v>
      </c>
      <c r="P17" s="4">
        <v>6</v>
      </c>
      <c r="Q17" s="4">
        <v>10000</v>
      </c>
      <c r="R17" s="4">
        <v>10000</v>
      </c>
      <c r="S17" s="12">
        <v>10000</v>
      </c>
      <c r="T17" s="4">
        <v>10000</v>
      </c>
      <c r="U17" s="4">
        <v>10000</v>
      </c>
      <c r="V17" s="4">
        <v>10000</v>
      </c>
      <c r="W17" s="4">
        <v>10000</v>
      </c>
      <c r="X17" s="4">
        <v>10000</v>
      </c>
      <c r="Y17" s="4">
        <v>10000</v>
      </c>
      <c r="Z17" s="4">
        <v>10000</v>
      </c>
      <c r="AA17" s="4">
        <v>10000</v>
      </c>
      <c r="AB17" s="13">
        <v>10000</v>
      </c>
      <c r="AC17" s="4">
        <v>10000</v>
      </c>
      <c r="AD17" s="4">
        <v>10000</v>
      </c>
      <c r="AE17" s="4">
        <v>10000</v>
      </c>
      <c r="AF17" s="4">
        <v>10000</v>
      </c>
      <c r="AG17" s="4">
        <v>10000</v>
      </c>
      <c r="AH17" s="4">
        <v>10000</v>
      </c>
      <c r="AI17" s="4">
        <v>10000</v>
      </c>
      <c r="AJ17" s="4">
        <v>10000</v>
      </c>
      <c r="AK17" s="4">
        <v>10000</v>
      </c>
      <c r="AL17" s="4">
        <v>10000</v>
      </c>
      <c r="AM17" s="4">
        <v>10000</v>
      </c>
      <c r="AN17" s="12">
        <v>10000</v>
      </c>
      <c r="AO17" s="4">
        <v>10000</v>
      </c>
      <c r="AP17" s="4">
        <v>10000</v>
      </c>
      <c r="AQ17" s="4">
        <v>10000</v>
      </c>
      <c r="AR17" s="4">
        <v>10000</v>
      </c>
      <c r="AS17" s="4">
        <v>10000</v>
      </c>
      <c r="AT17" s="4">
        <v>10000</v>
      </c>
      <c r="AU17" s="4">
        <v>50</v>
      </c>
      <c r="AV17" s="13">
        <v>10000</v>
      </c>
      <c r="AW17" s="4">
        <v>10000</v>
      </c>
      <c r="AX17" s="4">
        <v>15</v>
      </c>
      <c r="AY17" s="12">
        <v>10000</v>
      </c>
      <c r="AZ17" s="13">
        <v>10000</v>
      </c>
      <c r="BA17" s="4">
        <v>10000</v>
      </c>
      <c r="BB17" s="4">
        <v>10000</v>
      </c>
      <c r="BC17" s="13">
        <v>10000</v>
      </c>
      <c r="BD17" s="4">
        <f>+Habilidad!B17</f>
        <v>1</v>
      </c>
      <c r="BE17" s="4">
        <f>+Habilidad!C17</f>
        <v>0</v>
      </c>
      <c r="BF17" s="4">
        <f>+Habilidad!D17</f>
        <v>0</v>
      </c>
      <c r="BG17" s="4">
        <f>+Habilidad!E17</f>
        <v>0</v>
      </c>
    </row>
    <row r="18" spans="1:59" ht="18.75" customHeight="1" x14ac:dyDescent="0.25">
      <c r="A18" s="5" t="s">
        <v>69</v>
      </c>
      <c r="B18" s="12">
        <v>10000</v>
      </c>
      <c r="C18" s="4">
        <v>10000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10000</v>
      </c>
      <c r="K18" s="4">
        <v>10000</v>
      </c>
      <c r="L18" s="4">
        <v>10000</v>
      </c>
      <c r="M18" s="4">
        <v>10000</v>
      </c>
      <c r="N18" s="4">
        <v>10000</v>
      </c>
      <c r="O18" s="4">
        <v>10000</v>
      </c>
      <c r="P18" s="4">
        <v>10000</v>
      </c>
      <c r="Q18" s="4">
        <v>10000</v>
      </c>
      <c r="R18" s="4">
        <v>10000</v>
      </c>
      <c r="S18" s="12">
        <v>10000</v>
      </c>
      <c r="T18" s="4">
        <v>10000</v>
      </c>
      <c r="U18" s="4">
        <v>10000</v>
      </c>
      <c r="V18" s="4">
        <v>10000</v>
      </c>
      <c r="W18" s="4">
        <v>10000</v>
      </c>
      <c r="X18" s="4">
        <v>10000</v>
      </c>
      <c r="Y18" s="4">
        <v>10000</v>
      </c>
      <c r="Z18" s="4">
        <v>10000</v>
      </c>
      <c r="AA18" s="4">
        <v>10000</v>
      </c>
      <c r="AB18" s="13">
        <v>10000</v>
      </c>
      <c r="AC18" s="4">
        <v>10000</v>
      </c>
      <c r="AD18" s="4">
        <v>10000</v>
      </c>
      <c r="AE18" s="4">
        <v>10000</v>
      </c>
      <c r="AF18" s="4">
        <v>10000</v>
      </c>
      <c r="AG18" s="4">
        <v>10000</v>
      </c>
      <c r="AH18" s="4">
        <v>10000</v>
      </c>
      <c r="AI18" s="4">
        <v>10000</v>
      </c>
      <c r="AJ18" s="4">
        <v>10000</v>
      </c>
      <c r="AK18" s="4">
        <v>10000</v>
      </c>
      <c r="AL18" s="4">
        <v>10000</v>
      </c>
      <c r="AM18" s="4">
        <v>10000</v>
      </c>
      <c r="AN18" s="12">
        <v>10000</v>
      </c>
      <c r="AO18" s="4">
        <v>10000</v>
      </c>
      <c r="AP18" s="4">
        <v>10000</v>
      </c>
      <c r="AQ18" s="4">
        <v>10000</v>
      </c>
      <c r="AR18" s="4">
        <v>10000</v>
      </c>
      <c r="AS18" s="4">
        <v>10000</v>
      </c>
      <c r="AT18" s="4">
        <v>10000</v>
      </c>
      <c r="AU18" s="4">
        <v>10000</v>
      </c>
      <c r="AV18" s="13">
        <v>8</v>
      </c>
      <c r="AW18" s="4">
        <v>10000</v>
      </c>
      <c r="AX18" s="4">
        <v>10000</v>
      </c>
      <c r="AY18" s="12">
        <v>10000</v>
      </c>
      <c r="AZ18" s="13">
        <v>10000</v>
      </c>
      <c r="BA18" s="4">
        <v>10000</v>
      </c>
      <c r="BB18" s="4">
        <v>10000</v>
      </c>
      <c r="BC18" s="13">
        <v>10000</v>
      </c>
      <c r="BD18" s="4">
        <f>+Habilidad!B18</f>
        <v>1</v>
      </c>
      <c r="BE18" s="4">
        <f>+Habilidad!C18</f>
        <v>0</v>
      </c>
      <c r="BF18" s="4">
        <f>+Habilidad!D18</f>
        <v>0</v>
      </c>
      <c r="BG18" s="4">
        <f>+Habilidad!E18</f>
        <v>0</v>
      </c>
    </row>
    <row r="19" spans="1:59" ht="18.75" customHeight="1" x14ac:dyDescent="0.25">
      <c r="A19" s="5" t="s">
        <v>70</v>
      </c>
      <c r="B19" s="12">
        <v>10000</v>
      </c>
      <c r="C19" s="4">
        <v>10000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10000</v>
      </c>
      <c r="K19" s="4">
        <v>10000</v>
      </c>
      <c r="L19" s="4">
        <v>10000</v>
      </c>
      <c r="M19" s="4">
        <v>10000</v>
      </c>
      <c r="N19" s="4">
        <v>10000</v>
      </c>
      <c r="O19" s="4">
        <v>10000</v>
      </c>
      <c r="P19" s="4">
        <v>10000</v>
      </c>
      <c r="Q19" s="4">
        <v>10000</v>
      </c>
      <c r="R19" s="4">
        <v>10000</v>
      </c>
      <c r="S19" s="12">
        <v>10000</v>
      </c>
      <c r="T19" s="4">
        <v>10000</v>
      </c>
      <c r="U19" s="4">
        <v>10000</v>
      </c>
      <c r="V19" s="4">
        <v>10000</v>
      </c>
      <c r="W19" s="4">
        <v>10000</v>
      </c>
      <c r="X19" s="4">
        <v>10000</v>
      </c>
      <c r="Y19" s="4">
        <v>10000</v>
      </c>
      <c r="Z19" s="4">
        <v>10000</v>
      </c>
      <c r="AA19" s="4">
        <v>10000</v>
      </c>
      <c r="AB19" s="13">
        <v>10000</v>
      </c>
      <c r="AC19" s="4">
        <v>10000</v>
      </c>
      <c r="AD19" s="4">
        <v>10000</v>
      </c>
      <c r="AE19" s="4">
        <v>10000</v>
      </c>
      <c r="AF19" s="4">
        <v>10000</v>
      </c>
      <c r="AG19" s="4">
        <v>10000</v>
      </c>
      <c r="AH19" s="4">
        <v>10000</v>
      </c>
      <c r="AI19" s="4">
        <v>10000</v>
      </c>
      <c r="AJ19" s="4">
        <v>10000</v>
      </c>
      <c r="AK19" s="4">
        <v>10000</v>
      </c>
      <c r="AL19" s="4">
        <v>10000</v>
      </c>
      <c r="AM19" s="4">
        <v>10000</v>
      </c>
      <c r="AN19" s="12">
        <v>10000</v>
      </c>
      <c r="AO19" s="4">
        <v>10000</v>
      </c>
      <c r="AP19" s="4">
        <v>10000</v>
      </c>
      <c r="AQ19" s="4">
        <v>10000</v>
      </c>
      <c r="AR19" s="4">
        <v>10000</v>
      </c>
      <c r="AS19" s="4">
        <v>10000</v>
      </c>
      <c r="AT19" s="4">
        <v>10000</v>
      </c>
      <c r="AU19" s="4">
        <v>10000</v>
      </c>
      <c r="AV19" s="13">
        <v>8</v>
      </c>
      <c r="AW19" s="4">
        <v>10000</v>
      </c>
      <c r="AX19" s="4">
        <v>10000</v>
      </c>
      <c r="AY19" s="12">
        <v>10000</v>
      </c>
      <c r="AZ19" s="13">
        <v>10000</v>
      </c>
      <c r="BA19" s="4">
        <v>10000</v>
      </c>
      <c r="BB19" s="4">
        <v>10000</v>
      </c>
      <c r="BC19" s="13">
        <v>10000</v>
      </c>
      <c r="BD19" s="4">
        <f>+Habilidad!B19</f>
        <v>1</v>
      </c>
      <c r="BE19" s="4">
        <f>+Habilidad!C19</f>
        <v>0</v>
      </c>
      <c r="BF19" s="4">
        <f>+Habilidad!D19</f>
        <v>0</v>
      </c>
      <c r="BG19" s="4">
        <f>+Habilidad!E19</f>
        <v>0</v>
      </c>
    </row>
    <row r="20" spans="1:59" ht="18.75" customHeight="1" x14ac:dyDescent="0.25">
      <c r="A20" s="5" t="s">
        <v>71</v>
      </c>
      <c r="B20" s="12">
        <v>10000</v>
      </c>
      <c r="C20" s="4">
        <v>10000</v>
      </c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4">
        <v>10000</v>
      </c>
      <c r="K20" s="4">
        <v>10000</v>
      </c>
      <c r="L20" s="4">
        <v>10000</v>
      </c>
      <c r="M20" s="4">
        <v>10000</v>
      </c>
      <c r="N20" s="4">
        <v>10000</v>
      </c>
      <c r="O20" s="4">
        <v>10000</v>
      </c>
      <c r="P20" s="4">
        <v>10000</v>
      </c>
      <c r="Q20" s="4">
        <v>10000</v>
      </c>
      <c r="R20" s="4">
        <v>10000</v>
      </c>
      <c r="S20" s="12">
        <v>10000</v>
      </c>
      <c r="T20" s="4">
        <v>10000</v>
      </c>
      <c r="U20" s="4">
        <v>10000</v>
      </c>
      <c r="V20" s="4">
        <v>10000</v>
      </c>
      <c r="W20" s="4">
        <v>10000</v>
      </c>
      <c r="X20" s="4">
        <v>10000</v>
      </c>
      <c r="Y20" s="4">
        <v>10000</v>
      </c>
      <c r="Z20" s="4">
        <v>10000</v>
      </c>
      <c r="AA20" s="4">
        <v>10000</v>
      </c>
      <c r="AB20" s="13">
        <v>10000</v>
      </c>
      <c r="AC20" s="4">
        <v>10000</v>
      </c>
      <c r="AD20" s="4">
        <v>10000</v>
      </c>
      <c r="AE20" s="4">
        <v>10000</v>
      </c>
      <c r="AF20" s="4">
        <v>10000</v>
      </c>
      <c r="AG20" s="4">
        <v>10000</v>
      </c>
      <c r="AH20" s="4">
        <v>10000</v>
      </c>
      <c r="AI20" s="4">
        <v>10000</v>
      </c>
      <c r="AJ20" s="4">
        <v>10000</v>
      </c>
      <c r="AK20" s="4">
        <v>10000</v>
      </c>
      <c r="AL20" s="4">
        <v>10000</v>
      </c>
      <c r="AM20" s="4">
        <v>10000</v>
      </c>
      <c r="AN20" s="12">
        <v>10000</v>
      </c>
      <c r="AO20" s="4">
        <v>10000</v>
      </c>
      <c r="AP20" s="4">
        <v>10000</v>
      </c>
      <c r="AQ20" s="4">
        <v>10000</v>
      </c>
      <c r="AR20" s="4">
        <v>10000</v>
      </c>
      <c r="AS20" s="4">
        <v>10000</v>
      </c>
      <c r="AT20" s="4">
        <v>10000</v>
      </c>
      <c r="AU20" s="4">
        <v>10000</v>
      </c>
      <c r="AV20" s="13">
        <v>12</v>
      </c>
      <c r="AW20" s="4">
        <v>10000</v>
      </c>
      <c r="AX20" s="4">
        <v>10000</v>
      </c>
      <c r="AY20" s="12">
        <v>10000</v>
      </c>
      <c r="AZ20" s="13">
        <v>10000</v>
      </c>
      <c r="BA20" s="4">
        <v>10000</v>
      </c>
      <c r="BB20" s="4">
        <v>10000</v>
      </c>
      <c r="BC20" s="13">
        <v>10000</v>
      </c>
      <c r="BD20" s="4">
        <f>+Habilidad!B20</f>
        <v>1</v>
      </c>
      <c r="BE20" s="4">
        <f>+Habilidad!C20</f>
        <v>0</v>
      </c>
      <c r="BF20" s="4">
        <f>+Habilidad!D20</f>
        <v>0</v>
      </c>
      <c r="BG20" s="4">
        <f>+Habilidad!E20</f>
        <v>0</v>
      </c>
    </row>
    <row r="21" spans="1:59" ht="18.75" customHeight="1" x14ac:dyDescent="0.25">
      <c r="A21" s="5" t="s">
        <v>72</v>
      </c>
      <c r="B21" s="12">
        <v>10000</v>
      </c>
      <c r="C21" s="4">
        <v>10000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4">
        <v>10000</v>
      </c>
      <c r="K21" s="4">
        <v>10000</v>
      </c>
      <c r="L21" s="4">
        <v>10000</v>
      </c>
      <c r="M21" s="4">
        <v>10000</v>
      </c>
      <c r="N21" s="4">
        <v>10000</v>
      </c>
      <c r="O21" s="4">
        <v>10000</v>
      </c>
      <c r="P21" s="4">
        <v>10000</v>
      </c>
      <c r="Q21" s="4">
        <v>10000</v>
      </c>
      <c r="R21" s="4">
        <v>10000</v>
      </c>
      <c r="S21" s="12">
        <v>40</v>
      </c>
      <c r="T21" s="4">
        <v>15</v>
      </c>
      <c r="U21" s="4">
        <v>15</v>
      </c>
      <c r="V21" s="4">
        <v>10000</v>
      </c>
      <c r="W21" s="4">
        <v>8</v>
      </c>
      <c r="X21" s="4">
        <v>20</v>
      </c>
      <c r="Y21" s="4">
        <v>50</v>
      </c>
      <c r="Z21" s="4">
        <v>15</v>
      </c>
      <c r="AA21" s="4">
        <v>10</v>
      </c>
      <c r="AB21" s="13">
        <v>30</v>
      </c>
      <c r="AC21" s="4">
        <v>10</v>
      </c>
      <c r="AD21" s="4">
        <v>10</v>
      </c>
      <c r="AE21" s="4">
        <v>10</v>
      </c>
      <c r="AF21" s="4">
        <v>10</v>
      </c>
      <c r="AG21" s="4">
        <v>30</v>
      </c>
      <c r="AH21" s="4">
        <v>10</v>
      </c>
      <c r="AI21" s="4">
        <v>10000</v>
      </c>
      <c r="AJ21" s="4">
        <v>10000</v>
      </c>
      <c r="AK21" s="4">
        <v>10000</v>
      </c>
      <c r="AL21" s="4">
        <v>10000</v>
      </c>
      <c r="AM21" s="4">
        <v>10000</v>
      </c>
      <c r="AN21" s="12">
        <v>10000</v>
      </c>
      <c r="AO21" s="4">
        <v>10000</v>
      </c>
      <c r="AP21" s="4">
        <v>10000</v>
      </c>
      <c r="AQ21" s="4">
        <v>10000</v>
      </c>
      <c r="AR21" s="4">
        <v>10000</v>
      </c>
      <c r="AS21" s="4">
        <v>10000</v>
      </c>
      <c r="AT21" s="4">
        <v>10000</v>
      </c>
      <c r="AU21" s="4">
        <v>10000</v>
      </c>
      <c r="AV21" s="13">
        <v>10000</v>
      </c>
      <c r="AW21" s="4">
        <v>10000</v>
      </c>
      <c r="AX21" s="4">
        <v>10000</v>
      </c>
      <c r="AY21" s="12">
        <v>10000</v>
      </c>
      <c r="AZ21" s="13">
        <v>10000</v>
      </c>
      <c r="BA21" s="4">
        <v>10000</v>
      </c>
      <c r="BB21" s="4">
        <v>10000</v>
      </c>
      <c r="BC21" s="13">
        <v>15</v>
      </c>
      <c r="BD21" s="4">
        <f>+Habilidad!B21</f>
        <v>1</v>
      </c>
      <c r="BE21" s="4">
        <f>+Habilidad!C21</f>
        <v>1</v>
      </c>
      <c r="BF21" s="4">
        <f>+Habilidad!D21</f>
        <v>1</v>
      </c>
      <c r="BG21" s="4">
        <f>+Habilidad!E21</f>
        <v>0</v>
      </c>
    </row>
    <row r="22" spans="1:59" ht="18.75" customHeight="1" x14ac:dyDescent="0.25">
      <c r="A22" s="5" t="s">
        <v>73</v>
      </c>
      <c r="B22" s="12">
        <v>10000</v>
      </c>
      <c r="C22" s="4">
        <v>10000</v>
      </c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10000</v>
      </c>
      <c r="K22" s="4">
        <v>10000</v>
      </c>
      <c r="L22" s="4">
        <v>10000</v>
      </c>
      <c r="M22" s="4">
        <v>10000</v>
      </c>
      <c r="N22" s="4">
        <v>10000</v>
      </c>
      <c r="O22" s="4">
        <v>10000</v>
      </c>
      <c r="P22" s="4">
        <v>10000</v>
      </c>
      <c r="Q22" s="4">
        <v>10000</v>
      </c>
      <c r="R22" s="4">
        <v>10000</v>
      </c>
      <c r="S22" s="12">
        <v>40</v>
      </c>
      <c r="T22" s="4">
        <v>15</v>
      </c>
      <c r="U22" s="4">
        <v>15</v>
      </c>
      <c r="V22" s="4">
        <v>10000</v>
      </c>
      <c r="W22" s="4">
        <v>10000</v>
      </c>
      <c r="X22" s="4">
        <v>20</v>
      </c>
      <c r="Y22" s="4">
        <v>10000</v>
      </c>
      <c r="Z22" s="4">
        <v>15</v>
      </c>
      <c r="AA22" s="4">
        <v>10</v>
      </c>
      <c r="AB22" s="13">
        <v>30</v>
      </c>
      <c r="AC22" s="4">
        <v>10000</v>
      </c>
      <c r="AD22" s="4">
        <v>10000</v>
      </c>
      <c r="AE22" s="4">
        <v>10000</v>
      </c>
      <c r="AF22" s="4">
        <v>10000</v>
      </c>
      <c r="AG22" s="4">
        <v>10000</v>
      </c>
      <c r="AH22" s="4">
        <v>10000</v>
      </c>
      <c r="AI22" s="4">
        <v>10000</v>
      </c>
      <c r="AJ22" s="4">
        <v>10000</v>
      </c>
      <c r="AK22" s="4">
        <v>10000</v>
      </c>
      <c r="AL22" s="4">
        <v>10000</v>
      </c>
      <c r="AM22" s="4">
        <v>10000</v>
      </c>
      <c r="AN22" s="12">
        <v>10000</v>
      </c>
      <c r="AO22" s="4">
        <v>10000</v>
      </c>
      <c r="AP22" s="4">
        <v>10000</v>
      </c>
      <c r="AQ22" s="4">
        <v>10000</v>
      </c>
      <c r="AR22" s="4">
        <v>10000</v>
      </c>
      <c r="AS22" s="4">
        <v>10000</v>
      </c>
      <c r="AT22" s="4">
        <v>10000</v>
      </c>
      <c r="AU22" s="4">
        <v>10000</v>
      </c>
      <c r="AV22" s="13">
        <v>10000</v>
      </c>
      <c r="AW22" s="4">
        <v>10000</v>
      </c>
      <c r="AX22" s="4">
        <v>10000</v>
      </c>
      <c r="AY22" s="12">
        <v>10000</v>
      </c>
      <c r="AZ22" s="13">
        <v>10000</v>
      </c>
      <c r="BA22" s="4">
        <v>10000</v>
      </c>
      <c r="BB22" s="4">
        <v>10000</v>
      </c>
      <c r="BC22" s="13">
        <v>10000</v>
      </c>
      <c r="BD22" s="4">
        <f>+Habilidad!B22</f>
        <v>1</v>
      </c>
      <c r="BE22" s="4">
        <f>+Habilidad!C22</f>
        <v>1</v>
      </c>
      <c r="BF22" s="4">
        <f>+Habilidad!D22</f>
        <v>0</v>
      </c>
      <c r="BG22" s="4">
        <f>+Habilidad!E22</f>
        <v>0</v>
      </c>
    </row>
    <row r="23" spans="1:59" ht="18.75" customHeight="1" x14ac:dyDescent="0.25">
      <c r="A23" s="5" t="s">
        <v>74</v>
      </c>
      <c r="B23" s="12">
        <v>10000</v>
      </c>
      <c r="C23" s="4">
        <v>10000</v>
      </c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4">
        <v>10000</v>
      </c>
      <c r="K23" s="4">
        <v>10000</v>
      </c>
      <c r="L23" s="4">
        <v>10000</v>
      </c>
      <c r="M23" s="4">
        <v>10000</v>
      </c>
      <c r="N23" s="4">
        <v>10000</v>
      </c>
      <c r="O23" s="4">
        <v>10000</v>
      </c>
      <c r="P23" s="4">
        <v>10000</v>
      </c>
      <c r="Q23" s="4">
        <v>10000</v>
      </c>
      <c r="R23" s="4">
        <v>10000</v>
      </c>
      <c r="S23" s="12">
        <v>40</v>
      </c>
      <c r="T23" s="4">
        <v>15</v>
      </c>
      <c r="U23" s="4">
        <v>15</v>
      </c>
      <c r="V23" s="4">
        <v>15</v>
      </c>
      <c r="W23" s="4">
        <v>10000</v>
      </c>
      <c r="X23" s="4">
        <v>20</v>
      </c>
      <c r="Y23" s="4">
        <v>10000</v>
      </c>
      <c r="Z23" s="4">
        <v>15</v>
      </c>
      <c r="AA23" s="4">
        <v>10</v>
      </c>
      <c r="AB23" s="13">
        <v>30</v>
      </c>
      <c r="AC23" s="4">
        <v>10000</v>
      </c>
      <c r="AD23" s="4">
        <v>10000</v>
      </c>
      <c r="AE23" s="4">
        <v>10000</v>
      </c>
      <c r="AF23" s="4">
        <v>10000</v>
      </c>
      <c r="AG23" s="4">
        <v>10000</v>
      </c>
      <c r="AH23" s="4">
        <v>10000</v>
      </c>
      <c r="AI23" s="4">
        <v>10000</v>
      </c>
      <c r="AJ23" s="4">
        <v>10000</v>
      </c>
      <c r="AK23" s="4">
        <v>10000</v>
      </c>
      <c r="AL23" s="4">
        <v>10000</v>
      </c>
      <c r="AM23" s="4">
        <v>10000</v>
      </c>
      <c r="AN23" s="12">
        <v>10000</v>
      </c>
      <c r="AO23" s="4">
        <v>10000</v>
      </c>
      <c r="AP23" s="4">
        <v>10000</v>
      </c>
      <c r="AQ23" s="4">
        <v>10000</v>
      </c>
      <c r="AR23" s="4">
        <v>10000</v>
      </c>
      <c r="AS23" s="4">
        <v>10000</v>
      </c>
      <c r="AT23" s="4">
        <v>10000</v>
      </c>
      <c r="AU23" s="4">
        <v>10000</v>
      </c>
      <c r="AV23" s="13">
        <v>10000</v>
      </c>
      <c r="AW23" s="4">
        <v>10000</v>
      </c>
      <c r="AX23" s="4">
        <v>10000</v>
      </c>
      <c r="AY23" s="12">
        <v>10000</v>
      </c>
      <c r="AZ23" s="13">
        <v>10000</v>
      </c>
      <c r="BA23" s="4">
        <v>10000</v>
      </c>
      <c r="BB23" s="4">
        <v>10000</v>
      </c>
      <c r="BC23" s="13">
        <v>10000</v>
      </c>
      <c r="BD23" s="4">
        <f>+Habilidad!B23</f>
        <v>1</v>
      </c>
      <c r="BE23" s="4">
        <f>+Habilidad!C23</f>
        <v>1</v>
      </c>
      <c r="BF23" s="4">
        <f>+Habilidad!D23</f>
        <v>1</v>
      </c>
      <c r="BG23" s="4">
        <f>+Habilidad!E23</f>
        <v>0</v>
      </c>
    </row>
    <row r="24" spans="1:59" ht="18.75" customHeight="1" x14ac:dyDescent="0.25">
      <c r="A24" s="5" t="s">
        <v>75</v>
      </c>
      <c r="B24" s="12">
        <v>10000</v>
      </c>
      <c r="C24" s="4">
        <v>10000</v>
      </c>
      <c r="D24" s="4">
        <v>10000</v>
      </c>
      <c r="E24" s="4">
        <v>10000</v>
      </c>
      <c r="F24" s="4">
        <v>10000</v>
      </c>
      <c r="G24" s="4">
        <v>10000</v>
      </c>
      <c r="H24" s="4">
        <v>10000</v>
      </c>
      <c r="I24" s="4">
        <v>10000</v>
      </c>
      <c r="J24" s="4">
        <v>10000</v>
      </c>
      <c r="K24" s="4">
        <v>10000</v>
      </c>
      <c r="L24" s="4">
        <v>10000</v>
      </c>
      <c r="M24" s="4">
        <v>10000</v>
      </c>
      <c r="N24" s="4">
        <v>10000</v>
      </c>
      <c r="O24" s="4">
        <v>10000</v>
      </c>
      <c r="P24" s="4">
        <v>10000</v>
      </c>
      <c r="Q24" s="4">
        <v>10000</v>
      </c>
      <c r="R24" s="4">
        <v>10000</v>
      </c>
      <c r="S24" s="12">
        <v>40</v>
      </c>
      <c r="T24" s="4">
        <v>15</v>
      </c>
      <c r="U24" s="4">
        <v>15</v>
      </c>
      <c r="V24" s="4">
        <v>10000</v>
      </c>
      <c r="W24" s="4">
        <v>10000</v>
      </c>
      <c r="X24" s="4">
        <v>10000</v>
      </c>
      <c r="Y24" s="4">
        <v>10000</v>
      </c>
      <c r="Z24" s="4">
        <v>15</v>
      </c>
      <c r="AA24" s="4">
        <v>10</v>
      </c>
      <c r="AB24" s="13">
        <v>30</v>
      </c>
      <c r="AC24" s="4">
        <v>10000</v>
      </c>
      <c r="AD24" s="4">
        <v>10000</v>
      </c>
      <c r="AE24" s="4">
        <v>10000</v>
      </c>
      <c r="AF24" s="4">
        <v>10000</v>
      </c>
      <c r="AG24" s="4">
        <v>10000</v>
      </c>
      <c r="AH24" s="4">
        <v>10000</v>
      </c>
      <c r="AI24" s="4">
        <v>10000</v>
      </c>
      <c r="AJ24" s="4">
        <v>10000</v>
      </c>
      <c r="AK24" s="4">
        <v>10000</v>
      </c>
      <c r="AL24" s="4">
        <v>10000</v>
      </c>
      <c r="AM24" s="4">
        <v>10000</v>
      </c>
      <c r="AN24" s="12">
        <v>10000</v>
      </c>
      <c r="AO24" s="4">
        <v>10000</v>
      </c>
      <c r="AP24" s="4">
        <v>10000</v>
      </c>
      <c r="AQ24" s="4">
        <v>10000</v>
      </c>
      <c r="AR24" s="4">
        <v>10000</v>
      </c>
      <c r="AS24" s="4">
        <v>10000</v>
      </c>
      <c r="AT24" s="4">
        <v>10000</v>
      </c>
      <c r="AU24" s="4">
        <v>10000</v>
      </c>
      <c r="AV24" s="13">
        <v>10000</v>
      </c>
      <c r="AW24" s="4">
        <v>10000</v>
      </c>
      <c r="AX24" s="4">
        <v>10000</v>
      </c>
      <c r="AY24" s="12">
        <v>10000</v>
      </c>
      <c r="AZ24" s="13">
        <v>10000</v>
      </c>
      <c r="BA24" s="4">
        <v>10000</v>
      </c>
      <c r="BB24" s="4">
        <v>10000</v>
      </c>
      <c r="BC24" s="13">
        <v>15</v>
      </c>
      <c r="BD24" s="4">
        <f>+Habilidad!B24</f>
        <v>1</v>
      </c>
      <c r="BE24" s="4">
        <f>+Habilidad!C24</f>
        <v>1</v>
      </c>
      <c r="BF24" s="4">
        <f>+Habilidad!D24</f>
        <v>1</v>
      </c>
      <c r="BG24" s="4">
        <f>+Habilidad!E24</f>
        <v>0</v>
      </c>
    </row>
    <row r="25" spans="1:59" ht="18.75" customHeight="1" x14ac:dyDescent="0.25">
      <c r="A25" s="5" t="s">
        <v>76</v>
      </c>
      <c r="B25" s="12">
        <v>10000</v>
      </c>
      <c r="C25" s="4">
        <v>10000</v>
      </c>
      <c r="D25" s="4">
        <v>10000</v>
      </c>
      <c r="E25" s="4">
        <v>10000</v>
      </c>
      <c r="F25" s="4">
        <v>10000</v>
      </c>
      <c r="G25" s="4">
        <v>10000</v>
      </c>
      <c r="H25" s="4">
        <v>10000</v>
      </c>
      <c r="I25" s="4">
        <v>10000</v>
      </c>
      <c r="J25" s="4">
        <v>10000</v>
      </c>
      <c r="K25" s="4">
        <v>10000</v>
      </c>
      <c r="L25" s="4">
        <v>10000</v>
      </c>
      <c r="M25" s="4">
        <v>10000</v>
      </c>
      <c r="N25" s="4">
        <v>10000</v>
      </c>
      <c r="O25" s="4">
        <v>10000</v>
      </c>
      <c r="P25" s="4">
        <v>10000</v>
      </c>
      <c r="Q25" s="4">
        <v>10000</v>
      </c>
      <c r="R25" s="4">
        <v>10000</v>
      </c>
      <c r="S25" s="12">
        <v>40</v>
      </c>
      <c r="T25" s="4">
        <v>15</v>
      </c>
      <c r="U25" s="4">
        <v>15</v>
      </c>
      <c r="V25" s="4">
        <v>10000</v>
      </c>
      <c r="W25" s="4">
        <v>8</v>
      </c>
      <c r="X25" s="4">
        <v>10000</v>
      </c>
      <c r="Y25" s="4">
        <v>10000</v>
      </c>
      <c r="Z25" s="4">
        <v>15</v>
      </c>
      <c r="AA25" s="4">
        <v>10</v>
      </c>
      <c r="AB25" s="13">
        <v>30</v>
      </c>
      <c r="AC25" s="4">
        <v>10000</v>
      </c>
      <c r="AD25" s="4">
        <v>10000</v>
      </c>
      <c r="AE25" s="4">
        <v>10000</v>
      </c>
      <c r="AF25" s="4">
        <v>10000</v>
      </c>
      <c r="AG25" s="4">
        <v>10000</v>
      </c>
      <c r="AH25" s="4">
        <v>10000</v>
      </c>
      <c r="AI25" s="4">
        <v>10000</v>
      </c>
      <c r="AJ25" s="4">
        <v>10000</v>
      </c>
      <c r="AK25" s="4">
        <v>10000</v>
      </c>
      <c r="AL25" s="4">
        <v>10000</v>
      </c>
      <c r="AM25" s="4">
        <v>10000</v>
      </c>
      <c r="AN25" s="12">
        <v>10000</v>
      </c>
      <c r="AO25" s="4">
        <v>10000</v>
      </c>
      <c r="AP25" s="4">
        <v>10000</v>
      </c>
      <c r="AQ25" s="4">
        <v>10000</v>
      </c>
      <c r="AR25" s="4">
        <v>10000</v>
      </c>
      <c r="AS25" s="4">
        <v>10000</v>
      </c>
      <c r="AT25" s="4">
        <v>10000</v>
      </c>
      <c r="AU25" s="4">
        <v>10000</v>
      </c>
      <c r="AV25" s="13">
        <v>10000</v>
      </c>
      <c r="AW25" s="4">
        <v>10000</v>
      </c>
      <c r="AX25" s="4">
        <v>10000</v>
      </c>
      <c r="AY25" s="12">
        <v>10000</v>
      </c>
      <c r="AZ25" s="13">
        <v>10000</v>
      </c>
      <c r="BA25" s="4">
        <v>10000</v>
      </c>
      <c r="BB25" s="4">
        <v>10000</v>
      </c>
      <c r="BC25" s="13">
        <v>10000</v>
      </c>
      <c r="BD25" s="4">
        <f>+Habilidad!B25</f>
        <v>1</v>
      </c>
      <c r="BE25" s="4">
        <f>+Habilidad!C25</f>
        <v>1</v>
      </c>
      <c r="BF25" s="4">
        <f>+Habilidad!D25</f>
        <v>1</v>
      </c>
      <c r="BG25" s="4">
        <f>+Habilidad!E25</f>
        <v>0</v>
      </c>
    </row>
    <row r="26" spans="1:59" ht="18.75" customHeight="1" x14ac:dyDescent="0.25">
      <c r="A26" s="5" t="s">
        <v>77</v>
      </c>
      <c r="B26" s="12">
        <v>10000</v>
      </c>
      <c r="C26" s="4">
        <v>10000</v>
      </c>
      <c r="D26" s="4">
        <v>10000</v>
      </c>
      <c r="E26" s="4">
        <v>10000</v>
      </c>
      <c r="F26" s="4">
        <v>10000</v>
      </c>
      <c r="G26" s="4">
        <v>10000</v>
      </c>
      <c r="H26" s="4">
        <v>10000</v>
      </c>
      <c r="I26" s="4">
        <v>10000</v>
      </c>
      <c r="J26" s="4">
        <v>10000</v>
      </c>
      <c r="K26" s="4">
        <v>10000</v>
      </c>
      <c r="L26" s="4">
        <v>10000</v>
      </c>
      <c r="M26" s="4">
        <v>10000</v>
      </c>
      <c r="N26" s="4">
        <v>10000</v>
      </c>
      <c r="O26" s="4">
        <v>10000</v>
      </c>
      <c r="P26" s="4">
        <v>10000</v>
      </c>
      <c r="Q26" s="4">
        <v>10000</v>
      </c>
      <c r="R26" s="4">
        <v>10000</v>
      </c>
      <c r="S26" s="12">
        <v>10000</v>
      </c>
      <c r="T26" s="4">
        <v>10000</v>
      </c>
      <c r="U26" s="4">
        <v>15</v>
      </c>
      <c r="V26" s="4">
        <v>10000</v>
      </c>
      <c r="W26" s="4">
        <v>8</v>
      </c>
      <c r="X26" s="4">
        <v>10000</v>
      </c>
      <c r="Y26" s="4">
        <v>10000</v>
      </c>
      <c r="Z26" s="4">
        <v>15</v>
      </c>
      <c r="AA26" s="4">
        <v>10000</v>
      </c>
      <c r="AB26" s="13">
        <v>10000</v>
      </c>
      <c r="AC26" s="4">
        <v>10000</v>
      </c>
      <c r="AD26" s="4">
        <v>10000</v>
      </c>
      <c r="AE26" s="4">
        <v>10000</v>
      </c>
      <c r="AF26" s="4">
        <v>10000</v>
      </c>
      <c r="AG26" s="4">
        <v>10000</v>
      </c>
      <c r="AH26" s="4">
        <v>10000</v>
      </c>
      <c r="AI26" s="4">
        <v>10000</v>
      </c>
      <c r="AJ26" s="4">
        <v>10000</v>
      </c>
      <c r="AK26" s="4">
        <v>10000</v>
      </c>
      <c r="AL26" s="4">
        <v>10000</v>
      </c>
      <c r="AM26" s="4">
        <v>10000</v>
      </c>
      <c r="AN26" s="12">
        <v>10000</v>
      </c>
      <c r="AO26" s="4">
        <v>10000</v>
      </c>
      <c r="AP26" s="4">
        <v>10000</v>
      </c>
      <c r="AQ26" s="4">
        <v>10000</v>
      </c>
      <c r="AR26" s="4">
        <v>10000</v>
      </c>
      <c r="AS26" s="4">
        <v>10000</v>
      </c>
      <c r="AT26" s="4">
        <v>10000</v>
      </c>
      <c r="AU26" s="4">
        <v>10000</v>
      </c>
      <c r="AV26" s="13">
        <v>10000</v>
      </c>
      <c r="AW26" s="4">
        <v>10000</v>
      </c>
      <c r="AX26" s="4">
        <v>10000</v>
      </c>
      <c r="AY26" s="12">
        <v>10000</v>
      </c>
      <c r="AZ26" s="13">
        <v>10000</v>
      </c>
      <c r="BA26" s="4">
        <v>10000</v>
      </c>
      <c r="BB26" s="4">
        <v>10000</v>
      </c>
      <c r="BC26" s="13">
        <v>10000</v>
      </c>
      <c r="BD26" s="4">
        <f>+Habilidad!B26</f>
        <v>1</v>
      </c>
      <c r="BE26" s="4">
        <f>+Habilidad!C26</f>
        <v>1</v>
      </c>
      <c r="BF26" s="4">
        <f>+Habilidad!D26</f>
        <v>1</v>
      </c>
      <c r="BG26" s="4">
        <f>+Habilidad!E26</f>
        <v>0</v>
      </c>
    </row>
    <row r="27" spans="1:59" ht="18.75" customHeight="1" x14ac:dyDescent="0.25">
      <c r="A27" s="5" t="s">
        <v>78</v>
      </c>
      <c r="B27" s="12">
        <v>10000</v>
      </c>
      <c r="C27" s="4">
        <v>10000</v>
      </c>
      <c r="D27" s="4">
        <v>10000</v>
      </c>
      <c r="E27" s="4">
        <v>10000</v>
      </c>
      <c r="F27" s="4">
        <v>10000</v>
      </c>
      <c r="G27" s="4">
        <v>10000</v>
      </c>
      <c r="H27" s="4">
        <v>10000</v>
      </c>
      <c r="I27" s="4">
        <v>10000</v>
      </c>
      <c r="J27" s="4">
        <v>10000</v>
      </c>
      <c r="K27" s="4">
        <v>10000</v>
      </c>
      <c r="L27" s="4">
        <v>10000</v>
      </c>
      <c r="M27" s="4">
        <v>10000</v>
      </c>
      <c r="N27" s="4">
        <v>10000</v>
      </c>
      <c r="O27" s="4">
        <v>10000</v>
      </c>
      <c r="P27" s="4">
        <v>10000</v>
      </c>
      <c r="Q27" s="4">
        <v>10000</v>
      </c>
      <c r="R27" s="4">
        <v>10000</v>
      </c>
      <c r="S27" s="12">
        <v>40</v>
      </c>
      <c r="T27" s="4">
        <v>10000</v>
      </c>
      <c r="U27" s="4">
        <v>15</v>
      </c>
      <c r="V27" s="4">
        <v>10000</v>
      </c>
      <c r="W27" s="4">
        <v>10000</v>
      </c>
      <c r="X27" s="4">
        <v>10000</v>
      </c>
      <c r="Y27" s="4">
        <v>10000</v>
      </c>
      <c r="Z27" s="4">
        <v>15</v>
      </c>
      <c r="AA27" s="4">
        <v>10</v>
      </c>
      <c r="AB27" s="13">
        <v>30</v>
      </c>
      <c r="AC27" s="4">
        <v>10000</v>
      </c>
      <c r="AD27" s="4">
        <v>10000</v>
      </c>
      <c r="AE27" s="4">
        <v>10000</v>
      </c>
      <c r="AF27" s="4">
        <v>10000</v>
      </c>
      <c r="AG27" s="4">
        <v>10000</v>
      </c>
      <c r="AH27" s="4">
        <v>10000</v>
      </c>
      <c r="AI27" s="4">
        <v>10000</v>
      </c>
      <c r="AJ27" s="4">
        <v>10000</v>
      </c>
      <c r="AK27" s="4">
        <v>10000</v>
      </c>
      <c r="AL27" s="4">
        <v>10000</v>
      </c>
      <c r="AM27" s="4">
        <v>10000</v>
      </c>
      <c r="AN27" s="12">
        <v>10000</v>
      </c>
      <c r="AO27" s="4">
        <v>10000</v>
      </c>
      <c r="AP27" s="4">
        <v>10000</v>
      </c>
      <c r="AQ27" s="4">
        <v>10000</v>
      </c>
      <c r="AR27" s="4">
        <v>10000</v>
      </c>
      <c r="AS27" s="4">
        <v>10000</v>
      </c>
      <c r="AT27" s="4">
        <v>10000</v>
      </c>
      <c r="AU27" s="4">
        <v>10000</v>
      </c>
      <c r="AV27" s="13">
        <v>10000</v>
      </c>
      <c r="AW27" s="4">
        <v>10000</v>
      </c>
      <c r="AX27" s="4">
        <v>10000</v>
      </c>
      <c r="AY27" s="12">
        <v>10000</v>
      </c>
      <c r="AZ27" s="13">
        <v>10000</v>
      </c>
      <c r="BA27" s="4">
        <v>10000</v>
      </c>
      <c r="BB27" s="4">
        <v>10000</v>
      </c>
      <c r="BC27" s="13">
        <v>10000</v>
      </c>
      <c r="BD27" s="4">
        <f>+Habilidad!B27</f>
        <v>1</v>
      </c>
      <c r="BE27" s="4">
        <f>+Habilidad!C27</f>
        <v>1</v>
      </c>
      <c r="BF27" s="4">
        <f>+Habilidad!D27</f>
        <v>1</v>
      </c>
      <c r="BG27" s="4">
        <f>+Habilidad!E27</f>
        <v>0</v>
      </c>
    </row>
    <row r="28" spans="1:59" ht="18.75" customHeight="1" x14ac:dyDescent="0.25">
      <c r="A28" s="5" t="s">
        <v>79</v>
      </c>
      <c r="B28" s="12">
        <v>10000</v>
      </c>
      <c r="C28" s="4">
        <v>10000</v>
      </c>
      <c r="D28" s="4">
        <v>10000</v>
      </c>
      <c r="E28" s="4">
        <v>10000</v>
      </c>
      <c r="F28" s="4">
        <v>10000</v>
      </c>
      <c r="G28" s="4">
        <v>10000</v>
      </c>
      <c r="H28" s="4">
        <v>10000</v>
      </c>
      <c r="I28" s="4">
        <v>10000</v>
      </c>
      <c r="J28" s="4">
        <v>10000</v>
      </c>
      <c r="K28" s="4">
        <v>10000</v>
      </c>
      <c r="L28" s="4">
        <v>12</v>
      </c>
      <c r="M28" s="4">
        <v>12</v>
      </c>
      <c r="N28" s="4">
        <v>10000</v>
      </c>
      <c r="O28" s="4">
        <v>10000</v>
      </c>
      <c r="P28" s="4">
        <v>10000</v>
      </c>
      <c r="Q28" s="4">
        <v>10000</v>
      </c>
      <c r="R28" s="4">
        <v>10000</v>
      </c>
      <c r="S28" s="12">
        <v>40</v>
      </c>
      <c r="T28" s="4">
        <v>15</v>
      </c>
      <c r="U28" s="4">
        <v>15</v>
      </c>
      <c r="V28" s="4">
        <v>10000</v>
      </c>
      <c r="W28" s="4">
        <v>8</v>
      </c>
      <c r="X28" s="4">
        <v>20</v>
      </c>
      <c r="Y28" s="4">
        <v>10000</v>
      </c>
      <c r="Z28" s="4">
        <v>15</v>
      </c>
      <c r="AA28" s="4">
        <v>10</v>
      </c>
      <c r="AB28" s="13">
        <v>30</v>
      </c>
      <c r="AC28" s="4">
        <v>10</v>
      </c>
      <c r="AD28" s="4">
        <v>10</v>
      </c>
      <c r="AE28" s="4">
        <v>10</v>
      </c>
      <c r="AF28" s="4">
        <v>10</v>
      </c>
      <c r="AG28" s="4">
        <v>30</v>
      </c>
      <c r="AH28" s="4">
        <v>10</v>
      </c>
      <c r="AI28" s="4">
        <v>10000</v>
      </c>
      <c r="AJ28" s="4">
        <v>10000</v>
      </c>
      <c r="AK28" s="4">
        <v>10000</v>
      </c>
      <c r="AL28" s="4">
        <v>10000</v>
      </c>
      <c r="AM28" s="4">
        <v>10000</v>
      </c>
      <c r="AN28" s="12">
        <v>10000</v>
      </c>
      <c r="AO28" s="4">
        <v>10000</v>
      </c>
      <c r="AP28" s="4">
        <v>10000</v>
      </c>
      <c r="AQ28" s="4">
        <v>10000</v>
      </c>
      <c r="AR28" s="4">
        <v>10000</v>
      </c>
      <c r="AS28" s="4">
        <v>10000</v>
      </c>
      <c r="AT28" s="4">
        <v>10000</v>
      </c>
      <c r="AU28" s="4">
        <v>10000</v>
      </c>
      <c r="AV28" s="13">
        <v>10000</v>
      </c>
      <c r="AW28" s="4">
        <v>10000</v>
      </c>
      <c r="AX28" s="4">
        <v>10000</v>
      </c>
      <c r="AY28" s="12">
        <v>10000</v>
      </c>
      <c r="AZ28" s="13">
        <v>10000</v>
      </c>
      <c r="BA28" s="4">
        <v>10000</v>
      </c>
      <c r="BB28" s="4">
        <v>10000</v>
      </c>
      <c r="BC28" s="13">
        <v>15</v>
      </c>
      <c r="BD28" s="4">
        <f>+Habilidad!B28</f>
        <v>1</v>
      </c>
      <c r="BE28" s="4">
        <f>+Habilidad!C28</f>
        <v>1</v>
      </c>
      <c r="BF28" s="4">
        <f>+Habilidad!D28</f>
        <v>1</v>
      </c>
      <c r="BG28" s="4">
        <f>+Habilidad!E28</f>
        <v>0</v>
      </c>
    </row>
    <row r="29" spans="1:59" ht="18.75" customHeight="1" x14ac:dyDescent="0.25">
      <c r="A29" s="5" t="s">
        <v>80</v>
      </c>
      <c r="B29" s="12">
        <v>10000</v>
      </c>
      <c r="C29" s="4">
        <v>10000</v>
      </c>
      <c r="D29" s="4">
        <v>10000</v>
      </c>
      <c r="E29" s="4">
        <v>10000</v>
      </c>
      <c r="F29" s="4">
        <v>10000</v>
      </c>
      <c r="G29" s="4">
        <v>10000</v>
      </c>
      <c r="H29" s="4">
        <v>10000</v>
      </c>
      <c r="I29" s="4">
        <v>10000</v>
      </c>
      <c r="J29" s="4">
        <v>15</v>
      </c>
      <c r="K29" s="4">
        <v>10000</v>
      </c>
      <c r="L29" s="4">
        <v>10000</v>
      </c>
      <c r="M29" s="4">
        <v>10000</v>
      </c>
      <c r="N29" s="4">
        <v>10000</v>
      </c>
      <c r="O29" s="4">
        <v>10000</v>
      </c>
      <c r="P29" s="4">
        <v>10000</v>
      </c>
      <c r="Q29" s="4">
        <v>10000</v>
      </c>
      <c r="R29" s="4">
        <v>10000</v>
      </c>
      <c r="S29" s="12">
        <v>10000</v>
      </c>
      <c r="T29" s="4">
        <v>10000</v>
      </c>
      <c r="U29" s="4">
        <v>10000</v>
      </c>
      <c r="V29" s="4">
        <v>10000</v>
      </c>
      <c r="W29" s="4">
        <v>10000</v>
      </c>
      <c r="X29" s="4">
        <v>10000</v>
      </c>
      <c r="Y29" s="4">
        <v>10000</v>
      </c>
      <c r="Z29" s="4">
        <v>10000</v>
      </c>
      <c r="AA29" s="4">
        <v>10000</v>
      </c>
      <c r="AB29" s="13">
        <v>10000</v>
      </c>
      <c r="AC29" s="4">
        <v>10000</v>
      </c>
      <c r="AD29" s="4">
        <v>10000</v>
      </c>
      <c r="AE29" s="4">
        <v>10000</v>
      </c>
      <c r="AF29" s="4">
        <v>10000</v>
      </c>
      <c r="AG29" s="4">
        <v>10000</v>
      </c>
      <c r="AH29" s="4">
        <v>10000</v>
      </c>
      <c r="AI29" s="4">
        <v>10000</v>
      </c>
      <c r="AJ29" s="4">
        <v>10000</v>
      </c>
      <c r="AK29" s="4">
        <v>10000</v>
      </c>
      <c r="AL29" s="4">
        <v>10000</v>
      </c>
      <c r="AM29" s="4">
        <v>10000</v>
      </c>
      <c r="AN29" s="12">
        <v>10000</v>
      </c>
      <c r="AO29" s="4">
        <v>10000</v>
      </c>
      <c r="AP29" s="4">
        <v>10000</v>
      </c>
      <c r="AQ29" s="4">
        <v>10000</v>
      </c>
      <c r="AR29" s="4">
        <v>10000</v>
      </c>
      <c r="AS29" s="4">
        <v>10000</v>
      </c>
      <c r="AT29" s="4">
        <v>10000</v>
      </c>
      <c r="AU29" s="4">
        <v>10000</v>
      </c>
      <c r="AV29" s="13">
        <v>10000</v>
      </c>
      <c r="AW29" s="4">
        <v>10000</v>
      </c>
      <c r="AX29" s="4">
        <v>10000</v>
      </c>
      <c r="AY29" s="12">
        <v>10000</v>
      </c>
      <c r="AZ29" s="13">
        <v>10000</v>
      </c>
      <c r="BA29" s="4">
        <v>10000</v>
      </c>
      <c r="BB29" s="4">
        <v>10000</v>
      </c>
      <c r="BC29" s="13">
        <v>10000</v>
      </c>
      <c r="BD29" s="4">
        <f>+Habilidad!B29</f>
        <v>1</v>
      </c>
      <c r="BE29" s="4">
        <f>+Habilidad!C29</f>
        <v>1</v>
      </c>
      <c r="BF29" s="4">
        <f>+Habilidad!D29</f>
        <v>1</v>
      </c>
      <c r="BG29" s="4">
        <f>+Habilidad!E29</f>
        <v>0</v>
      </c>
    </row>
    <row r="30" spans="1:59" ht="18.75" customHeight="1" x14ac:dyDescent="0.25">
      <c r="A30" s="5" t="s">
        <v>81</v>
      </c>
      <c r="B30" s="12">
        <v>10000</v>
      </c>
      <c r="C30" s="4">
        <v>10000</v>
      </c>
      <c r="D30" s="4">
        <v>10000</v>
      </c>
      <c r="E30" s="4">
        <v>10000</v>
      </c>
      <c r="F30" s="4">
        <v>10000</v>
      </c>
      <c r="G30" s="4">
        <v>10000</v>
      </c>
      <c r="H30" s="4">
        <v>10000</v>
      </c>
      <c r="I30" s="4">
        <v>10000</v>
      </c>
      <c r="J30" s="4">
        <v>10000</v>
      </c>
      <c r="K30" s="4">
        <v>10000</v>
      </c>
      <c r="L30" s="4">
        <v>10000</v>
      </c>
      <c r="M30" s="4">
        <v>10000</v>
      </c>
      <c r="N30" s="4">
        <v>10000</v>
      </c>
      <c r="O30" s="4">
        <v>10000</v>
      </c>
      <c r="P30" s="4">
        <v>10000</v>
      </c>
      <c r="Q30" s="4">
        <v>10000</v>
      </c>
      <c r="R30" s="4">
        <v>10000</v>
      </c>
      <c r="S30" s="12">
        <v>10000</v>
      </c>
      <c r="T30" s="4">
        <v>10000</v>
      </c>
      <c r="U30" s="4">
        <v>10000</v>
      </c>
      <c r="V30" s="4">
        <v>10000</v>
      </c>
      <c r="W30" s="4">
        <v>10000</v>
      </c>
      <c r="X30" s="4">
        <v>10000</v>
      </c>
      <c r="Y30" s="4">
        <v>10000</v>
      </c>
      <c r="Z30" s="4">
        <v>10000</v>
      </c>
      <c r="AA30" s="4">
        <v>10000</v>
      </c>
      <c r="AB30" s="13">
        <v>10000</v>
      </c>
      <c r="AC30" s="4">
        <v>10000</v>
      </c>
      <c r="AD30" s="4">
        <v>10000</v>
      </c>
      <c r="AE30" s="4">
        <v>10000</v>
      </c>
      <c r="AF30" s="4">
        <v>10000</v>
      </c>
      <c r="AG30" s="4">
        <v>10000</v>
      </c>
      <c r="AH30" s="4">
        <v>10000</v>
      </c>
      <c r="AI30" s="4">
        <v>10000</v>
      </c>
      <c r="AJ30" s="4">
        <v>10000</v>
      </c>
      <c r="AK30" s="4">
        <v>10000</v>
      </c>
      <c r="AL30" s="4">
        <v>10000</v>
      </c>
      <c r="AM30" s="4">
        <v>10000</v>
      </c>
      <c r="AN30" s="12">
        <v>10000</v>
      </c>
      <c r="AO30" s="4">
        <v>10000</v>
      </c>
      <c r="AP30" s="4">
        <v>10000</v>
      </c>
      <c r="AQ30" s="4">
        <v>10000</v>
      </c>
      <c r="AR30" s="4">
        <v>10000</v>
      </c>
      <c r="AS30" s="4">
        <v>10000</v>
      </c>
      <c r="AT30" s="4">
        <v>10000</v>
      </c>
      <c r="AU30" s="4">
        <v>10000</v>
      </c>
      <c r="AV30" s="13">
        <v>10000</v>
      </c>
      <c r="AW30" s="4">
        <v>10000</v>
      </c>
      <c r="AX30" s="4">
        <v>10000</v>
      </c>
      <c r="AY30" s="12">
        <v>10000</v>
      </c>
      <c r="AZ30" s="13">
        <v>10000</v>
      </c>
      <c r="BA30" s="4">
        <v>15</v>
      </c>
      <c r="BB30" s="4">
        <v>10000</v>
      </c>
      <c r="BC30" s="13">
        <v>15</v>
      </c>
      <c r="BD30" s="4">
        <f>+Habilidad!B30</f>
        <v>1</v>
      </c>
      <c r="BE30" s="4">
        <f>+Habilidad!C30</f>
        <v>0</v>
      </c>
      <c r="BF30" s="4">
        <f>+Habilidad!D30</f>
        <v>0</v>
      </c>
      <c r="BG30" s="4">
        <f>+Habilidad!E30</f>
        <v>0</v>
      </c>
    </row>
    <row r="31" spans="1:59" ht="18.75" customHeight="1" x14ac:dyDescent="0.25">
      <c r="A31" s="5" t="s">
        <v>82</v>
      </c>
      <c r="B31" s="12">
        <v>10000</v>
      </c>
      <c r="C31" s="4">
        <v>10000</v>
      </c>
      <c r="D31" s="4">
        <v>10000</v>
      </c>
      <c r="E31" s="4">
        <v>10000</v>
      </c>
      <c r="F31" s="4">
        <v>10000</v>
      </c>
      <c r="G31" s="4">
        <v>10000</v>
      </c>
      <c r="H31" s="4">
        <v>10000</v>
      </c>
      <c r="I31" s="4">
        <v>10000</v>
      </c>
      <c r="J31" s="4">
        <v>10000</v>
      </c>
      <c r="K31" s="4">
        <v>10000</v>
      </c>
      <c r="L31" s="4">
        <v>10000</v>
      </c>
      <c r="M31" s="4">
        <v>10000</v>
      </c>
      <c r="N31" s="4">
        <v>10000</v>
      </c>
      <c r="O31" s="4">
        <v>10000</v>
      </c>
      <c r="P31" s="4">
        <v>10000</v>
      </c>
      <c r="Q31" s="4">
        <v>10000</v>
      </c>
      <c r="R31" s="4">
        <v>10000</v>
      </c>
      <c r="S31" s="12">
        <v>10000</v>
      </c>
      <c r="T31" s="4">
        <v>10000</v>
      </c>
      <c r="U31" s="4">
        <v>10000</v>
      </c>
      <c r="V31" s="4">
        <v>10000</v>
      </c>
      <c r="W31" s="4">
        <v>10000</v>
      </c>
      <c r="X31" s="4">
        <v>10000</v>
      </c>
      <c r="Y31" s="4">
        <v>10000</v>
      </c>
      <c r="Z31" s="4">
        <v>10000</v>
      </c>
      <c r="AA31" s="4">
        <v>10000</v>
      </c>
      <c r="AB31" s="13">
        <v>10000</v>
      </c>
      <c r="AC31" s="4">
        <v>10000</v>
      </c>
      <c r="AD31" s="4">
        <v>10000</v>
      </c>
      <c r="AE31" s="4">
        <v>10000</v>
      </c>
      <c r="AF31" s="4">
        <v>10</v>
      </c>
      <c r="AG31" s="4">
        <v>30</v>
      </c>
      <c r="AH31" s="4">
        <v>10</v>
      </c>
      <c r="AI31" s="4">
        <v>10</v>
      </c>
      <c r="AJ31" s="4">
        <v>20</v>
      </c>
      <c r="AK31" s="4">
        <v>10</v>
      </c>
      <c r="AL31" s="4">
        <v>10000</v>
      </c>
      <c r="AM31" s="4">
        <v>10000</v>
      </c>
      <c r="AN31" s="12">
        <v>10000</v>
      </c>
      <c r="AO31" s="4">
        <v>10000</v>
      </c>
      <c r="AP31" s="4">
        <v>10000</v>
      </c>
      <c r="AQ31" s="4">
        <v>10000</v>
      </c>
      <c r="AR31" s="4">
        <v>10000</v>
      </c>
      <c r="AS31" s="4">
        <v>10000</v>
      </c>
      <c r="AT31" s="4">
        <v>10000</v>
      </c>
      <c r="AU31" s="4">
        <v>10000</v>
      </c>
      <c r="AV31" s="13">
        <v>10000</v>
      </c>
      <c r="AW31" s="4">
        <v>10000</v>
      </c>
      <c r="AX31" s="4">
        <v>10000</v>
      </c>
      <c r="AY31" s="12">
        <v>10000</v>
      </c>
      <c r="AZ31" s="13">
        <v>10000</v>
      </c>
      <c r="BA31" s="4">
        <v>10000</v>
      </c>
      <c r="BB31" s="4">
        <v>10000</v>
      </c>
      <c r="BC31" s="13">
        <v>10000</v>
      </c>
      <c r="BD31" s="4">
        <f>+Habilidad!B31</f>
        <v>1</v>
      </c>
      <c r="BE31" s="4">
        <f>+Habilidad!C31</f>
        <v>0</v>
      </c>
      <c r="BF31" s="4">
        <f>+Habilidad!D31</f>
        <v>0</v>
      </c>
      <c r="BG31" s="4">
        <f>+Habilidad!E31</f>
        <v>0</v>
      </c>
    </row>
    <row r="32" spans="1:59" ht="18.75" customHeight="1" x14ac:dyDescent="0.25">
      <c r="A32" s="5" t="s">
        <v>83</v>
      </c>
      <c r="B32" s="12">
        <v>10000</v>
      </c>
      <c r="C32" s="4">
        <v>10000</v>
      </c>
      <c r="D32" s="4">
        <v>10000</v>
      </c>
      <c r="E32" s="4">
        <v>10000</v>
      </c>
      <c r="F32" s="4">
        <v>10000</v>
      </c>
      <c r="G32" s="4">
        <v>10000</v>
      </c>
      <c r="H32" s="4">
        <v>10000</v>
      </c>
      <c r="I32" s="4">
        <v>10000</v>
      </c>
      <c r="J32" s="4">
        <v>10000</v>
      </c>
      <c r="K32" s="4">
        <v>10000</v>
      </c>
      <c r="L32" s="4">
        <v>10000</v>
      </c>
      <c r="M32" s="4">
        <v>10000</v>
      </c>
      <c r="N32" s="4">
        <v>10000</v>
      </c>
      <c r="O32" s="4">
        <v>10000</v>
      </c>
      <c r="P32" s="4">
        <v>10000</v>
      </c>
      <c r="Q32" s="4">
        <v>10000</v>
      </c>
      <c r="R32" s="4">
        <v>10000</v>
      </c>
      <c r="S32" s="12">
        <v>10000</v>
      </c>
      <c r="T32" s="4">
        <v>10000</v>
      </c>
      <c r="U32" s="4">
        <v>10000</v>
      </c>
      <c r="V32" s="4">
        <v>10000</v>
      </c>
      <c r="W32" s="4">
        <v>10000</v>
      </c>
      <c r="X32" s="4">
        <v>10000</v>
      </c>
      <c r="Y32" s="4">
        <v>10000</v>
      </c>
      <c r="Z32" s="4">
        <v>10000</v>
      </c>
      <c r="AA32" s="4">
        <v>10000</v>
      </c>
      <c r="AB32" s="13">
        <v>10000</v>
      </c>
      <c r="AC32" s="4">
        <v>10</v>
      </c>
      <c r="AD32" s="4">
        <v>10</v>
      </c>
      <c r="AE32" s="4">
        <v>10</v>
      </c>
      <c r="AF32" s="4">
        <v>10</v>
      </c>
      <c r="AG32" s="4">
        <v>30</v>
      </c>
      <c r="AH32" s="4">
        <v>10</v>
      </c>
      <c r="AI32" s="4">
        <v>10</v>
      </c>
      <c r="AJ32" s="4">
        <v>20</v>
      </c>
      <c r="AK32" s="4">
        <v>10</v>
      </c>
      <c r="AL32" s="4">
        <v>10000</v>
      </c>
      <c r="AM32" s="4">
        <v>10000</v>
      </c>
      <c r="AN32" s="12">
        <v>10000</v>
      </c>
      <c r="AO32" s="4">
        <v>10000</v>
      </c>
      <c r="AP32" s="4">
        <v>10000</v>
      </c>
      <c r="AQ32" s="4">
        <v>10000</v>
      </c>
      <c r="AR32" s="4">
        <v>10000</v>
      </c>
      <c r="AS32" s="4">
        <v>10000</v>
      </c>
      <c r="AT32" s="4">
        <v>10000</v>
      </c>
      <c r="AU32" s="4">
        <v>10000</v>
      </c>
      <c r="AV32" s="13">
        <v>10000</v>
      </c>
      <c r="AW32" s="4">
        <v>10000</v>
      </c>
      <c r="AX32" s="4">
        <v>10000</v>
      </c>
      <c r="AY32" s="12">
        <v>10000</v>
      </c>
      <c r="AZ32" s="13">
        <v>10000</v>
      </c>
      <c r="BA32" s="4">
        <v>10000</v>
      </c>
      <c r="BB32" s="4">
        <v>10000</v>
      </c>
      <c r="BC32" s="13">
        <v>10000</v>
      </c>
      <c r="BD32" s="4">
        <f>+Habilidad!B32</f>
        <v>1</v>
      </c>
      <c r="BE32" s="4">
        <f>+Habilidad!C32</f>
        <v>0</v>
      </c>
      <c r="BF32" s="4">
        <f>+Habilidad!D32</f>
        <v>0</v>
      </c>
      <c r="BG32" s="4">
        <f>+Habilidad!E32</f>
        <v>0</v>
      </c>
    </row>
    <row r="33" spans="1:59" ht="18.75" customHeight="1" x14ac:dyDescent="0.25">
      <c r="A33" s="5" t="s">
        <v>84</v>
      </c>
      <c r="B33" s="12">
        <v>10000</v>
      </c>
      <c r="C33" s="4">
        <v>10000</v>
      </c>
      <c r="D33" s="4">
        <v>10000</v>
      </c>
      <c r="E33" s="4">
        <v>10000</v>
      </c>
      <c r="F33" s="4">
        <v>10000</v>
      </c>
      <c r="G33" s="4">
        <v>10000</v>
      </c>
      <c r="H33" s="4">
        <v>10000</v>
      </c>
      <c r="I33" s="4">
        <v>10000</v>
      </c>
      <c r="J33" s="4">
        <v>10000</v>
      </c>
      <c r="K33" s="4">
        <v>10000</v>
      </c>
      <c r="L33" s="4">
        <v>10000</v>
      </c>
      <c r="M33" s="4">
        <v>10000</v>
      </c>
      <c r="N33" s="4">
        <v>10000</v>
      </c>
      <c r="O33" s="4">
        <v>10000</v>
      </c>
      <c r="P33" s="4">
        <v>10000</v>
      </c>
      <c r="Q33" s="4">
        <v>10000</v>
      </c>
      <c r="R33" s="4">
        <v>10000</v>
      </c>
      <c r="S33" s="12">
        <v>10000</v>
      </c>
      <c r="T33" s="4">
        <v>10000</v>
      </c>
      <c r="U33" s="4">
        <v>10000</v>
      </c>
      <c r="V33" s="4">
        <v>10000</v>
      </c>
      <c r="W33" s="4">
        <v>10000</v>
      </c>
      <c r="X33" s="4">
        <v>10000</v>
      </c>
      <c r="Y33" s="4">
        <v>10000</v>
      </c>
      <c r="Z33" s="4">
        <v>10000</v>
      </c>
      <c r="AA33" s="4">
        <v>10000</v>
      </c>
      <c r="AB33" s="13">
        <v>10000</v>
      </c>
      <c r="AC33" s="4">
        <v>10</v>
      </c>
      <c r="AD33" s="4">
        <v>10000</v>
      </c>
      <c r="AE33" s="4">
        <v>10000</v>
      </c>
      <c r="AF33" s="4">
        <v>10</v>
      </c>
      <c r="AG33" s="4">
        <v>30</v>
      </c>
      <c r="AH33" s="4">
        <v>10</v>
      </c>
      <c r="AI33" s="4">
        <v>10</v>
      </c>
      <c r="AJ33" s="4">
        <v>20</v>
      </c>
      <c r="AK33" s="4">
        <v>10</v>
      </c>
      <c r="AL33" s="4">
        <v>10000</v>
      </c>
      <c r="AM33" s="4">
        <v>10000</v>
      </c>
      <c r="AN33" s="12">
        <v>10000</v>
      </c>
      <c r="AO33" s="4">
        <v>10000</v>
      </c>
      <c r="AP33" s="4">
        <v>10000</v>
      </c>
      <c r="AQ33" s="4">
        <v>10000</v>
      </c>
      <c r="AR33" s="4">
        <v>10000</v>
      </c>
      <c r="AS33" s="4">
        <v>10000</v>
      </c>
      <c r="AT33" s="4">
        <v>10000</v>
      </c>
      <c r="AU33" s="4">
        <v>10000</v>
      </c>
      <c r="AV33" s="13">
        <v>10000</v>
      </c>
      <c r="AW33" s="4">
        <v>10000</v>
      </c>
      <c r="AX33" s="4">
        <v>10000</v>
      </c>
      <c r="AY33" s="12">
        <v>10000</v>
      </c>
      <c r="AZ33" s="13">
        <v>10000</v>
      </c>
      <c r="BA33" s="4">
        <v>10000</v>
      </c>
      <c r="BB33" s="4">
        <v>10000</v>
      </c>
      <c r="BC33" s="13">
        <v>10000</v>
      </c>
      <c r="BD33" s="4">
        <f>+Habilidad!B33</f>
        <v>1</v>
      </c>
      <c r="BE33" s="4">
        <f>+Habilidad!C33</f>
        <v>0</v>
      </c>
      <c r="BF33" s="4">
        <f>+Habilidad!D33</f>
        <v>0</v>
      </c>
      <c r="BG33" s="4">
        <f>+Habilidad!E33</f>
        <v>0</v>
      </c>
    </row>
    <row r="34" spans="1:59" ht="18.75" customHeight="1" x14ac:dyDescent="0.25">
      <c r="A34" s="5" t="s">
        <v>85</v>
      </c>
      <c r="B34" s="12">
        <v>10000</v>
      </c>
      <c r="C34" s="4">
        <v>10000</v>
      </c>
      <c r="D34" s="4">
        <v>10000</v>
      </c>
      <c r="E34" s="4">
        <v>10000</v>
      </c>
      <c r="F34" s="4">
        <v>10000</v>
      </c>
      <c r="G34" s="4">
        <v>10000</v>
      </c>
      <c r="H34" s="4">
        <v>10000</v>
      </c>
      <c r="I34" s="4">
        <v>10000</v>
      </c>
      <c r="J34" s="4">
        <v>10000</v>
      </c>
      <c r="K34" s="4">
        <v>10000</v>
      </c>
      <c r="L34" s="4">
        <v>10000</v>
      </c>
      <c r="M34" s="4">
        <v>10000</v>
      </c>
      <c r="N34" s="4">
        <v>10000</v>
      </c>
      <c r="O34" s="4">
        <v>10000</v>
      </c>
      <c r="P34" s="4">
        <v>10000</v>
      </c>
      <c r="Q34" s="4">
        <v>10000</v>
      </c>
      <c r="R34" s="4">
        <v>10000</v>
      </c>
      <c r="S34" s="12">
        <v>10000</v>
      </c>
      <c r="T34" s="4">
        <v>10000</v>
      </c>
      <c r="U34" s="4">
        <v>10000</v>
      </c>
      <c r="V34" s="4">
        <v>10000</v>
      </c>
      <c r="W34" s="4">
        <v>10000</v>
      </c>
      <c r="X34" s="4">
        <v>10000</v>
      </c>
      <c r="Y34" s="4">
        <v>10000</v>
      </c>
      <c r="Z34" s="4">
        <v>10000</v>
      </c>
      <c r="AA34" s="4">
        <v>10</v>
      </c>
      <c r="AB34" s="13">
        <v>10000</v>
      </c>
      <c r="AC34" s="4">
        <v>10</v>
      </c>
      <c r="AD34" s="4">
        <v>10000</v>
      </c>
      <c r="AE34" s="4">
        <v>10000</v>
      </c>
      <c r="AF34" s="4">
        <v>10</v>
      </c>
      <c r="AG34" s="4">
        <v>30</v>
      </c>
      <c r="AH34" s="4">
        <v>10</v>
      </c>
      <c r="AI34" s="4">
        <v>10</v>
      </c>
      <c r="AJ34" s="4">
        <v>10000</v>
      </c>
      <c r="AK34" s="4">
        <v>10000</v>
      </c>
      <c r="AL34" s="4">
        <v>10000</v>
      </c>
      <c r="AM34" s="4">
        <v>10000</v>
      </c>
      <c r="AN34" s="12">
        <v>10000</v>
      </c>
      <c r="AO34" s="4">
        <v>10000</v>
      </c>
      <c r="AP34" s="4">
        <v>10000</v>
      </c>
      <c r="AQ34" s="4">
        <v>10000</v>
      </c>
      <c r="AR34" s="4">
        <v>10000</v>
      </c>
      <c r="AS34" s="4">
        <v>10000</v>
      </c>
      <c r="AT34" s="4">
        <v>10000</v>
      </c>
      <c r="AU34" s="4">
        <v>10000</v>
      </c>
      <c r="AV34" s="13">
        <v>10000</v>
      </c>
      <c r="AW34" s="4">
        <v>10000</v>
      </c>
      <c r="AX34" s="4">
        <v>10000</v>
      </c>
      <c r="AY34" s="12">
        <v>10000</v>
      </c>
      <c r="AZ34" s="13">
        <v>10000</v>
      </c>
      <c r="BA34" s="4">
        <v>10000</v>
      </c>
      <c r="BB34" s="4">
        <v>10000</v>
      </c>
      <c r="BC34" s="13">
        <v>10000</v>
      </c>
      <c r="BD34" s="4">
        <f>+Habilidad!B34</f>
        <v>1</v>
      </c>
      <c r="BE34" s="4">
        <f>+Habilidad!C34</f>
        <v>1</v>
      </c>
      <c r="BF34" s="4">
        <f>+Habilidad!D34</f>
        <v>1</v>
      </c>
      <c r="BG34" s="4">
        <f>+Habilidad!E34</f>
        <v>0</v>
      </c>
    </row>
    <row r="35" spans="1:59" ht="18.75" customHeight="1" x14ac:dyDescent="0.25">
      <c r="A35" s="5" t="s">
        <v>86</v>
      </c>
      <c r="B35" s="12">
        <v>10000</v>
      </c>
      <c r="C35" s="4">
        <v>10000</v>
      </c>
      <c r="D35" s="4">
        <v>10000</v>
      </c>
      <c r="E35" s="4">
        <v>10000</v>
      </c>
      <c r="F35" s="4">
        <v>10000</v>
      </c>
      <c r="G35" s="4">
        <v>10000</v>
      </c>
      <c r="H35" s="4">
        <v>10000</v>
      </c>
      <c r="I35" s="4">
        <v>10000</v>
      </c>
      <c r="J35" s="4">
        <v>10000</v>
      </c>
      <c r="K35" s="4">
        <v>12</v>
      </c>
      <c r="L35" s="4">
        <v>10000</v>
      </c>
      <c r="M35" s="4">
        <v>10000</v>
      </c>
      <c r="N35" s="4">
        <v>10000</v>
      </c>
      <c r="O35" s="4">
        <v>10000</v>
      </c>
      <c r="P35" s="4">
        <v>10000</v>
      </c>
      <c r="Q35" s="4">
        <v>10000</v>
      </c>
      <c r="R35" s="4">
        <v>10000</v>
      </c>
      <c r="S35" s="12">
        <v>10000</v>
      </c>
      <c r="T35" s="4">
        <v>10000</v>
      </c>
      <c r="U35" s="4">
        <v>10000</v>
      </c>
      <c r="V35" s="4">
        <v>10000</v>
      </c>
      <c r="W35" s="4">
        <v>10000</v>
      </c>
      <c r="X35" s="4">
        <v>10000</v>
      </c>
      <c r="Y35" s="4">
        <v>10000</v>
      </c>
      <c r="Z35" s="4">
        <v>10000</v>
      </c>
      <c r="AA35" s="4">
        <v>10</v>
      </c>
      <c r="AB35" s="13">
        <v>10000</v>
      </c>
      <c r="AC35" s="4">
        <v>10000</v>
      </c>
      <c r="AD35" s="4">
        <v>10000</v>
      </c>
      <c r="AE35" s="4">
        <v>10000</v>
      </c>
      <c r="AF35" s="4">
        <v>10000</v>
      </c>
      <c r="AG35" s="4">
        <v>10000</v>
      </c>
      <c r="AH35" s="4">
        <v>10000</v>
      </c>
      <c r="AI35" s="4">
        <v>10000</v>
      </c>
      <c r="AJ35" s="4">
        <v>10000</v>
      </c>
      <c r="AK35" s="4">
        <v>10000</v>
      </c>
      <c r="AL35" s="4">
        <v>10000</v>
      </c>
      <c r="AM35" s="4">
        <v>10000</v>
      </c>
      <c r="AN35" s="12">
        <v>10000</v>
      </c>
      <c r="AO35" s="4">
        <v>10000</v>
      </c>
      <c r="AP35" s="4">
        <v>10000</v>
      </c>
      <c r="AQ35" s="4">
        <v>10000</v>
      </c>
      <c r="AR35" s="4">
        <v>10000</v>
      </c>
      <c r="AS35" s="4">
        <v>10000</v>
      </c>
      <c r="AT35" s="4">
        <v>10000</v>
      </c>
      <c r="AU35" s="4">
        <v>10000</v>
      </c>
      <c r="AV35" s="13">
        <v>10000</v>
      </c>
      <c r="AW35" s="4">
        <v>10000</v>
      </c>
      <c r="AX35" s="4">
        <v>10000</v>
      </c>
      <c r="AY35" s="12">
        <v>10000</v>
      </c>
      <c r="AZ35" s="13">
        <v>10000</v>
      </c>
      <c r="BA35" s="4">
        <v>10000</v>
      </c>
      <c r="BB35" s="4">
        <v>10000</v>
      </c>
      <c r="BC35" s="13">
        <v>10000</v>
      </c>
      <c r="BD35" s="4">
        <f>+Habilidad!B35</f>
        <v>1</v>
      </c>
      <c r="BE35" s="4">
        <f>+Habilidad!C35</f>
        <v>1</v>
      </c>
      <c r="BF35" s="4">
        <f>+Habilidad!D35</f>
        <v>1</v>
      </c>
      <c r="BG35" s="4">
        <f>+Habilidad!E35</f>
        <v>0</v>
      </c>
    </row>
    <row r="36" spans="1:59" ht="18.75" customHeight="1" x14ac:dyDescent="0.25">
      <c r="A36" s="5" t="s">
        <v>87</v>
      </c>
      <c r="B36" s="12">
        <v>10000</v>
      </c>
      <c r="C36" s="4">
        <v>10000</v>
      </c>
      <c r="D36" s="4">
        <v>10000</v>
      </c>
      <c r="E36" s="4">
        <v>10000</v>
      </c>
      <c r="F36" s="4">
        <v>10000</v>
      </c>
      <c r="G36" s="4">
        <v>10000</v>
      </c>
      <c r="H36" s="4">
        <v>10000</v>
      </c>
      <c r="I36" s="4">
        <v>10000</v>
      </c>
      <c r="J36" s="4">
        <v>10000</v>
      </c>
      <c r="K36" s="4">
        <v>10000</v>
      </c>
      <c r="L36" s="4">
        <v>10000</v>
      </c>
      <c r="M36" s="4">
        <v>10000</v>
      </c>
      <c r="N36" s="4">
        <v>10000</v>
      </c>
      <c r="O36" s="4">
        <v>10000</v>
      </c>
      <c r="P36" s="4">
        <v>10000</v>
      </c>
      <c r="Q36" s="4">
        <v>10000</v>
      </c>
      <c r="R36" s="4">
        <v>10000</v>
      </c>
      <c r="S36" s="12">
        <v>10000</v>
      </c>
      <c r="T36" s="4">
        <v>10000</v>
      </c>
      <c r="U36" s="4">
        <v>10000</v>
      </c>
      <c r="V36" s="4">
        <v>10000</v>
      </c>
      <c r="W36" s="4">
        <v>10000</v>
      </c>
      <c r="X36" s="4">
        <v>10000</v>
      </c>
      <c r="Y36" s="4">
        <v>10000</v>
      </c>
      <c r="Z36" s="4">
        <v>10000</v>
      </c>
      <c r="AA36" s="4">
        <v>10000</v>
      </c>
      <c r="AB36" s="13">
        <v>10000</v>
      </c>
      <c r="AC36" s="4">
        <v>10000</v>
      </c>
      <c r="AD36" s="4">
        <v>10000</v>
      </c>
      <c r="AE36" s="4">
        <v>10000</v>
      </c>
      <c r="AF36" s="4">
        <v>10000</v>
      </c>
      <c r="AG36" s="4">
        <v>10000</v>
      </c>
      <c r="AH36" s="4">
        <v>10000</v>
      </c>
      <c r="AI36" s="4">
        <v>10000</v>
      </c>
      <c r="AJ36" s="4">
        <v>10000</v>
      </c>
      <c r="AK36" s="4">
        <v>10000</v>
      </c>
      <c r="AL36" s="4">
        <v>10000</v>
      </c>
      <c r="AM36" s="4">
        <v>10000</v>
      </c>
      <c r="AN36" s="12">
        <v>10000</v>
      </c>
      <c r="AO36" s="4">
        <v>10000</v>
      </c>
      <c r="AP36" s="4">
        <v>10000</v>
      </c>
      <c r="AQ36" s="4">
        <v>10000</v>
      </c>
      <c r="AR36" s="4">
        <v>10000</v>
      </c>
      <c r="AS36" s="4">
        <v>10000</v>
      </c>
      <c r="AT36" s="4">
        <v>10000</v>
      </c>
      <c r="AU36" s="4">
        <v>10000</v>
      </c>
      <c r="AV36" s="13">
        <v>10000</v>
      </c>
      <c r="AW36" s="4">
        <v>10000</v>
      </c>
      <c r="AX36" s="4">
        <v>10000</v>
      </c>
      <c r="AY36" s="12">
        <v>20</v>
      </c>
      <c r="AZ36" s="13">
        <v>10000</v>
      </c>
      <c r="BA36" s="4">
        <v>10000</v>
      </c>
      <c r="BB36" s="4">
        <v>10000</v>
      </c>
      <c r="BC36" s="13">
        <v>10000</v>
      </c>
      <c r="BD36" s="4">
        <f>+Habilidad!B36</f>
        <v>1</v>
      </c>
      <c r="BE36" s="4">
        <f>+Habilidad!C36</f>
        <v>1</v>
      </c>
      <c r="BF36" s="4">
        <f>+Habilidad!D36</f>
        <v>0</v>
      </c>
      <c r="BG36" s="4">
        <f>+Habilidad!E36</f>
        <v>0</v>
      </c>
    </row>
    <row r="37" spans="1:59" ht="18.75" customHeight="1" x14ac:dyDescent="0.25">
      <c r="A37" s="5" t="s">
        <v>88</v>
      </c>
      <c r="B37" s="12">
        <v>10000</v>
      </c>
      <c r="C37" s="4">
        <v>10000</v>
      </c>
      <c r="D37" s="4">
        <v>10000</v>
      </c>
      <c r="E37" s="4">
        <v>10000</v>
      </c>
      <c r="F37" s="4">
        <v>10000</v>
      </c>
      <c r="G37" s="4">
        <v>10000</v>
      </c>
      <c r="H37" s="4">
        <v>10000</v>
      </c>
      <c r="I37" s="4">
        <v>10000</v>
      </c>
      <c r="J37" s="4">
        <v>10000</v>
      </c>
      <c r="K37" s="4">
        <v>10000</v>
      </c>
      <c r="L37" s="4">
        <v>12</v>
      </c>
      <c r="M37" s="4">
        <v>12</v>
      </c>
      <c r="N37" s="4">
        <v>10000</v>
      </c>
      <c r="O37" s="4">
        <v>10000</v>
      </c>
      <c r="P37" s="4">
        <v>10000</v>
      </c>
      <c r="Q37" s="4">
        <v>10000</v>
      </c>
      <c r="R37" s="4">
        <v>10000</v>
      </c>
      <c r="S37" s="12">
        <v>10000</v>
      </c>
      <c r="T37" s="4">
        <v>10000</v>
      </c>
      <c r="U37" s="4">
        <v>10000</v>
      </c>
      <c r="V37" s="4">
        <v>10000</v>
      </c>
      <c r="W37" s="4">
        <v>10000</v>
      </c>
      <c r="X37" s="4">
        <v>10000</v>
      </c>
      <c r="Y37" s="4">
        <v>10000</v>
      </c>
      <c r="Z37" s="4">
        <v>10000</v>
      </c>
      <c r="AA37" s="4">
        <v>10000</v>
      </c>
      <c r="AB37" s="13">
        <v>10000</v>
      </c>
      <c r="AC37" s="4">
        <v>10000</v>
      </c>
      <c r="AD37" s="4">
        <v>10000</v>
      </c>
      <c r="AE37" s="4">
        <v>10000</v>
      </c>
      <c r="AF37" s="4">
        <v>10000</v>
      </c>
      <c r="AG37" s="4">
        <v>10000</v>
      </c>
      <c r="AH37" s="4">
        <v>10000</v>
      </c>
      <c r="AI37" s="4">
        <v>10000</v>
      </c>
      <c r="AJ37" s="4">
        <v>10000</v>
      </c>
      <c r="AK37" s="4">
        <v>10000</v>
      </c>
      <c r="AL37" s="4">
        <v>10000</v>
      </c>
      <c r="AM37" s="4">
        <v>10000</v>
      </c>
      <c r="AN37" s="12">
        <v>10000</v>
      </c>
      <c r="AO37" s="4">
        <v>10000</v>
      </c>
      <c r="AP37" s="4">
        <v>30</v>
      </c>
      <c r="AQ37" s="4">
        <v>10000</v>
      </c>
      <c r="AR37" s="4">
        <v>10000</v>
      </c>
      <c r="AS37" s="4">
        <v>10000</v>
      </c>
      <c r="AT37" s="4">
        <v>10000</v>
      </c>
      <c r="AU37" s="4">
        <v>10000</v>
      </c>
      <c r="AV37" s="13">
        <v>10000</v>
      </c>
      <c r="AW37" s="4">
        <v>10000</v>
      </c>
      <c r="AX37" s="4">
        <v>10000</v>
      </c>
      <c r="AY37" s="12">
        <v>10000</v>
      </c>
      <c r="AZ37" s="13">
        <v>10000</v>
      </c>
      <c r="BA37" s="4">
        <v>10000</v>
      </c>
      <c r="BB37" s="4">
        <v>10000</v>
      </c>
      <c r="BC37" s="13">
        <v>10000</v>
      </c>
      <c r="BD37" s="4">
        <f>+Habilidad!B37</f>
        <v>1</v>
      </c>
      <c r="BE37" s="4">
        <f>+Habilidad!C37</f>
        <v>1</v>
      </c>
      <c r="BF37" s="4">
        <f>+Habilidad!D37</f>
        <v>0</v>
      </c>
      <c r="BG37" s="4">
        <f>+Habilidad!E37</f>
        <v>0</v>
      </c>
    </row>
    <row r="38" spans="1:59" ht="18.75" customHeight="1" x14ac:dyDescent="0.25">
      <c r="A38" s="5" t="s">
        <v>89</v>
      </c>
      <c r="B38" s="12">
        <v>10000</v>
      </c>
      <c r="C38" s="4">
        <v>10000</v>
      </c>
      <c r="D38" s="4">
        <v>10000</v>
      </c>
      <c r="E38" s="4">
        <v>10000</v>
      </c>
      <c r="F38" s="4">
        <v>10000</v>
      </c>
      <c r="G38" s="4">
        <v>10000</v>
      </c>
      <c r="H38" s="4">
        <v>10000</v>
      </c>
      <c r="I38" s="4">
        <v>10000</v>
      </c>
      <c r="J38" s="4">
        <v>10000</v>
      </c>
      <c r="K38" s="4">
        <v>12</v>
      </c>
      <c r="L38" s="4">
        <v>10000</v>
      </c>
      <c r="M38" s="4">
        <v>10000</v>
      </c>
      <c r="N38" s="4">
        <v>10000</v>
      </c>
      <c r="O38" s="4">
        <v>10000</v>
      </c>
      <c r="P38" s="4">
        <v>10000</v>
      </c>
      <c r="Q38" s="4">
        <v>10000</v>
      </c>
      <c r="R38" s="4">
        <v>10000</v>
      </c>
      <c r="S38" s="12">
        <v>10000</v>
      </c>
      <c r="T38" s="4">
        <v>10000</v>
      </c>
      <c r="U38" s="4">
        <v>10000</v>
      </c>
      <c r="V38" s="4">
        <v>10000</v>
      </c>
      <c r="W38" s="4">
        <v>10000</v>
      </c>
      <c r="X38" s="4">
        <v>10000</v>
      </c>
      <c r="Y38" s="4">
        <v>10000</v>
      </c>
      <c r="Z38" s="4">
        <v>10000</v>
      </c>
      <c r="AA38" s="4">
        <v>10000</v>
      </c>
      <c r="AB38" s="13">
        <v>10000</v>
      </c>
      <c r="AC38" s="4">
        <v>10000</v>
      </c>
      <c r="AD38" s="4">
        <v>10000</v>
      </c>
      <c r="AE38" s="4">
        <v>10000</v>
      </c>
      <c r="AF38" s="4">
        <v>10000</v>
      </c>
      <c r="AG38" s="4">
        <v>10000</v>
      </c>
      <c r="AH38" s="4">
        <v>10000</v>
      </c>
      <c r="AI38" s="4">
        <v>10000</v>
      </c>
      <c r="AJ38" s="4">
        <v>10000</v>
      </c>
      <c r="AK38" s="4">
        <v>10000</v>
      </c>
      <c r="AL38" s="4">
        <v>10000</v>
      </c>
      <c r="AM38" s="4">
        <v>10</v>
      </c>
      <c r="AN38" s="12">
        <v>10000</v>
      </c>
      <c r="AO38" s="4">
        <v>10000</v>
      </c>
      <c r="AP38" s="4">
        <v>10000</v>
      </c>
      <c r="AQ38" s="4">
        <v>10000</v>
      </c>
      <c r="AR38" s="4">
        <v>10000</v>
      </c>
      <c r="AS38" s="4">
        <v>10000</v>
      </c>
      <c r="AT38" s="4">
        <v>10000</v>
      </c>
      <c r="AU38" s="4">
        <v>10000</v>
      </c>
      <c r="AV38" s="13">
        <v>10000</v>
      </c>
      <c r="AW38" s="4">
        <v>10000</v>
      </c>
      <c r="AX38" s="4">
        <v>10000</v>
      </c>
      <c r="AY38" s="12">
        <v>10000</v>
      </c>
      <c r="AZ38" s="13">
        <v>10000</v>
      </c>
      <c r="BA38" s="4">
        <v>10000</v>
      </c>
      <c r="BB38" s="4">
        <v>10000</v>
      </c>
      <c r="BC38" s="13">
        <v>10000</v>
      </c>
      <c r="BD38" s="4">
        <f>+Habilidad!B38</f>
        <v>0</v>
      </c>
      <c r="BE38" s="4">
        <f>+Habilidad!C38</f>
        <v>0</v>
      </c>
      <c r="BF38" s="4">
        <f>+Habilidad!D38</f>
        <v>0</v>
      </c>
      <c r="BG38" s="4">
        <f>+Habilidad!E38</f>
        <v>1</v>
      </c>
    </row>
    <row r="39" spans="1:59" ht="18.75" customHeight="1" x14ac:dyDescent="0.25">
      <c r="A39" s="5" t="s">
        <v>90</v>
      </c>
      <c r="B39" s="12">
        <v>10000</v>
      </c>
      <c r="C39" s="4">
        <v>10000</v>
      </c>
      <c r="D39" s="4">
        <v>10000</v>
      </c>
      <c r="E39" s="4">
        <v>10000</v>
      </c>
      <c r="F39" s="4">
        <v>10000</v>
      </c>
      <c r="G39" s="4">
        <v>10000</v>
      </c>
      <c r="H39" s="4">
        <v>10000</v>
      </c>
      <c r="I39" s="4">
        <v>10000</v>
      </c>
      <c r="J39" s="4">
        <v>10000</v>
      </c>
      <c r="K39" s="4">
        <v>12</v>
      </c>
      <c r="L39" s="4">
        <v>10000</v>
      </c>
      <c r="M39" s="4">
        <v>10000</v>
      </c>
      <c r="N39" s="4">
        <v>10000</v>
      </c>
      <c r="O39" s="4">
        <v>10000</v>
      </c>
      <c r="P39" s="4">
        <v>10000</v>
      </c>
      <c r="Q39" s="4">
        <v>10000</v>
      </c>
      <c r="R39" s="4">
        <v>10000</v>
      </c>
      <c r="S39" s="12">
        <v>10000</v>
      </c>
      <c r="T39" s="4">
        <v>10000</v>
      </c>
      <c r="U39" s="4">
        <v>15</v>
      </c>
      <c r="V39" s="4">
        <v>10000</v>
      </c>
      <c r="W39" s="4">
        <v>10000</v>
      </c>
      <c r="X39" s="4">
        <v>10000</v>
      </c>
      <c r="Y39" s="4">
        <v>10000</v>
      </c>
      <c r="Z39" s="4">
        <v>10000</v>
      </c>
      <c r="AA39" s="4">
        <v>10</v>
      </c>
      <c r="AB39" s="13">
        <v>10000</v>
      </c>
      <c r="AC39" s="4">
        <v>10000</v>
      </c>
      <c r="AD39" s="4">
        <v>10000</v>
      </c>
      <c r="AE39" s="4">
        <v>10000</v>
      </c>
      <c r="AF39" s="4">
        <v>10000</v>
      </c>
      <c r="AG39" s="4">
        <v>10000</v>
      </c>
      <c r="AH39" s="4">
        <v>10000</v>
      </c>
      <c r="AI39" s="4">
        <v>10000</v>
      </c>
      <c r="AJ39" s="4">
        <v>10000</v>
      </c>
      <c r="AK39" s="4">
        <v>10000</v>
      </c>
      <c r="AL39" s="4">
        <v>10000</v>
      </c>
      <c r="AM39" s="4">
        <v>10</v>
      </c>
      <c r="AN39" s="12">
        <v>10000</v>
      </c>
      <c r="AO39" s="4">
        <v>10000</v>
      </c>
      <c r="AP39" s="4">
        <v>10000</v>
      </c>
      <c r="AQ39" s="4">
        <v>10000</v>
      </c>
      <c r="AR39" s="4">
        <v>10000</v>
      </c>
      <c r="AS39" s="4">
        <v>10000</v>
      </c>
      <c r="AT39" s="4">
        <v>10000</v>
      </c>
      <c r="AU39" s="4">
        <v>10000</v>
      </c>
      <c r="AV39" s="13">
        <v>10000</v>
      </c>
      <c r="AW39" s="4">
        <v>10000</v>
      </c>
      <c r="AX39" s="4">
        <v>10000</v>
      </c>
      <c r="AY39" s="12">
        <v>10000</v>
      </c>
      <c r="AZ39" s="13">
        <v>10000</v>
      </c>
      <c r="BA39" s="4">
        <v>10000</v>
      </c>
      <c r="BB39" s="4">
        <v>10000</v>
      </c>
      <c r="BC39" s="13">
        <v>10000</v>
      </c>
      <c r="BD39" s="4">
        <f>+Habilidad!B39</f>
        <v>0</v>
      </c>
      <c r="BE39" s="4">
        <f>+Habilidad!C39</f>
        <v>0</v>
      </c>
      <c r="BF39" s="4">
        <f>+Habilidad!D39</f>
        <v>0</v>
      </c>
      <c r="BG39" s="4">
        <f>+Habilidad!E39</f>
        <v>1</v>
      </c>
    </row>
    <row r="40" spans="1:59" ht="18.75" customHeight="1" x14ac:dyDescent="0.25">
      <c r="A40" s="5" t="s">
        <v>91</v>
      </c>
      <c r="B40" s="12">
        <v>10000</v>
      </c>
      <c r="C40" s="4">
        <v>10000</v>
      </c>
      <c r="D40" s="4">
        <v>15</v>
      </c>
      <c r="E40" s="4">
        <v>10000</v>
      </c>
      <c r="F40" s="4">
        <v>10000</v>
      </c>
      <c r="G40" s="4">
        <v>12</v>
      </c>
      <c r="H40" s="4">
        <v>10000</v>
      </c>
      <c r="I40" s="4">
        <v>10000</v>
      </c>
      <c r="J40" s="4">
        <v>15</v>
      </c>
      <c r="K40" s="4">
        <v>10000</v>
      </c>
      <c r="L40" s="4">
        <v>12</v>
      </c>
      <c r="M40" s="4">
        <v>12</v>
      </c>
      <c r="N40" s="4">
        <v>15</v>
      </c>
      <c r="O40" s="4">
        <v>10000</v>
      </c>
      <c r="P40" s="4">
        <v>10000</v>
      </c>
      <c r="Q40" s="4">
        <v>10000</v>
      </c>
      <c r="R40" s="4">
        <v>15</v>
      </c>
      <c r="S40" s="12">
        <v>10000</v>
      </c>
      <c r="T40" s="4">
        <v>10000</v>
      </c>
      <c r="U40" s="4">
        <v>10000</v>
      </c>
      <c r="V40" s="4">
        <v>10000</v>
      </c>
      <c r="W40" s="4">
        <v>10000</v>
      </c>
      <c r="X40" s="4">
        <v>10000</v>
      </c>
      <c r="Y40" s="4">
        <v>10000</v>
      </c>
      <c r="Z40" s="4">
        <v>10000</v>
      </c>
      <c r="AA40" s="4">
        <v>10000</v>
      </c>
      <c r="AB40" s="13">
        <v>10000</v>
      </c>
      <c r="AC40" s="4">
        <v>10000</v>
      </c>
      <c r="AD40" s="4">
        <v>10000</v>
      </c>
      <c r="AE40" s="4">
        <v>10000</v>
      </c>
      <c r="AF40" s="4">
        <v>10000</v>
      </c>
      <c r="AG40" s="4">
        <v>10000</v>
      </c>
      <c r="AH40" s="4">
        <v>10000</v>
      </c>
      <c r="AI40" s="4">
        <v>10000</v>
      </c>
      <c r="AJ40" s="4">
        <v>10000</v>
      </c>
      <c r="AK40" s="4">
        <v>10000</v>
      </c>
      <c r="AL40" s="4">
        <v>10000</v>
      </c>
      <c r="AM40" s="4">
        <v>10000</v>
      </c>
      <c r="AN40" s="12">
        <v>60</v>
      </c>
      <c r="AO40" s="4">
        <v>10000</v>
      </c>
      <c r="AP40" s="4">
        <v>10000</v>
      </c>
      <c r="AQ40" s="4">
        <v>10000</v>
      </c>
      <c r="AR40" s="4">
        <v>10000</v>
      </c>
      <c r="AS40" s="4">
        <v>10000</v>
      </c>
      <c r="AT40" s="4">
        <v>10000</v>
      </c>
      <c r="AU40" s="4">
        <v>10000</v>
      </c>
      <c r="AV40" s="13">
        <v>10000</v>
      </c>
      <c r="AW40" s="4">
        <v>10000</v>
      </c>
      <c r="AX40" s="4">
        <v>10000</v>
      </c>
      <c r="AY40" s="12">
        <v>10000</v>
      </c>
      <c r="AZ40" s="13">
        <v>15</v>
      </c>
      <c r="BA40" s="4">
        <v>10000</v>
      </c>
      <c r="BB40" s="4">
        <v>10000</v>
      </c>
      <c r="BC40" s="13">
        <v>10000</v>
      </c>
      <c r="BD40" s="4">
        <f>+Habilidad!B40</f>
        <v>1</v>
      </c>
      <c r="BE40" s="4">
        <f>+Habilidad!C40</f>
        <v>0</v>
      </c>
      <c r="BF40" s="4">
        <f>+Habilidad!D40</f>
        <v>0</v>
      </c>
      <c r="BG40" s="4">
        <f>+Habilidad!E40</f>
        <v>1</v>
      </c>
    </row>
    <row r="41" spans="1:59" ht="18.75" customHeight="1" x14ac:dyDescent="0.25">
      <c r="A41" s="5" t="s">
        <v>92</v>
      </c>
      <c r="B41" s="12">
        <v>10000</v>
      </c>
      <c r="C41" s="4">
        <v>10000</v>
      </c>
      <c r="D41" s="4">
        <v>10000</v>
      </c>
      <c r="E41" s="4">
        <v>10000</v>
      </c>
      <c r="F41" s="4">
        <v>10000</v>
      </c>
      <c r="G41" s="4">
        <v>10000</v>
      </c>
      <c r="H41" s="4">
        <v>10000</v>
      </c>
      <c r="I41" s="4">
        <v>10000</v>
      </c>
      <c r="J41" s="4">
        <v>10000</v>
      </c>
      <c r="K41" s="4">
        <v>10000</v>
      </c>
      <c r="L41" s="4">
        <v>10000</v>
      </c>
      <c r="M41" s="4">
        <v>10000</v>
      </c>
      <c r="N41" s="4">
        <v>10000</v>
      </c>
      <c r="O41" s="4">
        <v>10000</v>
      </c>
      <c r="P41" s="4">
        <v>10000</v>
      </c>
      <c r="Q41" s="4">
        <v>10000</v>
      </c>
      <c r="R41" s="4">
        <v>10000</v>
      </c>
      <c r="S41" s="12">
        <v>40</v>
      </c>
      <c r="T41" s="4">
        <v>15</v>
      </c>
      <c r="U41" s="4">
        <v>15</v>
      </c>
      <c r="V41" s="4">
        <v>15</v>
      </c>
      <c r="W41" s="4">
        <v>10000</v>
      </c>
      <c r="X41" s="4">
        <v>20</v>
      </c>
      <c r="Y41" s="4">
        <v>10000</v>
      </c>
      <c r="Z41" s="4">
        <v>15</v>
      </c>
      <c r="AA41" s="4">
        <v>10</v>
      </c>
      <c r="AB41" s="13">
        <v>30</v>
      </c>
      <c r="AC41" s="4">
        <v>10000</v>
      </c>
      <c r="AD41" s="4">
        <v>10000</v>
      </c>
      <c r="AE41" s="4">
        <v>10000</v>
      </c>
      <c r="AF41" s="4">
        <v>10000</v>
      </c>
      <c r="AG41" s="4">
        <v>10000</v>
      </c>
      <c r="AH41" s="4">
        <v>10000</v>
      </c>
      <c r="AI41" s="4">
        <v>10000</v>
      </c>
      <c r="AJ41" s="4">
        <v>10000</v>
      </c>
      <c r="AK41" s="4">
        <v>10000</v>
      </c>
      <c r="AL41" s="4">
        <v>10000</v>
      </c>
      <c r="AM41" s="4">
        <v>10000</v>
      </c>
      <c r="AN41" s="12">
        <v>10000</v>
      </c>
      <c r="AO41" s="4">
        <v>10000</v>
      </c>
      <c r="AP41" s="4">
        <v>10000</v>
      </c>
      <c r="AQ41" s="4">
        <v>10000</v>
      </c>
      <c r="AR41" s="4">
        <v>10000</v>
      </c>
      <c r="AS41" s="4">
        <v>10000</v>
      </c>
      <c r="AT41" s="4">
        <v>10000</v>
      </c>
      <c r="AU41" s="4">
        <v>10000</v>
      </c>
      <c r="AV41" s="13">
        <v>10000</v>
      </c>
      <c r="AW41" s="4">
        <v>10000</v>
      </c>
      <c r="AX41" s="4">
        <v>10000</v>
      </c>
      <c r="AY41" s="12">
        <v>10000</v>
      </c>
      <c r="AZ41" s="13">
        <v>10000</v>
      </c>
      <c r="BA41" s="4">
        <v>10000</v>
      </c>
      <c r="BB41" s="4">
        <v>10000</v>
      </c>
      <c r="BC41" s="13">
        <v>10000</v>
      </c>
      <c r="BD41" s="4">
        <f>+Habilidad!B41</f>
        <v>1</v>
      </c>
      <c r="BE41" s="4">
        <f>+Habilidad!C41</f>
        <v>1</v>
      </c>
      <c r="BF41" s="4">
        <f>+Habilidad!D41</f>
        <v>1</v>
      </c>
      <c r="BG41" s="4">
        <f>+Habilidad!E41</f>
        <v>0</v>
      </c>
    </row>
    <row r="42" spans="1:59" ht="18.75" customHeight="1" x14ac:dyDescent="0.25">
      <c r="A42" s="5" t="s">
        <v>93</v>
      </c>
      <c r="B42" s="12">
        <v>10000</v>
      </c>
      <c r="C42" s="4">
        <v>10000</v>
      </c>
      <c r="D42" s="4">
        <v>10000</v>
      </c>
      <c r="E42" s="4">
        <v>10000</v>
      </c>
      <c r="F42" s="4">
        <v>10000</v>
      </c>
      <c r="G42" s="4">
        <v>10000</v>
      </c>
      <c r="H42" s="4">
        <v>10000</v>
      </c>
      <c r="I42" s="4">
        <v>10000</v>
      </c>
      <c r="J42" s="4">
        <v>10000</v>
      </c>
      <c r="K42" s="4">
        <v>10000</v>
      </c>
      <c r="L42" s="4">
        <v>10000</v>
      </c>
      <c r="M42" s="4">
        <v>10000</v>
      </c>
      <c r="N42" s="4">
        <v>10000</v>
      </c>
      <c r="O42" s="4">
        <v>10000</v>
      </c>
      <c r="P42" s="4">
        <v>10000</v>
      </c>
      <c r="Q42" s="4">
        <v>10000</v>
      </c>
      <c r="R42" s="4">
        <v>10000</v>
      </c>
      <c r="S42" s="12">
        <v>40</v>
      </c>
      <c r="T42" s="4">
        <v>15</v>
      </c>
      <c r="U42" s="4">
        <v>15</v>
      </c>
      <c r="V42" s="4">
        <v>10000</v>
      </c>
      <c r="W42" s="4">
        <v>10000</v>
      </c>
      <c r="X42" s="4">
        <v>20</v>
      </c>
      <c r="Y42" s="4">
        <v>10000</v>
      </c>
      <c r="Z42" s="4">
        <v>15</v>
      </c>
      <c r="AA42" s="4">
        <v>10</v>
      </c>
      <c r="AB42" s="13">
        <v>30</v>
      </c>
      <c r="AC42" s="4">
        <v>10000</v>
      </c>
      <c r="AD42" s="4">
        <v>10000</v>
      </c>
      <c r="AE42" s="4">
        <v>10000</v>
      </c>
      <c r="AF42" s="4">
        <v>10000</v>
      </c>
      <c r="AG42" s="4">
        <v>10000</v>
      </c>
      <c r="AH42" s="4">
        <v>10000</v>
      </c>
      <c r="AI42" s="4">
        <v>10000</v>
      </c>
      <c r="AJ42" s="4">
        <v>10000</v>
      </c>
      <c r="AK42" s="4">
        <v>10000</v>
      </c>
      <c r="AL42" s="4">
        <v>10000</v>
      </c>
      <c r="AM42" s="4">
        <v>10000</v>
      </c>
      <c r="AN42" s="12">
        <v>10000</v>
      </c>
      <c r="AO42" s="4">
        <v>10000</v>
      </c>
      <c r="AP42" s="4">
        <v>10000</v>
      </c>
      <c r="AQ42" s="4">
        <v>10000</v>
      </c>
      <c r="AR42" s="4">
        <v>10000</v>
      </c>
      <c r="AS42" s="4">
        <v>10000</v>
      </c>
      <c r="AT42" s="4">
        <v>10000</v>
      </c>
      <c r="AU42" s="4">
        <v>10000</v>
      </c>
      <c r="AV42" s="13">
        <v>10000</v>
      </c>
      <c r="AW42" s="4">
        <v>10000</v>
      </c>
      <c r="AX42" s="4">
        <v>10000</v>
      </c>
      <c r="AY42" s="12">
        <v>10000</v>
      </c>
      <c r="AZ42" s="13">
        <v>10000</v>
      </c>
      <c r="BA42" s="4">
        <v>10000</v>
      </c>
      <c r="BB42" s="4">
        <v>10000</v>
      </c>
      <c r="BC42" s="13">
        <v>10000</v>
      </c>
      <c r="BD42" s="4">
        <f>+Habilidad!B42</f>
        <v>0</v>
      </c>
      <c r="BE42" s="4">
        <f>+Habilidad!C42</f>
        <v>1</v>
      </c>
      <c r="BF42" s="4">
        <f>+Habilidad!D42</f>
        <v>0</v>
      </c>
      <c r="BG42" s="4">
        <f>+Habilidad!E42</f>
        <v>0</v>
      </c>
    </row>
    <row r="43" spans="1:59" ht="18.75" customHeight="1" x14ac:dyDescent="0.25">
      <c r="A43" s="5" t="s">
        <v>94</v>
      </c>
      <c r="B43" s="12">
        <v>10000</v>
      </c>
      <c r="C43" s="4">
        <v>10000</v>
      </c>
      <c r="D43" s="4">
        <v>10000</v>
      </c>
      <c r="E43" s="4">
        <v>10000</v>
      </c>
      <c r="F43" s="4">
        <v>10000</v>
      </c>
      <c r="G43" s="4">
        <v>10000</v>
      </c>
      <c r="H43" s="4">
        <v>10000</v>
      </c>
      <c r="I43" s="4">
        <v>10000</v>
      </c>
      <c r="J43" s="4">
        <v>10000</v>
      </c>
      <c r="K43" s="4">
        <v>12</v>
      </c>
      <c r="L43" s="4">
        <v>10000</v>
      </c>
      <c r="M43" s="4">
        <v>10000</v>
      </c>
      <c r="N43" s="4">
        <v>10000</v>
      </c>
      <c r="O43" s="4">
        <v>10000</v>
      </c>
      <c r="P43" s="4">
        <v>10000</v>
      </c>
      <c r="Q43" s="4">
        <v>10000</v>
      </c>
      <c r="R43" s="4">
        <v>10000</v>
      </c>
      <c r="S43" s="12">
        <v>10000</v>
      </c>
      <c r="T43" s="4">
        <v>10000</v>
      </c>
      <c r="U43" s="4">
        <v>10000</v>
      </c>
      <c r="V43" s="4">
        <v>10000</v>
      </c>
      <c r="W43" s="4">
        <v>10000</v>
      </c>
      <c r="X43" s="4">
        <v>10000</v>
      </c>
      <c r="Y43" s="4">
        <v>10000</v>
      </c>
      <c r="Z43" s="4">
        <v>10000</v>
      </c>
      <c r="AA43" s="4">
        <v>10</v>
      </c>
      <c r="AB43" s="13">
        <v>10000</v>
      </c>
      <c r="AC43" s="4">
        <v>10000</v>
      </c>
      <c r="AD43" s="4">
        <v>10000</v>
      </c>
      <c r="AE43" s="4">
        <v>10000</v>
      </c>
      <c r="AF43" s="4">
        <v>10</v>
      </c>
      <c r="AG43" s="4">
        <v>30</v>
      </c>
      <c r="AH43" s="4">
        <v>10000</v>
      </c>
      <c r="AI43" s="4">
        <v>10000</v>
      </c>
      <c r="AJ43" s="4">
        <v>10000</v>
      </c>
      <c r="AK43" s="4">
        <v>10000</v>
      </c>
      <c r="AL43" s="4">
        <v>10000</v>
      </c>
      <c r="AM43" s="4">
        <v>10000</v>
      </c>
      <c r="AN43" s="12">
        <v>10000</v>
      </c>
      <c r="AO43" s="4">
        <v>10000</v>
      </c>
      <c r="AP43" s="4">
        <v>10000</v>
      </c>
      <c r="AQ43" s="4">
        <v>10000</v>
      </c>
      <c r="AR43" s="4">
        <v>10000</v>
      </c>
      <c r="AS43" s="4">
        <v>10000</v>
      </c>
      <c r="AT43" s="4">
        <v>10000</v>
      </c>
      <c r="AU43" s="4">
        <v>10000</v>
      </c>
      <c r="AV43" s="13">
        <v>10000</v>
      </c>
      <c r="AW43" s="4">
        <v>10000</v>
      </c>
      <c r="AX43" s="4">
        <v>10000</v>
      </c>
      <c r="AY43" s="12">
        <v>10000</v>
      </c>
      <c r="AZ43" s="13">
        <v>10000</v>
      </c>
      <c r="BA43" s="4">
        <v>10000</v>
      </c>
      <c r="BB43" s="4">
        <v>10000</v>
      </c>
      <c r="BC43" s="13">
        <v>10000</v>
      </c>
      <c r="BD43" s="4">
        <f>+Habilidad!B43</f>
        <v>1</v>
      </c>
      <c r="BE43" s="4">
        <f>+Habilidad!C43</f>
        <v>1</v>
      </c>
      <c r="BF43" s="4">
        <f>+Habilidad!D43</f>
        <v>1</v>
      </c>
      <c r="BG43" s="4">
        <f>+Habilidad!E43</f>
        <v>0</v>
      </c>
    </row>
    <row r="44" spans="1:59" ht="18.75" customHeight="1" x14ac:dyDescent="0.25">
      <c r="A44" s="5" t="s">
        <v>95</v>
      </c>
      <c r="B44" s="12">
        <v>10000</v>
      </c>
      <c r="C44" s="4">
        <v>10000</v>
      </c>
      <c r="D44" s="4">
        <v>10000</v>
      </c>
      <c r="E44" s="4">
        <v>10000</v>
      </c>
      <c r="F44" s="4">
        <v>10000</v>
      </c>
      <c r="G44" s="4">
        <v>10000</v>
      </c>
      <c r="H44" s="4">
        <v>10000</v>
      </c>
      <c r="I44" s="4">
        <v>10000</v>
      </c>
      <c r="J44" s="4">
        <v>10000</v>
      </c>
      <c r="K44" s="4">
        <v>12</v>
      </c>
      <c r="L44" s="4">
        <v>10000</v>
      </c>
      <c r="M44" s="4">
        <v>10000</v>
      </c>
      <c r="N44" s="4">
        <v>10000</v>
      </c>
      <c r="O44" s="4">
        <v>10000</v>
      </c>
      <c r="P44" s="4">
        <v>10000</v>
      </c>
      <c r="Q44" s="4">
        <v>10000</v>
      </c>
      <c r="R44" s="4">
        <v>10000</v>
      </c>
      <c r="S44" s="12">
        <v>10000</v>
      </c>
      <c r="T44" s="4">
        <v>10000</v>
      </c>
      <c r="U44" s="4">
        <v>10000</v>
      </c>
      <c r="V44" s="4">
        <v>10000</v>
      </c>
      <c r="W44" s="4">
        <v>10000</v>
      </c>
      <c r="X44" s="4">
        <v>10000</v>
      </c>
      <c r="Y44" s="4">
        <v>10000</v>
      </c>
      <c r="Z44" s="4">
        <v>10000</v>
      </c>
      <c r="AA44" s="4">
        <v>10</v>
      </c>
      <c r="AB44" s="13">
        <v>10000</v>
      </c>
      <c r="AC44" s="4">
        <v>10000</v>
      </c>
      <c r="AD44" s="4">
        <v>10000</v>
      </c>
      <c r="AE44" s="4">
        <v>10000</v>
      </c>
      <c r="AF44" s="4">
        <v>10</v>
      </c>
      <c r="AG44" s="4">
        <v>30</v>
      </c>
      <c r="AH44" s="4">
        <v>10000</v>
      </c>
      <c r="AI44" s="4">
        <v>10000</v>
      </c>
      <c r="AJ44" s="4">
        <v>10000</v>
      </c>
      <c r="AK44" s="4">
        <v>10000</v>
      </c>
      <c r="AL44" s="4">
        <v>10000</v>
      </c>
      <c r="AM44" s="4">
        <v>10000</v>
      </c>
      <c r="AN44" s="12">
        <v>10000</v>
      </c>
      <c r="AO44" s="4">
        <v>10000</v>
      </c>
      <c r="AP44" s="4">
        <v>10000</v>
      </c>
      <c r="AQ44" s="4">
        <v>10000</v>
      </c>
      <c r="AR44" s="4">
        <v>10000</v>
      </c>
      <c r="AS44" s="4">
        <v>10000</v>
      </c>
      <c r="AT44" s="4">
        <v>10000</v>
      </c>
      <c r="AU44" s="4">
        <v>10000</v>
      </c>
      <c r="AV44" s="13">
        <v>10000</v>
      </c>
      <c r="AW44" s="4">
        <v>10000</v>
      </c>
      <c r="AX44" s="4">
        <v>10000</v>
      </c>
      <c r="AY44" s="12">
        <v>10000</v>
      </c>
      <c r="AZ44" s="13">
        <v>10000</v>
      </c>
      <c r="BA44" s="4">
        <v>10000</v>
      </c>
      <c r="BB44" s="4">
        <v>10000</v>
      </c>
      <c r="BC44" s="13">
        <v>10000</v>
      </c>
      <c r="BD44" s="4">
        <f>+Habilidad!B44</f>
        <v>1</v>
      </c>
      <c r="BE44" s="4">
        <f>+Habilidad!C44</f>
        <v>1</v>
      </c>
      <c r="BF44" s="4">
        <f>+Habilidad!D44</f>
        <v>1</v>
      </c>
      <c r="BG44" s="4">
        <f>+Habilidad!E44</f>
        <v>0</v>
      </c>
    </row>
    <row r="45" spans="1:59" ht="18.75" customHeight="1" x14ac:dyDescent="0.25">
      <c r="A45" s="5" t="s">
        <v>96</v>
      </c>
      <c r="B45" s="12">
        <v>10000</v>
      </c>
      <c r="C45" s="4">
        <v>10000</v>
      </c>
      <c r="D45" s="4">
        <v>10000</v>
      </c>
      <c r="E45" s="4">
        <v>10000</v>
      </c>
      <c r="F45" s="4">
        <v>10000</v>
      </c>
      <c r="G45" s="4">
        <v>10000</v>
      </c>
      <c r="H45" s="4">
        <v>10000</v>
      </c>
      <c r="I45" s="4">
        <v>10000</v>
      </c>
      <c r="J45" s="4">
        <v>10000</v>
      </c>
      <c r="K45" s="4">
        <v>12</v>
      </c>
      <c r="L45" s="4">
        <v>10000</v>
      </c>
      <c r="M45" s="4">
        <v>10000</v>
      </c>
      <c r="N45" s="4">
        <v>10000</v>
      </c>
      <c r="O45" s="4">
        <v>10000</v>
      </c>
      <c r="P45" s="4">
        <v>10000</v>
      </c>
      <c r="Q45" s="4">
        <v>10000</v>
      </c>
      <c r="R45" s="4">
        <v>10000</v>
      </c>
      <c r="S45" s="12">
        <v>10000</v>
      </c>
      <c r="T45" s="4">
        <v>10000</v>
      </c>
      <c r="U45" s="4">
        <v>10000</v>
      </c>
      <c r="V45" s="4">
        <v>10000</v>
      </c>
      <c r="W45" s="4">
        <v>10000</v>
      </c>
      <c r="X45" s="4">
        <v>10000</v>
      </c>
      <c r="Y45" s="4">
        <v>10000</v>
      </c>
      <c r="Z45" s="4">
        <v>10000</v>
      </c>
      <c r="AA45" s="4">
        <v>10</v>
      </c>
      <c r="AB45" s="13">
        <v>10000</v>
      </c>
      <c r="AC45" s="4">
        <v>10000</v>
      </c>
      <c r="AD45" s="4">
        <v>10000</v>
      </c>
      <c r="AE45" s="4">
        <v>10000</v>
      </c>
      <c r="AF45" s="4">
        <v>10</v>
      </c>
      <c r="AG45" s="4">
        <v>30</v>
      </c>
      <c r="AH45" s="4">
        <v>10000</v>
      </c>
      <c r="AI45" s="4">
        <v>10000</v>
      </c>
      <c r="AJ45" s="4">
        <v>10000</v>
      </c>
      <c r="AK45" s="4">
        <v>10000</v>
      </c>
      <c r="AL45" s="4">
        <v>10000</v>
      </c>
      <c r="AM45" s="4">
        <v>10000</v>
      </c>
      <c r="AN45" s="12">
        <v>10000</v>
      </c>
      <c r="AO45" s="4">
        <v>10000</v>
      </c>
      <c r="AP45" s="4">
        <v>10000</v>
      </c>
      <c r="AQ45" s="4">
        <v>10000</v>
      </c>
      <c r="AR45" s="4">
        <v>10000</v>
      </c>
      <c r="AS45" s="4">
        <v>10000</v>
      </c>
      <c r="AT45" s="4">
        <v>10000</v>
      </c>
      <c r="AU45" s="4">
        <v>10000</v>
      </c>
      <c r="AV45" s="13">
        <v>10000</v>
      </c>
      <c r="AW45" s="4">
        <v>10000</v>
      </c>
      <c r="AX45" s="4">
        <v>10000</v>
      </c>
      <c r="AY45" s="12">
        <v>10000</v>
      </c>
      <c r="AZ45" s="13">
        <v>10000</v>
      </c>
      <c r="BA45" s="4">
        <v>10000</v>
      </c>
      <c r="BB45" s="4">
        <v>10000</v>
      </c>
      <c r="BC45" s="13">
        <v>10000</v>
      </c>
      <c r="BD45" s="4">
        <f>+Habilidad!B45</f>
        <v>1</v>
      </c>
      <c r="BE45" s="4">
        <f>+Habilidad!C45</f>
        <v>1</v>
      </c>
      <c r="BF45" s="4">
        <f>+Habilidad!D45</f>
        <v>1</v>
      </c>
      <c r="BG45" s="4">
        <f>+Habilidad!E45</f>
        <v>0</v>
      </c>
    </row>
    <row r="46" spans="1:59" ht="18.75" customHeight="1" x14ac:dyDescent="0.25">
      <c r="A46" s="6" t="s">
        <v>97</v>
      </c>
      <c r="B46" s="12">
        <v>10000</v>
      </c>
      <c r="C46" s="4">
        <v>10000</v>
      </c>
      <c r="D46" s="4">
        <v>10000</v>
      </c>
      <c r="E46" s="4">
        <v>10000</v>
      </c>
      <c r="F46" s="4">
        <v>10000</v>
      </c>
      <c r="G46" s="4">
        <v>10000</v>
      </c>
      <c r="H46" s="4">
        <v>10000</v>
      </c>
      <c r="I46" s="4">
        <v>10000</v>
      </c>
      <c r="J46" s="4">
        <v>10000</v>
      </c>
      <c r="K46" s="4">
        <v>12</v>
      </c>
      <c r="L46" s="4">
        <v>10000</v>
      </c>
      <c r="M46" s="4">
        <v>10000</v>
      </c>
      <c r="N46" s="4">
        <v>10000</v>
      </c>
      <c r="O46" s="4">
        <v>10000</v>
      </c>
      <c r="P46" s="4">
        <v>10000</v>
      </c>
      <c r="Q46" s="4">
        <v>10000</v>
      </c>
      <c r="R46" s="4">
        <v>10000</v>
      </c>
      <c r="S46" s="12">
        <v>10000</v>
      </c>
      <c r="T46" s="4">
        <v>10000</v>
      </c>
      <c r="U46" s="4">
        <v>10000</v>
      </c>
      <c r="V46" s="4">
        <v>10000</v>
      </c>
      <c r="W46" s="4">
        <v>10000</v>
      </c>
      <c r="X46" s="4">
        <v>10000</v>
      </c>
      <c r="Y46" s="4">
        <v>10000</v>
      </c>
      <c r="Z46" s="4">
        <v>10000</v>
      </c>
      <c r="AA46" s="4">
        <v>10</v>
      </c>
      <c r="AB46" s="13">
        <v>10000</v>
      </c>
      <c r="AC46" s="4">
        <v>10000</v>
      </c>
      <c r="AD46" s="4">
        <v>10000</v>
      </c>
      <c r="AE46" s="4">
        <v>10000</v>
      </c>
      <c r="AF46" s="4">
        <v>10</v>
      </c>
      <c r="AG46" s="4">
        <v>30</v>
      </c>
      <c r="AH46" s="4">
        <v>10000</v>
      </c>
      <c r="AI46" s="4">
        <v>10000</v>
      </c>
      <c r="AJ46" s="4">
        <v>10000</v>
      </c>
      <c r="AK46" s="4">
        <v>10000</v>
      </c>
      <c r="AL46" s="4">
        <v>10000</v>
      </c>
      <c r="AM46" s="4">
        <v>10000</v>
      </c>
      <c r="AN46" s="12">
        <v>10000</v>
      </c>
      <c r="AO46" s="4">
        <v>10000</v>
      </c>
      <c r="AP46" s="4">
        <v>10000</v>
      </c>
      <c r="AQ46" s="4">
        <v>10000</v>
      </c>
      <c r="AR46" s="4">
        <v>10000</v>
      </c>
      <c r="AS46" s="4">
        <v>10000</v>
      </c>
      <c r="AT46" s="4">
        <v>10000</v>
      </c>
      <c r="AU46" s="4">
        <v>10000</v>
      </c>
      <c r="AV46" s="13">
        <v>10000</v>
      </c>
      <c r="AW46" s="4">
        <v>10000</v>
      </c>
      <c r="AX46" s="4">
        <v>10000</v>
      </c>
      <c r="AY46" s="12">
        <v>10000</v>
      </c>
      <c r="AZ46" s="13">
        <v>10000</v>
      </c>
      <c r="BA46" s="4">
        <v>10000</v>
      </c>
      <c r="BB46" s="4">
        <v>10000</v>
      </c>
      <c r="BC46" s="13">
        <v>10000</v>
      </c>
      <c r="BD46" s="4">
        <f>+Habilidad!B46</f>
        <v>1</v>
      </c>
      <c r="BE46" s="4">
        <f>+Habilidad!C46</f>
        <v>1</v>
      </c>
      <c r="BF46" s="4">
        <f>+Habilidad!D46</f>
        <v>1</v>
      </c>
      <c r="BG46" s="4">
        <f>+Habilidad!E46</f>
        <v>0</v>
      </c>
    </row>
    <row r="47" spans="1:59" ht="18.75" customHeight="1" x14ac:dyDescent="0.25">
      <c r="A47" s="5" t="s">
        <v>102</v>
      </c>
      <c r="B47" s="9">
        <f>+K_si!B2</f>
        <v>1</v>
      </c>
      <c r="C47" s="10">
        <f>+K_si!C2</f>
        <v>1</v>
      </c>
      <c r="D47" s="10">
        <f>+K_si!D2</f>
        <v>1</v>
      </c>
      <c r="E47" s="10">
        <f>+K_si!E2</f>
        <v>1</v>
      </c>
      <c r="F47" s="10">
        <f>+K_si!F2</f>
        <v>0</v>
      </c>
      <c r="G47" s="10">
        <f>+K_si!G2</f>
        <v>0</v>
      </c>
      <c r="H47" s="10">
        <f>+K_si!H2</f>
        <v>1</v>
      </c>
      <c r="I47" s="10">
        <f>+K_si!I2</f>
        <v>1</v>
      </c>
      <c r="J47" s="10">
        <f>+K_si!J2</f>
        <v>1</v>
      </c>
      <c r="K47" s="10">
        <f>+K_si!K2</f>
        <v>0</v>
      </c>
      <c r="L47" s="10">
        <f>+K_si!L2</f>
        <v>1</v>
      </c>
      <c r="M47" s="10">
        <f>+K_si!M2</f>
        <v>1</v>
      </c>
      <c r="N47" s="10">
        <f>+K_si!N2</f>
        <v>1</v>
      </c>
      <c r="O47" s="10">
        <f>+K_si!O2</f>
        <v>1</v>
      </c>
      <c r="P47" s="10">
        <f>+K_si!P2</f>
        <v>1</v>
      </c>
      <c r="Q47" s="10">
        <f>+K_si!Q2</f>
        <v>0</v>
      </c>
      <c r="R47" s="10">
        <f>+K_si!R2</f>
        <v>1</v>
      </c>
      <c r="S47" s="9">
        <f>+K_si!S2</f>
        <v>0</v>
      </c>
      <c r="T47" s="10">
        <f>+K_si!T2</f>
        <v>0</v>
      </c>
      <c r="U47" s="10">
        <f>+K_si!U2</f>
        <v>1</v>
      </c>
      <c r="V47" s="10">
        <f>+K_si!V2</f>
        <v>0</v>
      </c>
      <c r="W47" s="10">
        <f>+K_si!W2</f>
        <v>0</v>
      </c>
      <c r="X47" s="10">
        <f>+K_si!X2</f>
        <v>0</v>
      </c>
      <c r="Y47" s="10">
        <f>+K_si!Y2</f>
        <v>1</v>
      </c>
      <c r="Z47" s="10">
        <f>+K_si!Z2</f>
        <v>1</v>
      </c>
      <c r="AA47" s="10">
        <f>+K_si!AA2</f>
        <v>1</v>
      </c>
      <c r="AB47" s="11">
        <f>+K_si!AB2</f>
        <v>0</v>
      </c>
      <c r="AC47" s="10">
        <f>+K_si!AC2</f>
        <v>1</v>
      </c>
      <c r="AD47" s="10">
        <f>+K_si!AD2</f>
        <v>0</v>
      </c>
      <c r="AE47" s="10">
        <f>+K_si!AE2</f>
        <v>1</v>
      </c>
      <c r="AF47" s="10">
        <f>+K_si!AF2</f>
        <v>1</v>
      </c>
      <c r="AG47" s="10">
        <f>+K_si!AG2</f>
        <v>1</v>
      </c>
      <c r="AH47" s="10">
        <f>+K_si!AH2</f>
        <v>1</v>
      </c>
      <c r="AI47" s="10">
        <f>+K_si!AI2</f>
        <v>1</v>
      </c>
      <c r="AJ47" s="10">
        <f>+K_si!AJ2</f>
        <v>1</v>
      </c>
      <c r="AK47" s="10">
        <f>+K_si!AK2</f>
        <v>1</v>
      </c>
      <c r="AL47" s="10">
        <f>+K_si!AL2</f>
        <v>1</v>
      </c>
      <c r="AM47" s="10">
        <f>+K_si!AM2</f>
        <v>0</v>
      </c>
      <c r="AN47" s="9">
        <f>+K_si!AN2</f>
        <v>1</v>
      </c>
      <c r="AO47" s="10">
        <f>+K_si!AO2</f>
        <v>1</v>
      </c>
      <c r="AP47" s="10">
        <f>+K_si!AP2</f>
        <v>1</v>
      </c>
      <c r="AQ47" s="10">
        <f>+K_si!AQ2</f>
        <v>1</v>
      </c>
      <c r="AR47" s="10">
        <f>+K_si!AR2</f>
        <v>1</v>
      </c>
      <c r="AS47" s="10">
        <f>+K_si!AS2</f>
        <v>1</v>
      </c>
      <c r="AT47" s="10">
        <f>+K_si!AT2</f>
        <v>1</v>
      </c>
      <c r="AU47" s="10">
        <f>+K_si!AU2</f>
        <v>1</v>
      </c>
      <c r="AV47" s="11">
        <f>+K_si!AV2</f>
        <v>1</v>
      </c>
      <c r="AW47" s="10">
        <f>+K_si!AW2</f>
        <v>1</v>
      </c>
      <c r="AX47" s="10">
        <f>+K_si!AX2</f>
        <v>1</v>
      </c>
      <c r="AY47" s="9">
        <f>+K_si!AY2</f>
        <v>1</v>
      </c>
      <c r="AZ47" s="11">
        <f>+K_si!AZ2</f>
        <v>1</v>
      </c>
      <c r="BA47" s="10">
        <f>+K_si!BA2</f>
        <v>0</v>
      </c>
      <c r="BB47" s="10">
        <f>+K_si!BB2</f>
        <v>0</v>
      </c>
      <c r="BC47" s="11">
        <f>+K_si!BC2</f>
        <v>0</v>
      </c>
    </row>
    <row r="48" spans="1:59" ht="18.75" customHeight="1" x14ac:dyDescent="0.25">
      <c r="A48" s="5" t="s">
        <v>103</v>
      </c>
      <c r="B48" s="12">
        <f>+K_si!B3</f>
        <v>0</v>
      </c>
      <c r="C48" s="4">
        <f>+K_si!C3</f>
        <v>0</v>
      </c>
      <c r="D48" s="4">
        <f>+K_si!D3</f>
        <v>0</v>
      </c>
      <c r="E48" s="4">
        <f>+K_si!E3</f>
        <v>0</v>
      </c>
      <c r="F48" s="4">
        <f>+K_si!F3</f>
        <v>1</v>
      </c>
      <c r="G48" s="4">
        <f>+K_si!G3</f>
        <v>1</v>
      </c>
      <c r="H48" s="4">
        <f>+K_si!H3</f>
        <v>0</v>
      </c>
      <c r="I48" s="4">
        <f>+K_si!I3</f>
        <v>0</v>
      </c>
      <c r="J48" s="4">
        <f>+K_si!J3</f>
        <v>0</v>
      </c>
      <c r="K48" s="4">
        <f>+K_si!K3</f>
        <v>1</v>
      </c>
      <c r="L48" s="4">
        <f>+K_si!L3</f>
        <v>0</v>
      </c>
      <c r="M48" s="4">
        <f>+K_si!M3</f>
        <v>1</v>
      </c>
      <c r="N48" s="4">
        <f>+K_si!N3</f>
        <v>0</v>
      </c>
      <c r="O48" s="4">
        <f>+K_si!O3</f>
        <v>0</v>
      </c>
      <c r="P48" s="4">
        <f>+K_si!P3</f>
        <v>0</v>
      </c>
      <c r="Q48" s="4">
        <f>+K_si!Q3</f>
        <v>1</v>
      </c>
      <c r="R48" s="4">
        <f>+K_si!R3</f>
        <v>0</v>
      </c>
      <c r="S48" s="12">
        <f>+K_si!S3</f>
        <v>0</v>
      </c>
      <c r="T48" s="4">
        <f>+K_si!T3</f>
        <v>1</v>
      </c>
      <c r="U48" s="4">
        <f>+K_si!U3</f>
        <v>1</v>
      </c>
      <c r="V48" s="4">
        <f>+K_si!V3</f>
        <v>1</v>
      </c>
      <c r="W48" s="4">
        <f>+K_si!W3</f>
        <v>0</v>
      </c>
      <c r="X48" s="4">
        <f>+K_si!X3</f>
        <v>1</v>
      </c>
      <c r="Y48" s="4">
        <f>+K_si!Y3</f>
        <v>0</v>
      </c>
      <c r="Z48" s="4">
        <f>+K_si!Z3</f>
        <v>0</v>
      </c>
      <c r="AA48" s="4">
        <f>+K_si!AA3</f>
        <v>0</v>
      </c>
      <c r="AB48" s="13">
        <f>+K_si!AB3</f>
        <v>1</v>
      </c>
      <c r="AC48" s="4">
        <f>+K_si!AC3</f>
        <v>0</v>
      </c>
      <c r="AD48" s="4">
        <f>+K_si!AD3</f>
        <v>0</v>
      </c>
      <c r="AE48" s="4">
        <f>+K_si!AE3</f>
        <v>0</v>
      </c>
      <c r="AF48" s="4">
        <f>+K_si!AF3</f>
        <v>0</v>
      </c>
      <c r="AG48" s="4">
        <f>+K_si!AG3</f>
        <v>0</v>
      </c>
      <c r="AH48" s="4">
        <f>+K_si!AH3</f>
        <v>0</v>
      </c>
      <c r="AI48" s="4">
        <f>+K_si!AI3</f>
        <v>0</v>
      </c>
      <c r="AJ48" s="4">
        <f>+K_si!AJ3</f>
        <v>0</v>
      </c>
      <c r="AK48" s="4">
        <f>+K_si!AK3</f>
        <v>0</v>
      </c>
      <c r="AL48" s="4">
        <f>+K_si!AL3</f>
        <v>0</v>
      </c>
      <c r="AM48" s="4">
        <f>+K_si!AM3</f>
        <v>0</v>
      </c>
      <c r="AN48" s="12">
        <f>+K_si!AN3</f>
        <v>0</v>
      </c>
      <c r="AO48" s="4">
        <f>+K_si!AO3</f>
        <v>0</v>
      </c>
      <c r="AP48" s="4">
        <f>+K_si!AP3</f>
        <v>0</v>
      </c>
      <c r="AQ48" s="4">
        <f>+K_si!AQ3</f>
        <v>0</v>
      </c>
      <c r="AR48" s="4">
        <f>+K_si!AR3</f>
        <v>0</v>
      </c>
      <c r="AS48" s="4">
        <f>+K_si!AS3</f>
        <v>0</v>
      </c>
      <c r="AT48" s="4">
        <f>+K_si!AT3</f>
        <v>0</v>
      </c>
      <c r="AU48" s="4">
        <f>+K_si!AU3</f>
        <v>0</v>
      </c>
      <c r="AV48" s="13">
        <f>+K_si!AV3</f>
        <v>0</v>
      </c>
      <c r="AW48" s="4">
        <f>+K_si!AW3</f>
        <v>0</v>
      </c>
      <c r="AX48" s="4">
        <f>+K_si!AX3</f>
        <v>0</v>
      </c>
      <c r="AY48" s="12">
        <f>+K_si!AY3</f>
        <v>0</v>
      </c>
      <c r="AZ48" s="13">
        <f>+K_si!AZ3</f>
        <v>0</v>
      </c>
      <c r="BA48" s="4">
        <f>+K_si!BA3</f>
        <v>0</v>
      </c>
      <c r="BB48" s="4">
        <f>+K_si!BB3</f>
        <v>0</v>
      </c>
      <c r="BC48" s="13">
        <f>+K_si!BC3</f>
        <v>0</v>
      </c>
    </row>
    <row r="49" spans="1:55" ht="18.75" customHeight="1" x14ac:dyDescent="0.25">
      <c r="A49" s="5" t="s">
        <v>104</v>
      </c>
      <c r="B49" s="12">
        <f>+K_si!B4</f>
        <v>0</v>
      </c>
      <c r="C49" s="4">
        <f>+K_si!C4</f>
        <v>0</v>
      </c>
      <c r="D49" s="4">
        <f>+K_si!D4</f>
        <v>0</v>
      </c>
      <c r="E49" s="4">
        <f>+K_si!E4</f>
        <v>0</v>
      </c>
      <c r="F49" s="4">
        <f>+K_si!F4</f>
        <v>0</v>
      </c>
      <c r="G49" s="4">
        <f>+K_si!G4</f>
        <v>1</v>
      </c>
      <c r="H49" s="4">
        <f>+K_si!H4</f>
        <v>0</v>
      </c>
      <c r="I49" s="4">
        <f>+K_si!I4</f>
        <v>0</v>
      </c>
      <c r="J49" s="4">
        <f>+K_si!J4</f>
        <v>0</v>
      </c>
      <c r="K49" s="4">
        <f>+K_si!K4</f>
        <v>1</v>
      </c>
      <c r="L49" s="4">
        <f>+K_si!L4</f>
        <v>0</v>
      </c>
      <c r="M49" s="4">
        <f>+K_si!M4</f>
        <v>0</v>
      </c>
      <c r="N49" s="4">
        <f>+K_si!N4</f>
        <v>0</v>
      </c>
      <c r="O49" s="4">
        <f>+K_si!O4</f>
        <v>0</v>
      </c>
      <c r="P49" s="4">
        <f>+K_si!P4</f>
        <v>0</v>
      </c>
      <c r="Q49" s="4">
        <f>+K_si!Q4</f>
        <v>0</v>
      </c>
      <c r="R49" s="4">
        <f>+K_si!R4</f>
        <v>0</v>
      </c>
      <c r="S49" s="12">
        <f>+K_si!S4</f>
        <v>0</v>
      </c>
      <c r="T49" s="4">
        <f>+K_si!T4</f>
        <v>0</v>
      </c>
      <c r="U49" s="4">
        <f>+K_si!U4</f>
        <v>1</v>
      </c>
      <c r="V49" s="4">
        <f>+K_si!V4</f>
        <v>0</v>
      </c>
      <c r="W49" s="4">
        <f>+K_si!W4</f>
        <v>0</v>
      </c>
      <c r="X49" s="4">
        <f>+K_si!X4</f>
        <v>0</v>
      </c>
      <c r="Y49" s="4">
        <f>+K_si!Y4</f>
        <v>0</v>
      </c>
      <c r="Z49" s="4">
        <f>+K_si!Z4</f>
        <v>0</v>
      </c>
      <c r="AA49" s="4">
        <f>+K_si!AA4</f>
        <v>0</v>
      </c>
      <c r="AB49" s="13">
        <f>+K_si!AB4</f>
        <v>0</v>
      </c>
      <c r="AC49" s="4">
        <f>+K_si!AC4</f>
        <v>0</v>
      </c>
      <c r="AD49" s="4">
        <f>+K_si!AD4</f>
        <v>0</v>
      </c>
      <c r="AE49" s="4">
        <f>+K_si!AE4</f>
        <v>0</v>
      </c>
      <c r="AF49" s="4">
        <f>+K_si!AF4</f>
        <v>0</v>
      </c>
      <c r="AG49" s="4">
        <f>+K_si!AG4</f>
        <v>0</v>
      </c>
      <c r="AH49" s="4">
        <f>+K_si!AH4</f>
        <v>0</v>
      </c>
      <c r="AI49" s="4">
        <f>+K_si!AI4</f>
        <v>0</v>
      </c>
      <c r="AJ49" s="4">
        <f>+K_si!AJ4</f>
        <v>0</v>
      </c>
      <c r="AK49" s="4">
        <f>+K_si!AK4</f>
        <v>0</v>
      </c>
      <c r="AL49" s="4">
        <f>+K_si!AL4</f>
        <v>0</v>
      </c>
      <c r="AM49" s="4">
        <f>+K_si!AM4</f>
        <v>0</v>
      </c>
      <c r="AN49" s="12">
        <f>+K_si!AN4</f>
        <v>0</v>
      </c>
      <c r="AO49" s="4">
        <f>+K_si!AO4</f>
        <v>0</v>
      </c>
      <c r="AP49" s="4">
        <f>+K_si!AP4</f>
        <v>0</v>
      </c>
      <c r="AQ49" s="4">
        <f>+K_si!AQ4</f>
        <v>0</v>
      </c>
      <c r="AR49" s="4">
        <f>+K_si!AR4</f>
        <v>0</v>
      </c>
      <c r="AS49" s="4">
        <f>+K_si!AS4</f>
        <v>0</v>
      </c>
      <c r="AT49" s="4">
        <f>+K_si!AT4</f>
        <v>0</v>
      </c>
      <c r="AU49" s="4">
        <f>+K_si!AU4</f>
        <v>0</v>
      </c>
      <c r="AV49" s="13">
        <f>+K_si!AV4</f>
        <v>0</v>
      </c>
      <c r="AW49" s="4">
        <f>+K_si!AW4</f>
        <v>0</v>
      </c>
      <c r="AX49" s="4">
        <f>+K_si!AX4</f>
        <v>0</v>
      </c>
      <c r="AY49" s="12">
        <f>+K_si!AY4</f>
        <v>0</v>
      </c>
      <c r="AZ49" s="13">
        <f>+K_si!AZ4</f>
        <v>0</v>
      </c>
      <c r="BA49" s="4">
        <f>+K_si!BA4</f>
        <v>0</v>
      </c>
      <c r="BB49" s="4">
        <f>+K_si!BB4</f>
        <v>0</v>
      </c>
      <c r="BC49" s="13">
        <f>+K_si!BC4</f>
        <v>0</v>
      </c>
    </row>
    <row r="50" spans="1:55" ht="18.75" customHeight="1" x14ac:dyDescent="0.25">
      <c r="A50" s="5" t="s">
        <v>105</v>
      </c>
      <c r="B50" s="12">
        <f>+K_si!B5</f>
        <v>0</v>
      </c>
      <c r="C50" s="4">
        <f>+K_si!C5</f>
        <v>0</v>
      </c>
      <c r="D50" s="4">
        <f>+K_si!D5</f>
        <v>1</v>
      </c>
      <c r="E50" s="4">
        <f>+K_si!E5</f>
        <v>1</v>
      </c>
      <c r="F50" s="4">
        <f>+K_si!F5</f>
        <v>1</v>
      </c>
      <c r="G50" s="4">
        <f>+K_si!G5</f>
        <v>1</v>
      </c>
      <c r="H50" s="4">
        <f>+K_si!H5</f>
        <v>1</v>
      </c>
      <c r="I50" s="4">
        <f>+K_si!I5</f>
        <v>1</v>
      </c>
      <c r="J50" s="4">
        <f>+K_si!J5</f>
        <v>0</v>
      </c>
      <c r="K50" s="4">
        <f>+K_si!K5</f>
        <v>1</v>
      </c>
      <c r="L50" s="4">
        <f>+K_si!L5</f>
        <v>1</v>
      </c>
      <c r="M50" s="4">
        <f>+K_si!M5</f>
        <v>1</v>
      </c>
      <c r="N50" s="4">
        <f>+K_si!N5</f>
        <v>1</v>
      </c>
      <c r="O50" s="4">
        <f>+K_si!O5</f>
        <v>0</v>
      </c>
      <c r="P50" s="4">
        <f>+K_si!P5</f>
        <v>0</v>
      </c>
      <c r="Q50" s="4">
        <f>+K_si!Q5</f>
        <v>0</v>
      </c>
      <c r="R50" s="4">
        <f>+K_si!R5</f>
        <v>0</v>
      </c>
      <c r="S50" s="12">
        <f>+K_si!S5</f>
        <v>0</v>
      </c>
      <c r="T50" s="4">
        <f>+K_si!T5</f>
        <v>0</v>
      </c>
      <c r="U50" s="4">
        <f>+K_si!U5</f>
        <v>1</v>
      </c>
      <c r="V50" s="4">
        <f>+K_si!V5</f>
        <v>0</v>
      </c>
      <c r="W50" s="4">
        <f>+K_si!W5</f>
        <v>0</v>
      </c>
      <c r="X50" s="4">
        <f>+K_si!X5</f>
        <v>0</v>
      </c>
      <c r="Y50" s="4">
        <f>+K_si!Y5</f>
        <v>0</v>
      </c>
      <c r="Z50" s="4">
        <f>+K_si!Z5</f>
        <v>0</v>
      </c>
      <c r="AA50" s="4">
        <f>+K_si!AA5</f>
        <v>0</v>
      </c>
      <c r="AB50" s="13">
        <f>+K_si!AB5</f>
        <v>0</v>
      </c>
      <c r="AC50" s="4">
        <f>+K_si!AC5</f>
        <v>0</v>
      </c>
      <c r="AD50" s="4">
        <f>+K_si!AD5</f>
        <v>1</v>
      </c>
      <c r="AE50" s="4">
        <f>+K_si!AE5</f>
        <v>1</v>
      </c>
      <c r="AF50" s="4">
        <f>+K_si!AF5</f>
        <v>0</v>
      </c>
      <c r="AG50" s="4">
        <f>+K_si!AG5</f>
        <v>0</v>
      </c>
      <c r="AH50" s="4">
        <f>+K_si!AH5</f>
        <v>0</v>
      </c>
      <c r="AI50" s="4">
        <f>+K_si!AI5</f>
        <v>0</v>
      </c>
      <c r="AJ50" s="4">
        <f>+K_si!AJ5</f>
        <v>0</v>
      </c>
      <c r="AK50" s="4">
        <f>+K_si!AK5</f>
        <v>0</v>
      </c>
      <c r="AL50" s="4">
        <f>+K_si!AL5</f>
        <v>1</v>
      </c>
      <c r="AM50" s="4">
        <f>+K_si!AM5</f>
        <v>1</v>
      </c>
      <c r="AN50" s="12">
        <f>+K_si!AN5</f>
        <v>0</v>
      </c>
      <c r="AO50" s="4">
        <f>+K_si!AO5</f>
        <v>0</v>
      </c>
      <c r="AP50" s="4">
        <f>+K_si!AP5</f>
        <v>0</v>
      </c>
      <c r="AQ50" s="4">
        <f>+K_si!AQ5</f>
        <v>0</v>
      </c>
      <c r="AR50" s="4">
        <f>+K_si!AR5</f>
        <v>0</v>
      </c>
      <c r="AS50" s="4">
        <f>+K_si!AS5</f>
        <v>0</v>
      </c>
      <c r="AT50" s="4">
        <f>+K_si!AT5</f>
        <v>0</v>
      </c>
      <c r="AU50" s="4">
        <f>+K_si!AU5</f>
        <v>0</v>
      </c>
      <c r="AV50" s="13">
        <f>+K_si!AV5</f>
        <v>0</v>
      </c>
      <c r="AW50" s="4">
        <f>+K_si!AW5</f>
        <v>0</v>
      </c>
      <c r="AX50" s="4">
        <f>+K_si!AX5</f>
        <v>0</v>
      </c>
      <c r="AY50" s="12">
        <f>+K_si!AY5</f>
        <v>0</v>
      </c>
      <c r="AZ50" s="13">
        <f>+K_si!AZ5</f>
        <v>0</v>
      </c>
      <c r="BA50" s="4">
        <f>+K_si!BA5</f>
        <v>0</v>
      </c>
      <c r="BB50" s="4">
        <f>+K_si!BB5</f>
        <v>0</v>
      </c>
      <c r="BC50" s="13">
        <f>+K_si!BC5</f>
        <v>0</v>
      </c>
    </row>
    <row r="51" spans="1:55" ht="18.75" customHeight="1" x14ac:dyDescent="0.25">
      <c r="A51" s="5" t="s">
        <v>106</v>
      </c>
      <c r="B51" s="15">
        <f>+K_si!B6</f>
        <v>0</v>
      </c>
      <c r="C51" s="16">
        <f>+K_si!C6</f>
        <v>0</v>
      </c>
      <c r="D51" s="16">
        <f>+K_si!D6</f>
        <v>0</v>
      </c>
      <c r="E51" s="16">
        <f>+K_si!E6</f>
        <v>0</v>
      </c>
      <c r="F51" s="16">
        <f>+K_si!F6</f>
        <v>0</v>
      </c>
      <c r="G51" s="16">
        <f>+K_si!G6</f>
        <v>0</v>
      </c>
      <c r="H51" s="16">
        <f>+K_si!H6</f>
        <v>0</v>
      </c>
      <c r="I51" s="16">
        <f>+K_si!I6</f>
        <v>0</v>
      </c>
      <c r="J51" s="16">
        <f>+K_si!J6</f>
        <v>0</v>
      </c>
      <c r="K51" s="16">
        <f>+K_si!K6</f>
        <v>0</v>
      </c>
      <c r="L51" s="16">
        <f>+K_si!L6</f>
        <v>0</v>
      </c>
      <c r="M51" s="16">
        <f>+K_si!M6</f>
        <v>0</v>
      </c>
      <c r="N51" s="16">
        <f>+K_si!N6</f>
        <v>0</v>
      </c>
      <c r="O51" s="16">
        <f>+K_si!O6</f>
        <v>0</v>
      </c>
      <c r="P51" s="16">
        <f>+K_si!P6</f>
        <v>0</v>
      </c>
      <c r="Q51" s="16">
        <f>+K_si!Q6</f>
        <v>0</v>
      </c>
      <c r="R51" s="16">
        <f>+K_si!R6</f>
        <v>0</v>
      </c>
      <c r="S51" s="15">
        <f>+K_si!S6</f>
        <v>0</v>
      </c>
      <c r="T51" s="16">
        <f>+K_si!T6</f>
        <v>0</v>
      </c>
      <c r="U51" s="16">
        <f>+K_si!U6</f>
        <v>0</v>
      </c>
      <c r="V51" s="16">
        <f>+K_si!V6</f>
        <v>0</v>
      </c>
      <c r="W51" s="16">
        <f>+K_si!W6</f>
        <v>0</v>
      </c>
      <c r="X51" s="16">
        <f>+K_si!X6</f>
        <v>0</v>
      </c>
      <c r="Y51" s="16">
        <f>+K_si!Y6</f>
        <v>0</v>
      </c>
      <c r="Z51" s="16">
        <f>+K_si!Z6</f>
        <v>0</v>
      </c>
      <c r="AA51" s="16">
        <f>+K_si!AA6</f>
        <v>0</v>
      </c>
      <c r="AB51" s="17">
        <f>+K_si!AB6</f>
        <v>0</v>
      </c>
      <c r="AC51" s="16">
        <f>+K_si!AC6</f>
        <v>0</v>
      </c>
      <c r="AD51" s="16">
        <f>+K_si!AD6</f>
        <v>0</v>
      </c>
      <c r="AE51" s="16">
        <f>+K_si!AE6</f>
        <v>0</v>
      </c>
      <c r="AF51" s="16">
        <f>+K_si!AF6</f>
        <v>0</v>
      </c>
      <c r="AG51" s="16">
        <f>+K_si!AG6</f>
        <v>0</v>
      </c>
      <c r="AH51" s="16">
        <f>+K_si!AH6</f>
        <v>0</v>
      </c>
      <c r="AI51" s="16">
        <f>+K_si!AI6</f>
        <v>0</v>
      </c>
      <c r="AJ51" s="16">
        <f>+K_si!AJ6</f>
        <v>0</v>
      </c>
      <c r="AK51" s="16">
        <f>+K_si!AK6</f>
        <v>0</v>
      </c>
      <c r="AL51" s="16">
        <f>+K_si!AL6</f>
        <v>0</v>
      </c>
      <c r="AM51" s="16">
        <f>+K_si!AM6</f>
        <v>0</v>
      </c>
      <c r="AN51" s="15">
        <f>+K_si!AN6</f>
        <v>0</v>
      </c>
      <c r="AO51" s="16">
        <f>+K_si!AO6</f>
        <v>0</v>
      </c>
      <c r="AP51" s="16">
        <f>+K_si!AP6</f>
        <v>0</v>
      </c>
      <c r="AQ51" s="16">
        <f>+K_si!AQ6</f>
        <v>0</v>
      </c>
      <c r="AR51" s="16">
        <f>+K_si!AR6</f>
        <v>0</v>
      </c>
      <c r="AS51" s="16">
        <f>+K_si!AS6</f>
        <v>0</v>
      </c>
      <c r="AT51" s="16">
        <f>+K_si!AT6</f>
        <v>0</v>
      </c>
      <c r="AU51" s="16">
        <f>+K_si!AU6</f>
        <v>0</v>
      </c>
      <c r="AV51" s="17">
        <f>+K_si!AV6</f>
        <v>0</v>
      </c>
      <c r="AW51" s="16">
        <f>+K_si!AW6</f>
        <v>0</v>
      </c>
      <c r="AX51" s="16">
        <f>+K_si!AX6</f>
        <v>0</v>
      </c>
      <c r="AY51" s="15">
        <f>+K_si!AY6</f>
        <v>0</v>
      </c>
      <c r="AZ51" s="17">
        <f>+K_si!AZ6</f>
        <v>0</v>
      </c>
      <c r="BA51" s="16">
        <f>+K_si!BA6</f>
        <v>1</v>
      </c>
      <c r="BB51" s="16">
        <f>+K_si!BB6</f>
        <v>1</v>
      </c>
      <c r="BC51" s="17">
        <f>+K_si!BC6</f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2" width="7.5703125" style="7" bestFit="1" customWidth="1"/>
    <col min="53" max="55" width="6.7109375" style="7" bestFit="1" customWidth="1"/>
  </cols>
  <sheetData>
    <row r="1" spans="1:55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18.75" customHeight="1" x14ac:dyDescent="0.25">
      <c r="A2" s="3" t="str">
        <f>"T"&amp;_xlfn.SEQUENCE(36,1,1,1)</f>
        <v>T1</v>
      </c>
      <c r="B2" s="4">
        <f>+IF(TA_ti!B2*TA_ti!B$47*TA_ti!$BD2=0,10000,TA_ti!B2*TA_ti!B$47*TA_ti!$BD2)</f>
        <v>10000</v>
      </c>
      <c r="C2" s="4">
        <f>+IF(TA_ti!C2*TA_ti!C$47*TA_ti!$BD2=0,10000,TA_ti!C2*TA_ti!C$47*TA_ti!$BD2)</f>
        <v>10000</v>
      </c>
      <c r="D2" s="4">
        <f>+IF(TA_ti!D2*TA_ti!D$47*TA_ti!$BD2=0,10000,TA_ti!D2*TA_ti!D$47*TA_ti!$BD2)</f>
        <v>10000</v>
      </c>
      <c r="E2" s="4">
        <f>+IF(TA_ti!E2*TA_ti!E$47*TA_ti!$BD2=0,10000,TA_ti!E2*TA_ti!E$47*TA_ti!$BD2)</f>
        <v>15</v>
      </c>
      <c r="F2" s="4">
        <f>+IF(TA_ti!F2*TA_ti!F$47*TA_ti!$BD2=0,10000,TA_ti!F2*TA_ti!F$47*TA_ti!$BD2)</f>
        <v>10000</v>
      </c>
      <c r="G2" s="4">
        <f>+IF(TA_ti!G2*TA_ti!G$47*TA_ti!$BD2=0,10000,TA_ti!G2*TA_ti!G$47*TA_ti!$BD2)</f>
        <v>10000</v>
      </c>
      <c r="H2" s="4">
        <f>+IF(TA_ti!H2*TA_ti!H$47*TA_ti!$BD2=0,10000,TA_ti!H2*TA_ti!H$47*TA_ti!$BD2)</f>
        <v>10000</v>
      </c>
      <c r="I2" s="4">
        <f>+IF(TA_ti!I2*TA_ti!I$47*TA_ti!$BD2=0,10000,TA_ti!I2*TA_ti!I$47*TA_ti!$BD2)</f>
        <v>10000</v>
      </c>
      <c r="J2" s="4">
        <f>+IF(TA_ti!J2*TA_ti!J$47*TA_ti!$BD2=0,10000,TA_ti!J2*TA_ti!J$47*TA_ti!$BD2)</f>
        <v>20</v>
      </c>
      <c r="K2" s="4">
        <f>+IF(TA_ti!K2*TA_ti!K$47*TA_ti!$BD2=0,10000,TA_ti!K2*TA_ti!K$47*TA_ti!$BD2)</f>
        <v>10000</v>
      </c>
      <c r="L2" s="4">
        <f>+IF(TA_ti!L2*TA_ti!L$47*TA_ti!$BD2=0,10000,TA_ti!L2*TA_ti!L$47*TA_ti!$BD2)</f>
        <v>12</v>
      </c>
      <c r="M2" s="4">
        <f>+IF(TA_ti!M2*TA_ti!M$47*TA_ti!$BD2=0,10000,TA_ti!M2*TA_ti!M$47*TA_ti!$BD2)</f>
        <v>12</v>
      </c>
      <c r="N2" s="4">
        <f>+IF(TA_ti!N2*TA_ti!N$47*TA_ti!$BD2=0,10000,TA_ti!N2*TA_ti!N$47*TA_ti!$BD2)</f>
        <v>12</v>
      </c>
      <c r="O2" s="4">
        <f>+IF(TA_ti!O2*TA_ti!O$47*TA_ti!$BD2=0,10000,TA_ti!O2*TA_ti!O$47*TA_ti!$BD2)</f>
        <v>10000</v>
      </c>
      <c r="P2" s="4">
        <f>+IF(TA_ti!P2*TA_ti!P$47*TA_ti!$BD2=0,10000,TA_ti!P2*TA_ti!P$47*TA_ti!$BD2)</f>
        <v>10000</v>
      </c>
      <c r="Q2" s="4">
        <f>+IF(TA_ti!Q2*TA_ti!Q$47*TA_ti!$BD2=0,10000,TA_ti!Q2*TA_ti!Q$47*TA_ti!$BD2)</f>
        <v>10000</v>
      </c>
      <c r="R2" s="4">
        <f>+IF(TA_ti!R2*TA_ti!R$47*TA_ti!$BD2=0,10000,TA_ti!R2*TA_ti!R$47*TA_ti!$BD2)</f>
        <v>20</v>
      </c>
      <c r="S2" s="4">
        <f>+IF(TA_ti!S2*TA_ti!S$47*TA_ti!$BD2=0,10000,TA_ti!S2*TA_ti!S$47*TA_ti!$BD2)</f>
        <v>10000</v>
      </c>
      <c r="T2" s="4">
        <f>+IF(TA_ti!T2*TA_ti!T$47*TA_ti!$BD2=0,10000,TA_ti!T2*TA_ti!T$47*TA_ti!$BD2)</f>
        <v>10000</v>
      </c>
      <c r="U2" s="4">
        <f>+IF(TA_ti!U2*TA_ti!U$47*TA_ti!$BD2=0,10000,TA_ti!U2*TA_ti!U$47*TA_ti!$BD2)</f>
        <v>10000</v>
      </c>
      <c r="V2" s="4">
        <f>+IF(TA_ti!V2*TA_ti!V$47*TA_ti!$BD2=0,10000,TA_ti!V2*TA_ti!V$47*TA_ti!$BD2)</f>
        <v>10000</v>
      </c>
      <c r="W2" s="4">
        <f>+IF(TA_ti!W2*TA_ti!W$47*TA_ti!$BD2=0,10000,TA_ti!W2*TA_ti!W$47*TA_ti!$BD2)</f>
        <v>10000</v>
      </c>
      <c r="X2" s="4">
        <f>+IF(TA_ti!X2*TA_ti!X$47*TA_ti!$BD2=0,10000,TA_ti!X2*TA_ti!X$47*TA_ti!$BD2)</f>
        <v>10000</v>
      </c>
      <c r="Y2" s="4">
        <f>+IF(TA_ti!Y2*TA_ti!Y$47*TA_ti!$BD2=0,10000,TA_ti!Y2*TA_ti!Y$47*TA_ti!$BD2)</f>
        <v>10000</v>
      </c>
      <c r="Z2" s="4">
        <f>+IF(TA_ti!Z2*TA_ti!Z$47*TA_ti!$BD2=0,10000,TA_ti!Z2*TA_ti!Z$47*TA_ti!$BD2)</f>
        <v>10000</v>
      </c>
      <c r="AA2" s="4">
        <f>+IF(TA_ti!AA2*TA_ti!AA$47*TA_ti!$BD2=0,10000,TA_ti!AA2*TA_ti!AA$47*TA_ti!$BD2)</f>
        <v>10000</v>
      </c>
      <c r="AB2" s="4">
        <f>+IF(TA_ti!AB2*TA_ti!AB$47*TA_ti!$BD2=0,10000,TA_ti!AB2*TA_ti!AB$47*TA_ti!$BD2)</f>
        <v>10000</v>
      </c>
      <c r="AC2" s="4">
        <f>+IF(TA_ti!AC2*TA_ti!AC$47*TA_ti!$BD2=0,10000,TA_ti!AC2*TA_ti!AC$47*TA_ti!$BD2)</f>
        <v>10000</v>
      </c>
      <c r="AD2" s="4">
        <f>+IF(TA_ti!AD2*TA_ti!AD$47*TA_ti!$BD2=0,10000,TA_ti!AD2*TA_ti!AD$47*TA_ti!$BD2)</f>
        <v>10000</v>
      </c>
      <c r="AE2" s="4">
        <f>+IF(TA_ti!AE2*TA_ti!AE$47*TA_ti!$BD2=0,10000,TA_ti!AE2*TA_ti!AE$47*TA_ti!$BD2)</f>
        <v>10000</v>
      </c>
      <c r="AF2" s="4">
        <f>+IF(TA_ti!AF2*TA_ti!AF$47*TA_ti!$BD2=0,10000,TA_ti!AF2*TA_ti!AF$47*TA_ti!$BD2)</f>
        <v>10000</v>
      </c>
      <c r="AG2" s="4">
        <f>+IF(TA_ti!AG2*TA_ti!AG$47*TA_ti!$BD2=0,10000,TA_ti!AG2*TA_ti!AG$47*TA_ti!$BD2)</f>
        <v>10000</v>
      </c>
      <c r="AH2" s="4">
        <f>+IF(TA_ti!AH2*TA_ti!AH$47*TA_ti!$BD2=0,10000,TA_ti!AH2*TA_ti!AH$47*TA_ti!$BD2)</f>
        <v>10000</v>
      </c>
      <c r="AI2" s="4">
        <f>+IF(TA_ti!AI2*TA_ti!AI$47*TA_ti!$BD2=0,10000,TA_ti!AI2*TA_ti!AI$47*TA_ti!$BD2)</f>
        <v>10000</v>
      </c>
      <c r="AJ2" s="4">
        <f>+IF(TA_ti!AJ2*TA_ti!AJ$47*TA_ti!$BD2=0,10000,TA_ti!AJ2*TA_ti!AJ$47*TA_ti!$BD2)</f>
        <v>10000</v>
      </c>
      <c r="AK2" s="4">
        <f>+IF(TA_ti!AK2*TA_ti!AK$47*TA_ti!$BD2=0,10000,TA_ti!AK2*TA_ti!AK$47*TA_ti!$BD2)</f>
        <v>10000</v>
      </c>
      <c r="AL2" s="4">
        <f>+IF(TA_ti!AL2*TA_ti!AL$47*TA_ti!$BD2=0,10000,TA_ti!AL2*TA_ti!AL$47*TA_ti!$BD2)</f>
        <v>10000</v>
      </c>
      <c r="AM2" s="4">
        <f>+IF(TA_ti!AM2*TA_ti!AM$47*TA_ti!$BD2=0,10000,TA_ti!AM2*TA_ti!AM$47*TA_ti!$BD2)</f>
        <v>10000</v>
      </c>
      <c r="AN2" s="4">
        <f>+IF(TA_ti!AN2*TA_ti!AN$47*TA_ti!$BD2=0,10000,TA_ti!AN2*TA_ti!AN$47*TA_ti!$BD2)</f>
        <v>10000</v>
      </c>
      <c r="AO2" s="4">
        <f>+IF(TA_ti!AO2*TA_ti!AO$47*TA_ti!$BD2=0,10000,TA_ti!AO2*TA_ti!AO$47*TA_ti!$BD2)</f>
        <v>10000</v>
      </c>
      <c r="AP2" s="4">
        <f>+IF(TA_ti!AP2*TA_ti!AP$47*TA_ti!$BD2=0,10000,TA_ti!AP2*TA_ti!AP$47*TA_ti!$BD2)</f>
        <v>30</v>
      </c>
      <c r="AQ2" s="4">
        <f>+IF(TA_ti!AQ2*TA_ti!AQ$47*TA_ti!$BD2=0,10000,TA_ti!AQ2*TA_ti!AQ$47*TA_ti!$BD2)</f>
        <v>10000</v>
      </c>
      <c r="AR2" s="4">
        <f>+IF(TA_ti!AR2*TA_ti!AR$47*TA_ti!$BD2=0,10000,TA_ti!AR2*TA_ti!AR$47*TA_ti!$BD2)</f>
        <v>10000</v>
      </c>
      <c r="AS2" s="4">
        <f>+IF(TA_ti!AS2*TA_ti!AS$47*TA_ti!$BD2=0,10000,TA_ti!AS2*TA_ti!AS$47*TA_ti!$BD2)</f>
        <v>10000</v>
      </c>
      <c r="AT2" s="4">
        <f>+IF(TA_ti!AT2*TA_ti!AT$47*TA_ti!$BD2=0,10000,TA_ti!AT2*TA_ti!AT$47*TA_ti!$BD2)</f>
        <v>10000</v>
      </c>
      <c r="AU2" s="4">
        <f>+IF(TA_ti!AU2*TA_ti!AU$47*TA_ti!$BD2=0,10000,TA_ti!AU2*TA_ti!AU$47*TA_ti!$BD2)</f>
        <v>10000</v>
      </c>
      <c r="AV2" s="4">
        <f>+IF(TA_ti!AV2*TA_ti!AV$47*TA_ti!$BD2=0,10000,TA_ti!AV2*TA_ti!AV$47*TA_ti!$BD2)</f>
        <v>10000</v>
      </c>
      <c r="AW2" s="4">
        <f>+IF(TA_ti!AW2*TA_ti!AW$47*TA_ti!$BD2=0,10000,TA_ti!AW2*TA_ti!AW$47*TA_ti!$BD2)</f>
        <v>10000</v>
      </c>
      <c r="AX2" s="4">
        <f>+IF(TA_ti!AX2*TA_ti!AX$47*TA_ti!$BD2=0,10000,TA_ti!AX2*TA_ti!AX$47*TA_ti!$BD2)</f>
        <v>15</v>
      </c>
      <c r="AY2" s="4">
        <f>+IF(TA_ti!AY2*TA_ti!AY$47*TA_ti!$BD2=0,10000,TA_ti!AY2*TA_ti!AY$47*TA_ti!$BD2)</f>
        <v>10000</v>
      </c>
      <c r="AZ2" s="4">
        <f>+IF(TA_ti!AZ2*TA_ti!AZ$47*TA_ti!$BD2=0,10000,TA_ti!AZ2*TA_ti!AZ$47*TA_ti!$BD2)</f>
        <v>10000</v>
      </c>
      <c r="BA2" s="4">
        <f>+IF(TA_ti!BA2*TA_ti!BA$47*TA_ti!$BD2=0,10000,TA_ti!BA2*TA_ti!BA$47*TA_ti!$BD2)</f>
        <v>10000</v>
      </c>
      <c r="BB2" s="4">
        <f>+IF(TA_ti!BB2*TA_ti!BB$47*TA_ti!$BD2=0,10000,TA_ti!BB2*TA_ti!BB$47*TA_ti!$BD2)</f>
        <v>10000</v>
      </c>
      <c r="BC2" s="4">
        <f>+IF(TA_ti!BC2*TA_ti!BC$47*TA_ti!$BD2=0,10000,TA_ti!BC2*TA_ti!BC$47*TA_ti!$BD2)</f>
        <v>10000</v>
      </c>
    </row>
    <row r="3" spans="1:55" ht="18.75" customHeight="1" x14ac:dyDescent="0.25">
      <c r="A3" s="5" t="s">
        <v>54</v>
      </c>
      <c r="B3" s="4">
        <f>+IF(TA_ti!B3*TA_ti!B$47*TA_ti!$BD3=0,10000,TA_ti!B3*TA_ti!B$47*TA_ti!$BD3)</f>
        <v>10000</v>
      </c>
      <c r="C3" s="4">
        <f>+IF(TA_ti!C3*TA_ti!C$47*TA_ti!$BD3=0,10000,TA_ti!C3*TA_ti!C$47*TA_ti!$BD3)</f>
        <v>10000</v>
      </c>
      <c r="D3" s="4">
        <f>+IF(TA_ti!D3*TA_ti!D$47*TA_ti!$BD3=0,10000,TA_ti!D3*TA_ti!D$47*TA_ti!$BD3)</f>
        <v>10000</v>
      </c>
      <c r="E3" s="4">
        <f>+IF(TA_ti!E3*TA_ti!E$47*TA_ti!$BD3=0,10000,TA_ti!E3*TA_ti!E$47*TA_ti!$BD3)</f>
        <v>15</v>
      </c>
      <c r="F3" s="4">
        <f>+IF(TA_ti!F3*TA_ti!F$47*TA_ti!$BD3=0,10000,TA_ti!F3*TA_ti!F$47*TA_ti!$BD3)</f>
        <v>10000</v>
      </c>
      <c r="G3" s="4">
        <f>+IF(TA_ti!G3*TA_ti!G$47*TA_ti!$BD3=0,10000,TA_ti!G3*TA_ti!G$47*TA_ti!$BD3)</f>
        <v>10000</v>
      </c>
      <c r="H3" s="4">
        <f>+IF(TA_ti!H3*TA_ti!H$47*TA_ti!$BD3=0,10000,TA_ti!H3*TA_ti!H$47*TA_ti!$BD3)</f>
        <v>10000</v>
      </c>
      <c r="I3" s="4">
        <f>+IF(TA_ti!I3*TA_ti!I$47*TA_ti!$BD3=0,10000,TA_ti!I3*TA_ti!I$47*TA_ti!$BD3)</f>
        <v>10000</v>
      </c>
      <c r="J3" s="4">
        <f>+IF(TA_ti!J3*TA_ti!J$47*TA_ti!$BD3=0,10000,TA_ti!J3*TA_ti!J$47*TA_ti!$BD3)</f>
        <v>15</v>
      </c>
      <c r="K3" s="4">
        <f>+IF(TA_ti!K3*TA_ti!K$47*TA_ti!$BD3=0,10000,TA_ti!K3*TA_ti!K$47*TA_ti!$BD3)</f>
        <v>10000</v>
      </c>
      <c r="L3" s="4">
        <f>+IF(TA_ti!L3*TA_ti!L$47*TA_ti!$BD3=0,10000,TA_ti!L3*TA_ti!L$47*TA_ti!$BD3)</f>
        <v>12</v>
      </c>
      <c r="M3" s="4">
        <f>+IF(TA_ti!M3*TA_ti!M$47*TA_ti!$BD3=0,10000,TA_ti!M3*TA_ti!M$47*TA_ti!$BD3)</f>
        <v>12</v>
      </c>
      <c r="N3" s="4">
        <f>+IF(TA_ti!N3*TA_ti!N$47*TA_ti!$BD3=0,10000,TA_ti!N3*TA_ti!N$47*TA_ti!$BD3)</f>
        <v>15</v>
      </c>
      <c r="O3" s="4">
        <f>+IF(TA_ti!O3*TA_ti!O$47*TA_ti!$BD3=0,10000,TA_ti!O3*TA_ti!O$47*TA_ti!$BD3)</f>
        <v>10000</v>
      </c>
      <c r="P3" s="4">
        <f>+IF(TA_ti!P3*TA_ti!P$47*TA_ti!$BD3=0,10000,TA_ti!P3*TA_ti!P$47*TA_ti!$BD3)</f>
        <v>10000</v>
      </c>
      <c r="Q3" s="4">
        <f>+IF(TA_ti!Q3*TA_ti!Q$47*TA_ti!$BD3=0,10000,TA_ti!Q3*TA_ti!Q$47*TA_ti!$BD3)</f>
        <v>10000</v>
      </c>
      <c r="R3" s="4">
        <f>+IF(TA_ti!R3*TA_ti!R$47*TA_ti!$BD3=0,10000,TA_ti!R3*TA_ti!R$47*TA_ti!$BD3)</f>
        <v>15</v>
      </c>
      <c r="S3" s="4">
        <f>+IF(TA_ti!S3*TA_ti!S$47*TA_ti!$BD3=0,10000,TA_ti!S3*TA_ti!S$47*TA_ti!$BD3)</f>
        <v>10000</v>
      </c>
      <c r="T3" s="4">
        <f>+IF(TA_ti!T3*TA_ti!T$47*TA_ti!$BD3=0,10000,TA_ti!T3*TA_ti!T$47*TA_ti!$BD3)</f>
        <v>10000</v>
      </c>
      <c r="U3" s="4">
        <f>+IF(TA_ti!U3*TA_ti!U$47*TA_ti!$BD3=0,10000,TA_ti!U3*TA_ti!U$47*TA_ti!$BD3)</f>
        <v>10000</v>
      </c>
      <c r="V3" s="4">
        <f>+IF(TA_ti!V3*TA_ti!V$47*TA_ti!$BD3=0,10000,TA_ti!V3*TA_ti!V$47*TA_ti!$BD3)</f>
        <v>10000</v>
      </c>
      <c r="W3" s="4">
        <f>+IF(TA_ti!W3*TA_ti!W$47*TA_ti!$BD3=0,10000,TA_ti!W3*TA_ti!W$47*TA_ti!$BD3)</f>
        <v>10000</v>
      </c>
      <c r="X3" s="4">
        <f>+IF(TA_ti!X3*TA_ti!X$47*TA_ti!$BD3=0,10000,TA_ti!X3*TA_ti!X$47*TA_ti!$BD3)</f>
        <v>10000</v>
      </c>
      <c r="Y3" s="4">
        <f>+IF(TA_ti!Y3*TA_ti!Y$47*TA_ti!$BD3=0,10000,TA_ti!Y3*TA_ti!Y$47*TA_ti!$BD3)</f>
        <v>10000</v>
      </c>
      <c r="Z3" s="4">
        <f>+IF(TA_ti!Z3*TA_ti!Z$47*TA_ti!$BD3=0,10000,TA_ti!Z3*TA_ti!Z$47*TA_ti!$BD3)</f>
        <v>10000</v>
      </c>
      <c r="AA3" s="4">
        <f>+IF(TA_ti!AA3*TA_ti!AA$47*TA_ti!$BD3=0,10000,TA_ti!AA3*TA_ti!AA$47*TA_ti!$BD3)</f>
        <v>10000</v>
      </c>
      <c r="AB3" s="4">
        <f>+IF(TA_ti!AB3*TA_ti!AB$47*TA_ti!$BD3=0,10000,TA_ti!AB3*TA_ti!AB$47*TA_ti!$BD3)</f>
        <v>10000</v>
      </c>
      <c r="AC3" s="4">
        <f>+IF(TA_ti!AC3*TA_ti!AC$47*TA_ti!$BD3=0,10000,TA_ti!AC3*TA_ti!AC$47*TA_ti!$BD3)</f>
        <v>10000</v>
      </c>
      <c r="AD3" s="4">
        <f>+IF(TA_ti!AD3*TA_ti!AD$47*TA_ti!$BD3=0,10000,TA_ti!AD3*TA_ti!AD$47*TA_ti!$BD3)</f>
        <v>10000</v>
      </c>
      <c r="AE3" s="4">
        <f>+IF(TA_ti!AE3*TA_ti!AE$47*TA_ti!$BD3=0,10000,TA_ti!AE3*TA_ti!AE$47*TA_ti!$BD3)</f>
        <v>10000</v>
      </c>
      <c r="AF3" s="4">
        <f>+IF(TA_ti!AF3*TA_ti!AF$47*TA_ti!$BD3=0,10000,TA_ti!AF3*TA_ti!AF$47*TA_ti!$BD3)</f>
        <v>10000</v>
      </c>
      <c r="AG3" s="4">
        <f>+IF(TA_ti!AG3*TA_ti!AG$47*TA_ti!$BD3=0,10000,TA_ti!AG3*TA_ti!AG$47*TA_ti!$BD3)</f>
        <v>10000</v>
      </c>
      <c r="AH3" s="4">
        <f>+IF(TA_ti!AH3*TA_ti!AH$47*TA_ti!$BD3=0,10000,TA_ti!AH3*TA_ti!AH$47*TA_ti!$BD3)</f>
        <v>10000</v>
      </c>
      <c r="AI3" s="4">
        <f>+IF(TA_ti!AI3*TA_ti!AI$47*TA_ti!$BD3=0,10000,TA_ti!AI3*TA_ti!AI$47*TA_ti!$BD3)</f>
        <v>10000</v>
      </c>
      <c r="AJ3" s="4">
        <f>+IF(TA_ti!AJ3*TA_ti!AJ$47*TA_ti!$BD3=0,10000,TA_ti!AJ3*TA_ti!AJ$47*TA_ti!$BD3)</f>
        <v>10000</v>
      </c>
      <c r="AK3" s="4">
        <f>+IF(TA_ti!AK3*TA_ti!AK$47*TA_ti!$BD3=0,10000,TA_ti!AK3*TA_ti!AK$47*TA_ti!$BD3)</f>
        <v>10000</v>
      </c>
      <c r="AL3" s="4">
        <f>+IF(TA_ti!AL3*TA_ti!AL$47*TA_ti!$BD3=0,10000,TA_ti!AL3*TA_ti!AL$47*TA_ti!$BD3)</f>
        <v>10000</v>
      </c>
      <c r="AM3" s="4">
        <f>+IF(TA_ti!AM3*TA_ti!AM$47*TA_ti!$BD3=0,10000,TA_ti!AM3*TA_ti!AM$47*TA_ti!$BD3)</f>
        <v>10000</v>
      </c>
      <c r="AN3" s="4">
        <f>+IF(TA_ti!AN3*TA_ti!AN$47*TA_ti!$BD3=0,10000,TA_ti!AN3*TA_ti!AN$47*TA_ti!$BD3)</f>
        <v>10000</v>
      </c>
      <c r="AO3" s="4">
        <f>+IF(TA_ti!AO3*TA_ti!AO$47*TA_ti!$BD3=0,10000,TA_ti!AO3*TA_ti!AO$47*TA_ti!$BD3)</f>
        <v>10000</v>
      </c>
      <c r="AP3" s="4">
        <f>+IF(TA_ti!AP3*TA_ti!AP$47*TA_ti!$BD3=0,10000,TA_ti!AP3*TA_ti!AP$47*TA_ti!$BD3)</f>
        <v>40</v>
      </c>
      <c r="AQ3" s="4">
        <f>+IF(TA_ti!AQ3*TA_ti!AQ$47*TA_ti!$BD3=0,10000,TA_ti!AQ3*TA_ti!AQ$47*TA_ti!$BD3)</f>
        <v>10000</v>
      </c>
      <c r="AR3" s="4">
        <f>+IF(TA_ti!AR3*TA_ti!AR$47*TA_ti!$BD3=0,10000,TA_ti!AR3*TA_ti!AR$47*TA_ti!$BD3)</f>
        <v>10000</v>
      </c>
      <c r="AS3" s="4">
        <f>+IF(TA_ti!AS3*TA_ti!AS$47*TA_ti!$BD3=0,10000,TA_ti!AS3*TA_ti!AS$47*TA_ti!$BD3)</f>
        <v>10000</v>
      </c>
      <c r="AT3" s="4">
        <f>+IF(TA_ti!AT3*TA_ti!AT$47*TA_ti!$BD3=0,10000,TA_ti!AT3*TA_ti!AT$47*TA_ti!$BD3)</f>
        <v>10000</v>
      </c>
      <c r="AU3" s="4">
        <f>+IF(TA_ti!AU3*TA_ti!AU$47*TA_ti!$BD3=0,10000,TA_ti!AU3*TA_ti!AU$47*TA_ti!$BD3)</f>
        <v>10000</v>
      </c>
      <c r="AV3" s="4">
        <f>+IF(TA_ti!AV3*TA_ti!AV$47*TA_ti!$BD3=0,10000,TA_ti!AV3*TA_ti!AV$47*TA_ti!$BD3)</f>
        <v>10000</v>
      </c>
      <c r="AW3" s="4">
        <f>+IF(TA_ti!AW3*TA_ti!AW$47*TA_ti!$BD3=0,10000,TA_ti!AW3*TA_ti!AW$47*TA_ti!$BD3)</f>
        <v>10000</v>
      </c>
      <c r="AX3" s="4">
        <f>+IF(TA_ti!AX3*TA_ti!AX$47*TA_ti!$BD3=0,10000,TA_ti!AX3*TA_ti!AX$47*TA_ti!$BD3)</f>
        <v>15</v>
      </c>
      <c r="AY3" s="4">
        <f>+IF(TA_ti!AY3*TA_ti!AY$47*TA_ti!$BD3=0,10000,TA_ti!AY3*TA_ti!AY$47*TA_ti!$BD3)</f>
        <v>10000</v>
      </c>
      <c r="AZ3" s="4">
        <f>+IF(TA_ti!AZ3*TA_ti!AZ$47*TA_ti!$BD3=0,10000,TA_ti!AZ3*TA_ti!AZ$47*TA_ti!$BD3)</f>
        <v>10000</v>
      </c>
      <c r="BA3" s="4">
        <f>+IF(TA_ti!BA3*TA_ti!BA$47*TA_ti!$BD3=0,10000,TA_ti!BA3*TA_ti!BA$47*TA_ti!$BD3)</f>
        <v>10000</v>
      </c>
      <c r="BB3" s="4">
        <f>+IF(TA_ti!BB3*TA_ti!BB$47*TA_ti!$BD3=0,10000,TA_ti!BB3*TA_ti!BB$47*TA_ti!$BD3)</f>
        <v>10000</v>
      </c>
      <c r="BC3" s="4">
        <f>+IF(TA_ti!BC3*TA_ti!BC$47*TA_ti!$BD3=0,10000,TA_ti!BC3*TA_ti!BC$47*TA_ti!$BD3)</f>
        <v>10000</v>
      </c>
    </row>
    <row r="4" spans="1:55" ht="18" customHeight="1" x14ac:dyDescent="0.25">
      <c r="A4" s="5" t="s">
        <v>55</v>
      </c>
      <c r="B4" s="4">
        <f>+IF(TA_ti!B4*TA_ti!B$47*TA_ti!$BD4=0,10000,TA_ti!B4*TA_ti!B$47*TA_ti!$BD4)</f>
        <v>10000</v>
      </c>
      <c r="C4" s="4">
        <f>+IF(TA_ti!C4*TA_ti!C$47*TA_ti!$BD4=0,10000,TA_ti!C4*TA_ti!C$47*TA_ti!$BD4)</f>
        <v>10000</v>
      </c>
      <c r="D4" s="4">
        <f>+IF(TA_ti!D4*TA_ti!D$47*TA_ti!$BD4=0,10000,TA_ti!D4*TA_ti!D$47*TA_ti!$BD4)</f>
        <v>10000</v>
      </c>
      <c r="E4" s="4">
        <f>+IF(TA_ti!E4*TA_ti!E$47*TA_ti!$BD4=0,10000,TA_ti!E4*TA_ti!E$47*TA_ti!$BD4)</f>
        <v>15</v>
      </c>
      <c r="F4" s="4">
        <f>+IF(TA_ti!F4*TA_ti!F$47*TA_ti!$BD4=0,10000,TA_ti!F4*TA_ti!F$47*TA_ti!$BD4)</f>
        <v>10000</v>
      </c>
      <c r="G4" s="4">
        <f>+IF(TA_ti!G4*TA_ti!G$47*TA_ti!$BD4=0,10000,TA_ti!G4*TA_ti!G$47*TA_ti!$BD4)</f>
        <v>10000</v>
      </c>
      <c r="H4" s="4">
        <f>+IF(TA_ti!H4*TA_ti!H$47*TA_ti!$BD4=0,10000,TA_ti!H4*TA_ti!H$47*TA_ti!$BD4)</f>
        <v>10000</v>
      </c>
      <c r="I4" s="4">
        <f>+IF(TA_ti!I4*TA_ti!I$47*TA_ti!$BD4=0,10000,TA_ti!I4*TA_ti!I$47*TA_ti!$BD4)</f>
        <v>10000</v>
      </c>
      <c r="J4" s="4">
        <f>+IF(TA_ti!J4*TA_ti!J$47*TA_ti!$BD4=0,10000,TA_ti!J4*TA_ti!J$47*TA_ti!$BD4)</f>
        <v>15</v>
      </c>
      <c r="K4" s="4">
        <f>+IF(TA_ti!K4*TA_ti!K$47*TA_ti!$BD4=0,10000,TA_ti!K4*TA_ti!K$47*TA_ti!$BD4)</f>
        <v>10000</v>
      </c>
      <c r="L4" s="4">
        <f>+IF(TA_ti!L4*TA_ti!L$47*TA_ti!$BD4=0,10000,TA_ti!L4*TA_ti!L$47*TA_ti!$BD4)</f>
        <v>12</v>
      </c>
      <c r="M4" s="4">
        <f>+IF(TA_ti!M4*TA_ti!M$47*TA_ti!$BD4=0,10000,TA_ti!M4*TA_ti!M$47*TA_ti!$BD4)</f>
        <v>12</v>
      </c>
      <c r="N4" s="4">
        <f>+IF(TA_ti!N4*TA_ti!N$47*TA_ti!$BD4=0,10000,TA_ti!N4*TA_ti!N$47*TA_ti!$BD4)</f>
        <v>15</v>
      </c>
      <c r="O4" s="4">
        <f>+IF(TA_ti!O4*TA_ti!O$47*TA_ti!$BD4=0,10000,TA_ti!O4*TA_ti!O$47*TA_ti!$BD4)</f>
        <v>10000</v>
      </c>
      <c r="P4" s="4">
        <f>+IF(TA_ti!P4*TA_ti!P$47*TA_ti!$BD4=0,10000,TA_ti!P4*TA_ti!P$47*TA_ti!$BD4)</f>
        <v>10000</v>
      </c>
      <c r="Q4" s="4">
        <f>+IF(TA_ti!Q4*TA_ti!Q$47*TA_ti!$BD4=0,10000,TA_ti!Q4*TA_ti!Q$47*TA_ti!$BD4)</f>
        <v>10000</v>
      </c>
      <c r="R4" s="4">
        <f>+IF(TA_ti!R4*TA_ti!R$47*TA_ti!$BD4=0,10000,TA_ti!R4*TA_ti!R$47*TA_ti!$BD4)</f>
        <v>15</v>
      </c>
      <c r="S4" s="4">
        <f>+IF(TA_ti!S4*TA_ti!S$47*TA_ti!$BD4=0,10000,TA_ti!S4*TA_ti!S$47*TA_ti!$BD4)</f>
        <v>10000</v>
      </c>
      <c r="T4" s="4">
        <f>+IF(TA_ti!T4*TA_ti!T$47*TA_ti!$BD4=0,10000,TA_ti!T4*TA_ti!T$47*TA_ti!$BD4)</f>
        <v>10000</v>
      </c>
      <c r="U4" s="4">
        <f>+IF(TA_ti!U4*TA_ti!U$47*TA_ti!$BD4=0,10000,TA_ti!U4*TA_ti!U$47*TA_ti!$BD4)</f>
        <v>10000</v>
      </c>
      <c r="V4" s="4">
        <f>+IF(TA_ti!V4*TA_ti!V$47*TA_ti!$BD4=0,10000,TA_ti!V4*TA_ti!V$47*TA_ti!$BD4)</f>
        <v>10000</v>
      </c>
      <c r="W4" s="4">
        <f>+IF(TA_ti!W4*TA_ti!W$47*TA_ti!$BD4=0,10000,TA_ti!W4*TA_ti!W$47*TA_ti!$BD4)</f>
        <v>10000</v>
      </c>
      <c r="X4" s="4">
        <f>+IF(TA_ti!X4*TA_ti!X$47*TA_ti!$BD4=0,10000,TA_ti!X4*TA_ti!X$47*TA_ti!$BD4)</f>
        <v>10000</v>
      </c>
      <c r="Y4" s="4">
        <f>+IF(TA_ti!Y4*TA_ti!Y$47*TA_ti!$BD4=0,10000,TA_ti!Y4*TA_ti!Y$47*TA_ti!$BD4)</f>
        <v>10000</v>
      </c>
      <c r="Z4" s="4">
        <f>+IF(TA_ti!Z4*TA_ti!Z$47*TA_ti!$BD4=0,10000,TA_ti!Z4*TA_ti!Z$47*TA_ti!$BD4)</f>
        <v>10000</v>
      </c>
      <c r="AA4" s="4">
        <f>+IF(TA_ti!AA4*TA_ti!AA$47*TA_ti!$BD4=0,10000,TA_ti!AA4*TA_ti!AA$47*TA_ti!$BD4)</f>
        <v>10000</v>
      </c>
      <c r="AB4" s="4">
        <f>+IF(TA_ti!AB4*TA_ti!AB$47*TA_ti!$BD4=0,10000,TA_ti!AB4*TA_ti!AB$47*TA_ti!$BD4)</f>
        <v>10000</v>
      </c>
      <c r="AC4" s="4">
        <f>+IF(TA_ti!AC4*TA_ti!AC$47*TA_ti!$BD4=0,10000,TA_ti!AC4*TA_ti!AC$47*TA_ti!$BD4)</f>
        <v>10000</v>
      </c>
      <c r="AD4" s="4">
        <f>+IF(TA_ti!AD4*TA_ti!AD$47*TA_ti!$BD4=0,10000,TA_ti!AD4*TA_ti!AD$47*TA_ti!$BD4)</f>
        <v>10000</v>
      </c>
      <c r="AE4" s="4">
        <f>+IF(TA_ti!AE4*TA_ti!AE$47*TA_ti!$BD4=0,10000,TA_ti!AE4*TA_ti!AE$47*TA_ti!$BD4)</f>
        <v>10000</v>
      </c>
      <c r="AF4" s="4">
        <f>+IF(TA_ti!AF4*TA_ti!AF$47*TA_ti!$BD4=0,10000,TA_ti!AF4*TA_ti!AF$47*TA_ti!$BD4)</f>
        <v>10000</v>
      </c>
      <c r="AG4" s="4">
        <f>+IF(TA_ti!AG4*TA_ti!AG$47*TA_ti!$BD4=0,10000,TA_ti!AG4*TA_ti!AG$47*TA_ti!$BD4)</f>
        <v>10000</v>
      </c>
      <c r="AH4" s="4">
        <f>+IF(TA_ti!AH4*TA_ti!AH$47*TA_ti!$BD4=0,10000,TA_ti!AH4*TA_ti!AH$47*TA_ti!$BD4)</f>
        <v>10000</v>
      </c>
      <c r="AI4" s="4">
        <f>+IF(TA_ti!AI4*TA_ti!AI$47*TA_ti!$BD4=0,10000,TA_ti!AI4*TA_ti!AI$47*TA_ti!$BD4)</f>
        <v>10000</v>
      </c>
      <c r="AJ4" s="4">
        <f>+IF(TA_ti!AJ4*TA_ti!AJ$47*TA_ti!$BD4=0,10000,TA_ti!AJ4*TA_ti!AJ$47*TA_ti!$BD4)</f>
        <v>10000</v>
      </c>
      <c r="AK4" s="4">
        <f>+IF(TA_ti!AK4*TA_ti!AK$47*TA_ti!$BD4=0,10000,TA_ti!AK4*TA_ti!AK$47*TA_ti!$BD4)</f>
        <v>10000</v>
      </c>
      <c r="AL4" s="4">
        <f>+IF(TA_ti!AL4*TA_ti!AL$47*TA_ti!$BD4=0,10000,TA_ti!AL4*TA_ti!AL$47*TA_ti!$BD4)</f>
        <v>12</v>
      </c>
      <c r="AM4" s="4">
        <f>+IF(TA_ti!AM4*TA_ti!AM$47*TA_ti!$BD4=0,10000,TA_ti!AM4*TA_ti!AM$47*TA_ti!$BD4)</f>
        <v>10000</v>
      </c>
      <c r="AN4" s="4">
        <f>+IF(TA_ti!AN4*TA_ti!AN$47*TA_ti!$BD4=0,10000,TA_ti!AN4*TA_ti!AN$47*TA_ti!$BD4)</f>
        <v>10000</v>
      </c>
      <c r="AO4" s="4">
        <f>+IF(TA_ti!AO4*TA_ti!AO$47*TA_ti!$BD4=0,10000,TA_ti!AO4*TA_ti!AO$47*TA_ti!$BD4)</f>
        <v>10000</v>
      </c>
      <c r="AP4" s="4">
        <f>+IF(TA_ti!AP4*TA_ti!AP$47*TA_ti!$BD4=0,10000,TA_ti!AP4*TA_ti!AP$47*TA_ti!$BD4)</f>
        <v>40</v>
      </c>
      <c r="AQ4" s="4">
        <f>+IF(TA_ti!AQ4*TA_ti!AQ$47*TA_ti!$BD4=0,10000,TA_ti!AQ4*TA_ti!AQ$47*TA_ti!$BD4)</f>
        <v>25</v>
      </c>
      <c r="AR4" s="4">
        <f>+IF(TA_ti!AR4*TA_ti!AR$47*TA_ti!$BD4=0,10000,TA_ti!AR4*TA_ti!AR$47*TA_ti!$BD4)</f>
        <v>10000</v>
      </c>
      <c r="AS4" s="4">
        <f>+IF(TA_ti!AS4*TA_ti!AS$47*TA_ti!$BD4=0,10000,TA_ti!AS4*TA_ti!AS$47*TA_ti!$BD4)</f>
        <v>10000</v>
      </c>
      <c r="AT4" s="4">
        <f>+IF(TA_ti!AT4*TA_ti!AT$47*TA_ti!$BD4=0,10000,TA_ti!AT4*TA_ti!AT$47*TA_ti!$BD4)</f>
        <v>10000</v>
      </c>
      <c r="AU4" s="4">
        <f>+IF(TA_ti!AU4*TA_ti!AU$47*TA_ti!$BD4=0,10000,TA_ti!AU4*TA_ti!AU$47*TA_ti!$BD4)</f>
        <v>10000</v>
      </c>
      <c r="AV4" s="4">
        <f>+IF(TA_ti!AV4*TA_ti!AV$47*TA_ti!$BD4=0,10000,TA_ti!AV4*TA_ti!AV$47*TA_ti!$BD4)</f>
        <v>10000</v>
      </c>
      <c r="AW4" s="4">
        <f>+IF(TA_ti!AW4*TA_ti!AW$47*TA_ti!$BD4=0,10000,TA_ti!AW4*TA_ti!AW$47*TA_ti!$BD4)</f>
        <v>10000</v>
      </c>
      <c r="AX4" s="4">
        <f>+IF(TA_ti!AX4*TA_ti!AX$47*TA_ti!$BD4=0,10000,TA_ti!AX4*TA_ti!AX$47*TA_ti!$BD4)</f>
        <v>15</v>
      </c>
      <c r="AY4" s="4">
        <f>+IF(TA_ti!AY4*TA_ti!AY$47*TA_ti!$BD4=0,10000,TA_ti!AY4*TA_ti!AY$47*TA_ti!$BD4)</f>
        <v>10000</v>
      </c>
      <c r="AZ4" s="4">
        <f>+IF(TA_ti!AZ4*TA_ti!AZ$47*TA_ti!$BD4=0,10000,TA_ti!AZ4*TA_ti!AZ$47*TA_ti!$BD4)</f>
        <v>10000</v>
      </c>
      <c r="BA4" s="4">
        <f>+IF(TA_ti!BA4*TA_ti!BA$47*TA_ti!$BD4=0,10000,TA_ti!BA4*TA_ti!BA$47*TA_ti!$BD4)</f>
        <v>10000</v>
      </c>
      <c r="BB4" s="4">
        <f>+IF(TA_ti!BB4*TA_ti!BB$47*TA_ti!$BD4=0,10000,TA_ti!BB4*TA_ti!BB$47*TA_ti!$BD4)</f>
        <v>10000</v>
      </c>
      <c r="BC4" s="4">
        <f>+IF(TA_ti!BC4*TA_ti!BC$47*TA_ti!$BD4=0,10000,TA_ti!BC4*TA_ti!BC$47*TA_ti!$BD4)</f>
        <v>10000</v>
      </c>
    </row>
    <row r="5" spans="1:55" ht="18.75" customHeight="1" x14ac:dyDescent="0.25">
      <c r="A5" s="5" t="s">
        <v>56</v>
      </c>
      <c r="B5" s="4">
        <f>+IF(TA_ti!B5*TA_ti!B$47*TA_ti!$BD5=0,10000,TA_ti!B5*TA_ti!B$47*TA_ti!$BD5)</f>
        <v>10000</v>
      </c>
      <c r="C5" s="4">
        <f>+IF(TA_ti!C5*TA_ti!C$47*TA_ti!$BD5=0,10000,TA_ti!C5*TA_ti!C$47*TA_ti!$BD5)</f>
        <v>10000</v>
      </c>
      <c r="D5" s="4">
        <f>+IF(TA_ti!D5*TA_ti!D$47*TA_ti!$BD5=0,10000,TA_ti!D5*TA_ti!D$47*TA_ti!$BD5)</f>
        <v>10000</v>
      </c>
      <c r="E5" s="4">
        <f>+IF(TA_ti!E5*TA_ti!E$47*TA_ti!$BD5=0,10000,TA_ti!E5*TA_ti!E$47*TA_ti!$BD5)</f>
        <v>15</v>
      </c>
      <c r="F5" s="4">
        <f>+IF(TA_ti!F5*TA_ti!F$47*TA_ti!$BD5=0,10000,TA_ti!F5*TA_ti!F$47*TA_ti!$BD5)</f>
        <v>10000</v>
      </c>
      <c r="G5" s="4">
        <f>+IF(TA_ti!G5*TA_ti!G$47*TA_ti!$BD5=0,10000,TA_ti!G5*TA_ti!G$47*TA_ti!$BD5)</f>
        <v>10000</v>
      </c>
      <c r="H5" s="4">
        <f>+IF(TA_ti!H5*TA_ti!H$47*TA_ti!$BD5=0,10000,TA_ti!H5*TA_ti!H$47*TA_ti!$BD5)</f>
        <v>10000</v>
      </c>
      <c r="I5" s="4">
        <f>+IF(TA_ti!I5*TA_ti!I$47*TA_ti!$BD5=0,10000,TA_ti!I5*TA_ti!I$47*TA_ti!$BD5)</f>
        <v>10000</v>
      </c>
      <c r="J5" s="4">
        <f>+IF(TA_ti!J5*TA_ti!J$47*TA_ti!$BD5=0,10000,TA_ti!J5*TA_ti!J$47*TA_ti!$BD5)</f>
        <v>15</v>
      </c>
      <c r="K5" s="4">
        <f>+IF(TA_ti!K5*TA_ti!K$47*TA_ti!$BD5=0,10000,TA_ti!K5*TA_ti!K$47*TA_ti!$BD5)</f>
        <v>10000</v>
      </c>
      <c r="L5" s="4">
        <f>+IF(TA_ti!L5*TA_ti!L$47*TA_ti!$BD5=0,10000,TA_ti!L5*TA_ti!L$47*TA_ti!$BD5)</f>
        <v>12</v>
      </c>
      <c r="M5" s="4">
        <f>+IF(TA_ti!M5*TA_ti!M$47*TA_ti!$BD5=0,10000,TA_ti!M5*TA_ti!M$47*TA_ti!$BD5)</f>
        <v>12</v>
      </c>
      <c r="N5" s="4">
        <f>+IF(TA_ti!N5*TA_ti!N$47*TA_ti!$BD5=0,10000,TA_ti!N5*TA_ti!N$47*TA_ti!$BD5)</f>
        <v>15</v>
      </c>
      <c r="O5" s="4">
        <f>+IF(TA_ti!O5*TA_ti!O$47*TA_ti!$BD5=0,10000,TA_ti!O5*TA_ti!O$47*TA_ti!$BD5)</f>
        <v>10000</v>
      </c>
      <c r="P5" s="4">
        <f>+IF(TA_ti!P5*TA_ti!P$47*TA_ti!$BD5=0,10000,TA_ti!P5*TA_ti!P$47*TA_ti!$BD5)</f>
        <v>10000</v>
      </c>
      <c r="Q5" s="4">
        <f>+IF(TA_ti!Q5*TA_ti!Q$47*TA_ti!$BD5=0,10000,TA_ti!Q5*TA_ti!Q$47*TA_ti!$BD5)</f>
        <v>10000</v>
      </c>
      <c r="R5" s="4">
        <f>+IF(TA_ti!R5*TA_ti!R$47*TA_ti!$BD5=0,10000,TA_ti!R5*TA_ti!R$47*TA_ti!$BD5)</f>
        <v>15</v>
      </c>
      <c r="S5" s="4">
        <f>+IF(TA_ti!S5*TA_ti!S$47*TA_ti!$BD5=0,10000,TA_ti!S5*TA_ti!S$47*TA_ti!$BD5)</f>
        <v>10000</v>
      </c>
      <c r="T5" s="4">
        <f>+IF(TA_ti!T5*TA_ti!T$47*TA_ti!$BD5=0,10000,TA_ti!T5*TA_ti!T$47*TA_ti!$BD5)</f>
        <v>10000</v>
      </c>
      <c r="U5" s="4">
        <f>+IF(TA_ti!U5*TA_ti!U$47*TA_ti!$BD5=0,10000,TA_ti!U5*TA_ti!U$47*TA_ti!$BD5)</f>
        <v>10000</v>
      </c>
      <c r="V5" s="4">
        <f>+IF(TA_ti!V5*TA_ti!V$47*TA_ti!$BD5=0,10000,TA_ti!V5*TA_ti!V$47*TA_ti!$BD5)</f>
        <v>10000</v>
      </c>
      <c r="W5" s="4">
        <f>+IF(TA_ti!W5*TA_ti!W$47*TA_ti!$BD5=0,10000,TA_ti!W5*TA_ti!W$47*TA_ti!$BD5)</f>
        <v>10000</v>
      </c>
      <c r="X5" s="4">
        <f>+IF(TA_ti!X5*TA_ti!X$47*TA_ti!$BD5=0,10000,TA_ti!X5*TA_ti!X$47*TA_ti!$BD5)</f>
        <v>10000</v>
      </c>
      <c r="Y5" s="4">
        <f>+IF(TA_ti!Y5*TA_ti!Y$47*TA_ti!$BD5=0,10000,TA_ti!Y5*TA_ti!Y$47*TA_ti!$BD5)</f>
        <v>10000</v>
      </c>
      <c r="Z5" s="4">
        <f>+IF(TA_ti!Z5*TA_ti!Z$47*TA_ti!$BD5=0,10000,TA_ti!Z5*TA_ti!Z$47*TA_ti!$BD5)</f>
        <v>10000</v>
      </c>
      <c r="AA5" s="4">
        <f>+IF(TA_ti!AA5*TA_ti!AA$47*TA_ti!$BD5=0,10000,TA_ti!AA5*TA_ti!AA$47*TA_ti!$BD5)</f>
        <v>10000</v>
      </c>
      <c r="AB5" s="4">
        <f>+IF(TA_ti!AB5*TA_ti!AB$47*TA_ti!$BD5=0,10000,TA_ti!AB5*TA_ti!AB$47*TA_ti!$BD5)</f>
        <v>10000</v>
      </c>
      <c r="AC5" s="4">
        <f>+IF(TA_ti!AC5*TA_ti!AC$47*TA_ti!$BD5=0,10000,TA_ti!AC5*TA_ti!AC$47*TA_ti!$BD5)</f>
        <v>10000</v>
      </c>
      <c r="AD5" s="4">
        <f>+IF(TA_ti!AD5*TA_ti!AD$47*TA_ti!$BD5=0,10000,TA_ti!AD5*TA_ti!AD$47*TA_ti!$BD5)</f>
        <v>10000</v>
      </c>
      <c r="AE5" s="4">
        <f>+IF(TA_ti!AE5*TA_ti!AE$47*TA_ti!$BD5=0,10000,TA_ti!AE5*TA_ti!AE$47*TA_ti!$BD5)</f>
        <v>10000</v>
      </c>
      <c r="AF5" s="4">
        <f>+IF(TA_ti!AF5*TA_ti!AF$47*TA_ti!$BD5=0,10000,TA_ti!AF5*TA_ti!AF$47*TA_ti!$BD5)</f>
        <v>10000</v>
      </c>
      <c r="AG5" s="4">
        <f>+IF(TA_ti!AG5*TA_ti!AG$47*TA_ti!$BD5=0,10000,TA_ti!AG5*TA_ti!AG$47*TA_ti!$BD5)</f>
        <v>10000</v>
      </c>
      <c r="AH5" s="4">
        <f>+IF(TA_ti!AH5*TA_ti!AH$47*TA_ti!$BD5=0,10000,TA_ti!AH5*TA_ti!AH$47*TA_ti!$BD5)</f>
        <v>10000</v>
      </c>
      <c r="AI5" s="4">
        <f>+IF(TA_ti!AI5*TA_ti!AI$47*TA_ti!$BD5=0,10000,TA_ti!AI5*TA_ti!AI$47*TA_ti!$BD5)</f>
        <v>10000</v>
      </c>
      <c r="AJ5" s="4">
        <f>+IF(TA_ti!AJ5*TA_ti!AJ$47*TA_ti!$BD5=0,10000,TA_ti!AJ5*TA_ti!AJ$47*TA_ti!$BD5)</f>
        <v>10000</v>
      </c>
      <c r="AK5" s="4">
        <f>+IF(TA_ti!AK5*TA_ti!AK$47*TA_ti!$BD5=0,10000,TA_ti!AK5*TA_ti!AK$47*TA_ti!$BD5)</f>
        <v>10000</v>
      </c>
      <c r="AL5" s="4">
        <f>+IF(TA_ti!AL5*TA_ti!AL$47*TA_ti!$BD5=0,10000,TA_ti!AL5*TA_ti!AL$47*TA_ti!$BD5)</f>
        <v>10000</v>
      </c>
      <c r="AM5" s="4">
        <f>+IF(TA_ti!AM5*TA_ti!AM$47*TA_ti!$BD5=0,10000,TA_ti!AM5*TA_ti!AM$47*TA_ti!$BD5)</f>
        <v>10000</v>
      </c>
      <c r="AN5" s="4">
        <f>+IF(TA_ti!AN5*TA_ti!AN$47*TA_ti!$BD5=0,10000,TA_ti!AN5*TA_ti!AN$47*TA_ti!$BD5)</f>
        <v>10000</v>
      </c>
      <c r="AO5" s="4">
        <f>+IF(TA_ti!AO5*TA_ti!AO$47*TA_ti!$BD5=0,10000,TA_ti!AO5*TA_ti!AO$47*TA_ti!$BD5)</f>
        <v>10000</v>
      </c>
      <c r="AP5" s="4">
        <f>+IF(TA_ti!AP5*TA_ti!AP$47*TA_ti!$BD5=0,10000,TA_ti!AP5*TA_ti!AP$47*TA_ti!$BD5)</f>
        <v>40</v>
      </c>
      <c r="AQ5" s="4">
        <f>+IF(TA_ti!AQ5*TA_ti!AQ$47*TA_ti!$BD5=0,10000,TA_ti!AQ5*TA_ti!AQ$47*TA_ti!$BD5)</f>
        <v>25</v>
      </c>
      <c r="AR5" s="4">
        <f>+IF(TA_ti!AR5*TA_ti!AR$47*TA_ti!$BD5=0,10000,TA_ti!AR5*TA_ti!AR$47*TA_ti!$BD5)</f>
        <v>10000</v>
      </c>
      <c r="AS5" s="4">
        <f>+IF(TA_ti!AS5*TA_ti!AS$47*TA_ti!$BD5=0,10000,TA_ti!AS5*TA_ti!AS$47*TA_ti!$BD5)</f>
        <v>10000</v>
      </c>
      <c r="AT5" s="4">
        <f>+IF(TA_ti!AT5*TA_ti!AT$47*TA_ti!$BD5=0,10000,TA_ti!AT5*TA_ti!AT$47*TA_ti!$BD5)</f>
        <v>10000</v>
      </c>
      <c r="AU5" s="4">
        <f>+IF(TA_ti!AU5*TA_ti!AU$47*TA_ti!$BD5=0,10000,TA_ti!AU5*TA_ti!AU$47*TA_ti!$BD5)</f>
        <v>10000</v>
      </c>
      <c r="AV5" s="4">
        <f>+IF(TA_ti!AV5*TA_ti!AV$47*TA_ti!$BD5=0,10000,TA_ti!AV5*TA_ti!AV$47*TA_ti!$BD5)</f>
        <v>10000</v>
      </c>
      <c r="AW5" s="4">
        <f>+IF(TA_ti!AW5*TA_ti!AW$47*TA_ti!$BD5=0,10000,TA_ti!AW5*TA_ti!AW$47*TA_ti!$BD5)</f>
        <v>10000</v>
      </c>
      <c r="AX5" s="4">
        <f>+IF(TA_ti!AX5*TA_ti!AX$47*TA_ti!$BD5=0,10000,TA_ti!AX5*TA_ti!AX$47*TA_ti!$BD5)</f>
        <v>15</v>
      </c>
      <c r="AY5" s="4">
        <f>+IF(TA_ti!AY5*TA_ti!AY$47*TA_ti!$BD5=0,10000,TA_ti!AY5*TA_ti!AY$47*TA_ti!$BD5)</f>
        <v>10000</v>
      </c>
      <c r="AZ5" s="4">
        <f>+IF(TA_ti!AZ5*TA_ti!AZ$47*TA_ti!$BD5=0,10000,TA_ti!AZ5*TA_ti!AZ$47*TA_ti!$BD5)</f>
        <v>10000</v>
      </c>
      <c r="BA5" s="4">
        <f>+IF(TA_ti!BA5*TA_ti!BA$47*TA_ti!$BD5=0,10000,TA_ti!BA5*TA_ti!BA$47*TA_ti!$BD5)</f>
        <v>10000</v>
      </c>
      <c r="BB5" s="4">
        <f>+IF(TA_ti!BB5*TA_ti!BB$47*TA_ti!$BD5=0,10000,TA_ti!BB5*TA_ti!BB$47*TA_ti!$BD5)</f>
        <v>10000</v>
      </c>
      <c r="BC5" s="4">
        <f>+IF(TA_ti!BC5*TA_ti!BC$47*TA_ti!$BD5=0,10000,TA_ti!BC5*TA_ti!BC$47*TA_ti!$BD5)</f>
        <v>10000</v>
      </c>
    </row>
    <row r="6" spans="1:55" ht="18.75" customHeight="1" x14ac:dyDescent="0.25">
      <c r="A6" s="5" t="s">
        <v>57</v>
      </c>
      <c r="B6" s="4">
        <f>+IF(TA_ti!B6*TA_ti!B$47*TA_ti!$BD6=0,10000,TA_ti!B6*TA_ti!B$47*TA_ti!$BD6)</f>
        <v>10000</v>
      </c>
      <c r="C6" s="4">
        <f>+IF(TA_ti!C6*TA_ti!C$47*TA_ti!$BD6=0,10000,TA_ti!C6*TA_ti!C$47*TA_ti!$BD6)</f>
        <v>10000</v>
      </c>
      <c r="D6" s="4">
        <f>+IF(TA_ti!D6*TA_ti!D$47*TA_ti!$BD6=0,10000,TA_ti!D6*TA_ti!D$47*TA_ti!$BD6)</f>
        <v>15</v>
      </c>
      <c r="E6" s="4">
        <f>+IF(TA_ti!E6*TA_ti!E$47*TA_ti!$BD6=0,10000,TA_ti!E6*TA_ti!E$47*TA_ti!$BD6)</f>
        <v>10000</v>
      </c>
      <c r="F6" s="4">
        <f>+IF(TA_ti!F6*TA_ti!F$47*TA_ti!$BD6=0,10000,TA_ti!F6*TA_ti!F$47*TA_ti!$BD6)</f>
        <v>10000</v>
      </c>
      <c r="G6" s="4">
        <f>+IF(TA_ti!G6*TA_ti!G$47*TA_ti!$BD6=0,10000,TA_ti!G6*TA_ti!G$47*TA_ti!$BD6)</f>
        <v>10000</v>
      </c>
      <c r="H6" s="4">
        <f>+IF(TA_ti!H6*TA_ti!H$47*TA_ti!$BD6=0,10000,TA_ti!H6*TA_ti!H$47*TA_ti!$BD6)</f>
        <v>10000</v>
      </c>
      <c r="I6" s="4">
        <f>+IF(TA_ti!I6*TA_ti!I$47*TA_ti!$BD6=0,10000,TA_ti!I6*TA_ti!I$47*TA_ti!$BD6)</f>
        <v>10000</v>
      </c>
      <c r="J6" s="4">
        <f>+IF(TA_ti!J6*TA_ti!J$47*TA_ti!$BD6=0,10000,TA_ti!J6*TA_ti!J$47*TA_ti!$BD6)</f>
        <v>15</v>
      </c>
      <c r="K6" s="4">
        <f>+IF(TA_ti!K6*TA_ti!K$47*TA_ti!$BD6=0,10000,TA_ti!K6*TA_ti!K$47*TA_ti!$BD6)</f>
        <v>10000</v>
      </c>
      <c r="L6" s="4">
        <f>+IF(TA_ti!L6*TA_ti!L$47*TA_ti!$BD6=0,10000,TA_ti!L6*TA_ti!L$47*TA_ti!$BD6)</f>
        <v>12</v>
      </c>
      <c r="M6" s="4">
        <f>+IF(TA_ti!M6*TA_ti!M$47*TA_ti!$BD6=0,10000,TA_ti!M6*TA_ti!M$47*TA_ti!$BD6)</f>
        <v>12</v>
      </c>
      <c r="N6" s="4">
        <f>+IF(TA_ti!N6*TA_ti!N$47*TA_ti!$BD6=0,10000,TA_ti!N6*TA_ti!N$47*TA_ti!$BD6)</f>
        <v>15</v>
      </c>
      <c r="O6" s="4">
        <f>+IF(TA_ti!O6*TA_ti!O$47*TA_ti!$BD6=0,10000,TA_ti!O6*TA_ti!O$47*TA_ti!$BD6)</f>
        <v>10000</v>
      </c>
      <c r="P6" s="4">
        <f>+IF(TA_ti!P6*TA_ti!P$47*TA_ti!$BD6=0,10000,TA_ti!P6*TA_ti!P$47*TA_ti!$BD6)</f>
        <v>10000</v>
      </c>
      <c r="Q6" s="4">
        <f>+IF(TA_ti!Q6*TA_ti!Q$47*TA_ti!$BD6=0,10000,TA_ti!Q6*TA_ti!Q$47*TA_ti!$BD6)</f>
        <v>10000</v>
      </c>
      <c r="R6" s="4">
        <f>+IF(TA_ti!R6*TA_ti!R$47*TA_ti!$BD6=0,10000,TA_ti!R6*TA_ti!R$47*TA_ti!$BD6)</f>
        <v>10000</v>
      </c>
      <c r="S6" s="4">
        <f>+IF(TA_ti!S6*TA_ti!S$47*TA_ti!$BD6=0,10000,TA_ti!S6*TA_ti!S$47*TA_ti!$BD6)</f>
        <v>10000</v>
      </c>
      <c r="T6" s="4">
        <f>+IF(TA_ti!T6*TA_ti!T$47*TA_ti!$BD6=0,10000,TA_ti!T6*TA_ti!T$47*TA_ti!$BD6)</f>
        <v>10000</v>
      </c>
      <c r="U6" s="4">
        <f>+IF(TA_ti!U6*TA_ti!U$47*TA_ti!$BD6=0,10000,TA_ti!U6*TA_ti!U$47*TA_ti!$BD6)</f>
        <v>10000</v>
      </c>
      <c r="V6" s="4">
        <f>+IF(TA_ti!V6*TA_ti!V$47*TA_ti!$BD6=0,10000,TA_ti!V6*TA_ti!V$47*TA_ti!$BD6)</f>
        <v>10000</v>
      </c>
      <c r="W6" s="4">
        <f>+IF(TA_ti!W6*TA_ti!W$47*TA_ti!$BD6=0,10000,TA_ti!W6*TA_ti!W$47*TA_ti!$BD6)</f>
        <v>10000</v>
      </c>
      <c r="X6" s="4">
        <f>+IF(TA_ti!X6*TA_ti!X$47*TA_ti!$BD6=0,10000,TA_ti!X6*TA_ti!X$47*TA_ti!$BD6)</f>
        <v>10000</v>
      </c>
      <c r="Y6" s="4">
        <f>+IF(TA_ti!Y6*TA_ti!Y$47*TA_ti!$BD6=0,10000,TA_ti!Y6*TA_ti!Y$47*TA_ti!$BD6)</f>
        <v>10000</v>
      </c>
      <c r="Z6" s="4">
        <f>+IF(TA_ti!Z6*TA_ti!Z$47*TA_ti!$BD6=0,10000,TA_ti!Z6*TA_ti!Z$47*TA_ti!$BD6)</f>
        <v>10000</v>
      </c>
      <c r="AA6" s="4">
        <f>+IF(TA_ti!AA6*TA_ti!AA$47*TA_ti!$BD6=0,10000,TA_ti!AA6*TA_ti!AA$47*TA_ti!$BD6)</f>
        <v>10000</v>
      </c>
      <c r="AB6" s="4">
        <f>+IF(TA_ti!AB6*TA_ti!AB$47*TA_ti!$BD6=0,10000,TA_ti!AB6*TA_ti!AB$47*TA_ti!$BD6)</f>
        <v>10000</v>
      </c>
      <c r="AC6" s="4">
        <f>+IF(TA_ti!AC6*TA_ti!AC$47*TA_ti!$BD6=0,10000,TA_ti!AC6*TA_ti!AC$47*TA_ti!$BD6)</f>
        <v>10000</v>
      </c>
      <c r="AD6" s="4">
        <f>+IF(TA_ti!AD6*TA_ti!AD$47*TA_ti!$BD6=0,10000,TA_ti!AD6*TA_ti!AD$47*TA_ti!$BD6)</f>
        <v>10000</v>
      </c>
      <c r="AE6" s="4">
        <f>+IF(TA_ti!AE6*TA_ti!AE$47*TA_ti!$BD6=0,10000,TA_ti!AE6*TA_ti!AE$47*TA_ti!$BD6)</f>
        <v>10000</v>
      </c>
      <c r="AF6" s="4">
        <f>+IF(TA_ti!AF6*TA_ti!AF$47*TA_ti!$BD6=0,10000,TA_ti!AF6*TA_ti!AF$47*TA_ti!$BD6)</f>
        <v>10000</v>
      </c>
      <c r="AG6" s="4">
        <f>+IF(TA_ti!AG6*TA_ti!AG$47*TA_ti!$BD6=0,10000,TA_ti!AG6*TA_ti!AG$47*TA_ti!$BD6)</f>
        <v>10000</v>
      </c>
      <c r="AH6" s="4">
        <f>+IF(TA_ti!AH6*TA_ti!AH$47*TA_ti!$BD6=0,10000,TA_ti!AH6*TA_ti!AH$47*TA_ti!$BD6)</f>
        <v>10000</v>
      </c>
      <c r="AI6" s="4">
        <f>+IF(TA_ti!AI6*TA_ti!AI$47*TA_ti!$BD6=0,10000,TA_ti!AI6*TA_ti!AI$47*TA_ti!$BD6)</f>
        <v>10000</v>
      </c>
      <c r="AJ6" s="4">
        <f>+IF(TA_ti!AJ6*TA_ti!AJ$47*TA_ti!$BD6=0,10000,TA_ti!AJ6*TA_ti!AJ$47*TA_ti!$BD6)</f>
        <v>10000</v>
      </c>
      <c r="AK6" s="4">
        <f>+IF(TA_ti!AK6*TA_ti!AK$47*TA_ti!$BD6=0,10000,TA_ti!AK6*TA_ti!AK$47*TA_ti!$BD6)</f>
        <v>10000</v>
      </c>
      <c r="AL6" s="4">
        <f>+IF(TA_ti!AL6*TA_ti!AL$47*TA_ti!$BD6=0,10000,TA_ti!AL6*TA_ti!AL$47*TA_ti!$BD6)</f>
        <v>10000</v>
      </c>
      <c r="AM6" s="4">
        <f>+IF(TA_ti!AM6*TA_ti!AM$47*TA_ti!$BD6=0,10000,TA_ti!AM6*TA_ti!AM$47*TA_ti!$BD6)</f>
        <v>10000</v>
      </c>
      <c r="AN6" s="4">
        <f>+IF(TA_ti!AN6*TA_ti!AN$47*TA_ti!$BD6=0,10000,TA_ti!AN6*TA_ti!AN$47*TA_ti!$BD6)</f>
        <v>40</v>
      </c>
      <c r="AO6" s="4">
        <f>+IF(TA_ti!AO6*TA_ti!AO$47*TA_ti!$BD6=0,10000,TA_ti!AO6*TA_ti!AO$47*TA_ti!$BD6)</f>
        <v>10000</v>
      </c>
      <c r="AP6" s="4">
        <f>+IF(TA_ti!AP6*TA_ti!AP$47*TA_ti!$BD6=0,10000,TA_ti!AP6*TA_ti!AP$47*TA_ti!$BD6)</f>
        <v>10000</v>
      </c>
      <c r="AQ6" s="4">
        <f>+IF(TA_ti!AQ6*TA_ti!AQ$47*TA_ti!$BD6=0,10000,TA_ti!AQ6*TA_ti!AQ$47*TA_ti!$BD6)</f>
        <v>10000</v>
      </c>
      <c r="AR6" s="4">
        <f>+IF(TA_ti!AR6*TA_ti!AR$47*TA_ti!$BD6=0,10000,TA_ti!AR6*TA_ti!AR$47*TA_ti!$BD6)</f>
        <v>10000</v>
      </c>
      <c r="AS6" s="4">
        <f>+IF(TA_ti!AS6*TA_ti!AS$47*TA_ti!$BD6=0,10000,TA_ti!AS6*TA_ti!AS$47*TA_ti!$BD6)</f>
        <v>10000</v>
      </c>
      <c r="AT6" s="4">
        <f>+IF(TA_ti!AT6*TA_ti!AT$47*TA_ti!$BD6=0,10000,TA_ti!AT6*TA_ti!AT$47*TA_ti!$BD6)</f>
        <v>10000</v>
      </c>
      <c r="AU6" s="4">
        <f>+IF(TA_ti!AU6*TA_ti!AU$47*TA_ti!$BD6=0,10000,TA_ti!AU6*TA_ti!AU$47*TA_ti!$BD6)</f>
        <v>10000</v>
      </c>
      <c r="AV6" s="4">
        <f>+IF(TA_ti!AV6*TA_ti!AV$47*TA_ti!$BD6=0,10000,TA_ti!AV6*TA_ti!AV$47*TA_ti!$BD6)</f>
        <v>10000</v>
      </c>
      <c r="AW6" s="4">
        <f>+IF(TA_ti!AW6*TA_ti!AW$47*TA_ti!$BD6=0,10000,TA_ti!AW6*TA_ti!AW$47*TA_ti!$BD6)</f>
        <v>10000</v>
      </c>
      <c r="AX6" s="4">
        <f>+IF(TA_ti!AX6*TA_ti!AX$47*TA_ti!$BD6=0,10000,TA_ti!AX6*TA_ti!AX$47*TA_ti!$BD6)</f>
        <v>10000</v>
      </c>
      <c r="AY6" s="4">
        <f>+IF(TA_ti!AY6*TA_ti!AY$47*TA_ti!$BD6=0,10000,TA_ti!AY6*TA_ti!AY$47*TA_ti!$BD6)</f>
        <v>10000</v>
      </c>
      <c r="AZ6" s="4">
        <f>+IF(TA_ti!AZ6*TA_ti!AZ$47*TA_ti!$BD6=0,10000,TA_ti!AZ6*TA_ti!AZ$47*TA_ti!$BD6)</f>
        <v>15</v>
      </c>
      <c r="BA6" s="4">
        <f>+IF(TA_ti!BA6*TA_ti!BA$47*TA_ti!$BD6=0,10000,TA_ti!BA6*TA_ti!BA$47*TA_ti!$BD6)</f>
        <v>10000</v>
      </c>
      <c r="BB6" s="4">
        <f>+IF(TA_ti!BB6*TA_ti!BB$47*TA_ti!$BD6=0,10000,TA_ti!BB6*TA_ti!BB$47*TA_ti!$BD6)</f>
        <v>10000</v>
      </c>
      <c r="BC6" s="4">
        <f>+IF(TA_ti!BC6*TA_ti!BC$47*TA_ti!$BD6=0,10000,TA_ti!BC6*TA_ti!BC$47*TA_ti!$BD6)</f>
        <v>10000</v>
      </c>
    </row>
    <row r="7" spans="1:55" ht="18.75" customHeight="1" x14ac:dyDescent="0.25">
      <c r="A7" s="5" t="s">
        <v>58</v>
      </c>
      <c r="B7" s="4">
        <f>+IF(TA_ti!B7*TA_ti!B$47*TA_ti!$BD7=0,10000,TA_ti!B7*TA_ti!B$47*TA_ti!$BD7)</f>
        <v>10000</v>
      </c>
      <c r="C7" s="4">
        <f>+IF(TA_ti!C7*TA_ti!C$47*TA_ti!$BD7=0,10000,TA_ti!C7*TA_ti!C$47*TA_ti!$BD7)</f>
        <v>10000</v>
      </c>
      <c r="D7" s="4">
        <f>+IF(TA_ti!D7*TA_ti!D$47*TA_ti!$BD7=0,10000,TA_ti!D7*TA_ti!D$47*TA_ti!$BD7)</f>
        <v>10000</v>
      </c>
      <c r="E7" s="4">
        <f>+IF(TA_ti!E7*TA_ti!E$47*TA_ti!$BD7=0,10000,TA_ti!E7*TA_ti!E$47*TA_ti!$BD7)</f>
        <v>10000</v>
      </c>
      <c r="F7" s="4">
        <f>+IF(TA_ti!F7*TA_ti!F$47*TA_ti!$BD7=0,10000,TA_ti!F7*TA_ti!F$47*TA_ti!$BD7)</f>
        <v>10000</v>
      </c>
      <c r="G7" s="4">
        <f>+IF(TA_ti!G7*TA_ti!G$47*TA_ti!$BD7=0,10000,TA_ti!G7*TA_ti!G$47*TA_ti!$BD7)</f>
        <v>10000</v>
      </c>
      <c r="H7" s="4">
        <f>+IF(TA_ti!H7*TA_ti!H$47*TA_ti!$BD7=0,10000,TA_ti!H7*TA_ti!H$47*TA_ti!$BD7)</f>
        <v>15</v>
      </c>
      <c r="I7" s="4">
        <f>+IF(TA_ti!I7*TA_ti!I$47*TA_ti!$BD7=0,10000,TA_ti!I7*TA_ti!I$47*TA_ti!$BD7)</f>
        <v>15</v>
      </c>
      <c r="J7" s="4">
        <f>+IF(TA_ti!J7*TA_ti!J$47*TA_ti!$BD7=0,10000,TA_ti!J7*TA_ti!J$47*TA_ti!$BD7)</f>
        <v>15</v>
      </c>
      <c r="K7" s="4">
        <f>+IF(TA_ti!K7*TA_ti!K$47*TA_ti!$BD7=0,10000,TA_ti!K7*TA_ti!K$47*TA_ti!$BD7)</f>
        <v>10000</v>
      </c>
      <c r="L7" s="4">
        <f>+IF(TA_ti!L7*TA_ti!L$47*TA_ti!$BD7=0,10000,TA_ti!L7*TA_ti!L$47*TA_ti!$BD7)</f>
        <v>12</v>
      </c>
      <c r="M7" s="4">
        <f>+IF(TA_ti!M7*TA_ti!M$47*TA_ti!$BD7=0,10000,TA_ti!M7*TA_ti!M$47*TA_ti!$BD7)</f>
        <v>12</v>
      </c>
      <c r="N7" s="4">
        <f>+IF(TA_ti!N7*TA_ti!N$47*TA_ti!$BD7=0,10000,TA_ti!N7*TA_ti!N$47*TA_ti!$BD7)</f>
        <v>15</v>
      </c>
      <c r="O7" s="4">
        <f>+IF(TA_ti!O7*TA_ti!O$47*TA_ti!$BD7=0,10000,TA_ti!O7*TA_ti!O$47*TA_ti!$BD7)</f>
        <v>10000</v>
      </c>
      <c r="P7" s="4">
        <f>+IF(TA_ti!P7*TA_ti!P$47*TA_ti!$BD7=0,10000,TA_ti!P7*TA_ti!P$47*TA_ti!$BD7)</f>
        <v>10000</v>
      </c>
      <c r="Q7" s="4">
        <f>+IF(TA_ti!Q7*TA_ti!Q$47*TA_ti!$BD7=0,10000,TA_ti!Q7*TA_ti!Q$47*TA_ti!$BD7)</f>
        <v>10000</v>
      </c>
      <c r="R7" s="4">
        <f>+IF(TA_ti!R7*TA_ti!R$47*TA_ti!$BD7=0,10000,TA_ti!R7*TA_ti!R$47*TA_ti!$BD7)</f>
        <v>15</v>
      </c>
      <c r="S7" s="4">
        <f>+IF(TA_ti!S7*TA_ti!S$47*TA_ti!$BD7=0,10000,TA_ti!S7*TA_ti!S$47*TA_ti!$BD7)</f>
        <v>10000</v>
      </c>
      <c r="T7" s="4">
        <f>+IF(TA_ti!T7*TA_ti!T$47*TA_ti!$BD7=0,10000,TA_ti!T7*TA_ti!T$47*TA_ti!$BD7)</f>
        <v>10000</v>
      </c>
      <c r="U7" s="4">
        <f>+IF(TA_ti!U7*TA_ti!U$47*TA_ti!$BD7=0,10000,TA_ti!U7*TA_ti!U$47*TA_ti!$BD7)</f>
        <v>10000</v>
      </c>
      <c r="V7" s="4">
        <f>+IF(TA_ti!V7*TA_ti!V$47*TA_ti!$BD7=0,10000,TA_ti!V7*TA_ti!V$47*TA_ti!$BD7)</f>
        <v>10000</v>
      </c>
      <c r="W7" s="4">
        <f>+IF(TA_ti!W7*TA_ti!W$47*TA_ti!$BD7=0,10000,TA_ti!W7*TA_ti!W$47*TA_ti!$BD7)</f>
        <v>10000</v>
      </c>
      <c r="X7" s="4">
        <f>+IF(TA_ti!X7*TA_ti!X$47*TA_ti!$BD7=0,10000,TA_ti!X7*TA_ti!X$47*TA_ti!$BD7)</f>
        <v>10000</v>
      </c>
      <c r="Y7" s="4">
        <f>+IF(TA_ti!Y7*TA_ti!Y$47*TA_ti!$BD7=0,10000,TA_ti!Y7*TA_ti!Y$47*TA_ti!$BD7)</f>
        <v>10000</v>
      </c>
      <c r="Z7" s="4">
        <f>+IF(TA_ti!Z7*TA_ti!Z$47*TA_ti!$BD7=0,10000,TA_ti!Z7*TA_ti!Z$47*TA_ti!$BD7)</f>
        <v>10000</v>
      </c>
      <c r="AA7" s="4">
        <f>+IF(TA_ti!AA7*TA_ti!AA$47*TA_ti!$BD7=0,10000,TA_ti!AA7*TA_ti!AA$47*TA_ti!$BD7)</f>
        <v>10000</v>
      </c>
      <c r="AB7" s="4">
        <f>+IF(TA_ti!AB7*TA_ti!AB$47*TA_ti!$BD7=0,10000,TA_ti!AB7*TA_ti!AB$47*TA_ti!$BD7)</f>
        <v>10000</v>
      </c>
      <c r="AC7" s="4">
        <f>+IF(TA_ti!AC7*TA_ti!AC$47*TA_ti!$BD7=0,10000,TA_ti!AC7*TA_ti!AC$47*TA_ti!$BD7)</f>
        <v>10000</v>
      </c>
      <c r="AD7" s="4">
        <f>+IF(TA_ti!AD7*TA_ti!AD$47*TA_ti!$BD7=0,10000,TA_ti!AD7*TA_ti!AD$47*TA_ti!$BD7)</f>
        <v>10000</v>
      </c>
      <c r="AE7" s="4">
        <f>+IF(TA_ti!AE7*TA_ti!AE$47*TA_ti!$BD7=0,10000,TA_ti!AE7*TA_ti!AE$47*TA_ti!$BD7)</f>
        <v>10000</v>
      </c>
      <c r="AF7" s="4">
        <f>+IF(TA_ti!AF7*TA_ti!AF$47*TA_ti!$BD7=0,10000,TA_ti!AF7*TA_ti!AF$47*TA_ti!$BD7)</f>
        <v>10000</v>
      </c>
      <c r="AG7" s="4">
        <f>+IF(TA_ti!AG7*TA_ti!AG$47*TA_ti!$BD7=0,10000,TA_ti!AG7*TA_ti!AG$47*TA_ti!$BD7)</f>
        <v>10000</v>
      </c>
      <c r="AH7" s="4">
        <f>+IF(TA_ti!AH7*TA_ti!AH$47*TA_ti!$BD7=0,10000,TA_ti!AH7*TA_ti!AH$47*TA_ti!$BD7)</f>
        <v>10000</v>
      </c>
      <c r="AI7" s="4">
        <f>+IF(TA_ti!AI7*TA_ti!AI$47*TA_ti!$BD7=0,10000,TA_ti!AI7*TA_ti!AI$47*TA_ti!$BD7)</f>
        <v>10000</v>
      </c>
      <c r="AJ7" s="4">
        <f>+IF(TA_ti!AJ7*TA_ti!AJ$47*TA_ti!$BD7=0,10000,TA_ti!AJ7*TA_ti!AJ$47*TA_ti!$BD7)</f>
        <v>10000</v>
      </c>
      <c r="AK7" s="4">
        <f>+IF(TA_ti!AK7*TA_ti!AK$47*TA_ti!$BD7=0,10000,TA_ti!AK7*TA_ti!AK$47*TA_ti!$BD7)</f>
        <v>10000</v>
      </c>
      <c r="AL7" s="4">
        <f>+IF(TA_ti!AL7*TA_ti!AL$47*TA_ti!$BD7=0,10000,TA_ti!AL7*TA_ti!AL$47*TA_ti!$BD7)</f>
        <v>12</v>
      </c>
      <c r="AM7" s="4">
        <f>+IF(TA_ti!AM7*TA_ti!AM$47*TA_ti!$BD7=0,10000,TA_ti!AM7*TA_ti!AM$47*TA_ti!$BD7)</f>
        <v>10000</v>
      </c>
      <c r="AN7" s="4">
        <f>+IF(TA_ti!AN7*TA_ti!AN$47*TA_ti!$BD7=0,10000,TA_ti!AN7*TA_ti!AN$47*TA_ti!$BD7)</f>
        <v>10000</v>
      </c>
      <c r="AO7" s="4">
        <f>+IF(TA_ti!AO7*TA_ti!AO$47*TA_ti!$BD7=0,10000,TA_ti!AO7*TA_ti!AO$47*TA_ti!$BD7)</f>
        <v>10000</v>
      </c>
      <c r="AP7" s="4">
        <f>+IF(TA_ti!AP7*TA_ti!AP$47*TA_ti!$BD7=0,10000,TA_ti!AP7*TA_ti!AP$47*TA_ti!$BD7)</f>
        <v>10000</v>
      </c>
      <c r="AQ7" s="4">
        <f>+IF(TA_ti!AQ7*TA_ti!AQ$47*TA_ti!$BD7=0,10000,TA_ti!AQ7*TA_ti!AQ$47*TA_ti!$BD7)</f>
        <v>25</v>
      </c>
      <c r="AR7" s="4">
        <f>+IF(TA_ti!AR7*TA_ti!AR$47*TA_ti!$BD7=0,10000,TA_ti!AR7*TA_ti!AR$47*TA_ti!$BD7)</f>
        <v>10000</v>
      </c>
      <c r="AS7" s="4">
        <f>+IF(TA_ti!AS7*TA_ti!AS$47*TA_ti!$BD7=0,10000,TA_ti!AS7*TA_ti!AS$47*TA_ti!$BD7)</f>
        <v>10000</v>
      </c>
      <c r="AT7" s="4">
        <f>+IF(TA_ti!AT7*TA_ti!AT$47*TA_ti!$BD7=0,10000,TA_ti!AT7*TA_ti!AT$47*TA_ti!$BD7)</f>
        <v>10000</v>
      </c>
      <c r="AU7" s="4">
        <f>+IF(TA_ti!AU7*TA_ti!AU$47*TA_ti!$BD7=0,10000,TA_ti!AU7*TA_ti!AU$47*TA_ti!$BD7)</f>
        <v>10000</v>
      </c>
      <c r="AV7" s="4">
        <f>+IF(TA_ti!AV7*TA_ti!AV$47*TA_ti!$BD7=0,10000,TA_ti!AV7*TA_ti!AV$47*TA_ti!$BD7)</f>
        <v>10000</v>
      </c>
      <c r="AW7" s="4">
        <f>+IF(TA_ti!AW7*TA_ti!AW$47*TA_ti!$BD7=0,10000,TA_ti!AW7*TA_ti!AW$47*TA_ti!$BD7)</f>
        <v>10000</v>
      </c>
      <c r="AX7" s="4">
        <f>+IF(TA_ti!AX7*TA_ti!AX$47*TA_ti!$BD7=0,10000,TA_ti!AX7*TA_ti!AX$47*TA_ti!$BD7)</f>
        <v>15</v>
      </c>
      <c r="AY7" s="4">
        <f>+IF(TA_ti!AY7*TA_ti!AY$47*TA_ti!$BD7=0,10000,TA_ti!AY7*TA_ti!AY$47*TA_ti!$BD7)</f>
        <v>10000</v>
      </c>
      <c r="AZ7" s="4">
        <f>+IF(TA_ti!AZ7*TA_ti!AZ$47*TA_ti!$BD7=0,10000,TA_ti!AZ7*TA_ti!AZ$47*TA_ti!$BD7)</f>
        <v>10000</v>
      </c>
      <c r="BA7" s="4">
        <f>+IF(TA_ti!BA7*TA_ti!BA$47*TA_ti!$BD7=0,10000,TA_ti!BA7*TA_ti!BA$47*TA_ti!$BD7)</f>
        <v>10000</v>
      </c>
      <c r="BB7" s="4">
        <f>+IF(TA_ti!BB7*TA_ti!BB$47*TA_ti!$BD7=0,10000,TA_ti!BB7*TA_ti!BB$47*TA_ti!$BD7)</f>
        <v>10000</v>
      </c>
      <c r="BC7" s="4">
        <f>+IF(TA_ti!BC7*TA_ti!BC$47*TA_ti!$BD7=0,10000,TA_ti!BC7*TA_ti!BC$47*TA_ti!$BD7)</f>
        <v>10000</v>
      </c>
    </row>
    <row r="8" spans="1:55" ht="18.75" customHeight="1" x14ac:dyDescent="0.25">
      <c r="A8" s="5" t="s">
        <v>59</v>
      </c>
      <c r="B8" s="4">
        <f>+IF(TA_ti!B8*TA_ti!B$47*TA_ti!$BD8=0,10000,TA_ti!B8*TA_ti!B$47*TA_ti!$BD8)</f>
        <v>10000</v>
      </c>
      <c r="C8" s="4">
        <f>+IF(TA_ti!C8*TA_ti!C$47*TA_ti!$BD8=0,10000,TA_ti!C8*TA_ti!C$47*TA_ti!$BD8)</f>
        <v>10000</v>
      </c>
      <c r="D8" s="4">
        <f>+IF(TA_ti!D8*TA_ti!D$47*TA_ti!$BD8=0,10000,TA_ti!D8*TA_ti!D$47*TA_ti!$BD8)</f>
        <v>10000</v>
      </c>
      <c r="E8" s="4">
        <f>+IF(TA_ti!E8*TA_ti!E$47*TA_ti!$BD8=0,10000,TA_ti!E8*TA_ti!E$47*TA_ti!$BD8)</f>
        <v>10000</v>
      </c>
      <c r="F8" s="4">
        <f>+IF(TA_ti!F8*TA_ti!F$47*TA_ti!$BD8=0,10000,TA_ti!F8*TA_ti!F$47*TA_ti!$BD8)</f>
        <v>10000</v>
      </c>
      <c r="G8" s="4">
        <f>+IF(TA_ti!G8*TA_ti!G$47*TA_ti!$BD8=0,10000,TA_ti!G8*TA_ti!G$47*TA_ti!$BD8)</f>
        <v>10000</v>
      </c>
      <c r="H8" s="4">
        <f>+IF(TA_ti!H8*TA_ti!H$47*TA_ti!$BD8=0,10000,TA_ti!H8*TA_ti!H$47*TA_ti!$BD8)</f>
        <v>10000</v>
      </c>
      <c r="I8" s="4">
        <f>+IF(TA_ti!I8*TA_ti!I$47*TA_ti!$BD8=0,10000,TA_ti!I8*TA_ti!I$47*TA_ti!$BD8)</f>
        <v>10000</v>
      </c>
      <c r="J8" s="4">
        <f>+IF(TA_ti!J8*TA_ti!J$47*TA_ti!$BD8=0,10000,TA_ti!J8*TA_ti!J$47*TA_ti!$BD8)</f>
        <v>15</v>
      </c>
      <c r="K8" s="4">
        <f>+IF(TA_ti!K8*TA_ti!K$47*TA_ti!$BD8=0,10000,TA_ti!K8*TA_ti!K$47*TA_ti!$BD8)</f>
        <v>10000</v>
      </c>
      <c r="L8" s="4">
        <f>+IF(TA_ti!L8*TA_ti!L$47*TA_ti!$BD8=0,10000,TA_ti!L8*TA_ti!L$47*TA_ti!$BD8)</f>
        <v>12</v>
      </c>
      <c r="M8" s="4">
        <f>+IF(TA_ti!M8*TA_ti!M$47*TA_ti!$BD8=0,10000,TA_ti!M8*TA_ti!M$47*TA_ti!$BD8)</f>
        <v>12</v>
      </c>
      <c r="N8" s="4">
        <f>+IF(TA_ti!N8*TA_ti!N$47*TA_ti!$BD8=0,10000,TA_ti!N8*TA_ti!N$47*TA_ti!$BD8)</f>
        <v>15</v>
      </c>
      <c r="O8" s="4">
        <f>+IF(TA_ti!O8*TA_ti!O$47*TA_ti!$BD8=0,10000,TA_ti!O8*TA_ti!O$47*TA_ti!$BD8)</f>
        <v>10000</v>
      </c>
      <c r="P8" s="4">
        <f>+IF(TA_ti!P8*TA_ti!P$47*TA_ti!$BD8=0,10000,TA_ti!P8*TA_ti!P$47*TA_ti!$BD8)</f>
        <v>10000</v>
      </c>
      <c r="Q8" s="4">
        <f>+IF(TA_ti!Q8*TA_ti!Q$47*TA_ti!$BD8=0,10000,TA_ti!Q8*TA_ti!Q$47*TA_ti!$BD8)</f>
        <v>10000</v>
      </c>
      <c r="R8" s="4">
        <f>+IF(TA_ti!R8*TA_ti!R$47*TA_ti!$BD8=0,10000,TA_ti!R8*TA_ti!R$47*TA_ti!$BD8)</f>
        <v>15</v>
      </c>
      <c r="S8" s="4">
        <f>+IF(TA_ti!S8*TA_ti!S$47*TA_ti!$BD8=0,10000,TA_ti!S8*TA_ti!S$47*TA_ti!$BD8)</f>
        <v>10000</v>
      </c>
      <c r="T8" s="4">
        <f>+IF(TA_ti!T8*TA_ti!T$47*TA_ti!$BD8=0,10000,TA_ti!T8*TA_ti!T$47*TA_ti!$BD8)</f>
        <v>10000</v>
      </c>
      <c r="U8" s="4">
        <f>+IF(TA_ti!U8*TA_ti!U$47*TA_ti!$BD8=0,10000,TA_ti!U8*TA_ti!U$47*TA_ti!$BD8)</f>
        <v>10000</v>
      </c>
      <c r="V8" s="4">
        <f>+IF(TA_ti!V8*TA_ti!V$47*TA_ti!$BD8=0,10000,TA_ti!V8*TA_ti!V$47*TA_ti!$BD8)</f>
        <v>10000</v>
      </c>
      <c r="W8" s="4">
        <f>+IF(TA_ti!W8*TA_ti!W$47*TA_ti!$BD8=0,10000,TA_ti!W8*TA_ti!W$47*TA_ti!$BD8)</f>
        <v>10000</v>
      </c>
      <c r="X8" s="4">
        <f>+IF(TA_ti!X8*TA_ti!X$47*TA_ti!$BD8=0,10000,TA_ti!X8*TA_ti!X$47*TA_ti!$BD8)</f>
        <v>10000</v>
      </c>
      <c r="Y8" s="4">
        <f>+IF(TA_ti!Y8*TA_ti!Y$47*TA_ti!$BD8=0,10000,TA_ti!Y8*TA_ti!Y$47*TA_ti!$BD8)</f>
        <v>10000</v>
      </c>
      <c r="Z8" s="4">
        <f>+IF(TA_ti!Z8*TA_ti!Z$47*TA_ti!$BD8=0,10000,TA_ti!Z8*TA_ti!Z$47*TA_ti!$BD8)</f>
        <v>10000</v>
      </c>
      <c r="AA8" s="4">
        <f>+IF(TA_ti!AA8*TA_ti!AA$47*TA_ti!$BD8=0,10000,TA_ti!AA8*TA_ti!AA$47*TA_ti!$BD8)</f>
        <v>10000</v>
      </c>
      <c r="AB8" s="4">
        <f>+IF(TA_ti!AB8*TA_ti!AB$47*TA_ti!$BD8=0,10000,TA_ti!AB8*TA_ti!AB$47*TA_ti!$BD8)</f>
        <v>10000</v>
      </c>
      <c r="AC8" s="4">
        <f>+IF(TA_ti!AC8*TA_ti!AC$47*TA_ti!$BD8=0,10000,TA_ti!AC8*TA_ti!AC$47*TA_ti!$BD8)</f>
        <v>10000</v>
      </c>
      <c r="AD8" s="4">
        <f>+IF(TA_ti!AD8*TA_ti!AD$47*TA_ti!$BD8=0,10000,TA_ti!AD8*TA_ti!AD$47*TA_ti!$BD8)</f>
        <v>10000</v>
      </c>
      <c r="AE8" s="4">
        <f>+IF(TA_ti!AE8*TA_ti!AE$47*TA_ti!$BD8=0,10000,TA_ti!AE8*TA_ti!AE$47*TA_ti!$BD8)</f>
        <v>10000</v>
      </c>
      <c r="AF8" s="4">
        <f>+IF(TA_ti!AF8*TA_ti!AF$47*TA_ti!$BD8=0,10000,TA_ti!AF8*TA_ti!AF$47*TA_ti!$BD8)</f>
        <v>10000</v>
      </c>
      <c r="AG8" s="4">
        <f>+IF(TA_ti!AG8*TA_ti!AG$47*TA_ti!$BD8=0,10000,TA_ti!AG8*TA_ti!AG$47*TA_ti!$BD8)</f>
        <v>10000</v>
      </c>
      <c r="AH8" s="4">
        <f>+IF(TA_ti!AH8*TA_ti!AH$47*TA_ti!$BD8=0,10000,TA_ti!AH8*TA_ti!AH$47*TA_ti!$BD8)</f>
        <v>10000</v>
      </c>
      <c r="AI8" s="4">
        <f>+IF(TA_ti!AI8*TA_ti!AI$47*TA_ti!$BD8=0,10000,TA_ti!AI8*TA_ti!AI$47*TA_ti!$BD8)</f>
        <v>10000</v>
      </c>
      <c r="AJ8" s="4">
        <f>+IF(TA_ti!AJ8*TA_ti!AJ$47*TA_ti!$BD8=0,10000,TA_ti!AJ8*TA_ti!AJ$47*TA_ti!$BD8)</f>
        <v>10000</v>
      </c>
      <c r="AK8" s="4">
        <f>+IF(TA_ti!AK8*TA_ti!AK$47*TA_ti!$BD8=0,10000,TA_ti!AK8*TA_ti!AK$47*TA_ti!$BD8)</f>
        <v>10000</v>
      </c>
      <c r="AL8" s="4">
        <f>+IF(TA_ti!AL8*TA_ti!AL$47*TA_ti!$BD8=0,10000,TA_ti!AL8*TA_ti!AL$47*TA_ti!$BD8)</f>
        <v>10000</v>
      </c>
      <c r="AM8" s="4">
        <f>+IF(TA_ti!AM8*TA_ti!AM$47*TA_ti!$BD8=0,10000,TA_ti!AM8*TA_ti!AM$47*TA_ti!$BD8)</f>
        <v>10000</v>
      </c>
      <c r="AN8" s="4">
        <f>+IF(TA_ti!AN8*TA_ti!AN$47*TA_ti!$BD8=0,10000,TA_ti!AN8*TA_ti!AN$47*TA_ti!$BD8)</f>
        <v>10000</v>
      </c>
      <c r="AO8" s="4">
        <f>+IF(TA_ti!AO8*TA_ti!AO$47*TA_ti!$BD8=0,10000,TA_ti!AO8*TA_ti!AO$47*TA_ti!$BD8)</f>
        <v>10000</v>
      </c>
      <c r="AP8" s="4">
        <f>+IF(TA_ti!AP8*TA_ti!AP$47*TA_ti!$BD8=0,10000,TA_ti!AP8*TA_ti!AP$47*TA_ti!$BD8)</f>
        <v>10000</v>
      </c>
      <c r="AQ8" s="4">
        <f>+IF(TA_ti!AQ8*TA_ti!AQ$47*TA_ti!$BD8=0,10000,TA_ti!AQ8*TA_ti!AQ$47*TA_ti!$BD8)</f>
        <v>25</v>
      </c>
      <c r="AR8" s="4">
        <f>+IF(TA_ti!AR8*TA_ti!AR$47*TA_ti!$BD8=0,10000,TA_ti!AR8*TA_ti!AR$47*TA_ti!$BD8)</f>
        <v>10000</v>
      </c>
      <c r="AS8" s="4">
        <f>+IF(TA_ti!AS8*TA_ti!AS$47*TA_ti!$BD8=0,10000,TA_ti!AS8*TA_ti!AS$47*TA_ti!$BD8)</f>
        <v>10000</v>
      </c>
      <c r="AT8" s="4">
        <f>+IF(TA_ti!AT8*TA_ti!AT$47*TA_ti!$BD8=0,10000,TA_ti!AT8*TA_ti!AT$47*TA_ti!$BD8)</f>
        <v>10000</v>
      </c>
      <c r="AU8" s="4">
        <f>+IF(TA_ti!AU8*TA_ti!AU$47*TA_ti!$BD8=0,10000,TA_ti!AU8*TA_ti!AU$47*TA_ti!$BD8)</f>
        <v>10000</v>
      </c>
      <c r="AV8" s="4">
        <f>+IF(TA_ti!AV8*TA_ti!AV$47*TA_ti!$BD8=0,10000,TA_ti!AV8*TA_ti!AV$47*TA_ti!$BD8)</f>
        <v>10000</v>
      </c>
      <c r="AW8" s="4">
        <f>+IF(TA_ti!AW8*TA_ti!AW$47*TA_ti!$BD8=0,10000,TA_ti!AW8*TA_ti!AW$47*TA_ti!$BD8)</f>
        <v>10000</v>
      </c>
      <c r="AX8" s="4">
        <f>+IF(TA_ti!AX8*TA_ti!AX$47*TA_ti!$BD8=0,10000,TA_ti!AX8*TA_ti!AX$47*TA_ti!$BD8)</f>
        <v>15</v>
      </c>
      <c r="AY8" s="4">
        <f>+IF(TA_ti!AY8*TA_ti!AY$47*TA_ti!$BD8=0,10000,TA_ti!AY8*TA_ti!AY$47*TA_ti!$BD8)</f>
        <v>10000</v>
      </c>
      <c r="AZ8" s="4">
        <f>+IF(TA_ti!AZ8*TA_ti!AZ$47*TA_ti!$BD8=0,10000,TA_ti!AZ8*TA_ti!AZ$47*TA_ti!$BD8)</f>
        <v>10000</v>
      </c>
      <c r="BA8" s="4">
        <f>+IF(TA_ti!BA8*TA_ti!BA$47*TA_ti!$BD8=0,10000,TA_ti!BA8*TA_ti!BA$47*TA_ti!$BD8)</f>
        <v>10000</v>
      </c>
      <c r="BB8" s="4">
        <f>+IF(TA_ti!BB8*TA_ti!BB$47*TA_ti!$BD8=0,10000,TA_ti!BB8*TA_ti!BB$47*TA_ti!$BD8)</f>
        <v>10000</v>
      </c>
      <c r="BC8" s="4">
        <f>+IF(TA_ti!BC8*TA_ti!BC$47*TA_ti!$BD8=0,10000,TA_ti!BC8*TA_ti!BC$47*TA_ti!$BD8)</f>
        <v>10000</v>
      </c>
    </row>
    <row r="9" spans="1:55" ht="18.75" customHeight="1" x14ac:dyDescent="0.25">
      <c r="A9" s="5" t="s">
        <v>60</v>
      </c>
      <c r="B9" s="4">
        <f>+IF(TA_ti!B9*TA_ti!B$47*TA_ti!$BD9=0,10000,TA_ti!B9*TA_ti!B$47*TA_ti!$BD9)</f>
        <v>10000</v>
      </c>
      <c r="C9" s="4">
        <f>+IF(TA_ti!C9*TA_ti!C$47*TA_ti!$BD9=0,10000,TA_ti!C9*TA_ti!C$47*TA_ti!$BD9)</f>
        <v>10000</v>
      </c>
      <c r="D9" s="4">
        <f>+IF(TA_ti!D9*TA_ti!D$47*TA_ti!$BD9=0,10000,TA_ti!D9*TA_ti!D$47*TA_ti!$BD9)</f>
        <v>10000</v>
      </c>
      <c r="E9" s="4">
        <f>+IF(TA_ti!E9*TA_ti!E$47*TA_ti!$BD9=0,10000,TA_ti!E9*TA_ti!E$47*TA_ti!$BD9)</f>
        <v>15</v>
      </c>
      <c r="F9" s="4">
        <f>+IF(TA_ti!F9*TA_ti!F$47*TA_ti!$BD9=0,10000,TA_ti!F9*TA_ti!F$47*TA_ti!$BD9)</f>
        <v>10000</v>
      </c>
      <c r="G9" s="4">
        <f>+IF(TA_ti!G9*TA_ti!G$47*TA_ti!$BD9=0,10000,TA_ti!G9*TA_ti!G$47*TA_ti!$BD9)</f>
        <v>10000</v>
      </c>
      <c r="H9" s="4">
        <f>+IF(TA_ti!H9*TA_ti!H$47*TA_ti!$BD9=0,10000,TA_ti!H9*TA_ti!H$47*TA_ti!$BD9)</f>
        <v>10000</v>
      </c>
      <c r="I9" s="4">
        <f>+IF(TA_ti!I9*TA_ti!I$47*TA_ti!$BD9=0,10000,TA_ti!I9*TA_ti!I$47*TA_ti!$BD9)</f>
        <v>10000</v>
      </c>
      <c r="J9" s="4">
        <f>+IF(TA_ti!J9*TA_ti!J$47*TA_ti!$BD9=0,10000,TA_ti!J9*TA_ti!J$47*TA_ti!$BD9)</f>
        <v>15</v>
      </c>
      <c r="K9" s="4">
        <f>+IF(TA_ti!K9*TA_ti!K$47*TA_ti!$BD9=0,10000,TA_ti!K9*TA_ti!K$47*TA_ti!$BD9)</f>
        <v>10000</v>
      </c>
      <c r="L9" s="4">
        <f>+IF(TA_ti!L9*TA_ti!L$47*TA_ti!$BD9=0,10000,TA_ti!L9*TA_ti!L$47*TA_ti!$BD9)</f>
        <v>12</v>
      </c>
      <c r="M9" s="4">
        <f>+IF(TA_ti!M9*TA_ti!M$47*TA_ti!$BD9=0,10000,TA_ti!M9*TA_ti!M$47*TA_ti!$BD9)</f>
        <v>12</v>
      </c>
      <c r="N9" s="4">
        <f>+IF(TA_ti!N9*TA_ti!N$47*TA_ti!$BD9=0,10000,TA_ti!N9*TA_ti!N$47*TA_ti!$BD9)</f>
        <v>15</v>
      </c>
      <c r="O9" s="4">
        <f>+IF(TA_ti!O9*TA_ti!O$47*TA_ti!$BD9=0,10000,TA_ti!O9*TA_ti!O$47*TA_ti!$BD9)</f>
        <v>10000</v>
      </c>
      <c r="P9" s="4">
        <f>+IF(TA_ti!P9*TA_ti!P$47*TA_ti!$BD9=0,10000,TA_ti!P9*TA_ti!P$47*TA_ti!$BD9)</f>
        <v>10000</v>
      </c>
      <c r="Q9" s="4">
        <f>+IF(TA_ti!Q9*TA_ti!Q$47*TA_ti!$BD9=0,10000,TA_ti!Q9*TA_ti!Q$47*TA_ti!$BD9)</f>
        <v>10000</v>
      </c>
      <c r="R9" s="4">
        <f>+IF(TA_ti!R9*TA_ti!R$47*TA_ti!$BD9=0,10000,TA_ti!R9*TA_ti!R$47*TA_ti!$BD9)</f>
        <v>15</v>
      </c>
      <c r="S9" s="4">
        <f>+IF(TA_ti!S9*TA_ti!S$47*TA_ti!$BD9=0,10000,TA_ti!S9*TA_ti!S$47*TA_ti!$BD9)</f>
        <v>10000</v>
      </c>
      <c r="T9" s="4">
        <f>+IF(TA_ti!T9*TA_ti!T$47*TA_ti!$BD9=0,10000,TA_ti!T9*TA_ti!T$47*TA_ti!$BD9)</f>
        <v>10000</v>
      </c>
      <c r="U9" s="4">
        <f>+IF(TA_ti!U9*TA_ti!U$47*TA_ti!$BD9=0,10000,TA_ti!U9*TA_ti!U$47*TA_ti!$BD9)</f>
        <v>10000</v>
      </c>
      <c r="V9" s="4">
        <f>+IF(TA_ti!V9*TA_ti!V$47*TA_ti!$BD9=0,10000,TA_ti!V9*TA_ti!V$47*TA_ti!$BD9)</f>
        <v>10000</v>
      </c>
      <c r="W9" s="4">
        <f>+IF(TA_ti!W9*TA_ti!W$47*TA_ti!$BD9=0,10000,TA_ti!W9*TA_ti!W$47*TA_ti!$BD9)</f>
        <v>10000</v>
      </c>
      <c r="X9" s="4">
        <f>+IF(TA_ti!X9*TA_ti!X$47*TA_ti!$BD9=0,10000,TA_ti!X9*TA_ti!X$47*TA_ti!$BD9)</f>
        <v>10000</v>
      </c>
      <c r="Y9" s="4">
        <f>+IF(TA_ti!Y9*TA_ti!Y$47*TA_ti!$BD9=0,10000,TA_ti!Y9*TA_ti!Y$47*TA_ti!$BD9)</f>
        <v>10000</v>
      </c>
      <c r="Z9" s="4">
        <f>+IF(TA_ti!Z9*TA_ti!Z$47*TA_ti!$BD9=0,10000,TA_ti!Z9*TA_ti!Z$47*TA_ti!$BD9)</f>
        <v>10000</v>
      </c>
      <c r="AA9" s="4">
        <f>+IF(TA_ti!AA9*TA_ti!AA$47*TA_ti!$BD9=0,10000,TA_ti!AA9*TA_ti!AA$47*TA_ti!$BD9)</f>
        <v>10000</v>
      </c>
      <c r="AB9" s="4">
        <f>+IF(TA_ti!AB9*TA_ti!AB$47*TA_ti!$BD9=0,10000,TA_ti!AB9*TA_ti!AB$47*TA_ti!$BD9)</f>
        <v>10000</v>
      </c>
      <c r="AC9" s="4">
        <f>+IF(TA_ti!AC9*TA_ti!AC$47*TA_ti!$BD9=0,10000,TA_ti!AC9*TA_ti!AC$47*TA_ti!$BD9)</f>
        <v>10000</v>
      </c>
      <c r="AD9" s="4">
        <f>+IF(TA_ti!AD9*TA_ti!AD$47*TA_ti!$BD9=0,10000,TA_ti!AD9*TA_ti!AD$47*TA_ti!$BD9)</f>
        <v>10000</v>
      </c>
      <c r="AE9" s="4">
        <f>+IF(TA_ti!AE9*TA_ti!AE$47*TA_ti!$BD9=0,10000,TA_ti!AE9*TA_ti!AE$47*TA_ti!$BD9)</f>
        <v>10000</v>
      </c>
      <c r="AF9" s="4">
        <f>+IF(TA_ti!AF9*TA_ti!AF$47*TA_ti!$BD9=0,10000,TA_ti!AF9*TA_ti!AF$47*TA_ti!$BD9)</f>
        <v>10000</v>
      </c>
      <c r="AG9" s="4">
        <f>+IF(TA_ti!AG9*TA_ti!AG$47*TA_ti!$BD9=0,10000,TA_ti!AG9*TA_ti!AG$47*TA_ti!$BD9)</f>
        <v>10000</v>
      </c>
      <c r="AH9" s="4">
        <f>+IF(TA_ti!AH9*TA_ti!AH$47*TA_ti!$BD9=0,10000,TA_ti!AH9*TA_ti!AH$47*TA_ti!$BD9)</f>
        <v>10000</v>
      </c>
      <c r="AI9" s="4">
        <f>+IF(TA_ti!AI9*TA_ti!AI$47*TA_ti!$BD9=0,10000,TA_ti!AI9*TA_ti!AI$47*TA_ti!$BD9)</f>
        <v>10000</v>
      </c>
      <c r="AJ9" s="4">
        <f>+IF(TA_ti!AJ9*TA_ti!AJ$47*TA_ti!$BD9=0,10000,TA_ti!AJ9*TA_ti!AJ$47*TA_ti!$BD9)</f>
        <v>10000</v>
      </c>
      <c r="AK9" s="4">
        <f>+IF(TA_ti!AK9*TA_ti!AK$47*TA_ti!$BD9=0,10000,TA_ti!AK9*TA_ti!AK$47*TA_ti!$BD9)</f>
        <v>10000</v>
      </c>
      <c r="AL9" s="4">
        <f>+IF(TA_ti!AL9*TA_ti!AL$47*TA_ti!$BD9=0,10000,TA_ti!AL9*TA_ti!AL$47*TA_ti!$BD9)</f>
        <v>12</v>
      </c>
      <c r="AM9" s="4">
        <f>+IF(TA_ti!AM9*TA_ti!AM$47*TA_ti!$BD9=0,10000,TA_ti!AM9*TA_ti!AM$47*TA_ti!$BD9)</f>
        <v>10000</v>
      </c>
      <c r="AN9" s="4">
        <f>+IF(TA_ti!AN9*TA_ti!AN$47*TA_ti!$BD9=0,10000,TA_ti!AN9*TA_ti!AN$47*TA_ti!$BD9)</f>
        <v>10000</v>
      </c>
      <c r="AO9" s="4">
        <f>+IF(TA_ti!AO9*TA_ti!AO$47*TA_ti!$BD9=0,10000,TA_ti!AO9*TA_ti!AO$47*TA_ti!$BD9)</f>
        <v>10000</v>
      </c>
      <c r="AP9" s="4">
        <f>+IF(TA_ti!AP9*TA_ti!AP$47*TA_ti!$BD9=0,10000,TA_ti!AP9*TA_ti!AP$47*TA_ti!$BD9)</f>
        <v>10000</v>
      </c>
      <c r="AQ9" s="4">
        <f>+IF(TA_ti!AQ9*TA_ti!AQ$47*TA_ti!$BD9=0,10000,TA_ti!AQ9*TA_ti!AQ$47*TA_ti!$BD9)</f>
        <v>25</v>
      </c>
      <c r="AR9" s="4">
        <f>+IF(TA_ti!AR9*TA_ti!AR$47*TA_ti!$BD9=0,10000,TA_ti!AR9*TA_ti!AR$47*TA_ti!$BD9)</f>
        <v>10000</v>
      </c>
      <c r="AS9" s="4">
        <f>+IF(TA_ti!AS9*TA_ti!AS$47*TA_ti!$BD9=0,10000,TA_ti!AS9*TA_ti!AS$47*TA_ti!$BD9)</f>
        <v>10000</v>
      </c>
      <c r="AT9" s="4">
        <f>+IF(TA_ti!AT9*TA_ti!AT$47*TA_ti!$BD9=0,10000,TA_ti!AT9*TA_ti!AT$47*TA_ti!$BD9)</f>
        <v>60</v>
      </c>
      <c r="AU9" s="4">
        <f>+IF(TA_ti!AU9*TA_ti!AU$47*TA_ti!$BD9=0,10000,TA_ti!AU9*TA_ti!AU$47*TA_ti!$BD9)</f>
        <v>10000</v>
      </c>
      <c r="AV9" s="4">
        <f>+IF(TA_ti!AV9*TA_ti!AV$47*TA_ti!$BD9=0,10000,TA_ti!AV9*TA_ti!AV$47*TA_ti!$BD9)</f>
        <v>10000</v>
      </c>
      <c r="AW9" s="4">
        <f>+IF(TA_ti!AW9*TA_ti!AW$47*TA_ti!$BD9=0,10000,TA_ti!AW9*TA_ti!AW$47*TA_ti!$BD9)</f>
        <v>10000</v>
      </c>
      <c r="AX9" s="4">
        <f>+IF(TA_ti!AX9*TA_ti!AX$47*TA_ti!$BD9=0,10000,TA_ti!AX9*TA_ti!AX$47*TA_ti!$BD9)</f>
        <v>15</v>
      </c>
      <c r="AY9" s="4">
        <f>+IF(TA_ti!AY9*TA_ti!AY$47*TA_ti!$BD9=0,10000,TA_ti!AY9*TA_ti!AY$47*TA_ti!$BD9)</f>
        <v>10000</v>
      </c>
      <c r="AZ9" s="4">
        <f>+IF(TA_ti!AZ9*TA_ti!AZ$47*TA_ti!$BD9=0,10000,TA_ti!AZ9*TA_ti!AZ$47*TA_ti!$BD9)</f>
        <v>10000</v>
      </c>
      <c r="BA9" s="4">
        <f>+IF(TA_ti!BA9*TA_ti!BA$47*TA_ti!$BD9=0,10000,TA_ti!BA9*TA_ti!BA$47*TA_ti!$BD9)</f>
        <v>10000</v>
      </c>
      <c r="BB9" s="4">
        <f>+IF(TA_ti!BB9*TA_ti!BB$47*TA_ti!$BD9=0,10000,TA_ti!BB9*TA_ti!BB$47*TA_ti!$BD9)</f>
        <v>10000</v>
      </c>
      <c r="BC9" s="4">
        <f>+IF(TA_ti!BC9*TA_ti!BC$47*TA_ti!$BD9=0,10000,TA_ti!BC9*TA_ti!BC$47*TA_ti!$BD9)</f>
        <v>10000</v>
      </c>
    </row>
    <row r="10" spans="1:55" ht="18.75" customHeight="1" x14ac:dyDescent="0.25">
      <c r="A10" s="5" t="s">
        <v>61</v>
      </c>
      <c r="B10" s="4">
        <f>+IF(TA_ti!B10*TA_ti!B$47*TA_ti!$BD10=0,10000,TA_ti!B10*TA_ti!B$47*TA_ti!$BD10)</f>
        <v>10000</v>
      </c>
      <c r="C10" s="4">
        <f>+IF(TA_ti!C10*TA_ti!C$47*TA_ti!$BD10=0,10000,TA_ti!C10*TA_ti!C$47*TA_ti!$BD10)</f>
        <v>10000</v>
      </c>
      <c r="D10" s="4">
        <f>+IF(TA_ti!D10*TA_ti!D$47*TA_ti!$BD10=0,10000,TA_ti!D10*TA_ti!D$47*TA_ti!$BD10)</f>
        <v>15</v>
      </c>
      <c r="E10" s="4">
        <f>+IF(TA_ti!E10*TA_ti!E$47*TA_ti!$BD10=0,10000,TA_ti!E10*TA_ti!E$47*TA_ti!$BD10)</f>
        <v>10000</v>
      </c>
      <c r="F10" s="4">
        <f>+IF(TA_ti!F10*TA_ti!F$47*TA_ti!$BD10=0,10000,TA_ti!F10*TA_ti!F$47*TA_ti!$BD10)</f>
        <v>10000</v>
      </c>
      <c r="G10" s="4">
        <f>+IF(TA_ti!G10*TA_ti!G$47*TA_ti!$BD10=0,10000,TA_ti!G10*TA_ti!G$47*TA_ti!$BD10)</f>
        <v>10000</v>
      </c>
      <c r="H10" s="4">
        <f>+IF(TA_ti!H10*TA_ti!H$47*TA_ti!$BD10=0,10000,TA_ti!H10*TA_ti!H$47*TA_ti!$BD10)</f>
        <v>10000</v>
      </c>
      <c r="I10" s="4">
        <f>+IF(TA_ti!I10*TA_ti!I$47*TA_ti!$BD10=0,10000,TA_ti!I10*TA_ti!I$47*TA_ti!$BD10)</f>
        <v>10000</v>
      </c>
      <c r="J10" s="4">
        <f>+IF(TA_ti!J10*TA_ti!J$47*TA_ti!$BD10=0,10000,TA_ti!J10*TA_ti!J$47*TA_ti!$BD10)</f>
        <v>15</v>
      </c>
      <c r="K10" s="4">
        <f>+IF(TA_ti!K10*TA_ti!K$47*TA_ti!$BD10=0,10000,TA_ti!K10*TA_ti!K$47*TA_ti!$BD10)</f>
        <v>10000</v>
      </c>
      <c r="L10" s="4">
        <f>+IF(TA_ti!L10*TA_ti!L$47*TA_ti!$BD10=0,10000,TA_ti!L10*TA_ti!L$47*TA_ti!$BD10)</f>
        <v>12</v>
      </c>
      <c r="M10" s="4">
        <f>+IF(TA_ti!M10*TA_ti!M$47*TA_ti!$BD10=0,10000,TA_ti!M10*TA_ti!M$47*TA_ti!$BD10)</f>
        <v>12</v>
      </c>
      <c r="N10" s="4">
        <f>+IF(TA_ti!N10*TA_ti!N$47*TA_ti!$BD10=0,10000,TA_ti!N10*TA_ti!N$47*TA_ti!$BD10)</f>
        <v>15</v>
      </c>
      <c r="O10" s="4">
        <f>+IF(TA_ti!O10*TA_ti!O$47*TA_ti!$BD10=0,10000,TA_ti!O10*TA_ti!O$47*TA_ti!$BD10)</f>
        <v>10000</v>
      </c>
      <c r="P10" s="4">
        <f>+IF(TA_ti!P10*TA_ti!P$47*TA_ti!$BD10=0,10000,TA_ti!P10*TA_ti!P$47*TA_ti!$BD10)</f>
        <v>10000</v>
      </c>
      <c r="Q10" s="4">
        <f>+IF(TA_ti!Q10*TA_ti!Q$47*TA_ti!$BD10=0,10000,TA_ti!Q10*TA_ti!Q$47*TA_ti!$BD10)</f>
        <v>10000</v>
      </c>
      <c r="R10" s="4">
        <f>+IF(TA_ti!R10*TA_ti!R$47*TA_ti!$BD10=0,10000,TA_ti!R10*TA_ti!R$47*TA_ti!$BD10)</f>
        <v>15</v>
      </c>
      <c r="S10" s="4">
        <f>+IF(TA_ti!S10*TA_ti!S$47*TA_ti!$BD10=0,10000,TA_ti!S10*TA_ti!S$47*TA_ti!$BD10)</f>
        <v>10000</v>
      </c>
      <c r="T10" s="4">
        <f>+IF(TA_ti!T10*TA_ti!T$47*TA_ti!$BD10=0,10000,TA_ti!T10*TA_ti!T$47*TA_ti!$BD10)</f>
        <v>10000</v>
      </c>
      <c r="U10" s="4">
        <f>+IF(TA_ti!U10*TA_ti!U$47*TA_ti!$BD10=0,10000,TA_ti!U10*TA_ti!U$47*TA_ti!$BD10)</f>
        <v>10000</v>
      </c>
      <c r="V10" s="4">
        <f>+IF(TA_ti!V10*TA_ti!V$47*TA_ti!$BD10=0,10000,TA_ti!V10*TA_ti!V$47*TA_ti!$BD10)</f>
        <v>10000</v>
      </c>
      <c r="W10" s="4">
        <f>+IF(TA_ti!W10*TA_ti!W$47*TA_ti!$BD10=0,10000,TA_ti!W10*TA_ti!W$47*TA_ti!$BD10)</f>
        <v>10000</v>
      </c>
      <c r="X10" s="4">
        <f>+IF(TA_ti!X10*TA_ti!X$47*TA_ti!$BD10=0,10000,TA_ti!X10*TA_ti!X$47*TA_ti!$BD10)</f>
        <v>10000</v>
      </c>
      <c r="Y10" s="4">
        <f>+IF(TA_ti!Y10*TA_ti!Y$47*TA_ti!$BD10=0,10000,TA_ti!Y10*TA_ti!Y$47*TA_ti!$BD10)</f>
        <v>10000</v>
      </c>
      <c r="Z10" s="4">
        <f>+IF(TA_ti!Z10*TA_ti!Z$47*TA_ti!$BD10=0,10000,TA_ti!Z10*TA_ti!Z$47*TA_ti!$BD10)</f>
        <v>10000</v>
      </c>
      <c r="AA10" s="4">
        <f>+IF(TA_ti!AA10*TA_ti!AA$47*TA_ti!$BD10=0,10000,TA_ti!AA10*TA_ti!AA$47*TA_ti!$BD10)</f>
        <v>10000</v>
      </c>
      <c r="AB10" s="4">
        <f>+IF(TA_ti!AB10*TA_ti!AB$47*TA_ti!$BD10=0,10000,TA_ti!AB10*TA_ti!AB$47*TA_ti!$BD10)</f>
        <v>10000</v>
      </c>
      <c r="AC10" s="4">
        <f>+IF(TA_ti!AC10*TA_ti!AC$47*TA_ti!$BD10=0,10000,TA_ti!AC10*TA_ti!AC$47*TA_ti!$BD10)</f>
        <v>10000</v>
      </c>
      <c r="AD10" s="4">
        <f>+IF(TA_ti!AD10*TA_ti!AD$47*TA_ti!$BD10=0,10000,TA_ti!AD10*TA_ti!AD$47*TA_ti!$BD10)</f>
        <v>10000</v>
      </c>
      <c r="AE10" s="4">
        <f>+IF(TA_ti!AE10*TA_ti!AE$47*TA_ti!$BD10=0,10000,TA_ti!AE10*TA_ti!AE$47*TA_ti!$BD10)</f>
        <v>10000</v>
      </c>
      <c r="AF10" s="4">
        <f>+IF(TA_ti!AF10*TA_ti!AF$47*TA_ti!$BD10=0,10000,TA_ti!AF10*TA_ti!AF$47*TA_ti!$BD10)</f>
        <v>10000</v>
      </c>
      <c r="AG10" s="4">
        <f>+IF(TA_ti!AG10*TA_ti!AG$47*TA_ti!$BD10=0,10000,TA_ti!AG10*TA_ti!AG$47*TA_ti!$BD10)</f>
        <v>10000</v>
      </c>
      <c r="AH10" s="4">
        <f>+IF(TA_ti!AH10*TA_ti!AH$47*TA_ti!$BD10=0,10000,TA_ti!AH10*TA_ti!AH$47*TA_ti!$BD10)</f>
        <v>10000</v>
      </c>
      <c r="AI10" s="4">
        <f>+IF(TA_ti!AI10*TA_ti!AI$47*TA_ti!$BD10=0,10000,TA_ti!AI10*TA_ti!AI$47*TA_ti!$BD10)</f>
        <v>10000</v>
      </c>
      <c r="AJ10" s="4">
        <f>+IF(TA_ti!AJ10*TA_ti!AJ$47*TA_ti!$BD10=0,10000,TA_ti!AJ10*TA_ti!AJ$47*TA_ti!$BD10)</f>
        <v>10000</v>
      </c>
      <c r="AK10" s="4">
        <f>+IF(TA_ti!AK10*TA_ti!AK$47*TA_ti!$BD10=0,10000,TA_ti!AK10*TA_ti!AK$47*TA_ti!$BD10)</f>
        <v>10000</v>
      </c>
      <c r="AL10" s="4">
        <f>+IF(TA_ti!AL10*TA_ti!AL$47*TA_ti!$BD10=0,10000,TA_ti!AL10*TA_ti!AL$47*TA_ti!$BD10)</f>
        <v>10000</v>
      </c>
      <c r="AM10" s="4">
        <f>+IF(TA_ti!AM10*TA_ti!AM$47*TA_ti!$BD10=0,10000,TA_ti!AM10*TA_ti!AM$47*TA_ti!$BD10)</f>
        <v>10000</v>
      </c>
      <c r="AN10" s="4">
        <f>+IF(TA_ti!AN10*TA_ti!AN$47*TA_ti!$BD10=0,10000,TA_ti!AN10*TA_ti!AN$47*TA_ti!$BD10)</f>
        <v>60</v>
      </c>
      <c r="AO10" s="4">
        <f>+IF(TA_ti!AO10*TA_ti!AO$47*TA_ti!$BD10=0,10000,TA_ti!AO10*TA_ti!AO$47*TA_ti!$BD10)</f>
        <v>10000</v>
      </c>
      <c r="AP10" s="4">
        <f>+IF(TA_ti!AP10*TA_ti!AP$47*TA_ti!$BD10=0,10000,TA_ti!AP10*TA_ti!AP$47*TA_ti!$BD10)</f>
        <v>10000</v>
      </c>
      <c r="AQ10" s="4">
        <f>+IF(TA_ti!AQ10*TA_ti!AQ$47*TA_ti!$BD10=0,10000,TA_ti!AQ10*TA_ti!AQ$47*TA_ti!$BD10)</f>
        <v>10000</v>
      </c>
      <c r="AR10" s="4">
        <f>+IF(TA_ti!AR10*TA_ti!AR$47*TA_ti!$BD10=0,10000,TA_ti!AR10*TA_ti!AR$47*TA_ti!$BD10)</f>
        <v>10000</v>
      </c>
      <c r="AS10" s="4">
        <f>+IF(TA_ti!AS10*TA_ti!AS$47*TA_ti!$BD10=0,10000,TA_ti!AS10*TA_ti!AS$47*TA_ti!$BD10)</f>
        <v>10000</v>
      </c>
      <c r="AT10" s="4">
        <f>+IF(TA_ti!AT10*TA_ti!AT$47*TA_ti!$BD10=0,10000,TA_ti!AT10*TA_ti!AT$47*TA_ti!$BD10)</f>
        <v>10000</v>
      </c>
      <c r="AU10" s="4">
        <f>+IF(TA_ti!AU10*TA_ti!AU$47*TA_ti!$BD10=0,10000,TA_ti!AU10*TA_ti!AU$47*TA_ti!$BD10)</f>
        <v>10000</v>
      </c>
      <c r="AV10" s="4">
        <f>+IF(TA_ti!AV10*TA_ti!AV$47*TA_ti!$BD10=0,10000,TA_ti!AV10*TA_ti!AV$47*TA_ti!$BD10)</f>
        <v>10000</v>
      </c>
      <c r="AW10" s="4">
        <f>+IF(TA_ti!AW10*TA_ti!AW$47*TA_ti!$BD10=0,10000,TA_ti!AW10*TA_ti!AW$47*TA_ti!$BD10)</f>
        <v>10000</v>
      </c>
      <c r="AX10" s="4">
        <f>+IF(TA_ti!AX10*TA_ti!AX$47*TA_ti!$BD10=0,10000,TA_ti!AX10*TA_ti!AX$47*TA_ti!$BD10)</f>
        <v>10000</v>
      </c>
      <c r="AY10" s="4">
        <f>+IF(TA_ti!AY10*TA_ti!AY$47*TA_ti!$BD10=0,10000,TA_ti!AY10*TA_ti!AY$47*TA_ti!$BD10)</f>
        <v>10000</v>
      </c>
      <c r="AZ10" s="4">
        <f>+IF(TA_ti!AZ10*TA_ti!AZ$47*TA_ti!$BD10=0,10000,TA_ti!AZ10*TA_ti!AZ$47*TA_ti!$BD10)</f>
        <v>15</v>
      </c>
      <c r="BA10" s="4">
        <f>+IF(TA_ti!BA10*TA_ti!BA$47*TA_ti!$BD10=0,10000,TA_ti!BA10*TA_ti!BA$47*TA_ti!$BD10)</f>
        <v>10000</v>
      </c>
      <c r="BB10" s="4">
        <f>+IF(TA_ti!BB10*TA_ti!BB$47*TA_ti!$BD10=0,10000,TA_ti!BB10*TA_ti!BB$47*TA_ti!$BD10)</f>
        <v>10000</v>
      </c>
      <c r="BC10" s="4">
        <f>+IF(TA_ti!BC10*TA_ti!BC$47*TA_ti!$BD10=0,10000,TA_ti!BC10*TA_ti!BC$47*TA_ti!$BD10)</f>
        <v>10000</v>
      </c>
    </row>
    <row r="11" spans="1:55" ht="18.75" customHeight="1" x14ac:dyDescent="0.25">
      <c r="A11" s="5" t="s">
        <v>62</v>
      </c>
      <c r="B11" s="4">
        <f>+IF(TA_ti!B11*TA_ti!B$47*TA_ti!$BD11=0,10000,TA_ti!B11*TA_ti!B$47*TA_ti!$BD11)</f>
        <v>10000</v>
      </c>
      <c r="C11" s="4">
        <f>+IF(TA_ti!C11*TA_ti!C$47*TA_ti!$BD11=0,10000,TA_ti!C11*TA_ti!C$47*TA_ti!$BD11)</f>
        <v>10000</v>
      </c>
      <c r="D11" s="4">
        <f>+IF(TA_ti!D11*TA_ti!D$47*TA_ti!$BD11=0,10000,TA_ti!D11*TA_ti!D$47*TA_ti!$BD11)</f>
        <v>10000</v>
      </c>
      <c r="E11" s="4">
        <f>+IF(TA_ti!E11*TA_ti!E$47*TA_ti!$BD11=0,10000,TA_ti!E11*TA_ti!E$47*TA_ti!$BD11)</f>
        <v>10000</v>
      </c>
      <c r="F11" s="4">
        <f>+IF(TA_ti!F11*TA_ti!F$47*TA_ti!$BD11=0,10000,TA_ti!F11*TA_ti!F$47*TA_ti!$BD11)</f>
        <v>10000</v>
      </c>
      <c r="G11" s="4">
        <f>+IF(TA_ti!G11*TA_ti!G$47*TA_ti!$BD11=0,10000,TA_ti!G11*TA_ti!G$47*TA_ti!$BD11)</f>
        <v>10000</v>
      </c>
      <c r="H11" s="4">
        <f>+IF(TA_ti!H11*TA_ti!H$47*TA_ti!$BD11=0,10000,TA_ti!H11*TA_ti!H$47*TA_ti!$BD11)</f>
        <v>10000</v>
      </c>
      <c r="I11" s="4">
        <f>+IF(TA_ti!I11*TA_ti!I$47*TA_ti!$BD11=0,10000,TA_ti!I11*TA_ti!I$47*TA_ti!$BD11)</f>
        <v>10000</v>
      </c>
      <c r="J11" s="4">
        <f>+IF(TA_ti!J11*TA_ti!J$47*TA_ti!$BD11=0,10000,TA_ti!J11*TA_ti!J$47*TA_ti!$BD11)</f>
        <v>15</v>
      </c>
      <c r="K11" s="4">
        <f>+IF(TA_ti!K11*TA_ti!K$47*TA_ti!$BD11=0,10000,TA_ti!K11*TA_ti!K$47*TA_ti!$BD11)</f>
        <v>10000</v>
      </c>
      <c r="L11" s="4">
        <f>+IF(TA_ti!L11*TA_ti!L$47*TA_ti!$BD11=0,10000,TA_ti!L11*TA_ti!L$47*TA_ti!$BD11)</f>
        <v>15</v>
      </c>
      <c r="M11" s="4">
        <f>+IF(TA_ti!M11*TA_ti!M$47*TA_ti!$BD11=0,10000,TA_ti!M11*TA_ti!M$47*TA_ti!$BD11)</f>
        <v>15</v>
      </c>
      <c r="N11" s="4">
        <f>+IF(TA_ti!N11*TA_ti!N$47*TA_ti!$BD11=0,10000,TA_ti!N11*TA_ti!N$47*TA_ti!$BD11)</f>
        <v>10000</v>
      </c>
      <c r="O11" s="4">
        <f>+IF(TA_ti!O11*TA_ti!O$47*TA_ti!$BD11=0,10000,TA_ti!O11*TA_ti!O$47*TA_ti!$BD11)</f>
        <v>10000</v>
      </c>
      <c r="P11" s="4">
        <f>+IF(TA_ti!P11*TA_ti!P$47*TA_ti!$BD11=0,10000,TA_ti!P11*TA_ti!P$47*TA_ti!$BD11)</f>
        <v>10000</v>
      </c>
      <c r="Q11" s="4">
        <f>+IF(TA_ti!Q11*TA_ti!Q$47*TA_ti!$BD11=0,10000,TA_ti!Q11*TA_ti!Q$47*TA_ti!$BD11)</f>
        <v>10000</v>
      </c>
      <c r="R11" s="4">
        <f>+IF(TA_ti!R11*TA_ti!R$47*TA_ti!$BD11=0,10000,TA_ti!R11*TA_ti!R$47*TA_ti!$BD11)</f>
        <v>15</v>
      </c>
      <c r="S11" s="4">
        <f>+IF(TA_ti!S11*TA_ti!S$47*TA_ti!$BD11=0,10000,TA_ti!S11*TA_ti!S$47*TA_ti!$BD11)</f>
        <v>10000</v>
      </c>
      <c r="T11" s="4">
        <f>+IF(TA_ti!T11*TA_ti!T$47*TA_ti!$BD11=0,10000,TA_ti!T11*TA_ti!T$47*TA_ti!$BD11)</f>
        <v>10000</v>
      </c>
      <c r="U11" s="4">
        <f>+IF(TA_ti!U11*TA_ti!U$47*TA_ti!$BD11=0,10000,TA_ti!U11*TA_ti!U$47*TA_ti!$BD11)</f>
        <v>10000</v>
      </c>
      <c r="V11" s="4">
        <f>+IF(TA_ti!V11*TA_ti!V$47*TA_ti!$BD11=0,10000,TA_ti!V11*TA_ti!V$47*TA_ti!$BD11)</f>
        <v>10000</v>
      </c>
      <c r="W11" s="4">
        <f>+IF(TA_ti!W11*TA_ti!W$47*TA_ti!$BD11=0,10000,TA_ti!W11*TA_ti!W$47*TA_ti!$BD11)</f>
        <v>10000</v>
      </c>
      <c r="X11" s="4">
        <f>+IF(TA_ti!X11*TA_ti!X$47*TA_ti!$BD11=0,10000,TA_ti!X11*TA_ti!X$47*TA_ti!$BD11)</f>
        <v>10000</v>
      </c>
      <c r="Y11" s="4">
        <f>+IF(TA_ti!Y11*TA_ti!Y$47*TA_ti!$BD11=0,10000,TA_ti!Y11*TA_ti!Y$47*TA_ti!$BD11)</f>
        <v>10000</v>
      </c>
      <c r="Z11" s="4">
        <f>+IF(TA_ti!Z11*TA_ti!Z$47*TA_ti!$BD11=0,10000,TA_ti!Z11*TA_ti!Z$47*TA_ti!$BD11)</f>
        <v>10000</v>
      </c>
      <c r="AA11" s="4">
        <f>+IF(TA_ti!AA11*TA_ti!AA$47*TA_ti!$BD11=0,10000,TA_ti!AA11*TA_ti!AA$47*TA_ti!$BD11)</f>
        <v>10000</v>
      </c>
      <c r="AB11" s="4">
        <f>+IF(TA_ti!AB11*TA_ti!AB$47*TA_ti!$BD11=0,10000,TA_ti!AB11*TA_ti!AB$47*TA_ti!$BD11)</f>
        <v>10000</v>
      </c>
      <c r="AC11" s="4">
        <f>+IF(TA_ti!AC11*TA_ti!AC$47*TA_ti!$BD11=0,10000,TA_ti!AC11*TA_ti!AC$47*TA_ti!$BD11)</f>
        <v>10000</v>
      </c>
      <c r="AD11" s="4">
        <f>+IF(TA_ti!AD11*TA_ti!AD$47*TA_ti!$BD11=0,10000,TA_ti!AD11*TA_ti!AD$47*TA_ti!$BD11)</f>
        <v>10000</v>
      </c>
      <c r="AE11" s="4">
        <f>+IF(TA_ti!AE11*TA_ti!AE$47*TA_ti!$BD11=0,10000,TA_ti!AE11*TA_ti!AE$47*TA_ti!$BD11)</f>
        <v>10000</v>
      </c>
      <c r="AF11" s="4">
        <f>+IF(TA_ti!AF11*TA_ti!AF$47*TA_ti!$BD11=0,10000,TA_ti!AF11*TA_ti!AF$47*TA_ti!$BD11)</f>
        <v>10000</v>
      </c>
      <c r="AG11" s="4">
        <f>+IF(TA_ti!AG11*TA_ti!AG$47*TA_ti!$BD11=0,10000,TA_ti!AG11*TA_ti!AG$47*TA_ti!$BD11)</f>
        <v>10000</v>
      </c>
      <c r="AH11" s="4">
        <f>+IF(TA_ti!AH11*TA_ti!AH$47*TA_ti!$BD11=0,10000,TA_ti!AH11*TA_ti!AH$47*TA_ti!$BD11)</f>
        <v>10000</v>
      </c>
      <c r="AI11" s="4">
        <f>+IF(TA_ti!AI11*TA_ti!AI$47*TA_ti!$BD11=0,10000,TA_ti!AI11*TA_ti!AI$47*TA_ti!$BD11)</f>
        <v>10000</v>
      </c>
      <c r="AJ11" s="4">
        <f>+IF(TA_ti!AJ11*TA_ti!AJ$47*TA_ti!$BD11=0,10000,TA_ti!AJ11*TA_ti!AJ$47*TA_ti!$BD11)</f>
        <v>10000</v>
      </c>
      <c r="AK11" s="4">
        <f>+IF(TA_ti!AK11*TA_ti!AK$47*TA_ti!$BD11=0,10000,TA_ti!AK11*TA_ti!AK$47*TA_ti!$BD11)</f>
        <v>10000</v>
      </c>
      <c r="AL11" s="4">
        <f>+IF(TA_ti!AL11*TA_ti!AL$47*TA_ti!$BD11=0,10000,TA_ti!AL11*TA_ti!AL$47*TA_ti!$BD11)</f>
        <v>10000</v>
      </c>
      <c r="AM11" s="4">
        <f>+IF(TA_ti!AM11*TA_ti!AM$47*TA_ti!$BD11=0,10000,TA_ti!AM11*TA_ti!AM$47*TA_ti!$BD11)</f>
        <v>10000</v>
      </c>
      <c r="AN11" s="4">
        <f>+IF(TA_ti!AN11*TA_ti!AN$47*TA_ti!$BD11=0,10000,TA_ti!AN11*TA_ti!AN$47*TA_ti!$BD11)</f>
        <v>10000</v>
      </c>
      <c r="AO11" s="4">
        <f>+IF(TA_ti!AO11*TA_ti!AO$47*TA_ti!$BD11=0,10000,TA_ti!AO11*TA_ti!AO$47*TA_ti!$BD11)</f>
        <v>108</v>
      </c>
      <c r="AP11" s="4">
        <f>+IF(TA_ti!AP11*TA_ti!AP$47*TA_ti!$BD11=0,10000,TA_ti!AP11*TA_ti!AP$47*TA_ti!$BD11)</f>
        <v>10000</v>
      </c>
      <c r="AQ11" s="4">
        <f>+IF(TA_ti!AQ11*TA_ti!AQ$47*TA_ti!$BD11=0,10000,TA_ti!AQ11*TA_ti!AQ$47*TA_ti!$BD11)</f>
        <v>10000</v>
      </c>
      <c r="AR11" s="4">
        <f>+IF(TA_ti!AR11*TA_ti!AR$47*TA_ti!$BD11=0,10000,TA_ti!AR11*TA_ti!AR$47*TA_ti!$BD11)</f>
        <v>10000</v>
      </c>
      <c r="AS11" s="4">
        <f>+IF(TA_ti!AS11*TA_ti!AS$47*TA_ti!$BD11=0,10000,TA_ti!AS11*TA_ti!AS$47*TA_ti!$BD11)</f>
        <v>10000</v>
      </c>
      <c r="AT11" s="4">
        <f>+IF(TA_ti!AT11*TA_ti!AT$47*TA_ti!$BD11=0,10000,TA_ti!AT11*TA_ti!AT$47*TA_ti!$BD11)</f>
        <v>10000</v>
      </c>
      <c r="AU11" s="4">
        <f>+IF(TA_ti!AU11*TA_ti!AU$47*TA_ti!$BD11=0,10000,TA_ti!AU11*TA_ti!AU$47*TA_ti!$BD11)</f>
        <v>10000</v>
      </c>
      <c r="AV11" s="4">
        <f>+IF(TA_ti!AV11*TA_ti!AV$47*TA_ti!$BD11=0,10000,TA_ti!AV11*TA_ti!AV$47*TA_ti!$BD11)</f>
        <v>10000</v>
      </c>
      <c r="AW11" s="4">
        <f>+IF(TA_ti!AW11*TA_ti!AW$47*TA_ti!$BD11=0,10000,TA_ti!AW11*TA_ti!AW$47*TA_ti!$BD11)</f>
        <v>10000</v>
      </c>
      <c r="AX11" s="4">
        <f>+IF(TA_ti!AX11*TA_ti!AX$47*TA_ti!$BD11=0,10000,TA_ti!AX11*TA_ti!AX$47*TA_ti!$BD11)</f>
        <v>10000</v>
      </c>
      <c r="AY11" s="4">
        <f>+IF(TA_ti!AY11*TA_ti!AY$47*TA_ti!$BD11=0,10000,TA_ti!AY11*TA_ti!AY$47*TA_ti!$BD11)</f>
        <v>10000</v>
      </c>
      <c r="AZ11" s="4">
        <f>+IF(TA_ti!AZ11*TA_ti!AZ$47*TA_ti!$BD11=0,10000,TA_ti!AZ11*TA_ti!AZ$47*TA_ti!$BD11)</f>
        <v>10000</v>
      </c>
      <c r="BA11" s="4">
        <f>+IF(TA_ti!BA11*TA_ti!BA$47*TA_ti!$BD11=0,10000,TA_ti!BA11*TA_ti!BA$47*TA_ti!$BD11)</f>
        <v>10000</v>
      </c>
      <c r="BB11" s="4">
        <f>+IF(TA_ti!BB11*TA_ti!BB$47*TA_ti!$BD11=0,10000,TA_ti!BB11*TA_ti!BB$47*TA_ti!$BD11)</f>
        <v>10000</v>
      </c>
      <c r="BC11" s="4">
        <f>+IF(TA_ti!BC11*TA_ti!BC$47*TA_ti!$BD11=0,10000,TA_ti!BC11*TA_ti!BC$47*TA_ti!$BD11)</f>
        <v>10000</v>
      </c>
    </row>
    <row r="12" spans="1:55" ht="18.75" customHeight="1" x14ac:dyDescent="0.25">
      <c r="A12" s="5" t="s">
        <v>63</v>
      </c>
      <c r="B12" s="4">
        <f>+IF(TA_ti!B12*TA_ti!B$47*TA_ti!$BD12=0,10000,TA_ti!B12*TA_ti!B$47*TA_ti!$BD12)</f>
        <v>10000</v>
      </c>
      <c r="C12" s="4">
        <f>+IF(TA_ti!C12*TA_ti!C$47*TA_ti!$BD12=0,10000,TA_ti!C12*TA_ti!C$47*TA_ti!$BD12)</f>
        <v>10000</v>
      </c>
      <c r="D12" s="4">
        <f>+IF(TA_ti!D12*TA_ti!D$47*TA_ti!$BD12=0,10000,TA_ti!D12*TA_ti!D$47*TA_ti!$BD12)</f>
        <v>10000</v>
      </c>
      <c r="E12" s="4">
        <f>+IF(TA_ti!E12*TA_ti!E$47*TA_ti!$BD12=0,10000,TA_ti!E12*TA_ti!E$47*TA_ti!$BD12)</f>
        <v>10000</v>
      </c>
      <c r="F12" s="4">
        <f>+IF(TA_ti!F12*TA_ti!F$47*TA_ti!$BD12=0,10000,TA_ti!F12*TA_ti!F$47*TA_ti!$BD12)</f>
        <v>10000</v>
      </c>
      <c r="G12" s="4">
        <f>+IF(TA_ti!G12*TA_ti!G$47*TA_ti!$BD12=0,10000,TA_ti!G12*TA_ti!G$47*TA_ti!$BD12)</f>
        <v>10000</v>
      </c>
      <c r="H12" s="4">
        <f>+IF(TA_ti!H12*TA_ti!H$47*TA_ti!$BD12=0,10000,TA_ti!H12*TA_ti!H$47*TA_ti!$BD12)</f>
        <v>10000</v>
      </c>
      <c r="I12" s="4">
        <f>+IF(TA_ti!I12*TA_ti!I$47*TA_ti!$BD12=0,10000,TA_ti!I12*TA_ti!I$47*TA_ti!$BD12)</f>
        <v>10000</v>
      </c>
      <c r="J12" s="4">
        <f>+IF(TA_ti!J12*TA_ti!J$47*TA_ti!$BD12=0,10000,TA_ti!J12*TA_ti!J$47*TA_ti!$BD12)</f>
        <v>15</v>
      </c>
      <c r="K12" s="4">
        <f>+IF(TA_ti!K12*TA_ti!K$47*TA_ti!$BD12=0,10000,TA_ti!K12*TA_ti!K$47*TA_ti!$BD12)</f>
        <v>10000</v>
      </c>
      <c r="L12" s="4">
        <f>+IF(TA_ti!L12*TA_ti!L$47*TA_ti!$BD12=0,10000,TA_ti!L12*TA_ti!L$47*TA_ti!$BD12)</f>
        <v>12</v>
      </c>
      <c r="M12" s="4">
        <f>+IF(TA_ti!M12*TA_ti!M$47*TA_ti!$BD12=0,10000,TA_ti!M12*TA_ti!M$47*TA_ti!$BD12)</f>
        <v>12</v>
      </c>
      <c r="N12" s="4">
        <f>+IF(TA_ti!N12*TA_ti!N$47*TA_ti!$BD12=0,10000,TA_ti!N12*TA_ti!N$47*TA_ti!$BD12)</f>
        <v>10000</v>
      </c>
      <c r="O12" s="4">
        <f>+IF(TA_ti!O12*TA_ti!O$47*TA_ti!$BD12=0,10000,TA_ti!O12*TA_ti!O$47*TA_ti!$BD12)</f>
        <v>10000</v>
      </c>
      <c r="P12" s="4">
        <f>+IF(TA_ti!P12*TA_ti!P$47*TA_ti!$BD12=0,10000,TA_ti!P12*TA_ti!P$47*TA_ti!$BD12)</f>
        <v>10000</v>
      </c>
      <c r="Q12" s="4">
        <f>+IF(TA_ti!Q12*TA_ti!Q$47*TA_ti!$BD12=0,10000,TA_ti!Q12*TA_ti!Q$47*TA_ti!$BD12)</f>
        <v>10000</v>
      </c>
      <c r="R12" s="4">
        <f>+IF(TA_ti!R12*TA_ti!R$47*TA_ti!$BD12=0,10000,TA_ti!R12*TA_ti!R$47*TA_ti!$BD12)</f>
        <v>10000</v>
      </c>
      <c r="S12" s="4">
        <f>+IF(TA_ti!S12*TA_ti!S$47*TA_ti!$BD12=0,10000,TA_ti!S12*TA_ti!S$47*TA_ti!$BD12)</f>
        <v>10000</v>
      </c>
      <c r="T12" s="4">
        <f>+IF(TA_ti!T12*TA_ti!T$47*TA_ti!$BD12=0,10000,TA_ti!T12*TA_ti!T$47*TA_ti!$BD12)</f>
        <v>10000</v>
      </c>
      <c r="U12" s="4">
        <f>+IF(TA_ti!U12*TA_ti!U$47*TA_ti!$BD12=0,10000,TA_ti!U12*TA_ti!U$47*TA_ti!$BD12)</f>
        <v>10000</v>
      </c>
      <c r="V12" s="4">
        <f>+IF(TA_ti!V12*TA_ti!V$47*TA_ti!$BD12=0,10000,TA_ti!V12*TA_ti!V$47*TA_ti!$BD12)</f>
        <v>10000</v>
      </c>
      <c r="W12" s="4">
        <f>+IF(TA_ti!W12*TA_ti!W$47*TA_ti!$BD12=0,10000,TA_ti!W12*TA_ti!W$47*TA_ti!$BD12)</f>
        <v>10000</v>
      </c>
      <c r="X12" s="4">
        <f>+IF(TA_ti!X12*TA_ti!X$47*TA_ti!$BD12=0,10000,TA_ti!X12*TA_ti!X$47*TA_ti!$BD12)</f>
        <v>10000</v>
      </c>
      <c r="Y12" s="4">
        <f>+IF(TA_ti!Y12*TA_ti!Y$47*TA_ti!$BD12=0,10000,TA_ti!Y12*TA_ti!Y$47*TA_ti!$BD12)</f>
        <v>10000</v>
      </c>
      <c r="Z12" s="4">
        <f>+IF(TA_ti!Z12*TA_ti!Z$47*TA_ti!$BD12=0,10000,TA_ti!Z12*TA_ti!Z$47*TA_ti!$BD12)</f>
        <v>10000</v>
      </c>
      <c r="AA12" s="4">
        <f>+IF(TA_ti!AA12*TA_ti!AA$47*TA_ti!$BD12=0,10000,TA_ti!AA12*TA_ti!AA$47*TA_ti!$BD12)</f>
        <v>10000</v>
      </c>
      <c r="AB12" s="4">
        <f>+IF(TA_ti!AB12*TA_ti!AB$47*TA_ti!$BD12=0,10000,TA_ti!AB12*TA_ti!AB$47*TA_ti!$BD12)</f>
        <v>10000</v>
      </c>
      <c r="AC12" s="4">
        <f>+IF(TA_ti!AC12*TA_ti!AC$47*TA_ti!$BD12=0,10000,TA_ti!AC12*TA_ti!AC$47*TA_ti!$BD12)</f>
        <v>10000</v>
      </c>
      <c r="AD12" s="4">
        <f>+IF(TA_ti!AD12*TA_ti!AD$47*TA_ti!$BD12=0,10000,TA_ti!AD12*TA_ti!AD$47*TA_ti!$BD12)</f>
        <v>10000</v>
      </c>
      <c r="AE12" s="4">
        <f>+IF(TA_ti!AE12*TA_ti!AE$47*TA_ti!$BD12=0,10000,TA_ti!AE12*TA_ti!AE$47*TA_ti!$BD12)</f>
        <v>10000</v>
      </c>
      <c r="AF12" s="4">
        <f>+IF(TA_ti!AF12*TA_ti!AF$47*TA_ti!$BD12=0,10000,TA_ti!AF12*TA_ti!AF$47*TA_ti!$BD12)</f>
        <v>10000</v>
      </c>
      <c r="AG12" s="4">
        <f>+IF(TA_ti!AG12*TA_ti!AG$47*TA_ti!$BD12=0,10000,TA_ti!AG12*TA_ti!AG$47*TA_ti!$BD12)</f>
        <v>10000</v>
      </c>
      <c r="AH12" s="4">
        <f>+IF(TA_ti!AH12*TA_ti!AH$47*TA_ti!$BD12=0,10000,TA_ti!AH12*TA_ti!AH$47*TA_ti!$BD12)</f>
        <v>10000</v>
      </c>
      <c r="AI12" s="4">
        <f>+IF(TA_ti!AI12*TA_ti!AI$47*TA_ti!$BD12=0,10000,TA_ti!AI12*TA_ti!AI$47*TA_ti!$BD12)</f>
        <v>10000</v>
      </c>
      <c r="AJ12" s="4">
        <f>+IF(TA_ti!AJ12*TA_ti!AJ$47*TA_ti!$BD12=0,10000,TA_ti!AJ12*TA_ti!AJ$47*TA_ti!$BD12)</f>
        <v>10000</v>
      </c>
      <c r="AK12" s="4">
        <f>+IF(TA_ti!AK12*TA_ti!AK$47*TA_ti!$BD12=0,10000,TA_ti!AK12*TA_ti!AK$47*TA_ti!$BD12)</f>
        <v>10000</v>
      </c>
      <c r="AL12" s="4">
        <f>+IF(TA_ti!AL12*TA_ti!AL$47*TA_ti!$BD12=0,10000,TA_ti!AL12*TA_ti!AL$47*TA_ti!$BD12)</f>
        <v>10000</v>
      </c>
      <c r="AM12" s="4">
        <f>+IF(TA_ti!AM12*TA_ti!AM$47*TA_ti!$BD12=0,10000,TA_ti!AM12*TA_ti!AM$47*TA_ti!$BD12)</f>
        <v>10000</v>
      </c>
      <c r="AN12" s="4">
        <f>+IF(TA_ti!AN12*TA_ti!AN$47*TA_ti!$BD12=0,10000,TA_ti!AN12*TA_ti!AN$47*TA_ti!$BD12)</f>
        <v>10000</v>
      </c>
      <c r="AO12" s="4">
        <f>+IF(TA_ti!AO12*TA_ti!AO$47*TA_ti!$BD12=0,10000,TA_ti!AO12*TA_ti!AO$47*TA_ti!$BD12)</f>
        <v>10000</v>
      </c>
      <c r="AP12" s="4">
        <f>+IF(TA_ti!AP12*TA_ti!AP$47*TA_ti!$BD12=0,10000,TA_ti!AP12*TA_ti!AP$47*TA_ti!$BD12)</f>
        <v>10000</v>
      </c>
      <c r="AQ12" s="4">
        <f>+IF(TA_ti!AQ12*TA_ti!AQ$47*TA_ti!$BD12=0,10000,TA_ti!AQ12*TA_ti!AQ$47*TA_ti!$BD12)</f>
        <v>10000</v>
      </c>
      <c r="AR12" s="4">
        <f>+IF(TA_ti!AR12*TA_ti!AR$47*TA_ti!$BD12=0,10000,TA_ti!AR12*TA_ti!AR$47*TA_ti!$BD12)</f>
        <v>10000</v>
      </c>
      <c r="AS12" s="4">
        <f>+IF(TA_ti!AS12*TA_ti!AS$47*TA_ti!$BD12=0,10000,TA_ti!AS12*TA_ti!AS$47*TA_ti!$BD12)</f>
        <v>10000</v>
      </c>
      <c r="AT12" s="4">
        <f>+IF(TA_ti!AT12*TA_ti!AT$47*TA_ti!$BD12=0,10000,TA_ti!AT12*TA_ti!AT$47*TA_ti!$BD12)</f>
        <v>10000</v>
      </c>
      <c r="AU12" s="4">
        <f>+IF(TA_ti!AU12*TA_ti!AU$47*TA_ti!$BD12=0,10000,TA_ti!AU12*TA_ti!AU$47*TA_ti!$BD12)</f>
        <v>10000</v>
      </c>
      <c r="AV12" s="4">
        <f>+IF(TA_ti!AV12*TA_ti!AV$47*TA_ti!$BD12=0,10000,TA_ti!AV12*TA_ti!AV$47*TA_ti!$BD12)</f>
        <v>10000</v>
      </c>
      <c r="AW12" s="4">
        <f>+IF(TA_ti!AW12*TA_ti!AW$47*TA_ti!$BD12=0,10000,TA_ti!AW12*TA_ti!AW$47*TA_ti!$BD12)</f>
        <v>10000</v>
      </c>
      <c r="AX12" s="4">
        <f>+IF(TA_ti!AX12*TA_ti!AX$47*TA_ti!$BD12=0,10000,TA_ti!AX12*TA_ti!AX$47*TA_ti!$BD12)</f>
        <v>10000</v>
      </c>
      <c r="AY12" s="4">
        <f>+IF(TA_ti!AY12*TA_ti!AY$47*TA_ti!$BD12=0,10000,TA_ti!AY12*TA_ti!AY$47*TA_ti!$BD12)</f>
        <v>10000</v>
      </c>
      <c r="AZ12" s="4">
        <f>+IF(TA_ti!AZ12*TA_ti!AZ$47*TA_ti!$BD12=0,10000,TA_ti!AZ12*TA_ti!AZ$47*TA_ti!$BD12)</f>
        <v>10000</v>
      </c>
      <c r="BA12" s="4">
        <f>+IF(TA_ti!BA12*TA_ti!BA$47*TA_ti!$BD12=0,10000,TA_ti!BA12*TA_ti!BA$47*TA_ti!$BD12)</f>
        <v>10000</v>
      </c>
      <c r="BB12" s="4">
        <f>+IF(TA_ti!BB12*TA_ti!BB$47*TA_ti!$BD12=0,10000,TA_ti!BB12*TA_ti!BB$47*TA_ti!$BD12)</f>
        <v>10000</v>
      </c>
      <c r="BC12" s="4">
        <f>+IF(TA_ti!BC12*TA_ti!BC$47*TA_ti!$BD12=0,10000,TA_ti!BC12*TA_ti!BC$47*TA_ti!$BD12)</f>
        <v>10000</v>
      </c>
    </row>
    <row r="13" spans="1:55" ht="18.75" customHeight="1" x14ac:dyDescent="0.25">
      <c r="A13" s="5" t="s">
        <v>64</v>
      </c>
      <c r="B13" s="4">
        <f>+IF(TA_ti!B13*TA_ti!B$47*TA_ti!$BD13=0,10000,TA_ti!B13*TA_ti!B$47*TA_ti!$BD13)</f>
        <v>10000</v>
      </c>
      <c r="C13" s="4">
        <f>+IF(TA_ti!C13*TA_ti!C$47*TA_ti!$BD13=0,10000,TA_ti!C13*TA_ti!C$47*TA_ti!$BD13)</f>
        <v>10000</v>
      </c>
      <c r="D13" s="4">
        <f>+IF(TA_ti!D13*TA_ti!D$47*TA_ti!$BD13=0,10000,TA_ti!D13*TA_ti!D$47*TA_ti!$BD13)</f>
        <v>10000</v>
      </c>
      <c r="E13" s="4">
        <f>+IF(TA_ti!E13*TA_ti!E$47*TA_ti!$BD13=0,10000,TA_ti!E13*TA_ti!E$47*TA_ti!$BD13)</f>
        <v>10000</v>
      </c>
      <c r="F13" s="4">
        <f>+IF(TA_ti!F13*TA_ti!F$47*TA_ti!$BD13=0,10000,TA_ti!F13*TA_ti!F$47*TA_ti!$BD13)</f>
        <v>10000</v>
      </c>
      <c r="G13" s="4">
        <f>+IF(TA_ti!G13*TA_ti!G$47*TA_ti!$BD13=0,10000,TA_ti!G13*TA_ti!G$47*TA_ti!$BD13)</f>
        <v>10000</v>
      </c>
      <c r="H13" s="4">
        <f>+IF(TA_ti!H13*TA_ti!H$47*TA_ti!$BD13=0,10000,TA_ti!H13*TA_ti!H$47*TA_ti!$BD13)</f>
        <v>10000</v>
      </c>
      <c r="I13" s="4">
        <f>+IF(TA_ti!I13*TA_ti!I$47*TA_ti!$BD13=0,10000,TA_ti!I13*TA_ti!I$47*TA_ti!$BD13)</f>
        <v>10000</v>
      </c>
      <c r="J13" s="4">
        <f>+IF(TA_ti!J13*TA_ti!J$47*TA_ti!$BD13=0,10000,TA_ti!J13*TA_ti!J$47*TA_ti!$BD13)</f>
        <v>15</v>
      </c>
      <c r="K13" s="4">
        <f>+IF(TA_ti!K13*TA_ti!K$47*TA_ti!$BD13=0,10000,TA_ti!K13*TA_ti!K$47*TA_ti!$BD13)</f>
        <v>10000</v>
      </c>
      <c r="L13" s="4">
        <f>+IF(TA_ti!L13*TA_ti!L$47*TA_ti!$BD13=0,10000,TA_ti!L13*TA_ti!L$47*TA_ti!$BD13)</f>
        <v>12</v>
      </c>
      <c r="M13" s="4">
        <f>+IF(TA_ti!M13*TA_ti!M$47*TA_ti!$BD13=0,10000,TA_ti!M13*TA_ti!M$47*TA_ti!$BD13)</f>
        <v>12</v>
      </c>
      <c r="N13" s="4">
        <f>+IF(TA_ti!N13*TA_ti!N$47*TA_ti!$BD13=0,10000,TA_ti!N13*TA_ti!N$47*TA_ti!$BD13)</f>
        <v>10000</v>
      </c>
      <c r="O13" s="4">
        <f>+IF(TA_ti!O13*TA_ti!O$47*TA_ti!$BD13=0,10000,TA_ti!O13*TA_ti!O$47*TA_ti!$BD13)</f>
        <v>10000</v>
      </c>
      <c r="P13" s="4">
        <f>+IF(TA_ti!P13*TA_ti!P$47*TA_ti!$BD13=0,10000,TA_ti!P13*TA_ti!P$47*TA_ti!$BD13)</f>
        <v>10000</v>
      </c>
      <c r="Q13" s="4">
        <f>+IF(TA_ti!Q13*TA_ti!Q$47*TA_ti!$BD13=0,10000,TA_ti!Q13*TA_ti!Q$47*TA_ti!$BD13)</f>
        <v>10000</v>
      </c>
      <c r="R13" s="4">
        <f>+IF(TA_ti!R13*TA_ti!R$47*TA_ti!$BD13=0,10000,TA_ti!R13*TA_ti!R$47*TA_ti!$BD13)</f>
        <v>15</v>
      </c>
      <c r="S13" s="4">
        <f>+IF(TA_ti!S13*TA_ti!S$47*TA_ti!$BD13=0,10000,TA_ti!S13*TA_ti!S$47*TA_ti!$BD13)</f>
        <v>10000</v>
      </c>
      <c r="T13" s="4">
        <f>+IF(TA_ti!T13*TA_ti!T$47*TA_ti!$BD13=0,10000,TA_ti!T13*TA_ti!T$47*TA_ti!$BD13)</f>
        <v>10000</v>
      </c>
      <c r="U13" s="4">
        <f>+IF(TA_ti!U13*TA_ti!U$47*TA_ti!$BD13=0,10000,TA_ti!U13*TA_ti!U$47*TA_ti!$BD13)</f>
        <v>10000</v>
      </c>
      <c r="V13" s="4">
        <f>+IF(TA_ti!V13*TA_ti!V$47*TA_ti!$BD13=0,10000,TA_ti!V13*TA_ti!V$47*TA_ti!$BD13)</f>
        <v>10000</v>
      </c>
      <c r="W13" s="4">
        <f>+IF(TA_ti!W13*TA_ti!W$47*TA_ti!$BD13=0,10000,TA_ti!W13*TA_ti!W$47*TA_ti!$BD13)</f>
        <v>10000</v>
      </c>
      <c r="X13" s="4">
        <f>+IF(TA_ti!X13*TA_ti!X$47*TA_ti!$BD13=0,10000,TA_ti!X13*TA_ti!X$47*TA_ti!$BD13)</f>
        <v>10000</v>
      </c>
      <c r="Y13" s="4">
        <f>+IF(TA_ti!Y13*TA_ti!Y$47*TA_ti!$BD13=0,10000,TA_ti!Y13*TA_ti!Y$47*TA_ti!$BD13)</f>
        <v>10000</v>
      </c>
      <c r="Z13" s="4">
        <f>+IF(TA_ti!Z13*TA_ti!Z$47*TA_ti!$BD13=0,10000,TA_ti!Z13*TA_ti!Z$47*TA_ti!$BD13)</f>
        <v>10000</v>
      </c>
      <c r="AA13" s="4">
        <f>+IF(TA_ti!AA13*TA_ti!AA$47*TA_ti!$BD13=0,10000,TA_ti!AA13*TA_ti!AA$47*TA_ti!$BD13)</f>
        <v>10000</v>
      </c>
      <c r="AB13" s="4">
        <f>+IF(TA_ti!AB13*TA_ti!AB$47*TA_ti!$BD13=0,10000,TA_ti!AB13*TA_ti!AB$47*TA_ti!$BD13)</f>
        <v>10000</v>
      </c>
      <c r="AC13" s="4">
        <f>+IF(TA_ti!AC13*TA_ti!AC$47*TA_ti!$BD13=0,10000,TA_ti!AC13*TA_ti!AC$47*TA_ti!$BD13)</f>
        <v>10000</v>
      </c>
      <c r="AD13" s="4">
        <f>+IF(TA_ti!AD13*TA_ti!AD$47*TA_ti!$BD13=0,10000,TA_ti!AD13*TA_ti!AD$47*TA_ti!$BD13)</f>
        <v>10000</v>
      </c>
      <c r="AE13" s="4">
        <f>+IF(TA_ti!AE13*TA_ti!AE$47*TA_ti!$BD13=0,10000,TA_ti!AE13*TA_ti!AE$47*TA_ti!$BD13)</f>
        <v>10000</v>
      </c>
      <c r="AF13" s="4">
        <f>+IF(TA_ti!AF13*TA_ti!AF$47*TA_ti!$BD13=0,10000,TA_ti!AF13*TA_ti!AF$47*TA_ti!$BD13)</f>
        <v>10000</v>
      </c>
      <c r="AG13" s="4">
        <f>+IF(TA_ti!AG13*TA_ti!AG$47*TA_ti!$BD13=0,10000,TA_ti!AG13*TA_ti!AG$47*TA_ti!$BD13)</f>
        <v>10000</v>
      </c>
      <c r="AH13" s="4">
        <f>+IF(TA_ti!AH13*TA_ti!AH$47*TA_ti!$BD13=0,10000,TA_ti!AH13*TA_ti!AH$47*TA_ti!$BD13)</f>
        <v>10000</v>
      </c>
      <c r="AI13" s="4">
        <f>+IF(TA_ti!AI13*TA_ti!AI$47*TA_ti!$BD13=0,10000,TA_ti!AI13*TA_ti!AI$47*TA_ti!$BD13)</f>
        <v>10000</v>
      </c>
      <c r="AJ13" s="4">
        <f>+IF(TA_ti!AJ13*TA_ti!AJ$47*TA_ti!$BD13=0,10000,TA_ti!AJ13*TA_ti!AJ$47*TA_ti!$BD13)</f>
        <v>10000</v>
      </c>
      <c r="AK13" s="4">
        <f>+IF(TA_ti!AK13*TA_ti!AK$47*TA_ti!$BD13=0,10000,TA_ti!AK13*TA_ti!AK$47*TA_ti!$BD13)</f>
        <v>10000</v>
      </c>
      <c r="AL13" s="4">
        <f>+IF(TA_ti!AL13*TA_ti!AL$47*TA_ti!$BD13=0,10000,TA_ti!AL13*TA_ti!AL$47*TA_ti!$BD13)</f>
        <v>10000</v>
      </c>
      <c r="AM13" s="4">
        <f>+IF(TA_ti!AM13*TA_ti!AM$47*TA_ti!$BD13=0,10000,TA_ti!AM13*TA_ti!AM$47*TA_ti!$BD13)</f>
        <v>10000</v>
      </c>
      <c r="AN13" s="4">
        <f>+IF(TA_ti!AN13*TA_ti!AN$47*TA_ti!$BD13=0,10000,TA_ti!AN13*TA_ti!AN$47*TA_ti!$BD13)</f>
        <v>10000</v>
      </c>
      <c r="AO13" s="4">
        <f>+IF(TA_ti!AO13*TA_ti!AO$47*TA_ti!$BD13=0,10000,TA_ti!AO13*TA_ti!AO$47*TA_ti!$BD13)</f>
        <v>108</v>
      </c>
      <c r="AP13" s="4">
        <f>+IF(TA_ti!AP13*TA_ti!AP$47*TA_ti!$BD13=0,10000,TA_ti!AP13*TA_ti!AP$47*TA_ti!$BD13)</f>
        <v>10000</v>
      </c>
      <c r="AQ13" s="4">
        <f>+IF(TA_ti!AQ13*TA_ti!AQ$47*TA_ti!$BD13=0,10000,TA_ti!AQ13*TA_ti!AQ$47*TA_ti!$BD13)</f>
        <v>10000</v>
      </c>
      <c r="AR13" s="4">
        <f>+IF(TA_ti!AR13*TA_ti!AR$47*TA_ti!$BD13=0,10000,TA_ti!AR13*TA_ti!AR$47*TA_ti!$BD13)</f>
        <v>10000</v>
      </c>
      <c r="AS13" s="4">
        <f>+IF(TA_ti!AS13*TA_ti!AS$47*TA_ti!$BD13=0,10000,TA_ti!AS13*TA_ti!AS$47*TA_ti!$BD13)</f>
        <v>10000</v>
      </c>
      <c r="AT13" s="4">
        <f>+IF(TA_ti!AT13*TA_ti!AT$47*TA_ti!$BD13=0,10000,TA_ti!AT13*TA_ti!AT$47*TA_ti!$BD13)</f>
        <v>10000</v>
      </c>
      <c r="AU13" s="4">
        <f>+IF(TA_ti!AU13*TA_ti!AU$47*TA_ti!$BD13=0,10000,TA_ti!AU13*TA_ti!AU$47*TA_ti!$BD13)</f>
        <v>10000</v>
      </c>
      <c r="AV13" s="4">
        <f>+IF(TA_ti!AV13*TA_ti!AV$47*TA_ti!$BD13=0,10000,TA_ti!AV13*TA_ti!AV$47*TA_ti!$BD13)</f>
        <v>10000</v>
      </c>
      <c r="AW13" s="4">
        <f>+IF(TA_ti!AW13*TA_ti!AW$47*TA_ti!$BD13=0,10000,TA_ti!AW13*TA_ti!AW$47*TA_ti!$BD13)</f>
        <v>10000</v>
      </c>
      <c r="AX13" s="4">
        <f>+IF(TA_ti!AX13*TA_ti!AX$47*TA_ti!$BD13=0,10000,TA_ti!AX13*TA_ti!AX$47*TA_ti!$BD13)</f>
        <v>10000</v>
      </c>
      <c r="AY13" s="4">
        <f>+IF(TA_ti!AY13*TA_ti!AY$47*TA_ti!$BD13=0,10000,TA_ti!AY13*TA_ti!AY$47*TA_ti!$BD13)</f>
        <v>10000</v>
      </c>
      <c r="AZ13" s="4">
        <f>+IF(TA_ti!AZ13*TA_ti!AZ$47*TA_ti!$BD13=0,10000,TA_ti!AZ13*TA_ti!AZ$47*TA_ti!$BD13)</f>
        <v>10000</v>
      </c>
      <c r="BA13" s="4">
        <f>+IF(TA_ti!BA13*TA_ti!BA$47*TA_ti!$BD13=0,10000,TA_ti!BA13*TA_ti!BA$47*TA_ti!$BD13)</f>
        <v>10000</v>
      </c>
      <c r="BB13" s="4">
        <f>+IF(TA_ti!BB13*TA_ti!BB$47*TA_ti!$BD13=0,10000,TA_ti!BB13*TA_ti!BB$47*TA_ti!$BD13)</f>
        <v>10000</v>
      </c>
      <c r="BC13" s="4">
        <f>+IF(TA_ti!BC13*TA_ti!BC$47*TA_ti!$BD13=0,10000,TA_ti!BC13*TA_ti!BC$47*TA_ti!$BD13)</f>
        <v>10000</v>
      </c>
    </row>
    <row r="14" spans="1:55" ht="18.75" customHeight="1" x14ac:dyDescent="0.25">
      <c r="A14" s="5" t="s">
        <v>65</v>
      </c>
      <c r="B14" s="4">
        <f>+IF(TA_ti!B14*TA_ti!B$47*TA_ti!$BD14=0,10000,TA_ti!B14*TA_ti!B$47*TA_ti!$BD14)</f>
        <v>12</v>
      </c>
      <c r="C14" s="4">
        <f>+IF(TA_ti!C14*TA_ti!C$47*TA_ti!$BD14=0,10000,TA_ti!C14*TA_ti!C$47*TA_ti!$BD14)</f>
        <v>10000</v>
      </c>
      <c r="D14" s="4">
        <f>+IF(TA_ti!D14*TA_ti!D$47*TA_ti!$BD14=0,10000,TA_ti!D14*TA_ti!D$47*TA_ti!$BD14)</f>
        <v>10000</v>
      </c>
      <c r="E14" s="4">
        <f>+IF(TA_ti!E14*TA_ti!E$47*TA_ti!$BD14=0,10000,TA_ti!E14*TA_ti!E$47*TA_ti!$BD14)</f>
        <v>10000</v>
      </c>
      <c r="F14" s="4">
        <f>+IF(TA_ti!F14*TA_ti!F$47*TA_ti!$BD14=0,10000,TA_ti!F14*TA_ti!F$47*TA_ti!$BD14)</f>
        <v>10000</v>
      </c>
      <c r="G14" s="4">
        <f>+IF(TA_ti!G14*TA_ti!G$47*TA_ti!$BD14=0,10000,TA_ti!G14*TA_ti!G$47*TA_ti!$BD14)</f>
        <v>10000</v>
      </c>
      <c r="H14" s="4">
        <f>+IF(TA_ti!H14*TA_ti!H$47*TA_ti!$BD14=0,10000,TA_ti!H14*TA_ti!H$47*TA_ti!$BD14)</f>
        <v>10000</v>
      </c>
      <c r="I14" s="4">
        <f>+IF(TA_ti!I14*TA_ti!I$47*TA_ti!$BD14=0,10000,TA_ti!I14*TA_ti!I$47*TA_ti!$BD14)</f>
        <v>10000</v>
      </c>
      <c r="J14" s="4">
        <f>+IF(TA_ti!J14*TA_ti!J$47*TA_ti!$BD14=0,10000,TA_ti!J14*TA_ti!J$47*TA_ti!$BD14)</f>
        <v>10000</v>
      </c>
      <c r="K14" s="4">
        <f>+IF(TA_ti!K14*TA_ti!K$47*TA_ti!$BD14=0,10000,TA_ti!K14*TA_ti!K$47*TA_ti!$BD14)</f>
        <v>10000</v>
      </c>
      <c r="L14" s="4">
        <f>+IF(TA_ti!L14*TA_ti!L$47*TA_ti!$BD14=0,10000,TA_ti!L14*TA_ti!L$47*TA_ti!$BD14)</f>
        <v>12</v>
      </c>
      <c r="M14" s="4">
        <f>+IF(TA_ti!M14*TA_ti!M$47*TA_ti!$BD14=0,10000,TA_ti!M14*TA_ti!M$47*TA_ti!$BD14)</f>
        <v>12</v>
      </c>
      <c r="N14" s="4">
        <f>+IF(TA_ti!N14*TA_ti!N$47*TA_ti!$BD14=0,10000,TA_ti!N14*TA_ti!N$47*TA_ti!$BD14)</f>
        <v>10000</v>
      </c>
      <c r="O14" s="4">
        <f>+IF(TA_ti!O14*TA_ti!O$47*TA_ti!$BD14=0,10000,TA_ti!O14*TA_ti!O$47*TA_ti!$BD14)</f>
        <v>6</v>
      </c>
      <c r="P14" s="4">
        <f>+IF(TA_ti!P14*TA_ti!P$47*TA_ti!$BD14=0,10000,TA_ti!P14*TA_ti!P$47*TA_ti!$BD14)</f>
        <v>10000</v>
      </c>
      <c r="Q14" s="4">
        <f>+IF(TA_ti!Q14*TA_ti!Q$47*TA_ti!$BD14=0,10000,TA_ti!Q14*TA_ti!Q$47*TA_ti!$BD14)</f>
        <v>10000</v>
      </c>
      <c r="R14" s="4">
        <f>+IF(TA_ti!R14*TA_ti!R$47*TA_ti!$BD14=0,10000,TA_ti!R14*TA_ti!R$47*TA_ti!$BD14)</f>
        <v>10000</v>
      </c>
      <c r="S14" s="4">
        <f>+IF(TA_ti!S14*TA_ti!S$47*TA_ti!$BD14=0,10000,TA_ti!S14*TA_ti!S$47*TA_ti!$BD14)</f>
        <v>10000</v>
      </c>
      <c r="T14" s="4">
        <f>+IF(TA_ti!T14*TA_ti!T$47*TA_ti!$BD14=0,10000,TA_ti!T14*TA_ti!T$47*TA_ti!$BD14)</f>
        <v>10000</v>
      </c>
      <c r="U14" s="4">
        <f>+IF(TA_ti!U14*TA_ti!U$47*TA_ti!$BD14=0,10000,TA_ti!U14*TA_ti!U$47*TA_ti!$BD14)</f>
        <v>10000</v>
      </c>
      <c r="V14" s="4">
        <f>+IF(TA_ti!V14*TA_ti!V$47*TA_ti!$BD14=0,10000,TA_ti!V14*TA_ti!V$47*TA_ti!$BD14)</f>
        <v>10000</v>
      </c>
      <c r="W14" s="4">
        <f>+IF(TA_ti!W14*TA_ti!W$47*TA_ti!$BD14=0,10000,TA_ti!W14*TA_ti!W$47*TA_ti!$BD14)</f>
        <v>10000</v>
      </c>
      <c r="X14" s="4">
        <f>+IF(TA_ti!X14*TA_ti!X$47*TA_ti!$BD14=0,10000,TA_ti!X14*TA_ti!X$47*TA_ti!$BD14)</f>
        <v>10000</v>
      </c>
      <c r="Y14" s="4">
        <f>+IF(TA_ti!Y14*TA_ti!Y$47*TA_ti!$BD14=0,10000,TA_ti!Y14*TA_ti!Y$47*TA_ti!$BD14)</f>
        <v>10000</v>
      </c>
      <c r="Z14" s="4">
        <f>+IF(TA_ti!Z14*TA_ti!Z$47*TA_ti!$BD14=0,10000,TA_ti!Z14*TA_ti!Z$47*TA_ti!$BD14)</f>
        <v>10000</v>
      </c>
      <c r="AA14" s="4">
        <f>+IF(TA_ti!AA14*TA_ti!AA$47*TA_ti!$BD14=0,10000,TA_ti!AA14*TA_ti!AA$47*TA_ti!$BD14)</f>
        <v>10000</v>
      </c>
      <c r="AB14" s="4">
        <f>+IF(TA_ti!AB14*TA_ti!AB$47*TA_ti!$BD14=0,10000,TA_ti!AB14*TA_ti!AB$47*TA_ti!$BD14)</f>
        <v>10000</v>
      </c>
      <c r="AC14" s="4">
        <f>+IF(TA_ti!AC14*TA_ti!AC$47*TA_ti!$BD14=0,10000,TA_ti!AC14*TA_ti!AC$47*TA_ti!$BD14)</f>
        <v>10000</v>
      </c>
      <c r="AD14" s="4">
        <f>+IF(TA_ti!AD14*TA_ti!AD$47*TA_ti!$BD14=0,10000,TA_ti!AD14*TA_ti!AD$47*TA_ti!$BD14)</f>
        <v>10000</v>
      </c>
      <c r="AE14" s="4">
        <f>+IF(TA_ti!AE14*TA_ti!AE$47*TA_ti!$BD14=0,10000,TA_ti!AE14*TA_ti!AE$47*TA_ti!$BD14)</f>
        <v>10000</v>
      </c>
      <c r="AF14" s="4">
        <f>+IF(TA_ti!AF14*TA_ti!AF$47*TA_ti!$BD14=0,10000,TA_ti!AF14*TA_ti!AF$47*TA_ti!$BD14)</f>
        <v>10000</v>
      </c>
      <c r="AG14" s="4">
        <f>+IF(TA_ti!AG14*TA_ti!AG$47*TA_ti!$BD14=0,10000,TA_ti!AG14*TA_ti!AG$47*TA_ti!$BD14)</f>
        <v>10000</v>
      </c>
      <c r="AH14" s="4">
        <f>+IF(TA_ti!AH14*TA_ti!AH$47*TA_ti!$BD14=0,10000,TA_ti!AH14*TA_ti!AH$47*TA_ti!$BD14)</f>
        <v>10000</v>
      </c>
      <c r="AI14" s="4">
        <f>+IF(TA_ti!AI14*TA_ti!AI$47*TA_ti!$BD14=0,10000,TA_ti!AI14*TA_ti!AI$47*TA_ti!$BD14)</f>
        <v>10000</v>
      </c>
      <c r="AJ14" s="4">
        <f>+IF(TA_ti!AJ14*TA_ti!AJ$47*TA_ti!$BD14=0,10000,TA_ti!AJ14*TA_ti!AJ$47*TA_ti!$BD14)</f>
        <v>10000</v>
      </c>
      <c r="AK14" s="4">
        <f>+IF(TA_ti!AK14*TA_ti!AK$47*TA_ti!$BD14=0,10000,TA_ti!AK14*TA_ti!AK$47*TA_ti!$BD14)</f>
        <v>10000</v>
      </c>
      <c r="AL14" s="4">
        <f>+IF(TA_ti!AL14*TA_ti!AL$47*TA_ti!$BD14=0,10000,TA_ti!AL14*TA_ti!AL$47*TA_ti!$BD14)</f>
        <v>10000</v>
      </c>
      <c r="AM14" s="4">
        <f>+IF(TA_ti!AM14*TA_ti!AM$47*TA_ti!$BD14=0,10000,TA_ti!AM14*TA_ti!AM$47*TA_ti!$BD14)</f>
        <v>10000</v>
      </c>
      <c r="AN14" s="4">
        <f>+IF(TA_ti!AN14*TA_ti!AN$47*TA_ti!$BD14=0,10000,TA_ti!AN14*TA_ti!AN$47*TA_ti!$BD14)</f>
        <v>10000</v>
      </c>
      <c r="AO14" s="4">
        <f>+IF(TA_ti!AO14*TA_ti!AO$47*TA_ti!$BD14=0,10000,TA_ti!AO14*TA_ti!AO$47*TA_ti!$BD14)</f>
        <v>10000</v>
      </c>
      <c r="AP14" s="4">
        <f>+IF(TA_ti!AP14*TA_ti!AP$47*TA_ti!$BD14=0,10000,TA_ti!AP14*TA_ti!AP$47*TA_ti!$BD14)</f>
        <v>10000</v>
      </c>
      <c r="AQ14" s="4">
        <f>+IF(TA_ti!AQ14*TA_ti!AQ$47*TA_ti!$BD14=0,10000,TA_ti!AQ14*TA_ti!AQ$47*TA_ti!$BD14)</f>
        <v>10000</v>
      </c>
      <c r="AR14" s="4">
        <f>+IF(TA_ti!AR14*TA_ti!AR$47*TA_ti!$BD14=0,10000,TA_ti!AR14*TA_ti!AR$47*TA_ti!$BD14)</f>
        <v>54</v>
      </c>
      <c r="AS14" s="4">
        <f>+IF(TA_ti!AS14*TA_ti!AS$47*TA_ti!$BD14=0,10000,TA_ti!AS14*TA_ti!AS$47*TA_ti!$BD14)</f>
        <v>12</v>
      </c>
      <c r="AT14" s="4">
        <f>+IF(TA_ti!AT14*TA_ti!AT$47*TA_ti!$BD14=0,10000,TA_ti!AT14*TA_ti!AT$47*TA_ti!$BD14)</f>
        <v>10000</v>
      </c>
      <c r="AU14" s="4">
        <f>+IF(TA_ti!AU14*TA_ti!AU$47*TA_ti!$BD14=0,10000,TA_ti!AU14*TA_ti!AU$47*TA_ti!$BD14)</f>
        <v>10000</v>
      </c>
      <c r="AV14" s="4">
        <f>+IF(TA_ti!AV14*TA_ti!AV$47*TA_ti!$BD14=0,10000,TA_ti!AV14*TA_ti!AV$47*TA_ti!$BD14)</f>
        <v>10000</v>
      </c>
      <c r="AW14" s="4">
        <f>+IF(TA_ti!AW14*TA_ti!AW$47*TA_ti!$BD14=0,10000,TA_ti!AW14*TA_ti!AW$47*TA_ti!$BD14)</f>
        <v>12</v>
      </c>
      <c r="AX14" s="4">
        <f>+IF(TA_ti!AX14*TA_ti!AX$47*TA_ti!$BD14=0,10000,TA_ti!AX14*TA_ti!AX$47*TA_ti!$BD14)</f>
        <v>10000</v>
      </c>
      <c r="AY14" s="4">
        <f>+IF(TA_ti!AY14*TA_ti!AY$47*TA_ti!$BD14=0,10000,TA_ti!AY14*TA_ti!AY$47*TA_ti!$BD14)</f>
        <v>10000</v>
      </c>
      <c r="AZ14" s="4">
        <f>+IF(TA_ti!AZ14*TA_ti!AZ$47*TA_ti!$BD14=0,10000,TA_ti!AZ14*TA_ti!AZ$47*TA_ti!$BD14)</f>
        <v>10000</v>
      </c>
      <c r="BA14" s="4">
        <f>+IF(TA_ti!BA14*TA_ti!BA$47*TA_ti!$BD14=0,10000,TA_ti!BA14*TA_ti!BA$47*TA_ti!$BD14)</f>
        <v>10000</v>
      </c>
      <c r="BB14" s="4">
        <f>+IF(TA_ti!BB14*TA_ti!BB$47*TA_ti!$BD14=0,10000,TA_ti!BB14*TA_ti!BB$47*TA_ti!$BD14)</f>
        <v>10000</v>
      </c>
      <c r="BC14" s="4">
        <f>+IF(TA_ti!BC14*TA_ti!BC$47*TA_ti!$BD14=0,10000,TA_ti!BC14*TA_ti!BC$47*TA_ti!$BD14)</f>
        <v>10000</v>
      </c>
    </row>
    <row r="15" spans="1:55" ht="18.75" customHeight="1" x14ac:dyDescent="0.25">
      <c r="A15" s="5" t="s">
        <v>66</v>
      </c>
      <c r="B15" s="4">
        <f>+IF(TA_ti!B15*TA_ti!B$47*TA_ti!$BD15=0,10000,TA_ti!B15*TA_ti!B$47*TA_ti!$BD15)</f>
        <v>10000</v>
      </c>
      <c r="C15" s="4">
        <f>+IF(TA_ti!C15*TA_ti!C$47*TA_ti!$BD15=0,10000,TA_ti!C15*TA_ti!C$47*TA_ti!$BD15)</f>
        <v>15</v>
      </c>
      <c r="D15" s="4">
        <f>+IF(TA_ti!D15*TA_ti!D$47*TA_ti!$BD15=0,10000,TA_ti!D15*TA_ti!D$47*TA_ti!$BD15)</f>
        <v>10000</v>
      </c>
      <c r="E15" s="4">
        <f>+IF(TA_ti!E15*TA_ti!E$47*TA_ti!$BD15=0,10000,TA_ti!E15*TA_ti!E$47*TA_ti!$BD15)</f>
        <v>10000</v>
      </c>
      <c r="F15" s="4">
        <f>+IF(TA_ti!F15*TA_ti!F$47*TA_ti!$BD15=0,10000,TA_ti!F15*TA_ti!F$47*TA_ti!$BD15)</f>
        <v>10000</v>
      </c>
      <c r="G15" s="4">
        <f>+IF(TA_ti!G15*TA_ti!G$47*TA_ti!$BD15=0,10000,TA_ti!G15*TA_ti!G$47*TA_ti!$BD15)</f>
        <v>10000</v>
      </c>
      <c r="H15" s="4">
        <f>+IF(TA_ti!H15*TA_ti!H$47*TA_ti!$BD15=0,10000,TA_ti!H15*TA_ti!H$47*TA_ti!$BD15)</f>
        <v>10000</v>
      </c>
      <c r="I15" s="4">
        <f>+IF(TA_ti!I15*TA_ti!I$47*TA_ti!$BD15=0,10000,TA_ti!I15*TA_ti!I$47*TA_ti!$BD15)</f>
        <v>10000</v>
      </c>
      <c r="J15" s="4">
        <f>+IF(TA_ti!J15*TA_ti!J$47*TA_ti!$BD15=0,10000,TA_ti!J15*TA_ti!J$47*TA_ti!$BD15)</f>
        <v>10000</v>
      </c>
      <c r="K15" s="4">
        <f>+IF(TA_ti!K15*TA_ti!K$47*TA_ti!$BD15=0,10000,TA_ti!K15*TA_ti!K$47*TA_ti!$BD15)</f>
        <v>10000</v>
      </c>
      <c r="L15" s="4">
        <f>+IF(TA_ti!L15*TA_ti!L$47*TA_ti!$BD15=0,10000,TA_ti!L15*TA_ti!L$47*TA_ti!$BD15)</f>
        <v>12</v>
      </c>
      <c r="M15" s="4">
        <f>+IF(TA_ti!M15*TA_ti!M$47*TA_ti!$BD15=0,10000,TA_ti!M15*TA_ti!M$47*TA_ti!$BD15)</f>
        <v>12</v>
      </c>
      <c r="N15" s="4">
        <f>+IF(TA_ti!N15*TA_ti!N$47*TA_ti!$BD15=0,10000,TA_ti!N15*TA_ti!N$47*TA_ti!$BD15)</f>
        <v>10000</v>
      </c>
      <c r="O15" s="4">
        <f>+IF(TA_ti!O15*TA_ti!O$47*TA_ti!$BD15=0,10000,TA_ti!O15*TA_ti!O$47*TA_ti!$BD15)</f>
        <v>10000</v>
      </c>
      <c r="P15" s="4">
        <f>+IF(TA_ti!P15*TA_ti!P$47*TA_ti!$BD15=0,10000,TA_ti!P15*TA_ti!P$47*TA_ti!$BD15)</f>
        <v>8</v>
      </c>
      <c r="Q15" s="4">
        <f>+IF(TA_ti!Q15*TA_ti!Q$47*TA_ti!$BD15=0,10000,TA_ti!Q15*TA_ti!Q$47*TA_ti!$BD15)</f>
        <v>10000</v>
      </c>
      <c r="R15" s="4">
        <f>+IF(TA_ti!R15*TA_ti!R$47*TA_ti!$BD15=0,10000,TA_ti!R15*TA_ti!R$47*TA_ti!$BD15)</f>
        <v>10000</v>
      </c>
      <c r="S15" s="4">
        <f>+IF(TA_ti!S15*TA_ti!S$47*TA_ti!$BD15=0,10000,TA_ti!S15*TA_ti!S$47*TA_ti!$BD15)</f>
        <v>10000</v>
      </c>
      <c r="T15" s="4">
        <f>+IF(TA_ti!T15*TA_ti!T$47*TA_ti!$BD15=0,10000,TA_ti!T15*TA_ti!T$47*TA_ti!$BD15)</f>
        <v>10000</v>
      </c>
      <c r="U15" s="4">
        <f>+IF(TA_ti!U15*TA_ti!U$47*TA_ti!$BD15=0,10000,TA_ti!U15*TA_ti!U$47*TA_ti!$BD15)</f>
        <v>10000</v>
      </c>
      <c r="V15" s="4">
        <f>+IF(TA_ti!V15*TA_ti!V$47*TA_ti!$BD15=0,10000,TA_ti!V15*TA_ti!V$47*TA_ti!$BD15)</f>
        <v>10000</v>
      </c>
      <c r="W15" s="4">
        <f>+IF(TA_ti!W15*TA_ti!W$47*TA_ti!$BD15=0,10000,TA_ti!W15*TA_ti!W$47*TA_ti!$BD15)</f>
        <v>10000</v>
      </c>
      <c r="X15" s="4">
        <f>+IF(TA_ti!X15*TA_ti!X$47*TA_ti!$BD15=0,10000,TA_ti!X15*TA_ti!X$47*TA_ti!$BD15)</f>
        <v>10000</v>
      </c>
      <c r="Y15" s="4">
        <f>+IF(TA_ti!Y15*TA_ti!Y$47*TA_ti!$BD15=0,10000,TA_ti!Y15*TA_ti!Y$47*TA_ti!$BD15)</f>
        <v>10000</v>
      </c>
      <c r="Z15" s="4">
        <f>+IF(TA_ti!Z15*TA_ti!Z$47*TA_ti!$BD15=0,10000,TA_ti!Z15*TA_ti!Z$47*TA_ti!$BD15)</f>
        <v>10000</v>
      </c>
      <c r="AA15" s="4">
        <f>+IF(TA_ti!AA15*TA_ti!AA$47*TA_ti!$BD15=0,10000,TA_ti!AA15*TA_ti!AA$47*TA_ti!$BD15)</f>
        <v>10000</v>
      </c>
      <c r="AB15" s="4">
        <f>+IF(TA_ti!AB15*TA_ti!AB$47*TA_ti!$BD15=0,10000,TA_ti!AB15*TA_ti!AB$47*TA_ti!$BD15)</f>
        <v>10000</v>
      </c>
      <c r="AC15" s="4">
        <f>+IF(TA_ti!AC15*TA_ti!AC$47*TA_ti!$BD15=0,10000,TA_ti!AC15*TA_ti!AC$47*TA_ti!$BD15)</f>
        <v>10000</v>
      </c>
      <c r="AD15" s="4">
        <f>+IF(TA_ti!AD15*TA_ti!AD$47*TA_ti!$BD15=0,10000,TA_ti!AD15*TA_ti!AD$47*TA_ti!$BD15)</f>
        <v>10000</v>
      </c>
      <c r="AE15" s="4">
        <f>+IF(TA_ti!AE15*TA_ti!AE$47*TA_ti!$BD15=0,10000,TA_ti!AE15*TA_ti!AE$47*TA_ti!$BD15)</f>
        <v>10000</v>
      </c>
      <c r="AF15" s="4">
        <f>+IF(TA_ti!AF15*TA_ti!AF$47*TA_ti!$BD15=0,10000,TA_ti!AF15*TA_ti!AF$47*TA_ti!$BD15)</f>
        <v>10000</v>
      </c>
      <c r="AG15" s="4">
        <f>+IF(TA_ti!AG15*TA_ti!AG$47*TA_ti!$BD15=0,10000,TA_ti!AG15*TA_ti!AG$47*TA_ti!$BD15)</f>
        <v>10000</v>
      </c>
      <c r="AH15" s="4">
        <f>+IF(TA_ti!AH15*TA_ti!AH$47*TA_ti!$BD15=0,10000,TA_ti!AH15*TA_ti!AH$47*TA_ti!$BD15)</f>
        <v>10000</v>
      </c>
      <c r="AI15" s="4">
        <f>+IF(TA_ti!AI15*TA_ti!AI$47*TA_ti!$BD15=0,10000,TA_ti!AI15*TA_ti!AI$47*TA_ti!$BD15)</f>
        <v>10000</v>
      </c>
      <c r="AJ15" s="4">
        <f>+IF(TA_ti!AJ15*TA_ti!AJ$47*TA_ti!$BD15=0,10000,TA_ti!AJ15*TA_ti!AJ$47*TA_ti!$BD15)</f>
        <v>10000</v>
      </c>
      <c r="AK15" s="4">
        <f>+IF(TA_ti!AK15*TA_ti!AK$47*TA_ti!$BD15=0,10000,TA_ti!AK15*TA_ti!AK$47*TA_ti!$BD15)</f>
        <v>10000</v>
      </c>
      <c r="AL15" s="4">
        <f>+IF(TA_ti!AL15*TA_ti!AL$47*TA_ti!$BD15=0,10000,TA_ti!AL15*TA_ti!AL$47*TA_ti!$BD15)</f>
        <v>10000</v>
      </c>
      <c r="AM15" s="4">
        <f>+IF(TA_ti!AM15*TA_ti!AM$47*TA_ti!$BD15=0,10000,TA_ti!AM15*TA_ti!AM$47*TA_ti!$BD15)</f>
        <v>10000</v>
      </c>
      <c r="AN15" s="4">
        <f>+IF(TA_ti!AN15*TA_ti!AN$47*TA_ti!$BD15=0,10000,TA_ti!AN15*TA_ti!AN$47*TA_ti!$BD15)</f>
        <v>10000</v>
      </c>
      <c r="AO15" s="4">
        <f>+IF(TA_ti!AO15*TA_ti!AO$47*TA_ti!$BD15=0,10000,TA_ti!AO15*TA_ti!AO$47*TA_ti!$BD15)</f>
        <v>10000</v>
      </c>
      <c r="AP15" s="4">
        <f>+IF(TA_ti!AP15*TA_ti!AP$47*TA_ti!$BD15=0,10000,TA_ti!AP15*TA_ti!AP$47*TA_ti!$BD15)</f>
        <v>10000</v>
      </c>
      <c r="AQ15" s="4">
        <f>+IF(TA_ti!AQ15*TA_ti!AQ$47*TA_ti!$BD15=0,10000,TA_ti!AQ15*TA_ti!AQ$47*TA_ti!$BD15)</f>
        <v>10000</v>
      </c>
      <c r="AR15" s="4">
        <f>+IF(TA_ti!AR15*TA_ti!AR$47*TA_ti!$BD15=0,10000,TA_ti!AR15*TA_ti!AR$47*TA_ti!$BD15)</f>
        <v>10000</v>
      </c>
      <c r="AS15" s="4">
        <f>+IF(TA_ti!AS15*TA_ti!AS$47*TA_ti!$BD15=0,10000,TA_ti!AS15*TA_ti!AS$47*TA_ti!$BD15)</f>
        <v>10000</v>
      </c>
      <c r="AT15" s="4">
        <f>+IF(TA_ti!AT15*TA_ti!AT$47*TA_ti!$BD15=0,10000,TA_ti!AT15*TA_ti!AT$47*TA_ti!$BD15)</f>
        <v>10000</v>
      </c>
      <c r="AU15" s="4">
        <f>+IF(TA_ti!AU15*TA_ti!AU$47*TA_ti!$BD15=0,10000,TA_ti!AU15*TA_ti!AU$47*TA_ti!$BD15)</f>
        <v>50</v>
      </c>
      <c r="AV15" s="4">
        <f>+IF(TA_ti!AV15*TA_ti!AV$47*TA_ti!$BD15=0,10000,TA_ti!AV15*TA_ti!AV$47*TA_ti!$BD15)</f>
        <v>10000</v>
      </c>
      <c r="AW15" s="4">
        <f>+IF(TA_ti!AW15*TA_ti!AW$47*TA_ti!$BD15=0,10000,TA_ti!AW15*TA_ti!AW$47*TA_ti!$BD15)</f>
        <v>10000</v>
      </c>
      <c r="AX15" s="4">
        <f>+IF(TA_ti!AX15*TA_ti!AX$47*TA_ti!$BD15=0,10000,TA_ti!AX15*TA_ti!AX$47*TA_ti!$BD15)</f>
        <v>15</v>
      </c>
      <c r="AY15" s="4">
        <f>+IF(TA_ti!AY15*TA_ti!AY$47*TA_ti!$BD15=0,10000,TA_ti!AY15*TA_ti!AY$47*TA_ti!$BD15)</f>
        <v>10000</v>
      </c>
      <c r="AZ15" s="4">
        <f>+IF(TA_ti!AZ15*TA_ti!AZ$47*TA_ti!$BD15=0,10000,TA_ti!AZ15*TA_ti!AZ$47*TA_ti!$BD15)</f>
        <v>10000</v>
      </c>
      <c r="BA15" s="4">
        <f>+IF(TA_ti!BA15*TA_ti!BA$47*TA_ti!$BD15=0,10000,TA_ti!BA15*TA_ti!BA$47*TA_ti!$BD15)</f>
        <v>10000</v>
      </c>
      <c r="BB15" s="4">
        <f>+IF(TA_ti!BB15*TA_ti!BB$47*TA_ti!$BD15=0,10000,TA_ti!BB15*TA_ti!BB$47*TA_ti!$BD15)</f>
        <v>10000</v>
      </c>
      <c r="BC15" s="4">
        <f>+IF(TA_ti!BC15*TA_ti!BC$47*TA_ti!$BD15=0,10000,TA_ti!BC15*TA_ti!BC$47*TA_ti!$BD15)</f>
        <v>10000</v>
      </c>
    </row>
    <row r="16" spans="1:55" ht="18.75" customHeight="1" x14ac:dyDescent="0.25">
      <c r="A16" s="5" t="s">
        <v>67</v>
      </c>
      <c r="B16" s="4">
        <f>+IF(TA_ti!B16*TA_ti!B$47*TA_ti!$BD16=0,10000,TA_ti!B16*TA_ti!B$47*TA_ti!$BD16)</f>
        <v>10000</v>
      </c>
      <c r="C16" s="4">
        <f>+IF(TA_ti!C16*TA_ti!C$47*TA_ti!$BD16=0,10000,TA_ti!C16*TA_ti!C$47*TA_ti!$BD16)</f>
        <v>10000</v>
      </c>
      <c r="D16" s="4">
        <f>+IF(TA_ti!D16*TA_ti!D$47*TA_ti!$BD16=0,10000,TA_ti!D16*TA_ti!D$47*TA_ti!$BD16)</f>
        <v>10000</v>
      </c>
      <c r="E16" s="4">
        <f>+IF(TA_ti!E16*TA_ti!E$47*TA_ti!$BD16=0,10000,TA_ti!E16*TA_ti!E$47*TA_ti!$BD16)</f>
        <v>10000</v>
      </c>
      <c r="F16" s="4">
        <f>+IF(TA_ti!F16*TA_ti!F$47*TA_ti!$BD16=0,10000,TA_ti!F16*TA_ti!F$47*TA_ti!$BD16)</f>
        <v>10000</v>
      </c>
      <c r="G16" s="4">
        <f>+IF(TA_ti!G16*TA_ti!G$47*TA_ti!$BD16=0,10000,TA_ti!G16*TA_ti!G$47*TA_ti!$BD16)</f>
        <v>10000</v>
      </c>
      <c r="H16" s="4">
        <f>+IF(TA_ti!H16*TA_ti!H$47*TA_ti!$BD16=0,10000,TA_ti!H16*TA_ti!H$47*TA_ti!$BD16)</f>
        <v>10000</v>
      </c>
      <c r="I16" s="4">
        <f>+IF(TA_ti!I16*TA_ti!I$47*TA_ti!$BD16=0,10000,TA_ti!I16*TA_ti!I$47*TA_ti!$BD16)</f>
        <v>10000</v>
      </c>
      <c r="J16" s="4">
        <f>+IF(TA_ti!J16*TA_ti!J$47*TA_ti!$BD16=0,10000,TA_ti!J16*TA_ti!J$47*TA_ti!$BD16)</f>
        <v>15</v>
      </c>
      <c r="K16" s="4">
        <f>+IF(TA_ti!K16*TA_ti!K$47*TA_ti!$BD16=0,10000,TA_ti!K16*TA_ti!K$47*TA_ti!$BD16)</f>
        <v>10000</v>
      </c>
      <c r="L16" s="4">
        <f>+IF(TA_ti!L16*TA_ti!L$47*TA_ti!$BD16=0,10000,TA_ti!L16*TA_ti!L$47*TA_ti!$BD16)</f>
        <v>12</v>
      </c>
      <c r="M16" s="4">
        <f>+IF(TA_ti!M16*TA_ti!M$47*TA_ti!$BD16=0,10000,TA_ti!M16*TA_ti!M$47*TA_ti!$BD16)</f>
        <v>12</v>
      </c>
      <c r="N16" s="4">
        <f>+IF(TA_ti!N16*TA_ti!N$47*TA_ti!$BD16=0,10000,TA_ti!N16*TA_ti!N$47*TA_ti!$BD16)</f>
        <v>15</v>
      </c>
      <c r="O16" s="4">
        <f>+IF(TA_ti!O16*TA_ti!O$47*TA_ti!$BD16=0,10000,TA_ti!O16*TA_ti!O$47*TA_ti!$BD16)</f>
        <v>10000</v>
      </c>
      <c r="P16" s="4">
        <f>+IF(TA_ti!P16*TA_ti!P$47*TA_ti!$BD16=0,10000,TA_ti!P16*TA_ti!P$47*TA_ti!$BD16)</f>
        <v>10000</v>
      </c>
      <c r="Q16" s="4">
        <f>+IF(TA_ti!Q16*TA_ti!Q$47*TA_ti!$BD16=0,10000,TA_ti!Q16*TA_ti!Q$47*TA_ti!$BD16)</f>
        <v>10000</v>
      </c>
      <c r="R16" s="4">
        <f>+IF(TA_ti!R16*TA_ti!R$47*TA_ti!$BD16=0,10000,TA_ti!R16*TA_ti!R$47*TA_ti!$BD16)</f>
        <v>15</v>
      </c>
      <c r="S16" s="4">
        <f>+IF(TA_ti!S16*TA_ti!S$47*TA_ti!$BD16=0,10000,TA_ti!S16*TA_ti!S$47*TA_ti!$BD16)</f>
        <v>10000</v>
      </c>
      <c r="T16" s="4">
        <f>+IF(TA_ti!T16*TA_ti!T$47*TA_ti!$BD16=0,10000,TA_ti!T16*TA_ti!T$47*TA_ti!$BD16)</f>
        <v>10000</v>
      </c>
      <c r="U16" s="4">
        <f>+IF(TA_ti!U16*TA_ti!U$47*TA_ti!$BD16=0,10000,TA_ti!U16*TA_ti!U$47*TA_ti!$BD16)</f>
        <v>10000</v>
      </c>
      <c r="V16" s="4">
        <f>+IF(TA_ti!V16*TA_ti!V$47*TA_ti!$BD16=0,10000,TA_ti!V16*TA_ti!V$47*TA_ti!$BD16)</f>
        <v>10000</v>
      </c>
      <c r="W16" s="4">
        <f>+IF(TA_ti!W16*TA_ti!W$47*TA_ti!$BD16=0,10000,TA_ti!W16*TA_ti!W$47*TA_ti!$BD16)</f>
        <v>10000</v>
      </c>
      <c r="X16" s="4">
        <f>+IF(TA_ti!X16*TA_ti!X$47*TA_ti!$BD16=0,10000,TA_ti!X16*TA_ti!X$47*TA_ti!$BD16)</f>
        <v>10000</v>
      </c>
      <c r="Y16" s="4">
        <f>+IF(TA_ti!Y16*TA_ti!Y$47*TA_ti!$BD16=0,10000,TA_ti!Y16*TA_ti!Y$47*TA_ti!$BD16)</f>
        <v>10000</v>
      </c>
      <c r="Z16" s="4">
        <f>+IF(TA_ti!Z16*TA_ti!Z$47*TA_ti!$BD16=0,10000,TA_ti!Z16*TA_ti!Z$47*TA_ti!$BD16)</f>
        <v>10000</v>
      </c>
      <c r="AA16" s="4">
        <f>+IF(TA_ti!AA16*TA_ti!AA$47*TA_ti!$BD16=0,10000,TA_ti!AA16*TA_ti!AA$47*TA_ti!$BD16)</f>
        <v>10000</v>
      </c>
      <c r="AB16" s="4">
        <f>+IF(TA_ti!AB16*TA_ti!AB$47*TA_ti!$BD16=0,10000,TA_ti!AB16*TA_ti!AB$47*TA_ti!$BD16)</f>
        <v>10000</v>
      </c>
      <c r="AC16" s="4">
        <f>+IF(TA_ti!AC16*TA_ti!AC$47*TA_ti!$BD16=0,10000,TA_ti!AC16*TA_ti!AC$47*TA_ti!$BD16)</f>
        <v>10000</v>
      </c>
      <c r="AD16" s="4">
        <f>+IF(TA_ti!AD16*TA_ti!AD$47*TA_ti!$BD16=0,10000,TA_ti!AD16*TA_ti!AD$47*TA_ti!$BD16)</f>
        <v>10000</v>
      </c>
      <c r="AE16" s="4">
        <f>+IF(TA_ti!AE16*TA_ti!AE$47*TA_ti!$BD16=0,10000,TA_ti!AE16*TA_ti!AE$47*TA_ti!$BD16)</f>
        <v>10000</v>
      </c>
      <c r="AF16" s="4">
        <f>+IF(TA_ti!AF16*TA_ti!AF$47*TA_ti!$BD16=0,10000,TA_ti!AF16*TA_ti!AF$47*TA_ti!$BD16)</f>
        <v>10000</v>
      </c>
      <c r="AG16" s="4">
        <f>+IF(TA_ti!AG16*TA_ti!AG$47*TA_ti!$BD16=0,10000,TA_ti!AG16*TA_ti!AG$47*TA_ti!$BD16)</f>
        <v>10000</v>
      </c>
      <c r="AH16" s="4">
        <f>+IF(TA_ti!AH16*TA_ti!AH$47*TA_ti!$BD16=0,10000,TA_ti!AH16*TA_ti!AH$47*TA_ti!$BD16)</f>
        <v>10000</v>
      </c>
      <c r="AI16" s="4">
        <f>+IF(TA_ti!AI16*TA_ti!AI$47*TA_ti!$BD16=0,10000,TA_ti!AI16*TA_ti!AI$47*TA_ti!$BD16)</f>
        <v>10000</v>
      </c>
      <c r="AJ16" s="4">
        <f>+IF(TA_ti!AJ16*TA_ti!AJ$47*TA_ti!$BD16=0,10000,TA_ti!AJ16*TA_ti!AJ$47*TA_ti!$BD16)</f>
        <v>10000</v>
      </c>
      <c r="AK16" s="4">
        <f>+IF(TA_ti!AK16*TA_ti!AK$47*TA_ti!$BD16=0,10000,TA_ti!AK16*TA_ti!AK$47*TA_ti!$BD16)</f>
        <v>10000</v>
      </c>
      <c r="AL16" s="4">
        <f>+IF(TA_ti!AL16*TA_ti!AL$47*TA_ti!$BD16=0,10000,TA_ti!AL16*TA_ti!AL$47*TA_ti!$BD16)</f>
        <v>10000</v>
      </c>
      <c r="AM16" s="4">
        <f>+IF(TA_ti!AM16*TA_ti!AM$47*TA_ti!$BD16=0,10000,TA_ti!AM16*TA_ti!AM$47*TA_ti!$BD16)</f>
        <v>10000</v>
      </c>
      <c r="AN16" s="4">
        <f>+IF(TA_ti!AN16*TA_ti!AN$47*TA_ti!$BD16=0,10000,TA_ti!AN16*TA_ti!AN$47*TA_ti!$BD16)</f>
        <v>10000</v>
      </c>
      <c r="AO16" s="4">
        <f>+IF(TA_ti!AO16*TA_ti!AO$47*TA_ti!$BD16=0,10000,TA_ti!AO16*TA_ti!AO$47*TA_ti!$BD16)</f>
        <v>10000</v>
      </c>
      <c r="AP16" s="4">
        <f>+IF(TA_ti!AP16*TA_ti!AP$47*TA_ti!$BD16=0,10000,TA_ti!AP16*TA_ti!AP$47*TA_ti!$BD16)</f>
        <v>10000</v>
      </c>
      <c r="AQ16" s="4">
        <f>+IF(TA_ti!AQ16*TA_ti!AQ$47*TA_ti!$BD16=0,10000,TA_ti!AQ16*TA_ti!AQ$47*TA_ti!$BD16)</f>
        <v>25</v>
      </c>
      <c r="AR16" s="4">
        <f>+IF(TA_ti!AR16*TA_ti!AR$47*TA_ti!$BD16=0,10000,TA_ti!AR16*TA_ti!AR$47*TA_ti!$BD16)</f>
        <v>10000</v>
      </c>
      <c r="AS16" s="4">
        <f>+IF(TA_ti!AS16*TA_ti!AS$47*TA_ti!$BD16=0,10000,TA_ti!AS16*TA_ti!AS$47*TA_ti!$BD16)</f>
        <v>10000</v>
      </c>
      <c r="AT16" s="4">
        <f>+IF(TA_ti!AT16*TA_ti!AT$47*TA_ti!$BD16=0,10000,TA_ti!AT16*TA_ti!AT$47*TA_ti!$BD16)</f>
        <v>10000</v>
      </c>
      <c r="AU16" s="4">
        <f>+IF(TA_ti!AU16*TA_ti!AU$47*TA_ti!$BD16=0,10000,TA_ti!AU16*TA_ti!AU$47*TA_ti!$BD16)</f>
        <v>10000</v>
      </c>
      <c r="AV16" s="4">
        <f>+IF(TA_ti!AV16*TA_ti!AV$47*TA_ti!$BD16=0,10000,TA_ti!AV16*TA_ti!AV$47*TA_ti!$BD16)</f>
        <v>10000</v>
      </c>
      <c r="AW16" s="4">
        <f>+IF(TA_ti!AW16*TA_ti!AW$47*TA_ti!$BD16=0,10000,TA_ti!AW16*TA_ti!AW$47*TA_ti!$BD16)</f>
        <v>10000</v>
      </c>
      <c r="AX16" s="4">
        <f>+IF(TA_ti!AX16*TA_ti!AX$47*TA_ti!$BD16=0,10000,TA_ti!AX16*TA_ti!AX$47*TA_ti!$BD16)</f>
        <v>15</v>
      </c>
      <c r="AY16" s="4">
        <f>+IF(TA_ti!AY16*TA_ti!AY$47*TA_ti!$BD16=0,10000,TA_ti!AY16*TA_ti!AY$47*TA_ti!$BD16)</f>
        <v>10000</v>
      </c>
      <c r="AZ16" s="4">
        <f>+IF(TA_ti!AZ16*TA_ti!AZ$47*TA_ti!$BD16=0,10000,TA_ti!AZ16*TA_ti!AZ$47*TA_ti!$BD16)</f>
        <v>10000</v>
      </c>
      <c r="BA16" s="4">
        <f>+IF(TA_ti!BA16*TA_ti!BA$47*TA_ti!$BD16=0,10000,TA_ti!BA16*TA_ti!BA$47*TA_ti!$BD16)</f>
        <v>10000</v>
      </c>
      <c r="BB16" s="4">
        <f>+IF(TA_ti!BB16*TA_ti!BB$47*TA_ti!$BD16=0,10000,TA_ti!BB16*TA_ti!BB$47*TA_ti!$BD16)</f>
        <v>10000</v>
      </c>
      <c r="BC16" s="4">
        <f>+IF(TA_ti!BC16*TA_ti!BC$47*TA_ti!$BD16=0,10000,TA_ti!BC16*TA_ti!BC$47*TA_ti!$BD16)</f>
        <v>10000</v>
      </c>
    </row>
    <row r="17" spans="1:55" ht="18.75" customHeight="1" x14ac:dyDescent="0.25">
      <c r="A17" s="5" t="s">
        <v>68</v>
      </c>
      <c r="B17" s="4">
        <f>+IF(TA_ti!B17*TA_ti!B$47*TA_ti!$BD17=0,10000,TA_ti!B17*TA_ti!B$47*TA_ti!$BD17)</f>
        <v>10000</v>
      </c>
      <c r="C17" s="4">
        <f>+IF(TA_ti!C17*TA_ti!C$47*TA_ti!$BD17=0,10000,TA_ti!C17*TA_ti!C$47*TA_ti!$BD17)</f>
        <v>12</v>
      </c>
      <c r="D17" s="4">
        <f>+IF(TA_ti!D17*TA_ti!D$47*TA_ti!$BD17=0,10000,TA_ti!D17*TA_ti!D$47*TA_ti!$BD17)</f>
        <v>10000</v>
      </c>
      <c r="E17" s="4">
        <f>+IF(TA_ti!E17*TA_ti!E$47*TA_ti!$BD17=0,10000,TA_ti!E17*TA_ti!E$47*TA_ti!$BD17)</f>
        <v>10000</v>
      </c>
      <c r="F17" s="4">
        <f>+IF(TA_ti!F17*TA_ti!F$47*TA_ti!$BD17=0,10000,TA_ti!F17*TA_ti!F$47*TA_ti!$BD17)</f>
        <v>10000</v>
      </c>
      <c r="G17" s="4">
        <f>+IF(TA_ti!G17*TA_ti!G$47*TA_ti!$BD17=0,10000,TA_ti!G17*TA_ti!G$47*TA_ti!$BD17)</f>
        <v>10000</v>
      </c>
      <c r="H17" s="4">
        <f>+IF(TA_ti!H17*TA_ti!H$47*TA_ti!$BD17=0,10000,TA_ti!H17*TA_ti!H$47*TA_ti!$BD17)</f>
        <v>10000</v>
      </c>
      <c r="I17" s="4">
        <f>+IF(TA_ti!I17*TA_ti!I$47*TA_ti!$BD17=0,10000,TA_ti!I17*TA_ti!I$47*TA_ti!$BD17)</f>
        <v>10000</v>
      </c>
      <c r="J17" s="4">
        <f>+IF(TA_ti!J17*TA_ti!J$47*TA_ti!$BD17=0,10000,TA_ti!J17*TA_ti!J$47*TA_ti!$BD17)</f>
        <v>10000</v>
      </c>
      <c r="K17" s="4">
        <f>+IF(TA_ti!K17*TA_ti!K$47*TA_ti!$BD17=0,10000,TA_ti!K17*TA_ti!K$47*TA_ti!$BD17)</f>
        <v>10000</v>
      </c>
      <c r="L17" s="4">
        <f>+IF(TA_ti!L17*TA_ti!L$47*TA_ti!$BD17=0,10000,TA_ti!L17*TA_ti!L$47*TA_ti!$BD17)</f>
        <v>12</v>
      </c>
      <c r="M17" s="4">
        <f>+IF(TA_ti!M17*TA_ti!M$47*TA_ti!$BD17=0,10000,TA_ti!M17*TA_ti!M$47*TA_ti!$BD17)</f>
        <v>12</v>
      </c>
      <c r="N17" s="4">
        <f>+IF(TA_ti!N17*TA_ti!N$47*TA_ti!$BD17=0,10000,TA_ti!N17*TA_ti!N$47*TA_ti!$BD17)</f>
        <v>10000</v>
      </c>
      <c r="O17" s="4">
        <f>+IF(TA_ti!O17*TA_ti!O$47*TA_ti!$BD17=0,10000,TA_ti!O17*TA_ti!O$47*TA_ti!$BD17)</f>
        <v>10000</v>
      </c>
      <c r="P17" s="4">
        <f>+IF(TA_ti!P17*TA_ti!P$47*TA_ti!$BD17=0,10000,TA_ti!P17*TA_ti!P$47*TA_ti!$BD17)</f>
        <v>6</v>
      </c>
      <c r="Q17" s="4">
        <f>+IF(TA_ti!Q17*TA_ti!Q$47*TA_ti!$BD17=0,10000,TA_ti!Q17*TA_ti!Q$47*TA_ti!$BD17)</f>
        <v>10000</v>
      </c>
      <c r="R17" s="4">
        <f>+IF(TA_ti!R17*TA_ti!R$47*TA_ti!$BD17=0,10000,TA_ti!R17*TA_ti!R$47*TA_ti!$BD17)</f>
        <v>10000</v>
      </c>
      <c r="S17" s="4">
        <f>+IF(TA_ti!S17*TA_ti!S$47*TA_ti!$BD17=0,10000,TA_ti!S17*TA_ti!S$47*TA_ti!$BD17)</f>
        <v>10000</v>
      </c>
      <c r="T17" s="4">
        <f>+IF(TA_ti!T17*TA_ti!T$47*TA_ti!$BD17=0,10000,TA_ti!T17*TA_ti!T$47*TA_ti!$BD17)</f>
        <v>10000</v>
      </c>
      <c r="U17" s="4">
        <f>+IF(TA_ti!U17*TA_ti!U$47*TA_ti!$BD17=0,10000,TA_ti!U17*TA_ti!U$47*TA_ti!$BD17)</f>
        <v>10000</v>
      </c>
      <c r="V17" s="4">
        <f>+IF(TA_ti!V17*TA_ti!V$47*TA_ti!$BD17=0,10000,TA_ti!V17*TA_ti!V$47*TA_ti!$BD17)</f>
        <v>10000</v>
      </c>
      <c r="W17" s="4">
        <f>+IF(TA_ti!W17*TA_ti!W$47*TA_ti!$BD17=0,10000,TA_ti!W17*TA_ti!W$47*TA_ti!$BD17)</f>
        <v>10000</v>
      </c>
      <c r="X17" s="4">
        <f>+IF(TA_ti!X17*TA_ti!X$47*TA_ti!$BD17=0,10000,TA_ti!X17*TA_ti!X$47*TA_ti!$BD17)</f>
        <v>10000</v>
      </c>
      <c r="Y17" s="4">
        <f>+IF(TA_ti!Y17*TA_ti!Y$47*TA_ti!$BD17=0,10000,TA_ti!Y17*TA_ti!Y$47*TA_ti!$BD17)</f>
        <v>10000</v>
      </c>
      <c r="Z17" s="4">
        <f>+IF(TA_ti!Z17*TA_ti!Z$47*TA_ti!$BD17=0,10000,TA_ti!Z17*TA_ti!Z$47*TA_ti!$BD17)</f>
        <v>10000</v>
      </c>
      <c r="AA17" s="4">
        <f>+IF(TA_ti!AA17*TA_ti!AA$47*TA_ti!$BD17=0,10000,TA_ti!AA17*TA_ti!AA$47*TA_ti!$BD17)</f>
        <v>10000</v>
      </c>
      <c r="AB17" s="4">
        <f>+IF(TA_ti!AB17*TA_ti!AB$47*TA_ti!$BD17=0,10000,TA_ti!AB17*TA_ti!AB$47*TA_ti!$BD17)</f>
        <v>10000</v>
      </c>
      <c r="AC17" s="4">
        <f>+IF(TA_ti!AC17*TA_ti!AC$47*TA_ti!$BD17=0,10000,TA_ti!AC17*TA_ti!AC$47*TA_ti!$BD17)</f>
        <v>10000</v>
      </c>
      <c r="AD17" s="4">
        <f>+IF(TA_ti!AD17*TA_ti!AD$47*TA_ti!$BD17=0,10000,TA_ti!AD17*TA_ti!AD$47*TA_ti!$BD17)</f>
        <v>10000</v>
      </c>
      <c r="AE17" s="4">
        <f>+IF(TA_ti!AE17*TA_ti!AE$47*TA_ti!$BD17=0,10000,TA_ti!AE17*TA_ti!AE$47*TA_ti!$BD17)</f>
        <v>10000</v>
      </c>
      <c r="AF17" s="4">
        <f>+IF(TA_ti!AF17*TA_ti!AF$47*TA_ti!$BD17=0,10000,TA_ti!AF17*TA_ti!AF$47*TA_ti!$BD17)</f>
        <v>10000</v>
      </c>
      <c r="AG17" s="4">
        <f>+IF(TA_ti!AG17*TA_ti!AG$47*TA_ti!$BD17=0,10000,TA_ti!AG17*TA_ti!AG$47*TA_ti!$BD17)</f>
        <v>10000</v>
      </c>
      <c r="AH17" s="4">
        <f>+IF(TA_ti!AH17*TA_ti!AH$47*TA_ti!$BD17=0,10000,TA_ti!AH17*TA_ti!AH$47*TA_ti!$BD17)</f>
        <v>10000</v>
      </c>
      <c r="AI17" s="4">
        <f>+IF(TA_ti!AI17*TA_ti!AI$47*TA_ti!$BD17=0,10000,TA_ti!AI17*TA_ti!AI$47*TA_ti!$BD17)</f>
        <v>10000</v>
      </c>
      <c r="AJ17" s="4">
        <f>+IF(TA_ti!AJ17*TA_ti!AJ$47*TA_ti!$BD17=0,10000,TA_ti!AJ17*TA_ti!AJ$47*TA_ti!$BD17)</f>
        <v>10000</v>
      </c>
      <c r="AK17" s="4">
        <f>+IF(TA_ti!AK17*TA_ti!AK$47*TA_ti!$BD17=0,10000,TA_ti!AK17*TA_ti!AK$47*TA_ti!$BD17)</f>
        <v>10000</v>
      </c>
      <c r="AL17" s="4">
        <f>+IF(TA_ti!AL17*TA_ti!AL$47*TA_ti!$BD17=0,10000,TA_ti!AL17*TA_ti!AL$47*TA_ti!$BD17)</f>
        <v>10000</v>
      </c>
      <c r="AM17" s="4">
        <f>+IF(TA_ti!AM17*TA_ti!AM$47*TA_ti!$BD17=0,10000,TA_ti!AM17*TA_ti!AM$47*TA_ti!$BD17)</f>
        <v>10000</v>
      </c>
      <c r="AN17" s="4">
        <f>+IF(TA_ti!AN17*TA_ti!AN$47*TA_ti!$BD17=0,10000,TA_ti!AN17*TA_ti!AN$47*TA_ti!$BD17)</f>
        <v>10000</v>
      </c>
      <c r="AO17" s="4">
        <f>+IF(TA_ti!AO17*TA_ti!AO$47*TA_ti!$BD17=0,10000,TA_ti!AO17*TA_ti!AO$47*TA_ti!$BD17)</f>
        <v>10000</v>
      </c>
      <c r="AP17" s="4">
        <f>+IF(TA_ti!AP17*TA_ti!AP$47*TA_ti!$BD17=0,10000,TA_ti!AP17*TA_ti!AP$47*TA_ti!$BD17)</f>
        <v>10000</v>
      </c>
      <c r="AQ17" s="4">
        <f>+IF(TA_ti!AQ17*TA_ti!AQ$47*TA_ti!$BD17=0,10000,TA_ti!AQ17*TA_ti!AQ$47*TA_ti!$BD17)</f>
        <v>10000</v>
      </c>
      <c r="AR17" s="4">
        <f>+IF(TA_ti!AR17*TA_ti!AR$47*TA_ti!$BD17=0,10000,TA_ti!AR17*TA_ti!AR$47*TA_ti!$BD17)</f>
        <v>10000</v>
      </c>
      <c r="AS17" s="4">
        <f>+IF(TA_ti!AS17*TA_ti!AS$47*TA_ti!$BD17=0,10000,TA_ti!AS17*TA_ti!AS$47*TA_ti!$BD17)</f>
        <v>10000</v>
      </c>
      <c r="AT17" s="4">
        <f>+IF(TA_ti!AT17*TA_ti!AT$47*TA_ti!$BD17=0,10000,TA_ti!AT17*TA_ti!AT$47*TA_ti!$BD17)</f>
        <v>10000</v>
      </c>
      <c r="AU17" s="4">
        <f>+IF(TA_ti!AU17*TA_ti!AU$47*TA_ti!$BD17=0,10000,TA_ti!AU17*TA_ti!AU$47*TA_ti!$BD17)</f>
        <v>50</v>
      </c>
      <c r="AV17" s="4">
        <f>+IF(TA_ti!AV17*TA_ti!AV$47*TA_ti!$BD17=0,10000,TA_ti!AV17*TA_ti!AV$47*TA_ti!$BD17)</f>
        <v>10000</v>
      </c>
      <c r="AW17" s="4">
        <f>+IF(TA_ti!AW17*TA_ti!AW$47*TA_ti!$BD17=0,10000,TA_ti!AW17*TA_ti!AW$47*TA_ti!$BD17)</f>
        <v>10000</v>
      </c>
      <c r="AX17" s="4">
        <f>+IF(TA_ti!AX17*TA_ti!AX$47*TA_ti!$BD17=0,10000,TA_ti!AX17*TA_ti!AX$47*TA_ti!$BD17)</f>
        <v>15</v>
      </c>
      <c r="AY17" s="4">
        <f>+IF(TA_ti!AY17*TA_ti!AY$47*TA_ti!$BD17=0,10000,TA_ti!AY17*TA_ti!AY$47*TA_ti!$BD17)</f>
        <v>10000</v>
      </c>
      <c r="AZ17" s="4">
        <f>+IF(TA_ti!AZ17*TA_ti!AZ$47*TA_ti!$BD17=0,10000,TA_ti!AZ17*TA_ti!AZ$47*TA_ti!$BD17)</f>
        <v>10000</v>
      </c>
      <c r="BA17" s="4">
        <f>+IF(TA_ti!BA17*TA_ti!BA$47*TA_ti!$BD17=0,10000,TA_ti!BA17*TA_ti!BA$47*TA_ti!$BD17)</f>
        <v>10000</v>
      </c>
      <c r="BB17" s="4">
        <f>+IF(TA_ti!BB17*TA_ti!BB$47*TA_ti!$BD17=0,10000,TA_ti!BB17*TA_ti!BB$47*TA_ti!$BD17)</f>
        <v>10000</v>
      </c>
      <c r="BC17" s="4">
        <f>+IF(TA_ti!BC17*TA_ti!BC$47*TA_ti!$BD17=0,10000,TA_ti!BC17*TA_ti!BC$47*TA_ti!$BD17)</f>
        <v>10000</v>
      </c>
    </row>
    <row r="18" spans="1:55" ht="18.75" customHeight="1" x14ac:dyDescent="0.25">
      <c r="A18" s="5" t="s">
        <v>69</v>
      </c>
      <c r="B18" s="4">
        <f>+IF(TA_ti!B18*TA_ti!B$47*TA_ti!$BD18=0,10000,TA_ti!B18*TA_ti!B$47*TA_ti!$BD18)</f>
        <v>10000</v>
      </c>
      <c r="C18" s="4">
        <f>+IF(TA_ti!C18*TA_ti!C$47*TA_ti!$BD18=0,10000,TA_ti!C18*TA_ti!C$47*TA_ti!$BD18)</f>
        <v>10000</v>
      </c>
      <c r="D18" s="4">
        <f>+IF(TA_ti!D18*TA_ti!D$47*TA_ti!$BD18=0,10000,TA_ti!D18*TA_ti!D$47*TA_ti!$BD18)</f>
        <v>10000</v>
      </c>
      <c r="E18" s="4">
        <f>+IF(TA_ti!E18*TA_ti!E$47*TA_ti!$BD18=0,10000,TA_ti!E18*TA_ti!E$47*TA_ti!$BD18)</f>
        <v>10000</v>
      </c>
      <c r="F18" s="4">
        <f>+IF(TA_ti!F18*TA_ti!F$47*TA_ti!$BD18=0,10000,TA_ti!F18*TA_ti!F$47*TA_ti!$BD18)</f>
        <v>10000</v>
      </c>
      <c r="G18" s="4">
        <f>+IF(TA_ti!G18*TA_ti!G$47*TA_ti!$BD18=0,10000,TA_ti!G18*TA_ti!G$47*TA_ti!$BD18)</f>
        <v>10000</v>
      </c>
      <c r="H18" s="4">
        <f>+IF(TA_ti!H18*TA_ti!H$47*TA_ti!$BD18=0,10000,TA_ti!H18*TA_ti!H$47*TA_ti!$BD18)</f>
        <v>10000</v>
      </c>
      <c r="I18" s="4">
        <f>+IF(TA_ti!I18*TA_ti!I$47*TA_ti!$BD18=0,10000,TA_ti!I18*TA_ti!I$47*TA_ti!$BD18)</f>
        <v>10000</v>
      </c>
      <c r="J18" s="4">
        <f>+IF(TA_ti!J18*TA_ti!J$47*TA_ti!$BD18=0,10000,TA_ti!J18*TA_ti!J$47*TA_ti!$BD18)</f>
        <v>10000</v>
      </c>
      <c r="K18" s="4">
        <f>+IF(TA_ti!K18*TA_ti!K$47*TA_ti!$BD18=0,10000,TA_ti!K18*TA_ti!K$47*TA_ti!$BD18)</f>
        <v>10000</v>
      </c>
      <c r="L18" s="4">
        <f>+IF(TA_ti!L18*TA_ti!L$47*TA_ti!$BD18=0,10000,TA_ti!L18*TA_ti!L$47*TA_ti!$BD18)</f>
        <v>10000</v>
      </c>
      <c r="M18" s="4">
        <f>+IF(TA_ti!M18*TA_ti!M$47*TA_ti!$BD18=0,10000,TA_ti!M18*TA_ti!M$47*TA_ti!$BD18)</f>
        <v>10000</v>
      </c>
      <c r="N18" s="4">
        <f>+IF(TA_ti!N18*TA_ti!N$47*TA_ti!$BD18=0,10000,TA_ti!N18*TA_ti!N$47*TA_ti!$BD18)</f>
        <v>10000</v>
      </c>
      <c r="O18" s="4">
        <f>+IF(TA_ti!O18*TA_ti!O$47*TA_ti!$BD18=0,10000,TA_ti!O18*TA_ti!O$47*TA_ti!$BD18)</f>
        <v>10000</v>
      </c>
      <c r="P18" s="4">
        <f>+IF(TA_ti!P18*TA_ti!P$47*TA_ti!$BD18=0,10000,TA_ti!P18*TA_ti!P$47*TA_ti!$BD18)</f>
        <v>10000</v>
      </c>
      <c r="Q18" s="4">
        <f>+IF(TA_ti!Q18*TA_ti!Q$47*TA_ti!$BD18=0,10000,TA_ti!Q18*TA_ti!Q$47*TA_ti!$BD18)</f>
        <v>10000</v>
      </c>
      <c r="R18" s="4">
        <f>+IF(TA_ti!R18*TA_ti!R$47*TA_ti!$BD18=0,10000,TA_ti!R18*TA_ti!R$47*TA_ti!$BD18)</f>
        <v>10000</v>
      </c>
      <c r="S18" s="4">
        <f>+IF(TA_ti!S18*TA_ti!S$47*TA_ti!$BD18=0,10000,TA_ti!S18*TA_ti!S$47*TA_ti!$BD18)</f>
        <v>10000</v>
      </c>
      <c r="T18" s="4">
        <f>+IF(TA_ti!T18*TA_ti!T$47*TA_ti!$BD18=0,10000,TA_ti!T18*TA_ti!T$47*TA_ti!$BD18)</f>
        <v>10000</v>
      </c>
      <c r="U18" s="4">
        <f>+IF(TA_ti!U18*TA_ti!U$47*TA_ti!$BD18=0,10000,TA_ti!U18*TA_ti!U$47*TA_ti!$BD18)</f>
        <v>10000</v>
      </c>
      <c r="V18" s="4">
        <f>+IF(TA_ti!V18*TA_ti!V$47*TA_ti!$BD18=0,10000,TA_ti!V18*TA_ti!V$47*TA_ti!$BD18)</f>
        <v>10000</v>
      </c>
      <c r="W18" s="4">
        <f>+IF(TA_ti!W18*TA_ti!W$47*TA_ti!$BD18=0,10000,TA_ti!W18*TA_ti!W$47*TA_ti!$BD18)</f>
        <v>10000</v>
      </c>
      <c r="X18" s="4">
        <f>+IF(TA_ti!X18*TA_ti!X$47*TA_ti!$BD18=0,10000,TA_ti!X18*TA_ti!X$47*TA_ti!$BD18)</f>
        <v>10000</v>
      </c>
      <c r="Y18" s="4">
        <f>+IF(TA_ti!Y18*TA_ti!Y$47*TA_ti!$BD18=0,10000,TA_ti!Y18*TA_ti!Y$47*TA_ti!$BD18)</f>
        <v>10000</v>
      </c>
      <c r="Z18" s="4">
        <f>+IF(TA_ti!Z18*TA_ti!Z$47*TA_ti!$BD18=0,10000,TA_ti!Z18*TA_ti!Z$47*TA_ti!$BD18)</f>
        <v>10000</v>
      </c>
      <c r="AA18" s="4">
        <f>+IF(TA_ti!AA18*TA_ti!AA$47*TA_ti!$BD18=0,10000,TA_ti!AA18*TA_ti!AA$47*TA_ti!$BD18)</f>
        <v>10000</v>
      </c>
      <c r="AB18" s="4">
        <f>+IF(TA_ti!AB18*TA_ti!AB$47*TA_ti!$BD18=0,10000,TA_ti!AB18*TA_ti!AB$47*TA_ti!$BD18)</f>
        <v>10000</v>
      </c>
      <c r="AC18" s="4">
        <f>+IF(TA_ti!AC18*TA_ti!AC$47*TA_ti!$BD18=0,10000,TA_ti!AC18*TA_ti!AC$47*TA_ti!$BD18)</f>
        <v>10000</v>
      </c>
      <c r="AD18" s="4">
        <f>+IF(TA_ti!AD18*TA_ti!AD$47*TA_ti!$BD18=0,10000,TA_ti!AD18*TA_ti!AD$47*TA_ti!$BD18)</f>
        <v>10000</v>
      </c>
      <c r="AE18" s="4">
        <f>+IF(TA_ti!AE18*TA_ti!AE$47*TA_ti!$BD18=0,10000,TA_ti!AE18*TA_ti!AE$47*TA_ti!$BD18)</f>
        <v>10000</v>
      </c>
      <c r="AF18" s="4">
        <f>+IF(TA_ti!AF18*TA_ti!AF$47*TA_ti!$BD18=0,10000,TA_ti!AF18*TA_ti!AF$47*TA_ti!$BD18)</f>
        <v>10000</v>
      </c>
      <c r="AG18" s="4">
        <f>+IF(TA_ti!AG18*TA_ti!AG$47*TA_ti!$BD18=0,10000,TA_ti!AG18*TA_ti!AG$47*TA_ti!$BD18)</f>
        <v>10000</v>
      </c>
      <c r="AH18" s="4">
        <f>+IF(TA_ti!AH18*TA_ti!AH$47*TA_ti!$BD18=0,10000,TA_ti!AH18*TA_ti!AH$47*TA_ti!$BD18)</f>
        <v>10000</v>
      </c>
      <c r="AI18" s="4">
        <f>+IF(TA_ti!AI18*TA_ti!AI$47*TA_ti!$BD18=0,10000,TA_ti!AI18*TA_ti!AI$47*TA_ti!$BD18)</f>
        <v>10000</v>
      </c>
      <c r="AJ18" s="4">
        <f>+IF(TA_ti!AJ18*TA_ti!AJ$47*TA_ti!$BD18=0,10000,TA_ti!AJ18*TA_ti!AJ$47*TA_ti!$BD18)</f>
        <v>10000</v>
      </c>
      <c r="AK18" s="4">
        <f>+IF(TA_ti!AK18*TA_ti!AK$47*TA_ti!$BD18=0,10000,TA_ti!AK18*TA_ti!AK$47*TA_ti!$BD18)</f>
        <v>10000</v>
      </c>
      <c r="AL18" s="4">
        <f>+IF(TA_ti!AL18*TA_ti!AL$47*TA_ti!$BD18=0,10000,TA_ti!AL18*TA_ti!AL$47*TA_ti!$BD18)</f>
        <v>10000</v>
      </c>
      <c r="AM18" s="4">
        <f>+IF(TA_ti!AM18*TA_ti!AM$47*TA_ti!$BD18=0,10000,TA_ti!AM18*TA_ti!AM$47*TA_ti!$BD18)</f>
        <v>10000</v>
      </c>
      <c r="AN18" s="4">
        <f>+IF(TA_ti!AN18*TA_ti!AN$47*TA_ti!$BD18=0,10000,TA_ti!AN18*TA_ti!AN$47*TA_ti!$BD18)</f>
        <v>10000</v>
      </c>
      <c r="AO18" s="4">
        <f>+IF(TA_ti!AO18*TA_ti!AO$47*TA_ti!$BD18=0,10000,TA_ti!AO18*TA_ti!AO$47*TA_ti!$BD18)</f>
        <v>10000</v>
      </c>
      <c r="AP18" s="4">
        <f>+IF(TA_ti!AP18*TA_ti!AP$47*TA_ti!$BD18=0,10000,TA_ti!AP18*TA_ti!AP$47*TA_ti!$BD18)</f>
        <v>10000</v>
      </c>
      <c r="AQ18" s="4">
        <f>+IF(TA_ti!AQ18*TA_ti!AQ$47*TA_ti!$BD18=0,10000,TA_ti!AQ18*TA_ti!AQ$47*TA_ti!$BD18)</f>
        <v>10000</v>
      </c>
      <c r="AR18" s="4">
        <f>+IF(TA_ti!AR18*TA_ti!AR$47*TA_ti!$BD18=0,10000,TA_ti!AR18*TA_ti!AR$47*TA_ti!$BD18)</f>
        <v>10000</v>
      </c>
      <c r="AS18" s="4">
        <f>+IF(TA_ti!AS18*TA_ti!AS$47*TA_ti!$BD18=0,10000,TA_ti!AS18*TA_ti!AS$47*TA_ti!$BD18)</f>
        <v>10000</v>
      </c>
      <c r="AT18" s="4">
        <f>+IF(TA_ti!AT18*TA_ti!AT$47*TA_ti!$BD18=0,10000,TA_ti!AT18*TA_ti!AT$47*TA_ti!$BD18)</f>
        <v>10000</v>
      </c>
      <c r="AU18" s="4">
        <f>+IF(TA_ti!AU18*TA_ti!AU$47*TA_ti!$BD18=0,10000,TA_ti!AU18*TA_ti!AU$47*TA_ti!$BD18)</f>
        <v>10000</v>
      </c>
      <c r="AV18" s="4">
        <f>+IF(TA_ti!AV18*TA_ti!AV$47*TA_ti!$BD18=0,10000,TA_ti!AV18*TA_ti!AV$47*TA_ti!$BD18)</f>
        <v>8</v>
      </c>
      <c r="AW18" s="4">
        <f>+IF(TA_ti!AW18*TA_ti!AW$47*TA_ti!$BD18=0,10000,TA_ti!AW18*TA_ti!AW$47*TA_ti!$BD18)</f>
        <v>10000</v>
      </c>
      <c r="AX18" s="4">
        <f>+IF(TA_ti!AX18*TA_ti!AX$47*TA_ti!$BD18=0,10000,TA_ti!AX18*TA_ti!AX$47*TA_ti!$BD18)</f>
        <v>10000</v>
      </c>
      <c r="AY18" s="4">
        <f>+IF(TA_ti!AY18*TA_ti!AY$47*TA_ti!$BD18=0,10000,TA_ti!AY18*TA_ti!AY$47*TA_ti!$BD18)</f>
        <v>10000</v>
      </c>
      <c r="AZ18" s="4">
        <f>+IF(TA_ti!AZ18*TA_ti!AZ$47*TA_ti!$BD18=0,10000,TA_ti!AZ18*TA_ti!AZ$47*TA_ti!$BD18)</f>
        <v>10000</v>
      </c>
      <c r="BA18" s="4">
        <f>+IF(TA_ti!BA18*TA_ti!BA$47*TA_ti!$BD18=0,10000,TA_ti!BA18*TA_ti!BA$47*TA_ti!$BD18)</f>
        <v>10000</v>
      </c>
      <c r="BB18" s="4">
        <f>+IF(TA_ti!BB18*TA_ti!BB$47*TA_ti!$BD18=0,10000,TA_ti!BB18*TA_ti!BB$47*TA_ti!$BD18)</f>
        <v>10000</v>
      </c>
      <c r="BC18" s="4">
        <f>+IF(TA_ti!BC18*TA_ti!BC$47*TA_ti!$BD18=0,10000,TA_ti!BC18*TA_ti!BC$47*TA_ti!$BD18)</f>
        <v>10000</v>
      </c>
    </row>
    <row r="19" spans="1:55" ht="18.75" customHeight="1" x14ac:dyDescent="0.25">
      <c r="A19" s="5" t="s">
        <v>70</v>
      </c>
      <c r="B19" s="4">
        <f>+IF(TA_ti!B19*TA_ti!B$47*TA_ti!$BD19=0,10000,TA_ti!B19*TA_ti!B$47*TA_ti!$BD19)</f>
        <v>10000</v>
      </c>
      <c r="C19" s="4">
        <f>+IF(TA_ti!C19*TA_ti!C$47*TA_ti!$BD19=0,10000,TA_ti!C19*TA_ti!C$47*TA_ti!$BD19)</f>
        <v>10000</v>
      </c>
      <c r="D19" s="4">
        <f>+IF(TA_ti!D19*TA_ti!D$47*TA_ti!$BD19=0,10000,TA_ti!D19*TA_ti!D$47*TA_ti!$BD19)</f>
        <v>10000</v>
      </c>
      <c r="E19" s="4">
        <f>+IF(TA_ti!E19*TA_ti!E$47*TA_ti!$BD19=0,10000,TA_ti!E19*TA_ti!E$47*TA_ti!$BD19)</f>
        <v>10000</v>
      </c>
      <c r="F19" s="4">
        <f>+IF(TA_ti!F19*TA_ti!F$47*TA_ti!$BD19=0,10000,TA_ti!F19*TA_ti!F$47*TA_ti!$BD19)</f>
        <v>10000</v>
      </c>
      <c r="G19" s="4">
        <f>+IF(TA_ti!G19*TA_ti!G$47*TA_ti!$BD19=0,10000,TA_ti!G19*TA_ti!G$47*TA_ti!$BD19)</f>
        <v>10000</v>
      </c>
      <c r="H19" s="4">
        <f>+IF(TA_ti!H19*TA_ti!H$47*TA_ti!$BD19=0,10000,TA_ti!H19*TA_ti!H$47*TA_ti!$BD19)</f>
        <v>10000</v>
      </c>
      <c r="I19" s="4">
        <f>+IF(TA_ti!I19*TA_ti!I$47*TA_ti!$BD19=0,10000,TA_ti!I19*TA_ti!I$47*TA_ti!$BD19)</f>
        <v>10000</v>
      </c>
      <c r="J19" s="4">
        <f>+IF(TA_ti!J19*TA_ti!J$47*TA_ti!$BD19=0,10000,TA_ti!J19*TA_ti!J$47*TA_ti!$BD19)</f>
        <v>10000</v>
      </c>
      <c r="K19" s="4">
        <f>+IF(TA_ti!K19*TA_ti!K$47*TA_ti!$BD19=0,10000,TA_ti!K19*TA_ti!K$47*TA_ti!$BD19)</f>
        <v>10000</v>
      </c>
      <c r="L19" s="4">
        <f>+IF(TA_ti!L19*TA_ti!L$47*TA_ti!$BD19=0,10000,TA_ti!L19*TA_ti!L$47*TA_ti!$BD19)</f>
        <v>10000</v>
      </c>
      <c r="M19" s="4">
        <f>+IF(TA_ti!M19*TA_ti!M$47*TA_ti!$BD19=0,10000,TA_ti!M19*TA_ti!M$47*TA_ti!$BD19)</f>
        <v>10000</v>
      </c>
      <c r="N19" s="4">
        <f>+IF(TA_ti!N19*TA_ti!N$47*TA_ti!$BD19=0,10000,TA_ti!N19*TA_ti!N$47*TA_ti!$BD19)</f>
        <v>10000</v>
      </c>
      <c r="O19" s="4">
        <f>+IF(TA_ti!O19*TA_ti!O$47*TA_ti!$BD19=0,10000,TA_ti!O19*TA_ti!O$47*TA_ti!$BD19)</f>
        <v>10000</v>
      </c>
      <c r="P19" s="4">
        <f>+IF(TA_ti!P19*TA_ti!P$47*TA_ti!$BD19=0,10000,TA_ti!P19*TA_ti!P$47*TA_ti!$BD19)</f>
        <v>10000</v>
      </c>
      <c r="Q19" s="4">
        <f>+IF(TA_ti!Q19*TA_ti!Q$47*TA_ti!$BD19=0,10000,TA_ti!Q19*TA_ti!Q$47*TA_ti!$BD19)</f>
        <v>10000</v>
      </c>
      <c r="R19" s="4">
        <f>+IF(TA_ti!R19*TA_ti!R$47*TA_ti!$BD19=0,10000,TA_ti!R19*TA_ti!R$47*TA_ti!$BD19)</f>
        <v>10000</v>
      </c>
      <c r="S19" s="4">
        <f>+IF(TA_ti!S19*TA_ti!S$47*TA_ti!$BD19=0,10000,TA_ti!S19*TA_ti!S$47*TA_ti!$BD19)</f>
        <v>10000</v>
      </c>
      <c r="T19" s="4">
        <f>+IF(TA_ti!T19*TA_ti!T$47*TA_ti!$BD19=0,10000,TA_ti!T19*TA_ti!T$47*TA_ti!$BD19)</f>
        <v>10000</v>
      </c>
      <c r="U19" s="4">
        <f>+IF(TA_ti!U19*TA_ti!U$47*TA_ti!$BD19=0,10000,TA_ti!U19*TA_ti!U$47*TA_ti!$BD19)</f>
        <v>10000</v>
      </c>
      <c r="V19" s="4">
        <f>+IF(TA_ti!V19*TA_ti!V$47*TA_ti!$BD19=0,10000,TA_ti!V19*TA_ti!V$47*TA_ti!$BD19)</f>
        <v>10000</v>
      </c>
      <c r="W19" s="4">
        <f>+IF(TA_ti!W19*TA_ti!W$47*TA_ti!$BD19=0,10000,TA_ti!W19*TA_ti!W$47*TA_ti!$BD19)</f>
        <v>10000</v>
      </c>
      <c r="X19" s="4">
        <f>+IF(TA_ti!X19*TA_ti!X$47*TA_ti!$BD19=0,10000,TA_ti!X19*TA_ti!X$47*TA_ti!$BD19)</f>
        <v>10000</v>
      </c>
      <c r="Y19" s="4">
        <f>+IF(TA_ti!Y19*TA_ti!Y$47*TA_ti!$BD19=0,10000,TA_ti!Y19*TA_ti!Y$47*TA_ti!$BD19)</f>
        <v>10000</v>
      </c>
      <c r="Z19" s="4">
        <f>+IF(TA_ti!Z19*TA_ti!Z$47*TA_ti!$BD19=0,10000,TA_ti!Z19*TA_ti!Z$47*TA_ti!$BD19)</f>
        <v>10000</v>
      </c>
      <c r="AA19" s="4">
        <f>+IF(TA_ti!AA19*TA_ti!AA$47*TA_ti!$BD19=0,10000,TA_ti!AA19*TA_ti!AA$47*TA_ti!$BD19)</f>
        <v>10000</v>
      </c>
      <c r="AB19" s="4">
        <f>+IF(TA_ti!AB19*TA_ti!AB$47*TA_ti!$BD19=0,10000,TA_ti!AB19*TA_ti!AB$47*TA_ti!$BD19)</f>
        <v>10000</v>
      </c>
      <c r="AC19" s="4">
        <f>+IF(TA_ti!AC19*TA_ti!AC$47*TA_ti!$BD19=0,10000,TA_ti!AC19*TA_ti!AC$47*TA_ti!$BD19)</f>
        <v>10000</v>
      </c>
      <c r="AD19" s="4">
        <f>+IF(TA_ti!AD19*TA_ti!AD$47*TA_ti!$BD19=0,10000,TA_ti!AD19*TA_ti!AD$47*TA_ti!$BD19)</f>
        <v>10000</v>
      </c>
      <c r="AE19" s="4">
        <f>+IF(TA_ti!AE19*TA_ti!AE$47*TA_ti!$BD19=0,10000,TA_ti!AE19*TA_ti!AE$47*TA_ti!$BD19)</f>
        <v>10000</v>
      </c>
      <c r="AF19" s="4">
        <f>+IF(TA_ti!AF19*TA_ti!AF$47*TA_ti!$BD19=0,10000,TA_ti!AF19*TA_ti!AF$47*TA_ti!$BD19)</f>
        <v>10000</v>
      </c>
      <c r="AG19" s="4">
        <f>+IF(TA_ti!AG19*TA_ti!AG$47*TA_ti!$BD19=0,10000,TA_ti!AG19*TA_ti!AG$47*TA_ti!$BD19)</f>
        <v>10000</v>
      </c>
      <c r="AH19" s="4">
        <f>+IF(TA_ti!AH19*TA_ti!AH$47*TA_ti!$BD19=0,10000,TA_ti!AH19*TA_ti!AH$47*TA_ti!$BD19)</f>
        <v>10000</v>
      </c>
      <c r="AI19" s="4">
        <f>+IF(TA_ti!AI19*TA_ti!AI$47*TA_ti!$BD19=0,10000,TA_ti!AI19*TA_ti!AI$47*TA_ti!$BD19)</f>
        <v>10000</v>
      </c>
      <c r="AJ19" s="4">
        <f>+IF(TA_ti!AJ19*TA_ti!AJ$47*TA_ti!$BD19=0,10000,TA_ti!AJ19*TA_ti!AJ$47*TA_ti!$BD19)</f>
        <v>10000</v>
      </c>
      <c r="AK19" s="4">
        <f>+IF(TA_ti!AK19*TA_ti!AK$47*TA_ti!$BD19=0,10000,TA_ti!AK19*TA_ti!AK$47*TA_ti!$BD19)</f>
        <v>10000</v>
      </c>
      <c r="AL19" s="4">
        <f>+IF(TA_ti!AL19*TA_ti!AL$47*TA_ti!$BD19=0,10000,TA_ti!AL19*TA_ti!AL$47*TA_ti!$BD19)</f>
        <v>10000</v>
      </c>
      <c r="AM19" s="4">
        <f>+IF(TA_ti!AM19*TA_ti!AM$47*TA_ti!$BD19=0,10000,TA_ti!AM19*TA_ti!AM$47*TA_ti!$BD19)</f>
        <v>10000</v>
      </c>
      <c r="AN19" s="4">
        <f>+IF(TA_ti!AN19*TA_ti!AN$47*TA_ti!$BD19=0,10000,TA_ti!AN19*TA_ti!AN$47*TA_ti!$BD19)</f>
        <v>10000</v>
      </c>
      <c r="AO19" s="4">
        <f>+IF(TA_ti!AO19*TA_ti!AO$47*TA_ti!$BD19=0,10000,TA_ti!AO19*TA_ti!AO$47*TA_ti!$BD19)</f>
        <v>10000</v>
      </c>
      <c r="AP19" s="4">
        <f>+IF(TA_ti!AP19*TA_ti!AP$47*TA_ti!$BD19=0,10000,TA_ti!AP19*TA_ti!AP$47*TA_ti!$BD19)</f>
        <v>10000</v>
      </c>
      <c r="AQ19" s="4">
        <f>+IF(TA_ti!AQ19*TA_ti!AQ$47*TA_ti!$BD19=0,10000,TA_ti!AQ19*TA_ti!AQ$47*TA_ti!$BD19)</f>
        <v>10000</v>
      </c>
      <c r="AR19" s="4">
        <f>+IF(TA_ti!AR19*TA_ti!AR$47*TA_ti!$BD19=0,10000,TA_ti!AR19*TA_ti!AR$47*TA_ti!$BD19)</f>
        <v>10000</v>
      </c>
      <c r="AS19" s="4">
        <f>+IF(TA_ti!AS19*TA_ti!AS$47*TA_ti!$BD19=0,10000,TA_ti!AS19*TA_ti!AS$47*TA_ti!$BD19)</f>
        <v>10000</v>
      </c>
      <c r="AT19" s="4">
        <f>+IF(TA_ti!AT19*TA_ti!AT$47*TA_ti!$BD19=0,10000,TA_ti!AT19*TA_ti!AT$47*TA_ti!$BD19)</f>
        <v>10000</v>
      </c>
      <c r="AU19" s="4">
        <f>+IF(TA_ti!AU19*TA_ti!AU$47*TA_ti!$BD19=0,10000,TA_ti!AU19*TA_ti!AU$47*TA_ti!$BD19)</f>
        <v>10000</v>
      </c>
      <c r="AV19" s="4">
        <f>+IF(TA_ti!AV19*TA_ti!AV$47*TA_ti!$BD19=0,10000,TA_ti!AV19*TA_ti!AV$47*TA_ti!$BD19)</f>
        <v>8</v>
      </c>
      <c r="AW19" s="4">
        <f>+IF(TA_ti!AW19*TA_ti!AW$47*TA_ti!$BD19=0,10000,TA_ti!AW19*TA_ti!AW$47*TA_ti!$BD19)</f>
        <v>10000</v>
      </c>
      <c r="AX19" s="4">
        <f>+IF(TA_ti!AX19*TA_ti!AX$47*TA_ti!$BD19=0,10000,TA_ti!AX19*TA_ti!AX$47*TA_ti!$BD19)</f>
        <v>10000</v>
      </c>
      <c r="AY19" s="4">
        <f>+IF(TA_ti!AY19*TA_ti!AY$47*TA_ti!$BD19=0,10000,TA_ti!AY19*TA_ti!AY$47*TA_ti!$BD19)</f>
        <v>10000</v>
      </c>
      <c r="AZ19" s="4">
        <f>+IF(TA_ti!AZ19*TA_ti!AZ$47*TA_ti!$BD19=0,10000,TA_ti!AZ19*TA_ti!AZ$47*TA_ti!$BD19)</f>
        <v>10000</v>
      </c>
      <c r="BA19" s="4">
        <f>+IF(TA_ti!BA19*TA_ti!BA$47*TA_ti!$BD19=0,10000,TA_ti!BA19*TA_ti!BA$47*TA_ti!$BD19)</f>
        <v>10000</v>
      </c>
      <c r="BB19" s="4">
        <f>+IF(TA_ti!BB19*TA_ti!BB$47*TA_ti!$BD19=0,10000,TA_ti!BB19*TA_ti!BB$47*TA_ti!$BD19)</f>
        <v>10000</v>
      </c>
      <c r="BC19" s="4">
        <f>+IF(TA_ti!BC19*TA_ti!BC$47*TA_ti!$BD19=0,10000,TA_ti!BC19*TA_ti!BC$47*TA_ti!$BD19)</f>
        <v>10000</v>
      </c>
    </row>
    <row r="20" spans="1:55" ht="18.75" customHeight="1" x14ac:dyDescent="0.25">
      <c r="A20" s="5" t="s">
        <v>71</v>
      </c>
      <c r="B20" s="4">
        <f>+IF(TA_ti!B20*TA_ti!B$47*TA_ti!$BD20=0,10000,TA_ti!B20*TA_ti!B$47*TA_ti!$BD20)</f>
        <v>10000</v>
      </c>
      <c r="C20" s="4">
        <f>+IF(TA_ti!C20*TA_ti!C$47*TA_ti!$BD20=0,10000,TA_ti!C20*TA_ti!C$47*TA_ti!$BD20)</f>
        <v>10000</v>
      </c>
      <c r="D20" s="4">
        <f>+IF(TA_ti!D20*TA_ti!D$47*TA_ti!$BD20=0,10000,TA_ti!D20*TA_ti!D$47*TA_ti!$BD20)</f>
        <v>10000</v>
      </c>
      <c r="E20" s="4">
        <f>+IF(TA_ti!E20*TA_ti!E$47*TA_ti!$BD20=0,10000,TA_ti!E20*TA_ti!E$47*TA_ti!$BD20)</f>
        <v>10000</v>
      </c>
      <c r="F20" s="4">
        <f>+IF(TA_ti!F20*TA_ti!F$47*TA_ti!$BD20=0,10000,TA_ti!F20*TA_ti!F$47*TA_ti!$BD20)</f>
        <v>10000</v>
      </c>
      <c r="G20" s="4">
        <f>+IF(TA_ti!G20*TA_ti!G$47*TA_ti!$BD20=0,10000,TA_ti!G20*TA_ti!G$47*TA_ti!$BD20)</f>
        <v>10000</v>
      </c>
      <c r="H20" s="4">
        <f>+IF(TA_ti!H20*TA_ti!H$47*TA_ti!$BD20=0,10000,TA_ti!H20*TA_ti!H$47*TA_ti!$BD20)</f>
        <v>10000</v>
      </c>
      <c r="I20" s="4">
        <f>+IF(TA_ti!I20*TA_ti!I$47*TA_ti!$BD20=0,10000,TA_ti!I20*TA_ti!I$47*TA_ti!$BD20)</f>
        <v>10000</v>
      </c>
      <c r="J20" s="4">
        <f>+IF(TA_ti!J20*TA_ti!J$47*TA_ti!$BD20=0,10000,TA_ti!J20*TA_ti!J$47*TA_ti!$BD20)</f>
        <v>10000</v>
      </c>
      <c r="K20" s="4">
        <f>+IF(TA_ti!K20*TA_ti!K$47*TA_ti!$BD20=0,10000,TA_ti!K20*TA_ti!K$47*TA_ti!$BD20)</f>
        <v>10000</v>
      </c>
      <c r="L20" s="4">
        <f>+IF(TA_ti!L20*TA_ti!L$47*TA_ti!$BD20=0,10000,TA_ti!L20*TA_ti!L$47*TA_ti!$BD20)</f>
        <v>10000</v>
      </c>
      <c r="M20" s="4">
        <f>+IF(TA_ti!M20*TA_ti!M$47*TA_ti!$BD20=0,10000,TA_ti!M20*TA_ti!M$47*TA_ti!$BD20)</f>
        <v>10000</v>
      </c>
      <c r="N20" s="4">
        <f>+IF(TA_ti!N20*TA_ti!N$47*TA_ti!$BD20=0,10000,TA_ti!N20*TA_ti!N$47*TA_ti!$BD20)</f>
        <v>10000</v>
      </c>
      <c r="O20" s="4">
        <f>+IF(TA_ti!O20*TA_ti!O$47*TA_ti!$BD20=0,10000,TA_ti!O20*TA_ti!O$47*TA_ti!$BD20)</f>
        <v>10000</v>
      </c>
      <c r="P20" s="4">
        <f>+IF(TA_ti!P20*TA_ti!P$47*TA_ti!$BD20=0,10000,TA_ti!P20*TA_ti!P$47*TA_ti!$BD20)</f>
        <v>10000</v>
      </c>
      <c r="Q20" s="4">
        <f>+IF(TA_ti!Q20*TA_ti!Q$47*TA_ti!$BD20=0,10000,TA_ti!Q20*TA_ti!Q$47*TA_ti!$BD20)</f>
        <v>10000</v>
      </c>
      <c r="R20" s="4">
        <f>+IF(TA_ti!R20*TA_ti!R$47*TA_ti!$BD20=0,10000,TA_ti!R20*TA_ti!R$47*TA_ti!$BD20)</f>
        <v>10000</v>
      </c>
      <c r="S20" s="4">
        <f>+IF(TA_ti!S20*TA_ti!S$47*TA_ti!$BD20=0,10000,TA_ti!S20*TA_ti!S$47*TA_ti!$BD20)</f>
        <v>10000</v>
      </c>
      <c r="T20" s="4">
        <f>+IF(TA_ti!T20*TA_ti!T$47*TA_ti!$BD20=0,10000,TA_ti!T20*TA_ti!T$47*TA_ti!$BD20)</f>
        <v>10000</v>
      </c>
      <c r="U20" s="4">
        <f>+IF(TA_ti!U20*TA_ti!U$47*TA_ti!$BD20=0,10000,TA_ti!U20*TA_ti!U$47*TA_ti!$BD20)</f>
        <v>10000</v>
      </c>
      <c r="V20" s="4">
        <f>+IF(TA_ti!V20*TA_ti!V$47*TA_ti!$BD20=0,10000,TA_ti!V20*TA_ti!V$47*TA_ti!$BD20)</f>
        <v>10000</v>
      </c>
      <c r="W20" s="4">
        <f>+IF(TA_ti!W20*TA_ti!W$47*TA_ti!$BD20=0,10000,TA_ti!W20*TA_ti!W$47*TA_ti!$BD20)</f>
        <v>10000</v>
      </c>
      <c r="X20" s="4">
        <f>+IF(TA_ti!X20*TA_ti!X$47*TA_ti!$BD20=0,10000,TA_ti!X20*TA_ti!X$47*TA_ti!$BD20)</f>
        <v>10000</v>
      </c>
      <c r="Y20" s="4">
        <f>+IF(TA_ti!Y20*TA_ti!Y$47*TA_ti!$BD20=0,10000,TA_ti!Y20*TA_ti!Y$47*TA_ti!$BD20)</f>
        <v>10000</v>
      </c>
      <c r="Z20" s="4">
        <f>+IF(TA_ti!Z20*TA_ti!Z$47*TA_ti!$BD20=0,10000,TA_ti!Z20*TA_ti!Z$47*TA_ti!$BD20)</f>
        <v>10000</v>
      </c>
      <c r="AA20" s="4">
        <f>+IF(TA_ti!AA20*TA_ti!AA$47*TA_ti!$BD20=0,10000,TA_ti!AA20*TA_ti!AA$47*TA_ti!$BD20)</f>
        <v>10000</v>
      </c>
      <c r="AB20" s="4">
        <f>+IF(TA_ti!AB20*TA_ti!AB$47*TA_ti!$BD20=0,10000,TA_ti!AB20*TA_ti!AB$47*TA_ti!$BD20)</f>
        <v>10000</v>
      </c>
      <c r="AC20" s="4">
        <f>+IF(TA_ti!AC20*TA_ti!AC$47*TA_ti!$BD20=0,10000,TA_ti!AC20*TA_ti!AC$47*TA_ti!$BD20)</f>
        <v>10000</v>
      </c>
      <c r="AD20" s="4">
        <f>+IF(TA_ti!AD20*TA_ti!AD$47*TA_ti!$BD20=0,10000,TA_ti!AD20*TA_ti!AD$47*TA_ti!$BD20)</f>
        <v>10000</v>
      </c>
      <c r="AE20" s="4">
        <f>+IF(TA_ti!AE20*TA_ti!AE$47*TA_ti!$BD20=0,10000,TA_ti!AE20*TA_ti!AE$47*TA_ti!$BD20)</f>
        <v>10000</v>
      </c>
      <c r="AF20" s="4">
        <f>+IF(TA_ti!AF20*TA_ti!AF$47*TA_ti!$BD20=0,10000,TA_ti!AF20*TA_ti!AF$47*TA_ti!$BD20)</f>
        <v>10000</v>
      </c>
      <c r="AG20" s="4">
        <f>+IF(TA_ti!AG20*TA_ti!AG$47*TA_ti!$BD20=0,10000,TA_ti!AG20*TA_ti!AG$47*TA_ti!$BD20)</f>
        <v>10000</v>
      </c>
      <c r="AH20" s="4">
        <f>+IF(TA_ti!AH20*TA_ti!AH$47*TA_ti!$BD20=0,10000,TA_ti!AH20*TA_ti!AH$47*TA_ti!$BD20)</f>
        <v>10000</v>
      </c>
      <c r="AI20" s="4">
        <f>+IF(TA_ti!AI20*TA_ti!AI$47*TA_ti!$BD20=0,10000,TA_ti!AI20*TA_ti!AI$47*TA_ti!$BD20)</f>
        <v>10000</v>
      </c>
      <c r="AJ20" s="4">
        <f>+IF(TA_ti!AJ20*TA_ti!AJ$47*TA_ti!$BD20=0,10000,TA_ti!AJ20*TA_ti!AJ$47*TA_ti!$BD20)</f>
        <v>10000</v>
      </c>
      <c r="AK20" s="4">
        <f>+IF(TA_ti!AK20*TA_ti!AK$47*TA_ti!$BD20=0,10000,TA_ti!AK20*TA_ti!AK$47*TA_ti!$BD20)</f>
        <v>10000</v>
      </c>
      <c r="AL20" s="4">
        <f>+IF(TA_ti!AL20*TA_ti!AL$47*TA_ti!$BD20=0,10000,TA_ti!AL20*TA_ti!AL$47*TA_ti!$BD20)</f>
        <v>10000</v>
      </c>
      <c r="AM20" s="4">
        <f>+IF(TA_ti!AM20*TA_ti!AM$47*TA_ti!$BD20=0,10000,TA_ti!AM20*TA_ti!AM$47*TA_ti!$BD20)</f>
        <v>10000</v>
      </c>
      <c r="AN20" s="4">
        <f>+IF(TA_ti!AN20*TA_ti!AN$47*TA_ti!$BD20=0,10000,TA_ti!AN20*TA_ti!AN$47*TA_ti!$BD20)</f>
        <v>10000</v>
      </c>
      <c r="AO20" s="4">
        <f>+IF(TA_ti!AO20*TA_ti!AO$47*TA_ti!$BD20=0,10000,TA_ti!AO20*TA_ti!AO$47*TA_ti!$BD20)</f>
        <v>10000</v>
      </c>
      <c r="AP20" s="4">
        <f>+IF(TA_ti!AP20*TA_ti!AP$47*TA_ti!$BD20=0,10000,TA_ti!AP20*TA_ti!AP$47*TA_ti!$BD20)</f>
        <v>10000</v>
      </c>
      <c r="AQ20" s="4">
        <f>+IF(TA_ti!AQ20*TA_ti!AQ$47*TA_ti!$BD20=0,10000,TA_ti!AQ20*TA_ti!AQ$47*TA_ti!$BD20)</f>
        <v>10000</v>
      </c>
      <c r="AR20" s="4">
        <f>+IF(TA_ti!AR20*TA_ti!AR$47*TA_ti!$BD20=0,10000,TA_ti!AR20*TA_ti!AR$47*TA_ti!$BD20)</f>
        <v>10000</v>
      </c>
      <c r="AS20" s="4">
        <f>+IF(TA_ti!AS20*TA_ti!AS$47*TA_ti!$BD20=0,10000,TA_ti!AS20*TA_ti!AS$47*TA_ti!$BD20)</f>
        <v>10000</v>
      </c>
      <c r="AT20" s="4">
        <f>+IF(TA_ti!AT20*TA_ti!AT$47*TA_ti!$BD20=0,10000,TA_ti!AT20*TA_ti!AT$47*TA_ti!$BD20)</f>
        <v>10000</v>
      </c>
      <c r="AU20" s="4">
        <f>+IF(TA_ti!AU20*TA_ti!AU$47*TA_ti!$BD20=0,10000,TA_ti!AU20*TA_ti!AU$47*TA_ti!$BD20)</f>
        <v>10000</v>
      </c>
      <c r="AV20" s="4">
        <f>+IF(TA_ti!AV20*TA_ti!AV$47*TA_ti!$BD20=0,10000,TA_ti!AV20*TA_ti!AV$47*TA_ti!$BD20)</f>
        <v>12</v>
      </c>
      <c r="AW20" s="4">
        <f>+IF(TA_ti!AW20*TA_ti!AW$47*TA_ti!$BD20=0,10000,TA_ti!AW20*TA_ti!AW$47*TA_ti!$BD20)</f>
        <v>10000</v>
      </c>
      <c r="AX20" s="4">
        <f>+IF(TA_ti!AX20*TA_ti!AX$47*TA_ti!$BD20=0,10000,TA_ti!AX20*TA_ti!AX$47*TA_ti!$BD20)</f>
        <v>10000</v>
      </c>
      <c r="AY20" s="4">
        <f>+IF(TA_ti!AY20*TA_ti!AY$47*TA_ti!$BD20=0,10000,TA_ti!AY20*TA_ti!AY$47*TA_ti!$BD20)</f>
        <v>10000</v>
      </c>
      <c r="AZ20" s="4">
        <f>+IF(TA_ti!AZ20*TA_ti!AZ$47*TA_ti!$BD20=0,10000,TA_ti!AZ20*TA_ti!AZ$47*TA_ti!$BD20)</f>
        <v>10000</v>
      </c>
      <c r="BA20" s="4">
        <f>+IF(TA_ti!BA20*TA_ti!BA$47*TA_ti!$BD20=0,10000,TA_ti!BA20*TA_ti!BA$47*TA_ti!$BD20)</f>
        <v>10000</v>
      </c>
      <c r="BB20" s="4">
        <f>+IF(TA_ti!BB20*TA_ti!BB$47*TA_ti!$BD20=0,10000,TA_ti!BB20*TA_ti!BB$47*TA_ti!$BD20)</f>
        <v>10000</v>
      </c>
      <c r="BC20" s="4">
        <f>+IF(TA_ti!BC20*TA_ti!BC$47*TA_ti!$BD20=0,10000,TA_ti!BC20*TA_ti!BC$47*TA_ti!$BD20)</f>
        <v>10000</v>
      </c>
    </row>
    <row r="21" spans="1:55" ht="18.75" customHeight="1" x14ac:dyDescent="0.25">
      <c r="A21" s="5" t="s">
        <v>72</v>
      </c>
      <c r="B21" s="4">
        <f>+IF(TA_ti!B21*TA_ti!B$47*TA_ti!$BD21=0,10000,TA_ti!B21*TA_ti!B$47*TA_ti!$BD21)</f>
        <v>10000</v>
      </c>
      <c r="C21" s="4">
        <f>+IF(TA_ti!C21*TA_ti!C$47*TA_ti!$BD21=0,10000,TA_ti!C21*TA_ti!C$47*TA_ti!$BD21)</f>
        <v>10000</v>
      </c>
      <c r="D21" s="4">
        <f>+IF(TA_ti!D21*TA_ti!D$47*TA_ti!$BD21=0,10000,TA_ti!D21*TA_ti!D$47*TA_ti!$BD21)</f>
        <v>10000</v>
      </c>
      <c r="E21" s="4">
        <f>+IF(TA_ti!E21*TA_ti!E$47*TA_ti!$BD21=0,10000,TA_ti!E21*TA_ti!E$47*TA_ti!$BD21)</f>
        <v>10000</v>
      </c>
      <c r="F21" s="4">
        <f>+IF(TA_ti!F21*TA_ti!F$47*TA_ti!$BD21=0,10000,TA_ti!F21*TA_ti!F$47*TA_ti!$BD21)</f>
        <v>10000</v>
      </c>
      <c r="G21" s="4">
        <f>+IF(TA_ti!G21*TA_ti!G$47*TA_ti!$BD21=0,10000,TA_ti!G21*TA_ti!G$47*TA_ti!$BD21)</f>
        <v>10000</v>
      </c>
      <c r="H21" s="4">
        <f>+IF(TA_ti!H21*TA_ti!H$47*TA_ti!$BD21=0,10000,TA_ti!H21*TA_ti!H$47*TA_ti!$BD21)</f>
        <v>10000</v>
      </c>
      <c r="I21" s="4">
        <f>+IF(TA_ti!I21*TA_ti!I$47*TA_ti!$BD21=0,10000,TA_ti!I21*TA_ti!I$47*TA_ti!$BD21)</f>
        <v>10000</v>
      </c>
      <c r="J21" s="4">
        <f>+IF(TA_ti!J21*TA_ti!J$47*TA_ti!$BD21=0,10000,TA_ti!J21*TA_ti!J$47*TA_ti!$BD21)</f>
        <v>10000</v>
      </c>
      <c r="K21" s="4">
        <f>+IF(TA_ti!K21*TA_ti!K$47*TA_ti!$BD21=0,10000,TA_ti!K21*TA_ti!K$47*TA_ti!$BD21)</f>
        <v>10000</v>
      </c>
      <c r="L21" s="4">
        <f>+IF(TA_ti!L21*TA_ti!L$47*TA_ti!$BD21=0,10000,TA_ti!L21*TA_ti!L$47*TA_ti!$BD21)</f>
        <v>10000</v>
      </c>
      <c r="M21" s="4">
        <f>+IF(TA_ti!M21*TA_ti!M$47*TA_ti!$BD21=0,10000,TA_ti!M21*TA_ti!M$47*TA_ti!$BD21)</f>
        <v>10000</v>
      </c>
      <c r="N21" s="4">
        <f>+IF(TA_ti!N21*TA_ti!N$47*TA_ti!$BD21=0,10000,TA_ti!N21*TA_ti!N$47*TA_ti!$BD21)</f>
        <v>10000</v>
      </c>
      <c r="O21" s="4">
        <f>+IF(TA_ti!O21*TA_ti!O$47*TA_ti!$BD21=0,10000,TA_ti!O21*TA_ti!O$47*TA_ti!$BD21)</f>
        <v>10000</v>
      </c>
      <c r="P21" s="4">
        <f>+IF(TA_ti!P21*TA_ti!P$47*TA_ti!$BD21=0,10000,TA_ti!P21*TA_ti!P$47*TA_ti!$BD21)</f>
        <v>10000</v>
      </c>
      <c r="Q21" s="4">
        <f>+IF(TA_ti!Q21*TA_ti!Q$47*TA_ti!$BD21=0,10000,TA_ti!Q21*TA_ti!Q$47*TA_ti!$BD21)</f>
        <v>10000</v>
      </c>
      <c r="R21" s="4">
        <f>+IF(TA_ti!R21*TA_ti!R$47*TA_ti!$BD21=0,10000,TA_ti!R21*TA_ti!R$47*TA_ti!$BD21)</f>
        <v>10000</v>
      </c>
      <c r="S21" s="4">
        <f>+IF(TA_ti!S21*TA_ti!S$47*TA_ti!$BD21=0,10000,TA_ti!S21*TA_ti!S$47*TA_ti!$BD21)</f>
        <v>10000</v>
      </c>
      <c r="T21" s="4">
        <f>+IF(TA_ti!T21*TA_ti!T$47*TA_ti!$BD21=0,10000,TA_ti!T21*TA_ti!T$47*TA_ti!$BD21)</f>
        <v>10000</v>
      </c>
      <c r="U21" s="4">
        <f>+IF(TA_ti!U21*TA_ti!U$47*TA_ti!$BD21=0,10000,TA_ti!U21*TA_ti!U$47*TA_ti!$BD21)</f>
        <v>15</v>
      </c>
      <c r="V21" s="4">
        <f>+IF(TA_ti!V21*TA_ti!V$47*TA_ti!$BD21=0,10000,TA_ti!V21*TA_ti!V$47*TA_ti!$BD21)</f>
        <v>10000</v>
      </c>
      <c r="W21" s="4">
        <f>+IF(TA_ti!W21*TA_ti!W$47*TA_ti!$BD21=0,10000,TA_ti!W21*TA_ti!W$47*TA_ti!$BD21)</f>
        <v>10000</v>
      </c>
      <c r="X21" s="4">
        <f>+IF(TA_ti!X21*TA_ti!X$47*TA_ti!$BD21=0,10000,TA_ti!X21*TA_ti!X$47*TA_ti!$BD21)</f>
        <v>10000</v>
      </c>
      <c r="Y21" s="4">
        <f>+IF(TA_ti!Y21*TA_ti!Y$47*TA_ti!$BD21=0,10000,TA_ti!Y21*TA_ti!Y$47*TA_ti!$BD21)</f>
        <v>50</v>
      </c>
      <c r="Z21" s="4">
        <f>+IF(TA_ti!Z21*TA_ti!Z$47*TA_ti!$BD21=0,10000,TA_ti!Z21*TA_ti!Z$47*TA_ti!$BD21)</f>
        <v>15</v>
      </c>
      <c r="AA21" s="4">
        <f>+IF(TA_ti!AA21*TA_ti!AA$47*TA_ti!$BD21=0,10000,TA_ti!AA21*TA_ti!AA$47*TA_ti!$BD21)</f>
        <v>10</v>
      </c>
      <c r="AB21" s="4">
        <f>+IF(TA_ti!AB21*TA_ti!AB$47*TA_ti!$BD21=0,10000,TA_ti!AB21*TA_ti!AB$47*TA_ti!$BD21)</f>
        <v>10000</v>
      </c>
      <c r="AC21" s="4">
        <f>+IF(TA_ti!AC21*TA_ti!AC$47*TA_ti!$BD21=0,10000,TA_ti!AC21*TA_ti!AC$47*TA_ti!$BD21)</f>
        <v>10</v>
      </c>
      <c r="AD21" s="4">
        <f>+IF(TA_ti!AD21*TA_ti!AD$47*TA_ti!$BD21=0,10000,TA_ti!AD21*TA_ti!AD$47*TA_ti!$BD21)</f>
        <v>10000</v>
      </c>
      <c r="AE21" s="4">
        <f>+IF(TA_ti!AE21*TA_ti!AE$47*TA_ti!$BD21=0,10000,TA_ti!AE21*TA_ti!AE$47*TA_ti!$BD21)</f>
        <v>10</v>
      </c>
      <c r="AF21" s="4">
        <f>+IF(TA_ti!AF21*TA_ti!AF$47*TA_ti!$BD21=0,10000,TA_ti!AF21*TA_ti!AF$47*TA_ti!$BD21)</f>
        <v>10</v>
      </c>
      <c r="AG21" s="4">
        <f>+IF(TA_ti!AG21*TA_ti!AG$47*TA_ti!$BD21=0,10000,TA_ti!AG21*TA_ti!AG$47*TA_ti!$BD21)</f>
        <v>30</v>
      </c>
      <c r="AH21" s="4">
        <f>+IF(TA_ti!AH21*TA_ti!AH$47*TA_ti!$BD21=0,10000,TA_ti!AH21*TA_ti!AH$47*TA_ti!$BD21)</f>
        <v>10</v>
      </c>
      <c r="AI21" s="4">
        <f>+IF(TA_ti!AI21*TA_ti!AI$47*TA_ti!$BD21=0,10000,TA_ti!AI21*TA_ti!AI$47*TA_ti!$BD21)</f>
        <v>10000</v>
      </c>
      <c r="AJ21" s="4">
        <f>+IF(TA_ti!AJ21*TA_ti!AJ$47*TA_ti!$BD21=0,10000,TA_ti!AJ21*TA_ti!AJ$47*TA_ti!$BD21)</f>
        <v>10000</v>
      </c>
      <c r="AK21" s="4">
        <f>+IF(TA_ti!AK21*TA_ti!AK$47*TA_ti!$BD21=0,10000,TA_ti!AK21*TA_ti!AK$47*TA_ti!$BD21)</f>
        <v>10000</v>
      </c>
      <c r="AL21" s="4">
        <f>+IF(TA_ti!AL21*TA_ti!AL$47*TA_ti!$BD21=0,10000,TA_ti!AL21*TA_ti!AL$47*TA_ti!$BD21)</f>
        <v>10000</v>
      </c>
      <c r="AM21" s="4">
        <f>+IF(TA_ti!AM21*TA_ti!AM$47*TA_ti!$BD21=0,10000,TA_ti!AM21*TA_ti!AM$47*TA_ti!$BD21)</f>
        <v>10000</v>
      </c>
      <c r="AN21" s="4">
        <f>+IF(TA_ti!AN21*TA_ti!AN$47*TA_ti!$BD21=0,10000,TA_ti!AN21*TA_ti!AN$47*TA_ti!$BD21)</f>
        <v>10000</v>
      </c>
      <c r="AO21" s="4">
        <f>+IF(TA_ti!AO21*TA_ti!AO$47*TA_ti!$BD21=0,10000,TA_ti!AO21*TA_ti!AO$47*TA_ti!$BD21)</f>
        <v>10000</v>
      </c>
      <c r="AP21" s="4">
        <f>+IF(TA_ti!AP21*TA_ti!AP$47*TA_ti!$BD21=0,10000,TA_ti!AP21*TA_ti!AP$47*TA_ti!$BD21)</f>
        <v>10000</v>
      </c>
      <c r="AQ21" s="4">
        <f>+IF(TA_ti!AQ21*TA_ti!AQ$47*TA_ti!$BD21=0,10000,TA_ti!AQ21*TA_ti!AQ$47*TA_ti!$BD21)</f>
        <v>10000</v>
      </c>
      <c r="AR21" s="4">
        <f>+IF(TA_ti!AR21*TA_ti!AR$47*TA_ti!$BD21=0,10000,TA_ti!AR21*TA_ti!AR$47*TA_ti!$BD21)</f>
        <v>10000</v>
      </c>
      <c r="AS21" s="4">
        <f>+IF(TA_ti!AS21*TA_ti!AS$47*TA_ti!$BD21=0,10000,TA_ti!AS21*TA_ti!AS$47*TA_ti!$BD21)</f>
        <v>10000</v>
      </c>
      <c r="AT21" s="4">
        <f>+IF(TA_ti!AT21*TA_ti!AT$47*TA_ti!$BD21=0,10000,TA_ti!AT21*TA_ti!AT$47*TA_ti!$BD21)</f>
        <v>10000</v>
      </c>
      <c r="AU21" s="4">
        <f>+IF(TA_ti!AU21*TA_ti!AU$47*TA_ti!$BD21=0,10000,TA_ti!AU21*TA_ti!AU$47*TA_ti!$BD21)</f>
        <v>10000</v>
      </c>
      <c r="AV21" s="4">
        <f>+IF(TA_ti!AV21*TA_ti!AV$47*TA_ti!$BD21=0,10000,TA_ti!AV21*TA_ti!AV$47*TA_ti!$BD21)</f>
        <v>10000</v>
      </c>
      <c r="AW21" s="4">
        <f>+IF(TA_ti!AW21*TA_ti!AW$47*TA_ti!$BD21=0,10000,TA_ti!AW21*TA_ti!AW$47*TA_ti!$BD21)</f>
        <v>10000</v>
      </c>
      <c r="AX21" s="4">
        <f>+IF(TA_ti!AX21*TA_ti!AX$47*TA_ti!$BD21=0,10000,TA_ti!AX21*TA_ti!AX$47*TA_ti!$BD21)</f>
        <v>10000</v>
      </c>
      <c r="AY21" s="4">
        <f>+IF(TA_ti!AY21*TA_ti!AY$47*TA_ti!$BD21=0,10000,TA_ti!AY21*TA_ti!AY$47*TA_ti!$BD21)</f>
        <v>10000</v>
      </c>
      <c r="AZ21" s="4">
        <f>+IF(TA_ti!AZ21*TA_ti!AZ$47*TA_ti!$BD21=0,10000,TA_ti!AZ21*TA_ti!AZ$47*TA_ti!$BD21)</f>
        <v>10000</v>
      </c>
      <c r="BA21" s="4">
        <f>+IF(TA_ti!BA21*TA_ti!BA$47*TA_ti!$BD21=0,10000,TA_ti!BA21*TA_ti!BA$47*TA_ti!$BD21)</f>
        <v>10000</v>
      </c>
      <c r="BB21" s="4">
        <f>+IF(TA_ti!BB21*TA_ti!BB$47*TA_ti!$BD21=0,10000,TA_ti!BB21*TA_ti!BB$47*TA_ti!$BD21)</f>
        <v>10000</v>
      </c>
      <c r="BC21" s="4">
        <f>+IF(TA_ti!BC21*TA_ti!BC$47*TA_ti!$BD21=0,10000,TA_ti!BC21*TA_ti!BC$47*TA_ti!$BD21)</f>
        <v>10000</v>
      </c>
    </row>
    <row r="22" spans="1:55" ht="18.75" customHeight="1" x14ac:dyDescent="0.25">
      <c r="A22" s="5" t="s">
        <v>73</v>
      </c>
      <c r="B22" s="4">
        <f>+IF(TA_ti!B22*TA_ti!B$47*TA_ti!$BD22=0,10000,TA_ti!B22*TA_ti!B$47*TA_ti!$BD22)</f>
        <v>10000</v>
      </c>
      <c r="C22" s="4">
        <f>+IF(TA_ti!C22*TA_ti!C$47*TA_ti!$BD22=0,10000,TA_ti!C22*TA_ti!C$47*TA_ti!$BD22)</f>
        <v>10000</v>
      </c>
      <c r="D22" s="4">
        <f>+IF(TA_ti!D22*TA_ti!D$47*TA_ti!$BD22=0,10000,TA_ti!D22*TA_ti!D$47*TA_ti!$BD22)</f>
        <v>10000</v>
      </c>
      <c r="E22" s="4">
        <f>+IF(TA_ti!E22*TA_ti!E$47*TA_ti!$BD22=0,10000,TA_ti!E22*TA_ti!E$47*TA_ti!$BD22)</f>
        <v>10000</v>
      </c>
      <c r="F22" s="4">
        <f>+IF(TA_ti!F22*TA_ti!F$47*TA_ti!$BD22=0,10000,TA_ti!F22*TA_ti!F$47*TA_ti!$BD22)</f>
        <v>10000</v>
      </c>
      <c r="G22" s="4">
        <f>+IF(TA_ti!G22*TA_ti!G$47*TA_ti!$BD22=0,10000,TA_ti!G22*TA_ti!G$47*TA_ti!$BD22)</f>
        <v>10000</v>
      </c>
      <c r="H22" s="4">
        <f>+IF(TA_ti!H22*TA_ti!H$47*TA_ti!$BD22=0,10000,TA_ti!H22*TA_ti!H$47*TA_ti!$BD22)</f>
        <v>10000</v>
      </c>
      <c r="I22" s="4">
        <f>+IF(TA_ti!I22*TA_ti!I$47*TA_ti!$BD22=0,10000,TA_ti!I22*TA_ti!I$47*TA_ti!$BD22)</f>
        <v>10000</v>
      </c>
      <c r="J22" s="4">
        <f>+IF(TA_ti!J22*TA_ti!J$47*TA_ti!$BD22=0,10000,TA_ti!J22*TA_ti!J$47*TA_ti!$BD22)</f>
        <v>10000</v>
      </c>
      <c r="K22" s="4">
        <f>+IF(TA_ti!K22*TA_ti!K$47*TA_ti!$BD22=0,10000,TA_ti!K22*TA_ti!K$47*TA_ti!$BD22)</f>
        <v>10000</v>
      </c>
      <c r="L22" s="4">
        <f>+IF(TA_ti!L22*TA_ti!L$47*TA_ti!$BD22=0,10000,TA_ti!L22*TA_ti!L$47*TA_ti!$BD22)</f>
        <v>10000</v>
      </c>
      <c r="M22" s="4">
        <f>+IF(TA_ti!M22*TA_ti!M$47*TA_ti!$BD22=0,10000,TA_ti!M22*TA_ti!M$47*TA_ti!$BD22)</f>
        <v>10000</v>
      </c>
      <c r="N22" s="4">
        <f>+IF(TA_ti!N22*TA_ti!N$47*TA_ti!$BD22=0,10000,TA_ti!N22*TA_ti!N$47*TA_ti!$BD22)</f>
        <v>10000</v>
      </c>
      <c r="O22" s="4">
        <f>+IF(TA_ti!O22*TA_ti!O$47*TA_ti!$BD22=0,10000,TA_ti!O22*TA_ti!O$47*TA_ti!$BD22)</f>
        <v>10000</v>
      </c>
      <c r="P22" s="4">
        <f>+IF(TA_ti!P22*TA_ti!P$47*TA_ti!$BD22=0,10000,TA_ti!P22*TA_ti!P$47*TA_ti!$BD22)</f>
        <v>10000</v>
      </c>
      <c r="Q22" s="4">
        <f>+IF(TA_ti!Q22*TA_ti!Q$47*TA_ti!$BD22=0,10000,TA_ti!Q22*TA_ti!Q$47*TA_ti!$BD22)</f>
        <v>10000</v>
      </c>
      <c r="R22" s="4">
        <f>+IF(TA_ti!R22*TA_ti!R$47*TA_ti!$BD22=0,10000,TA_ti!R22*TA_ti!R$47*TA_ti!$BD22)</f>
        <v>10000</v>
      </c>
      <c r="S22" s="4">
        <f>+IF(TA_ti!S22*TA_ti!S$47*TA_ti!$BD22=0,10000,TA_ti!S22*TA_ti!S$47*TA_ti!$BD22)</f>
        <v>10000</v>
      </c>
      <c r="T22" s="4">
        <f>+IF(TA_ti!T22*TA_ti!T$47*TA_ti!$BD22=0,10000,TA_ti!T22*TA_ti!T$47*TA_ti!$BD22)</f>
        <v>10000</v>
      </c>
      <c r="U22" s="4">
        <f>+IF(TA_ti!U22*TA_ti!U$47*TA_ti!$BD22=0,10000,TA_ti!U22*TA_ti!U$47*TA_ti!$BD22)</f>
        <v>15</v>
      </c>
      <c r="V22" s="4">
        <f>+IF(TA_ti!V22*TA_ti!V$47*TA_ti!$BD22=0,10000,TA_ti!V22*TA_ti!V$47*TA_ti!$BD22)</f>
        <v>10000</v>
      </c>
      <c r="W22" s="4">
        <f>+IF(TA_ti!W22*TA_ti!W$47*TA_ti!$BD22=0,10000,TA_ti!W22*TA_ti!W$47*TA_ti!$BD22)</f>
        <v>10000</v>
      </c>
      <c r="X22" s="4">
        <f>+IF(TA_ti!X22*TA_ti!X$47*TA_ti!$BD22=0,10000,TA_ti!X22*TA_ti!X$47*TA_ti!$BD22)</f>
        <v>10000</v>
      </c>
      <c r="Y22" s="4">
        <f>+IF(TA_ti!Y22*TA_ti!Y$47*TA_ti!$BD22=0,10000,TA_ti!Y22*TA_ti!Y$47*TA_ti!$BD22)</f>
        <v>10000</v>
      </c>
      <c r="Z22" s="4">
        <f>+IF(TA_ti!Z22*TA_ti!Z$47*TA_ti!$BD22=0,10000,TA_ti!Z22*TA_ti!Z$47*TA_ti!$BD22)</f>
        <v>15</v>
      </c>
      <c r="AA22" s="4">
        <f>+IF(TA_ti!AA22*TA_ti!AA$47*TA_ti!$BD22=0,10000,TA_ti!AA22*TA_ti!AA$47*TA_ti!$BD22)</f>
        <v>10</v>
      </c>
      <c r="AB22" s="4">
        <f>+IF(TA_ti!AB22*TA_ti!AB$47*TA_ti!$BD22=0,10000,TA_ti!AB22*TA_ti!AB$47*TA_ti!$BD22)</f>
        <v>10000</v>
      </c>
      <c r="AC22" s="4">
        <f>+IF(TA_ti!AC22*TA_ti!AC$47*TA_ti!$BD22=0,10000,TA_ti!AC22*TA_ti!AC$47*TA_ti!$BD22)</f>
        <v>10000</v>
      </c>
      <c r="AD22" s="4">
        <f>+IF(TA_ti!AD22*TA_ti!AD$47*TA_ti!$BD22=0,10000,TA_ti!AD22*TA_ti!AD$47*TA_ti!$BD22)</f>
        <v>10000</v>
      </c>
      <c r="AE22" s="4">
        <f>+IF(TA_ti!AE22*TA_ti!AE$47*TA_ti!$BD22=0,10000,TA_ti!AE22*TA_ti!AE$47*TA_ti!$BD22)</f>
        <v>10000</v>
      </c>
      <c r="AF22" s="4">
        <f>+IF(TA_ti!AF22*TA_ti!AF$47*TA_ti!$BD22=0,10000,TA_ti!AF22*TA_ti!AF$47*TA_ti!$BD22)</f>
        <v>10000</v>
      </c>
      <c r="AG22" s="4">
        <f>+IF(TA_ti!AG22*TA_ti!AG$47*TA_ti!$BD22=0,10000,TA_ti!AG22*TA_ti!AG$47*TA_ti!$BD22)</f>
        <v>10000</v>
      </c>
      <c r="AH22" s="4">
        <f>+IF(TA_ti!AH22*TA_ti!AH$47*TA_ti!$BD22=0,10000,TA_ti!AH22*TA_ti!AH$47*TA_ti!$BD22)</f>
        <v>10000</v>
      </c>
      <c r="AI22" s="4">
        <f>+IF(TA_ti!AI22*TA_ti!AI$47*TA_ti!$BD22=0,10000,TA_ti!AI22*TA_ti!AI$47*TA_ti!$BD22)</f>
        <v>10000</v>
      </c>
      <c r="AJ22" s="4">
        <f>+IF(TA_ti!AJ22*TA_ti!AJ$47*TA_ti!$BD22=0,10000,TA_ti!AJ22*TA_ti!AJ$47*TA_ti!$BD22)</f>
        <v>10000</v>
      </c>
      <c r="AK22" s="4">
        <f>+IF(TA_ti!AK22*TA_ti!AK$47*TA_ti!$BD22=0,10000,TA_ti!AK22*TA_ti!AK$47*TA_ti!$BD22)</f>
        <v>10000</v>
      </c>
      <c r="AL22" s="4">
        <f>+IF(TA_ti!AL22*TA_ti!AL$47*TA_ti!$BD22=0,10000,TA_ti!AL22*TA_ti!AL$47*TA_ti!$BD22)</f>
        <v>10000</v>
      </c>
      <c r="AM22" s="4">
        <f>+IF(TA_ti!AM22*TA_ti!AM$47*TA_ti!$BD22=0,10000,TA_ti!AM22*TA_ti!AM$47*TA_ti!$BD22)</f>
        <v>10000</v>
      </c>
      <c r="AN22" s="4">
        <f>+IF(TA_ti!AN22*TA_ti!AN$47*TA_ti!$BD22=0,10000,TA_ti!AN22*TA_ti!AN$47*TA_ti!$BD22)</f>
        <v>10000</v>
      </c>
      <c r="AO22" s="4">
        <f>+IF(TA_ti!AO22*TA_ti!AO$47*TA_ti!$BD22=0,10000,TA_ti!AO22*TA_ti!AO$47*TA_ti!$BD22)</f>
        <v>10000</v>
      </c>
      <c r="AP22" s="4">
        <f>+IF(TA_ti!AP22*TA_ti!AP$47*TA_ti!$BD22=0,10000,TA_ti!AP22*TA_ti!AP$47*TA_ti!$BD22)</f>
        <v>10000</v>
      </c>
      <c r="AQ22" s="4">
        <f>+IF(TA_ti!AQ22*TA_ti!AQ$47*TA_ti!$BD22=0,10000,TA_ti!AQ22*TA_ti!AQ$47*TA_ti!$BD22)</f>
        <v>10000</v>
      </c>
      <c r="AR22" s="4">
        <f>+IF(TA_ti!AR22*TA_ti!AR$47*TA_ti!$BD22=0,10000,TA_ti!AR22*TA_ti!AR$47*TA_ti!$BD22)</f>
        <v>10000</v>
      </c>
      <c r="AS22" s="4">
        <f>+IF(TA_ti!AS22*TA_ti!AS$47*TA_ti!$BD22=0,10000,TA_ti!AS22*TA_ti!AS$47*TA_ti!$BD22)</f>
        <v>10000</v>
      </c>
      <c r="AT22" s="4">
        <f>+IF(TA_ti!AT22*TA_ti!AT$47*TA_ti!$BD22=0,10000,TA_ti!AT22*TA_ti!AT$47*TA_ti!$BD22)</f>
        <v>10000</v>
      </c>
      <c r="AU22" s="4">
        <f>+IF(TA_ti!AU22*TA_ti!AU$47*TA_ti!$BD22=0,10000,TA_ti!AU22*TA_ti!AU$47*TA_ti!$BD22)</f>
        <v>10000</v>
      </c>
      <c r="AV22" s="4">
        <f>+IF(TA_ti!AV22*TA_ti!AV$47*TA_ti!$BD22=0,10000,TA_ti!AV22*TA_ti!AV$47*TA_ti!$BD22)</f>
        <v>10000</v>
      </c>
      <c r="AW22" s="4">
        <f>+IF(TA_ti!AW22*TA_ti!AW$47*TA_ti!$BD22=0,10000,TA_ti!AW22*TA_ti!AW$47*TA_ti!$BD22)</f>
        <v>10000</v>
      </c>
      <c r="AX22" s="4">
        <f>+IF(TA_ti!AX22*TA_ti!AX$47*TA_ti!$BD22=0,10000,TA_ti!AX22*TA_ti!AX$47*TA_ti!$BD22)</f>
        <v>10000</v>
      </c>
      <c r="AY22" s="4">
        <f>+IF(TA_ti!AY22*TA_ti!AY$47*TA_ti!$BD22=0,10000,TA_ti!AY22*TA_ti!AY$47*TA_ti!$BD22)</f>
        <v>10000</v>
      </c>
      <c r="AZ22" s="4">
        <f>+IF(TA_ti!AZ22*TA_ti!AZ$47*TA_ti!$BD22=0,10000,TA_ti!AZ22*TA_ti!AZ$47*TA_ti!$BD22)</f>
        <v>10000</v>
      </c>
      <c r="BA22" s="4">
        <f>+IF(TA_ti!BA22*TA_ti!BA$47*TA_ti!$BD22=0,10000,TA_ti!BA22*TA_ti!BA$47*TA_ti!$BD22)</f>
        <v>10000</v>
      </c>
      <c r="BB22" s="4">
        <f>+IF(TA_ti!BB22*TA_ti!BB$47*TA_ti!$BD22=0,10000,TA_ti!BB22*TA_ti!BB$47*TA_ti!$BD22)</f>
        <v>10000</v>
      </c>
      <c r="BC22" s="4">
        <f>+IF(TA_ti!BC22*TA_ti!BC$47*TA_ti!$BD22=0,10000,TA_ti!BC22*TA_ti!BC$47*TA_ti!$BD22)</f>
        <v>10000</v>
      </c>
    </row>
    <row r="23" spans="1:55" ht="18.75" customHeight="1" x14ac:dyDescent="0.25">
      <c r="A23" s="5" t="s">
        <v>74</v>
      </c>
      <c r="B23" s="4">
        <f>+IF(TA_ti!B23*TA_ti!B$47*TA_ti!$BD23=0,10000,TA_ti!B23*TA_ti!B$47*TA_ti!$BD23)</f>
        <v>10000</v>
      </c>
      <c r="C23" s="4">
        <f>+IF(TA_ti!C23*TA_ti!C$47*TA_ti!$BD23=0,10000,TA_ti!C23*TA_ti!C$47*TA_ti!$BD23)</f>
        <v>10000</v>
      </c>
      <c r="D23" s="4">
        <f>+IF(TA_ti!D23*TA_ti!D$47*TA_ti!$BD23=0,10000,TA_ti!D23*TA_ti!D$47*TA_ti!$BD23)</f>
        <v>10000</v>
      </c>
      <c r="E23" s="4">
        <f>+IF(TA_ti!E23*TA_ti!E$47*TA_ti!$BD23=0,10000,TA_ti!E23*TA_ti!E$47*TA_ti!$BD23)</f>
        <v>10000</v>
      </c>
      <c r="F23" s="4">
        <f>+IF(TA_ti!F23*TA_ti!F$47*TA_ti!$BD23=0,10000,TA_ti!F23*TA_ti!F$47*TA_ti!$BD23)</f>
        <v>10000</v>
      </c>
      <c r="G23" s="4">
        <f>+IF(TA_ti!G23*TA_ti!G$47*TA_ti!$BD23=0,10000,TA_ti!G23*TA_ti!G$47*TA_ti!$BD23)</f>
        <v>10000</v>
      </c>
      <c r="H23" s="4">
        <f>+IF(TA_ti!H23*TA_ti!H$47*TA_ti!$BD23=0,10000,TA_ti!H23*TA_ti!H$47*TA_ti!$BD23)</f>
        <v>10000</v>
      </c>
      <c r="I23" s="4">
        <f>+IF(TA_ti!I23*TA_ti!I$47*TA_ti!$BD23=0,10000,TA_ti!I23*TA_ti!I$47*TA_ti!$BD23)</f>
        <v>10000</v>
      </c>
      <c r="J23" s="4">
        <f>+IF(TA_ti!J23*TA_ti!J$47*TA_ti!$BD23=0,10000,TA_ti!J23*TA_ti!J$47*TA_ti!$BD23)</f>
        <v>10000</v>
      </c>
      <c r="K23" s="4">
        <f>+IF(TA_ti!K23*TA_ti!K$47*TA_ti!$BD23=0,10000,TA_ti!K23*TA_ti!K$47*TA_ti!$BD23)</f>
        <v>10000</v>
      </c>
      <c r="L23" s="4">
        <f>+IF(TA_ti!L23*TA_ti!L$47*TA_ti!$BD23=0,10000,TA_ti!L23*TA_ti!L$47*TA_ti!$BD23)</f>
        <v>10000</v>
      </c>
      <c r="M23" s="4">
        <f>+IF(TA_ti!M23*TA_ti!M$47*TA_ti!$BD23=0,10000,TA_ti!M23*TA_ti!M$47*TA_ti!$BD23)</f>
        <v>10000</v>
      </c>
      <c r="N23" s="4">
        <f>+IF(TA_ti!N23*TA_ti!N$47*TA_ti!$BD23=0,10000,TA_ti!N23*TA_ti!N$47*TA_ti!$BD23)</f>
        <v>10000</v>
      </c>
      <c r="O23" s="4">
        <f>+IF(TA_ti!O23*TA_ti!O$47*TA_ti!$BD23=0,10000,TA_ti!O23*TA_ti!O$47*TA_ti!$BD23)</f>
        <v>10000</v>
      </c>
      <c r="P23" s="4">
        <f>+IF(TA_ti!P23*TA_ti!P$47*TA_ti!$BD23=0,10000,TA_ti!P23*TA_ti!P$47*TA_ti!$BD23)</f>
        <v>10000</v>
      </c>
      <c r="Q23" s="4">
        <f>+IF(TA_ti!Q23*TA_ti!Q$47*TA_ti!$BD23=0,10000,TA_ti!Q23*TA_ti!Q$47*TA_ti!$BD23)</f>
        <v>10000</v>
      </c>
      <c r="R23" s="4">
        <f>+IF(TA_ti!R23*TA_ti!R$47*TA_ti!$BD23=0,10000,TA_ti!R23*TA_ti!R$47*TA_ti!$BD23)</f>
        <v>10000</v>
      </c>
      <c r="S23" s="4">
        <f>+IF(TA_ti!S23*TA_ti!S$47*TA_ti!$BD23=0,10000,TA_ti!S23*TA_ti!S$47*TA_ti!$BD23)</f>
        <v>10000</v>
      </c>
      <c r="T23" s="4">
        <f>+IF(TA_ti!T23*TA_ti!T$47*TA_ti!$BD23=0,10000,TA_ti!T23*TA_ti!T$47*TA_ti!$BD23)</f>
        <v>10000</v>
      </c>
      <c r="U23" s="4">
        <f>+IF(TA_ti!U23*TA_ti!U$47*TA_ti!$BD23=0,10000,TA_ti!U23*TA_ti!U$47*TA_ti!$BD23)</f>
        <v>15</v>
      </c>
      <c r="V23" s="4">
        <f>+IF(TA_ti!V23*TA_ti!V$47*TA_ti!$BD23=0,10000,TA_ti!V23*TA_ti!V$47*TA_ti!$BD23)</f>
        <v>10000</v>
      </c>
      <c r="W23" s="4">
        <f>+IF(TA_ti!W23*TA_ti!W$47*TA_ti!$BD23=0,10000,TA_ti!W23*TA_ti!W$47*TA_ti!$BD23)</f>
        <v>10000</v>
      </c>
      <c r="X23" s="4">
        <f>+IF(TA_ti!X23*TA_ti!X$47*TA_ti!$BD23=0,10000,TA_ti!X23*TA_ti!X$47*TA_ti!$BD23)</f>
        <v>10000</v>
      </c>
      <c r="Y23" s="4">
        <f>+IF(TA_ti!Y23*TA_ti!Y$47*TA_ti!$BD23=0,10000,TA_ti!Y23*TA_ti!Y$47*TA_ti!$BD23)</f>
        <v>10000</v>
      </c>
      <c r="Z23" s="4">
        <f>+IF(TA_ti!Z23*TA_ti!Z$47*TA_ti!$BD23=0,10000,TA_ti!Z23*TA_ti!Z$47*TA_ti!$BD23)</f>
        <v>15</v>
      </c>
      <c r="AA23" s="4">
        <f>+IF(TA_ti!AA23*TA_ti!AA$47*TA_ti!$BD23=0,10000,TA_ti!AA23*TA_ti!AA$47*TA_ti!$BD23)</f>
        <v>10</v>
      </c>
      <c r="AB23" s="4">
        <f>+IF(TA_ti!AB23*TA_ti!AB$47*TA_ti!$BD23=0,10000,TA_ti!AB23*TA_ti!AB$47*TA_ti!$BD23)</f>
        <v>10000</v>
      </c>
      <c r="AC23" s="4">
        <f>+IF(TA_ti!AC23*TA_ti!AC$47*TA_ti!$BD23=0,10000,TA_ti!AC23*TA_ti!AC$47*TA_ti!$BD23)</f>
        <v>10000</v>
      </c>
      <c r="AD23" s="4">
        <f>+IF(TA_ti!AD23*TA_ti!AD$47*TA_ti!$BD23=0,10000,TA_ti!AD23*TA_ti!AD$47*TA_ti!$BD23)</f>
        <v>10000</v>
      </c>
      <c r="AE23" s="4">
        <f>+IF(TA_ti!AE23*TA_ti!AE$47*TA_ti!$BD23=0,10000,TA_ti!AE23*TA_ti!AE$47*TA_ti!$BD23)</f>
        <v>10000</v>
      </c>
      <c r="AF23" s="4">
        <f>+IF(TA_ti!AF23*TA_ti!AF$47*TA_ti!$BD23=0,10000,TA_ti!AF23*TA_ti!AF$47*TA_ti!$BD23)</f>
        <v>10000</v>
      </c>
      <c r="AG23" s="4">
        <f>+IF(TA_ti!AG23*TA_ti!AG$47*TA_ti!$BD23=0,10000,TA_ti!AG23*TA_ti!AG$47*TA_ti!$BD23)</f>
        <v>10000</v>
      </c>
      <c r="AH23" s="4">
        <f>+IF(TA_ti!AH23*TA_ti!AH$47*TA_ti!$BD23=0,10000,TA_ti!AH23*TA_ti!AH$47*TA_ti!$BD23)</f>
        <v>10000</v>
      </c>
      <c r="AI23" s="4">
        <f>+IF(TA_ti!AI23*TA_ti!AI$47*TA_ti!$BD23=0,10000,TA_ti!AI23*TA_ti!AI$47*TA_ti!$BD23)</f>
        <v>10000</v>
      </c>
      <c r="AJ23" s="4">
        <f>+IF(TA_ti!AJ23*TA_ti!AJ$47*TA_ti!$BD23=0,10000,TA_ti!AJ23*TA_ti!AJ$47*TA_ti!$BD23)</f>
        <v>10000</v>
      </c>
      <c r="AK23" s="4">
        <f>+IF(TA_ti!AK23*TA_ti!AK$47*TA_ti!$BD23=0,10000,TA_ti!AK23*TA_ti!AK$47*TA_ti!$BD23)</f>
        <v>10000</v>
      </c>
      <c r="AL23" s="4">
        <f>+IF(TA_ti!AL23*TA_ti!AL$47*TA_ti!$BD23=0,10000,TA_ti!AL23*TA_ti!AL$47*TA_ti!$BD23)</f>
        <v>10000</v>
      </c>
      <c r="AM23" s="4">
        <f>+IF(TA_ti!AM23*TA_ti!AM$47*TA_ti!$BD23=0,10000,TA_ti!AM23*TA_ti!AM$47*TA_ti!$BD23)</f>
        <v>10000</v>
      </c>
      <c r="AN23" s="4">
        <f>+IF(TA_ti!AN23*TA_ti!AN$47*TA_ti!$BD23=0,10000,TA_ti!AN23*TA_ti!AN$47*TA_ti!$BD23)</f>
        <v>10000</v>
      </c>
      <c r="AO23" s="4">
        <f>+IF(TA_ti!AO23*TA_ti!AO$47*TA_ti!$BD23=0,10000,TA_ti!AO23*TA_ti!AO$47*TA_ti!$BD23)</f>
        <v>10000</v>
      </c>
      <c r="AP23" s="4">
        <f>+IF(TA_ti!AP23*TA_ti!AP$47*TA_ti!$BD23=0,10000,TA_ti!AP23*TA_ti!AP$47*TA_ti!$BD23)</f>
        <v>10000</v>
      </c>
      <c r="AQ23" s="4">
        <f>+IF(TA_ti!AQ23*TA_ti!AQ$47*TA_ti!$BD23=0,10000,TA_ti!AQ23*TA_ti!AQ$47*TA_ti!$BD23)</f>
        <v>10000</v>
      </c>
      <c r="AR23" s="4">
        <f>+IF(TA_ti!AR23*TA_ti!AR$47*TA_ti!$BD23=0,10000,TA_ti!AR23*TA_ti!AR$47*TA_ti!$BD23)</f>
        <v>10000</v>
      </c>
      <c r="AS23" s="4">
        <f>+IF(TA_ti!AS23*TA_ti!AS$47*TA_ti!$BD23=0,10000,TA_ti!AS23*TA_ti!AS$47*TA_ti!$BD23)</f>
        <v>10000</v>
      </c>
      <c r="AT23" s="4">
        <f>+IF(TA_ti!AT23*TA_ti!AT$47*TA_ti!$BD23=0,10000,TA_ti!AT23*TA_ti!AT$47*TA_ti!$BD23)</f>
        <v>10000</v>
      </c>
      <c r="AU23" s="4">
        <f>+IF(TA_ti!AU23*TA_ti!AU$47*TA_ti!$BD23=0,10000,TA_ti!AU23*TA_ti!AU$47*TA_ti!$BD23)</f>
        <v>10000</v>
      </c>
      <c r="AV23" s="4">
        <f>+IF(TA_ti!AV23*TA_ti!AV$47*TA_ti!$BD23=0,10000,TA_ti!AV23*TA_ti!AV$47*TA_ti!$BD23)</f>
        <v>10000</v>
      </c>
      <c r="AW23" s="4">
        <f>+IF(TA_ti!AW23*TA_ti!AW$47*TA_ti!$BD23=0,10000,TA_ti!AW23*TA_ti!AW$47*TA_ti!$BD23)</f>
        <v>10000</v>
      </c>
      <c r="AX23" s="4">
        <f>+IF(TA_ti!AX23*TA_ti!AX$47*TA_ti!$BD23=0,10000,TA_ti!AX23*TA_ti!AX$47*TA_ti!$BD23)</f>
        <v>10000</v>
      </c>
      <c r="AY23" s="4">
        <f>+IF(TA_ti!AY23*TA_ti!AY$47*TA_ti!$BD23=0,10000,TA_ti!AY23*TA_ti!AY$47*TA_ti!$BD23)</f>
        <v>10000</v>
      </c>
      <c r="AZ23" s="4">
        <f>+IF(TA_ti!AZ23*TA_ti!AZ$47*TA_ti!$BD23=0,10000,TA_ti!AZ23*TA_ti!AZ$47*TA_ti!$BD23)</f>
        <v>10000</v>
      </c>
      <c r="BA23" s="4">
        <f>+IF(TA_ti!BA23*TA_ti!BA$47*TA_ti!$BD23=0,10000,TA_ti!BA23*TA_ti!BA$47*TA_ti!$BD23)</f>
        <v>10000</v>
      </c>
      <c r="BB23" s="4">
        <f>+IF(TA_ti!BB23*TA_ti!BB$47*TA_ti!$BD23=0,10000,TA_ti!BB23*TA_ti!BB$47*TA_ti!$BD23)</f>
        <v>10000</v>
      </c>
      <c r="BC23" s="4">
        <f>+IF(TA_ti!BC23*TA_ti!BC$47*TA_ti!$BD23=0,10000,TA_ti!BC23*TA_ti!BC$47*TA_ti!$BD23)</f>
        <v>10000</v>
      </c>
    </row>
    <row r="24" spans="1:55" ht="18.75" customHeight="1" x14ac:dyDescent="0.25">
      <c r="A24" s="5" t="s">
        <v>75</v>
      </c>
      <c r="B24" s="4">
        <f>+IF(TA_ti!B24*TA_ti!B$47*TA_ti!$BD24=0,10000,TA_ti!B24*TA_ti!B$47*TA_ti!$BD24)</f>
        <v>10000</v>
      </c>
      <c r="C24" s="4">
        <f>+IF(TA_ti!C24*TA_ti!C$47*TA_ti!$BD24=0,10000,TA_ti!C24*TA_ti!C$47*TA_ti!$BD24)</f>
        <v>10000</v>
      </c>
      <c r="D24" s="4">
        <f>+IF(TA_ti!D24*TA_ti!D$47*TA_ti!$BD24=0,10000,TA_ti!D24*TA_ti!D$47*TA_ti!$BD24)</f>
        <v>10000</v>
      </c>
      <c r="E24" s="4">
        <f>+IF(TA_ti!E24*TA_ti!E$47*TA_ti!$BD24=0,10000,TA_ti!E24*TA_ti!E$47*TA_ti!$BD24)</f>
        <v>10000</v>
      </c>
      <c r="F24" s="4">
        <f>+IF(TA_ti!F24*TA_ti!F$47*TA_ti!$BD24=0,10000,TA_ti!F24*TA_ti!F$47*TA_ti!$BD24)</f>
        <v>10000</v>
      </c>
      <c r="G24" s="4">
        <f>+IF(TA_ti!G24*TA_ti!G$47*TA_ti!$BD24=0,10000,TA_ti!G24*TA_ti!G$47*TA_ti!$BD24)</f>
        <v>10000</v>
      </c>
      <c r="H24" s="4">
        <f>+IF(TA_ti!H24*TA_ti!H$47*TA_ti!$BD24=0,10000,TA_ti!H24*TA_ti!H$47*TA_ti!$BD24)</f>
        <v>10000</v>
      </c>
      <c r="I24" s="4">
        <f>+IF(TA_ti!I24*TA_ti!I$47*TA_ti!$BD24=0,10000,TA_ti!I24*TA_ti!I$47*TA_ti!$BD24)</f>
        <v>10000</v>
      </c>
      <c r="J24" s="4">
        <f>+IF(TA_ti!J24*TA_ti!J$47*TA_ti!$BD24=0,10000,TA_ti!J24*TA_ti!J$47*TA_ti!$BD24)</f>
        <v>10000</v>
      </c>
      <c r="K24" s="4">
        <f>+IF(TA_ti!K24*TA_ti!K$47*TA_ti!$BD24=0,10000,TA_ti!K24*TA_ti!K$47*TA_ti!$BD24)</f>
        <v>10000</v>
      </c>
      <c r="L24" s="4">
        <f>+IF(TA_ti!L24*TA_ti!L$47*TA_ti!$BD24=0,10000,TA_ti!L24*TA_ti!L$47*TA_ti!$BD24)</f>
        <v>10000</v>
      </c>
      <c r="M24" s="4">
        <f>+IF(TA_ti!M24*TA_ti!M$47*TA_ti!$BD24=0,10000,TA_ti!M24*TA_ti!M$47*TA_ti!$BD24)</f>
        <v>10000</v>
      </c>
      <c r="N24" s="4">
        <f>+IF(TA_ti!N24*TA_ti!N$47*TA_ti!$BD24=0,10000,TA_ti!N24*TA_ti!N$47*TA_ti!$BD24)</f>
        <v>10000</v>
      </c>
      <c r="O24" s="4">
        <f>+IF(TA_ti!O24*TA_ti!O$47*TA_ti!$BD24=0,10000,TA_ti!O24*TA_ti!O$47*TA_ti!$BD24)</f>
        <v>10000</v>
      </c>
      <c r="P24" s="4">
        <f>+IF(TA_ti!P24*TA_ti!P$47*TA_ti!$BD24=0,10000,TA_ti!P24*TA_ti!P$47*TA_ti!$BD24)</f>
        <v>10000</v>
      </c>
      <c r="Q24" s="4">
        <f>+IF(TA_ti!Q24*TA_ti!Q$47*TA_ti!$BD24=0,10000,TA_ti!Q24*TA_ti!Q$47*TA_ti!$BD24)</f>
        <v>10000</v>
      </c>
      <c r="R24" s="4">
        <f>+IF(TA_ti!R24*TA_ti!R$47*TA_ti!$BD24=0,10000,TA_ti!R24*TA_ti!R$47*TA_ti!$BD24)</f>
        <v>10000</v>
      </c>
      <c r="S24" s="4">
        <f>+IF(TA_ti!S24*TA_ti!S$47*TA_ti!$BD24=0,10000,TA_ti!S24*TA_ti!S$47*TA_ti!$BD24)</f>
        <v>10000</v>
      </c>
      <c r="T24" s="4">
        <f>+IF(TA_ti!T24*TA_ti!T$47*TA_ti!$BD24=0,10000,TA_ti!T24*TA_ti!T$47*TA_ti!$BD24)</f>
        <v>10000</v>
      </c>
      <c r="U24" s="4">
        <f>+IF(TA_ti!U24*TA_ti!U$47*TA_ti!$BD24=0,10000,TA_ti!U24*TA_ti!U$47*TA_ti!$BD24)</f>
        <v>15</v>
      </c>
      <c r="V24" s="4">
        <f>+IF(TA_ti!V24*TA_ti!V$47*TA_ti!$BD24=0,10000,TA_ti!V24*TA_ti!V$47*TA_ti!$BD24)</f>
        <v>10000</v>
      </c>
      <c r="W24" s="4">
        <f>+IF(TA_ti!W24*TA_ti!W$47*TA_ti!$BD24=0,10000,TA_ti!W24*TA_ti!W$47*TA_ti!$BD24)</f>
        <v>10000</v>
      </c>
      <c r="X24" s="4">
        <f>+IF(TA_ti!X24*TA_ti!X$47*TA_ti!$BD24=0,10000,TA_ti!X24*TA_ti!X$47*TA_ti!$BD24)</f>
        <v>10000</v>
      </c>
      <c r="Y24" s="4">
        <f>+IF(TA_ti!Y24*TA_ti!Y$47*TA_ti!$BD24=0,10000,TA_ti!Y24*TA_ti!Y$47*TA_ti!$BD24)</f>
        <v>10000</v>
      </c>
      <c r="Z24" s="4">
        <f>+IF(TA_ti!Z24*TA_ti!Z$47*TA_ti!$BD24=0,10000,TA_ti!Z24*TA_ti!Z$47*TA_ti!$BD24)</f>
        <v>15</v>
      </c>
      <c r="AA24" s="4">
        <f>+IF(TA_ti!AA24*TA_ti!AA$47*TA_ti!$BD24=0,10000,TA_ti!AA24*TA_ti!AA$47*TA_ti!$BD24)</f>
        <v>10</v>
      </c>
      <c r="AB24" s="4">
        <f>+IF(TA_ti!AB24*TA_ti!AB$47*TA_ti!$BD24=0,10000,TA_ti!AB24*TA_ti!AB$47*TA_ti!$BD24)</f>
        <v>10000</v>
      </c>
      <c r="AC24" s="4">
        <f>+IF(TA_ti!AC24*TA_ti!AC$47*TA_ti!$BD24=0,10000,TA_ti!AC24*TA_ti!AC$47*TA_ti!$BD24)</f>
        <v>10000</v>
      </c>
      <c r="AD24" s="4">
        <f>+IF(TA_ti!AD24*TA_ti!AD$47*TA_ti!$BD24=0,10000,TA_ti!AD24*TA_ti!AD$47*TA_ti!$BD24)</f>
        <v>10000</v>
      </c>
      <c r="AE24" s="4">
        <f>+IF(TA_ti!AE24*TA_ti!AE$47*TA_ti!$BD24=0,10000,TA_ti!AE24*TA_ti!AE$47*TA_ti!$BD24)</f>
        <v>10000</v>
      </c>
      <c r="AF24" s="4">
        <f>+IF(TA_ti!AF24*TA_ti!AF$47*TA_ti!$BD24=0,10000,TA_ti!AF24*TA_ti!AF$47*TA_ti!$BD24)</f>
        <v>10000</v>
      </c>
      <c r="AG24" s="4">
        <f>+IF(TA_ti!AG24*TA_ti!AG$47*TA_ti!$BD24=0,10000,TA_ti!AG24*TA_ti!AG$47*TA_ti!$BD24)</f>
        <v>10000</v>
      </c>
      <c r="AH24" s="4">
        <f>+IF(TA_ti!AH24*TA_ti!AH$47*TA_ti!$BD24=0,10000,TA_ti!AH24*TA_ti!AH$47*TA_ti!$BD24)</f>
        <v>10000</v>
      </c>
      <c r="AI24" s="4">
        <f>+IF(TA_ti!AI24*TA_ti!AI$47*TA_ti!$BD24=0,10000,TA_ti!AI24*TA_ti!AI$47*TA_ti!$BD24)</f>
        <v>10000</v>
      </c>
      <c r="AJ24" s="4">
        <f>+IF(TA_ti!AJ24*TA_ti!AJ$47*TA_ti!$BD24=0,10000,TA_ti!AJ24*TA_ti!AJ$47*TA_ti!$BD24)</f>
        <v>10000</v>
      </c>
      <c r="AK24" s="4">
        <f>+IF(TA_ti!AK24*TA_ti!AK$47*TA_ti!$BD24=0,10000,TA_ti!AK24*TA_ti!AK$47*TA_ti!$BD24)</f>
        <v>10000</v>
      </c>
      <c r="AL24" s="4">
        <f>+IF(TA_ti!AL24*TA_ti!AL$47*TA_ti!$BD24=0,10000,TA_ti!AL24*TA_ti!AL$47*TA_ti!$BD24)</f>
        <v>10000</v>
      </c>
      <c r="AM24" s="4">
        <f>+IF(TA_ti!AM24*TA_ti!AM$47*TA_ti!$BD24=0,10000,TA_ti!AM24*TA_ti!AM$47*TA_ti!$BD24)</f>
        <v>10000</v>
      </c>
      <c r="AN24" s="4">
        <f>+IF(TA_ti!AN24*TA_ti!AN$47*TA_ti!$BD24=0,10000,TA_ti!AN24*TA_ti!AN$47*TA_ti!$BD24)</f>
        <v>10000</v>
      </c>
      <c r="AO24" s="4">
        <f>+IF(TA_ti!AO24*TA_ti!AO$47*TA_ti!$BD24=0,10000,TA_ti!AO24*TA_ti!AO$47*TA_ti!$BD24)</f>
        <v>10000</v>
      </c>
      <c r="AP24" s="4">
        <f>+IF(TA_ti!AP24*TA_ti!AP$47*TA_ti!$BD24=0,10000,TA_ti!AP24*TA_ti!AP$47*TA_ti!$BD24)</f>
        <v>10000</v>
      </c>
      <c r="AQ24" s="4">
        <f>+IF(TA_ti!AQ24*TA_ti!AQ$47*TA_ti!$BD24=0,10000,TA_ti!AQ24*TA_ti!AQ$47*TA_ti!$BD24)</f>
        <v>10000</v>
      </c>
      <c r="AR24" s="4">
        <f>+IF(TA_ti!AR24*TA_ti!AR$47*TA_ti!$BD24=0,10000,TA_ti!AR24*TA_ti!AR$47*TA_ti!$BD24)</f>
        <v>10000</v>
      </c>
      <c r="AS24" s="4">
        <f>+IF(TA_ti!AS24*TA_ti!AS$47*TA_ti!$BD24=0,10000,TA_ti!AS24*TA_ti!AS$47*TA_ti!$BD24)</f>
        <v>10000</v>
      </c>
      <c r="AT24" s="4">
        <f>+IF(TA_ti!AT24*TA_ti!AT$47*TA_ti!$BD24=0,10000,TA_ti!AT24*TA_ti!AT$47*TA_ti!$BD24)</f>
        <v>10000</v>
      </c>
      <c r="AU24" s="4">
        <f>+IF(TA_ti!AU24*TA_ti!AU$47*TA_ti!$BD24=0,10000,TA_ti!AU24*TA_ti!AU$47*TA_ti!$BD24)</f>
        <v>10000</v>
      </c>
      <c r="AV24" s="4">
        <f>+IF(TA_ti!AV24*TA_ti!AV$47*TA_ti!$BD24=0,10000,TA_ti!AV24*TA_ti!AV$47*TA_ti!$BD24)</f>
        <v>10000</v>
      </c>
      <c r="AW24" s="4">
        <f>+IF(TA_ti!AW24*TA_ti!AW$47*TA_ti!$BD24=0,10000,TA_ti!AW24*TA_ti!AW$47*TA_ti!$BD24)</f>
        <v>10000</v>
      </c>
      <c r="AX24" s="4">
        <f>+IF(TA_ti!AX24*TA_ti!AX$47*TA_ti!$BD24=0,10000,TA_ti!AX24*TA_ti!AX$47*TA_ti!$BD24)</f>
        <v>10000</v>
      </c>
      <c r="AY24" s="4">
        <f>+IF(TA_ti!AY24*TA_ti!AY$47*TA_ti!$BD24=0,10000,TA_ti!AY24*TA_ti!AY$47*TA_ti!$BD24)</f>
        <v>10000</v>
      </c>
      <c r="AZ24" s="4">
        <f>+IF(TA_ti!AZ24*TA_ti!AZ$47*TA_ti!$BD24=0,10000,TA_ti!AZ24*TA_ti!AZ$47*TA_ti!$BD24)</f>
        <v>10000</v>
      </c>
      <c r="BA24" s="4">
        <f>+IF(TA_ti!BA24*TA_ti!BA$47*TA_ti!$BD24=0,10000,TA_ti!BA24*TA_ti!BA$47*TA_ti!$BD24)</f>
        <v>10000</v>
      </c>
      <c r="BB24" s="4">
        <f>+IF(TA_ti!BB24*TA_ti!BB$47*TA_ti!$BD24=0,10000,TA_ti!BB24*TA_ti!BB$47*TA_ti!$BD24)</f>
        <v>10000</v>
      </c>
      <c r="BC24" s="4">
        <f>+IF(TA_ti!BC24*TA_ti!BC$47*TA_ti!$BD24=0,10000,TA_ti!BC24*TA_ti!BC$47*TA_ti!$BD24)</f>
        <v>10000</v>
      </c>
    </row>
    <row r="25" spans="1:55" ht="18.75" customHeight="1" x14ac:dyDescent="0.25">
      <c r="A25" s="5" t="s">
        <v>76</v>
      </c>
      <c r="B25" s="4">
        <f>+IF(TA_ti!B25*TA_ti!B$47*TA_ti!$BD25=0,10000,TA_ti!B25*TA_ti!B$47*TA_ti!$BD25)</f>
        <v>10000</v>
      </c>
      <c r="C25" s="4">
        <f>+IF(TA_ti!C25*TA_ti!C$47*TA_ti!$BD25=0,10000,TA_ti!C25*TA_ti!C$47*TA_ti!$BD25)</f>
        <v>10000</v>
      </c>
      <c r="D25" s="4">
        <f>+IF(TA_ti!D25*TA_ti!D$47*TA_ti!$BD25=0,10000,TA_ti!D25*TA_ti!D$47*TA_ti!$BD25)</f>
        <v>10000</v>
      </c>
      <c r="E25" s="4">
        <f>+IF(TA_ti!E25*TA_ti!E$47*TA_ti!$BD25=0,10000,TA_ti!E25*TA_ti!E$47*TA_ti!$BD25)</f>
        <v>10000</v>
      </c>
      <c r="F25" s="4">
        <f>+IF(TA_ti!F25*TA_ti!F$47*TA_ti!$BD25=0,10000,TA_ti!F25*TA_ti!F$47*TA_ti!$BD25)</f>
        <v>10000</v>
      </c>
      <c r="G25" s="4">
        <f>+IF(TA_ti!G25*TA_ti!G$47*TA_ti!$BD25=0,10000,TA_ti!G25*TA_ti!G$47*TA_ti!$BD25)</f>
        <v>10000</v>
      </c>
      <c r="H25" s="4">
        <f>+IF(TA_ti!H25*TA_ti!H$47*TA_ti!$BD25=0,10000,TA_ti!H25*TA_ti!H$47*TA_ti!$BD25)</f>
        <v>10000</v>
      </c>
      <c r="I25" s="4">
        <f>+IF(TA_ti!I25*TA_ti!I$47*TA_ti!$BD25=0,10000,TA_ti!I25*TA_ti!I$47*TA_ti!$BD25)</f>
        <v>10000</v>
      </c>
      <c r="J25" s="4">
        <f>+IF(TA_ti!J25*TA_ti!J$47*TA_ti!$BD25=0,10000,TA_ti!J25*TA_ti!J$47*TA_ti!$BD25)</f>
        <v>10000</v>
      </c>
      <c r="K25" s="4">
        <f>+IF(TA_ti!K25*TA_ti!K$47*TA_ti!$BD25=0,10000,TA_ti!K25*TA_ti!K$47*TA_ti!$BD25)</f>
        <v>10000</v>
      </c>
      <c r="L25" s="4">
        <f>+IF(TA_ti!L25*TA_ti!L$47*TA_ti!$BD25=0,10000,TA_ti!L25*TA_ti!L$47*TA_ti!$BD25)</f>
        <v>10000</v>
      </c>
      <c r="M25" s="4">
        <f>+IF(TA_ti!M25*TA_ti!M$47*TA_ti!$BD25=0,10000,TA_ti!M25*TA_ti!M$47*TA_ti!$BD25)</f>
        <v>10000</v>
      </c>
      <c r="N25" s="4">
        <f>+IF(TA_ti!N25*TA_ti!N$47*TA_ti!$BD25=0,10000,TA_ti!N25*TA_ti!N$47*TA_ti!$BD25)</f>
        <v>10000</v>
      </c>
      <c r="O25" s="4">
        <f>+IF(TA_ti!O25*TA_ti!O$47*TA_ti!$BD25=0,10000,TA_ti!O25*TA_ti!O$47*TA_ti!$BD25)</f>
        <v>10000</v>
      </c>
      <c r="P25" s="4">
        <f>+IF(TA_ti!P25*TA_ti!P$47*TA_ti!$BD25=0,10000,TA_ti!P25*TA_ti!P$47*TA_ti!$BD25)</f>
        <v>10000</v>
      </c>
      <c r="Q25" s="4">
        <f>+IF(TA_ti!Q25*TA_ti!Q$47*TA_ti!$BD25=0,10000,TA_ti!Q25*TA_ti!Q$47*TA_ti!$BD25)</f>
        <v>10000</v>
      </c>
      <c r="R25" s="4">
        <f>+IF(TA_ti!R25*TA_ti!R$47*TA_ti!$BD25=0,10000,TA_ti!R25*TA_ti!R$47*TA_ti!$BD25)</f>
        <v>10000</v>
      </c>
      <c r="S25" s="4">
        <f>+IF(TA_ti!S25*TA_ti!S$47*TA_ti!$BD25=0,10000,TA_ti!S25*TA_ti!S$47*TA_ti!$BD25)</f>
        <v>10000</v>
      </c>
      <c r="T25" s="4">
        <f>+IF(TA_ti!T25*TA_ti!T$47*TA_ti!$BD25=0,10000,TA_ti!T25*TA_ti!T$47*TA_ti!$BD25)</f>
        <v>10000</v>
      </c>
      <c r="U25" s="4">
        <f>+IF(TA_ti!U25*TA_ti!U$47*TA_ti!$BD25=0,10000,TA_ti!U25*TA_ti!U$47*TA_ti!$BD25)</f>
        <v>15</v>
      </c>
      <c r="V25" s="4">
        <f>+IF(TA_ti!V25*TA_ti!V$47*TA_ti!$BD25=0,10000,TA_ti!V25*TA_ti!V$47*TA_ti!$BD25)</f>
        <v>10000</v>
      </c>
      <c r="W25" s="4">
        <f>+IF(TA_ti!W25*TA_ti!W$47*TA_ti!$BD25=0,10000,TA_ti!W25*TA_ti!W$47*TA_ti!$BD25)</f>
        <v>10000</v>
      </c>
      <c r="X25" s="4">
        <f>+IF(TA_ti!X25*TA_ti!X$47*TA_ti!$BD25=0,10000,TA_ti!X25*TA_ti!X$47*TA_ti!$BD25)</f>
        <v>10000</v>
      </c>
      <c r="Y25" s="4">
        <f>+IF(TA_ti!Y25*TA_ti!Y$47*TA_ti!$BD25=0,10000,TA_ti!Y25*TA_ti!Y$47*TA_ti!$BD25)</f>
        <v>10000</v>
      </c>
      <c r="Z25" s="4">
        <f>+IF(TA_ti!Z25*TA_ti!Z$47*TA_ti!$BD25=0,10000,TA_ti!Z25*TA_ti!Z$47*TA_ti!$BD25)</f>
        <v>15</v>
      </c>
      <c r="AA25" s="4">
        <f>+IF(TA_ti!AA25*TA_ti!AA$47*TA_ti!$BD25=0,10000,TA_ti!AA25*TA_ti!AA$47*TA_ti!$BD25)</f>
        <v>10</v>
      </c>
      <c r="AB25" s="4">
        <f>+IF(TA_ti!AB25*TA_ti!AB$47*TA_ti!$BD25=0,10000,TA_ti!AB25*TA_ti!AB$47*TA_ti!$BD25)</f>
        <v>10000</v>
      </c>
      <c r="AC25" s="4">
        <f>+IF(TA_ti!AC25*TA_ti!AC$47*TA_ti!$BD25=0,10000,TA_ti!AC25*TA_ti!AC$47*TA_ti!$BD25)</f>
        <v>10000</v>
      </c>
      <c r="AD25" s="4">
        <f>+IF(TA_ti!AD25*TA_ti!AD$47*TA_ti!$BD25=0,10000,TA_ti!AD25*TA_ti!AD$47*TA_ti!$BD25)</f>
        <v>10000</v>
      </c>
      <c r="AE25" s="4">
        <f>+IF(TA_ti!AE25*TA_ti!AE$47*TA_ti!$BD25=0,10000,TA_ti!AE25*TA_ti!AE$47*TA_ti!$BD25)</f>
        <v>10000</v>
      </c>
      <c r="AF25" s="4">
        <f>+IF(TA_ti!AF25*TA_ti!AF$47*TA_ti!$BD25=0,10000,TA_ti!AF25*TA_ti!AF$47*TA_ti!$BD25)</f>
        <v>10000</v>
      </c>
      <c r="AG25" s="4">
        <f>+IF(TA_ti!AG25*TA_ti!AG$47*TA_ti!$BD25=0,10000,TA_ti!AG25*TA_ti!AG$47*TA_ti!$BD25)</f>
        <v>10000</v>
      </c>
      <c r="AH25" s="4">
        <f>+IF(TA_ti!AH25*TA_ti!AH$47*TA_ti!$BD25=0,10000,TA_ti!AH25*TA_ti!AH$47*TA_ti!$BD25)</f>
        <v>10000</v>
      </c>
      <c r="AI25" s="4">
        <f>+IF(TA_ti!AI25*TA_ti!AI$47*TA_ti!$BD25=0,10000,TA_ti!AI25*TA_ti!AI$47*TA_ti!$BD25)</f>
        <v>10000</v>
      </c>
      <c r="AJ25" s="4">
        <f>+IF(TA_ti!AJ25*TA_ti!AJ$47*TA_ti!$BD25=0,10000,TA_ti!AJ25*TA_ti!AJ$47*TA_ti!$BD25)</f>
        <v>10000</v>
      </c>
      <c r="AK25" s="4">
        <f>+IF(TA_ti!AK25*TA_ti!AK$47*TA_ti!$BD25=0,10000,TA_ti!AK25*TA_ti!AK$47*TA_ti!$BD25)</f>
        <v>10000</v>
      </c>
      <c r="AL25" s="4">
        <f>+IF(TA_ti!AL25*TA_ti!AL$47*TA_ti!$BD25=0,10000,TA_ti!AL25*TA_ti!AL$47*TA_ti!$BD25)</f>
        <v>10000</v>
      </c>
      <c r="AM25" s="4">
        <f>+IF(TA_ti!AM25*TA_ti!AM$47*TA_ti!$BD25=0,10000,TA_ti!AM25*TA_ti!AM$47*TA_ti!$BD25)</f>
        <v>10000</v>
      </c>
      <c r="AN25" s="4">
        <f>+IF(TA_ti!AN25*TA_ti!AN$47*TA_ti!$BD25=0,10000,TA_ti!AN25*TA_ti!AN$47*TA_ti!$BD25)</f>
        <v>10000</v>
      </c>
      <c r="AO25" s="4">
        <f>+IF(TA_ti!AO25*TA_ti!AO$47*TA_ti!$BD25=0,10000,TA_ti!AO25*TA_ti!AO$47*TA_ti!$BD25)</f>
        <v>10000</v>
      </c>
      <c r="AP25" s="4">
        <f>+IF(TA_ti!AP25*TA_ti!AP$47*TA_ti!$BD25=0,10000,TA_ti!AP25*TA_ti!AP$47*TA_ti!$BD25)</f>
        <v>10000</v>
      </c>
      <c r="AQ25" s="4">
        <f>+IF(TA_ti!AQ25*TA_ti!AQ$47*TA_ti!$BD25=0,10000,TA_ti!AQ25*TA_ti!AQ$47*TA_ti!$BD25)</f>
        <v>10000</v>
      </c>
      <c r="AR25" s="4">
        <f>+IF(TA_ti!AR25*TA_ti!AR$47*TA_ti!$BD25=0,10000,TA_ti!AR25*TA_ti!AR$47*TA_ti!$BD25)</f>
        <v>10000</v>
      </c>
      <c r="AS25" s="4">
        <f>+IF(TA_ti!AS25*TA_ti!AS$47*TA_ti!$BD25=0,10000,TA_ti!AS25*TA_ti!AS$47*TA_ti!$BD25)</f>
        <v>10000</v>
      </c>
      <c r="AT25" s="4">
        <f>+IF(TA_ti!AT25*TA_ti!AT$47*TA_ti!$BD25=0,10000,TA_ti!AT25*TA_ti!AT$47*TA_ti!$BD25)</f>
        <v>10000</v>
      </c>
      <c r="AU25" s="4">
        <f>+IF(TA_ti!AU25*TA_ti!AU$47*TA_ti!$BD25=0,10000,TA_ti!AU25*TA_ti!AU$47*TA_ti!$BD25)</f>
        <v>10000</v>
      </c>
      <c r="AV25" s="4">
        <f>+IF(TA_ti!AV25*TA_ti!AV$47*TA_ti!$BD25=0,10000,TA_ti!AV25*TA_ti!AV$47*TA_ti!$BD25)</f>
        <v>10000</v>
      </c>
      <c r="AW25" s="4">
        <f>+IF(TA_ti!AW25*TA_ti!AW$47*TA_ti!$BD25=0,10000,TA_ti!AW25*TA_ti!AW$47*TA_ti!$BD25)</f>
        <v>10000</v>
      </c>
      <c r="AX25" s="4">
        <f>+IF(TA_ti!AX25*TA_ti!AX$47*TA_ti!$BD25=0,10000,TA_ti!AX25*TA_ti!AX$47*TA_ti!$BD25)</f>
        <v>10000</v>
      </c>
      <c r="AY25" s="4">
        <f>+IF(TA_ti!AY25*TA_ti!AY$47*TA_ti!$BD25=0,10000,TA_ti!AY25*TA_ti!AY$47*TA_ti!$BD25)</f>
        <v>10000</v>
      </c>
      <c r="AZ25" s="4">
        <f>+IF(TA_ti!AZ25*TA_ti!AZ$47*TA_ti!$BD25=0,10000,TA_ti!AZ25*TA_ti!AZ$47*TA_ti!$BD25)</f>
        <v>10000</v>
      </c>
      <c r="BA25" s="4">
        <f>+IF(TA_ti!BA25*TA_ti!BA$47*TA_ti!$BD25=0,10000,TA_ti!BA25*TA_ti!BA$47*TA_ti!$BD25)</f>
        <v>10000</v>
      </c>
      <c r="BB25" s="4">
        <f>+IF(TA_ti!BB25*TA_ti!BB$47*TA_ti!$BD25=0,10000,TA_ti!BB25*TA_ti!BB$47*TA_ti!$BD25)</f>
        <v>10000</v>
      </c>
      <c r="BC25" s="4">
        <f>+IF(TA_ti!BC25*TA_ti!BC$47*TA_ti!$BD25=0,10000,TA_ti!BC25*TA_ti!BC$47*TA_ti!$BD25)</f>
        <v>10000</v>
      </c>
    </row>
    <row r="26" spans="1:55" ht="18.75" customHeight="1" x14ac:dyDescent="0.25">
      <c r="A26" s="5" t="s">
        <v>77</v>
      </c>
      <c r="B26" s="4">
        <f>+IF(TA_ti!B26*TA_ti!B$47*TA_ti!$BD26=0,10000,TA_ti!B26*TA_ti!B$47*TA_ti!$BD26)</f>
        <v>10000</v>
      </c>
      <c r="C26" s="4">
        <f>+IF(TA_ti!C26*TA_ti!C$47*TA_ti!$BD26=0,10000,TA_ti!C26*TA_ti!C$47*TA_ti!$BD26)</f>
        <v>10000</v>
      </c>
      <c r="D26" s="4">
        <f>+IF(TA_ti!D26*TA_ti!D$47*TA_ti!$BD26=0,10000,TA_ti!D26*TA_ti!D$47*TA_ti!$BD26)</f>
        <v>10000</v>
      </c>
      <c r="E26" s="4">
        <f>+IF(TA_ti!E26*TA_ti!E$47*TA_ti!$BD26=0,10000,TA_ti!E26*TA_ti!E$47*TA_ti!$BD26)</f>
        <v>10000</v>
      </c>
      <c r="F26" s="4">
        <f>+IF(TA_ti!F26*TA_ti!F$47*TA_ti!$BD26=0,10000,TA_ti!F26*TA_ti!F$47*TA_ti!$BD26)</f>
        <v>10000</v>
      </c>
      <c r="G26" s="4">
        <f>+IF(TA_ti!G26*TA_ti!G$47*TA_ti!$BD26=0,10000,TA_ti!G26*TA_ti!G$47*TA_ti!$BD26)</f>
        <v>10000</v>
      </c>
      <c r="H26" s="4">
        <f>+IF(TA_ti!H26*TA_ti!H$47*TA_ti!$BD26=0,10000,TA_ti!H26*TA_ti!H$47*TA_ti!$BD26)</f>
        <v>10000</v>
      </c>
      <c r="I26" s="4">
        <f>+IF(TA_ti!I26*TA_ti!I$47*TA_ti!$BD26=0,10000,TA_ti!I26*TA_ti!I$47*TA_ti!$BD26)</f>
        <v>10000</v>
      </c>
      <c r="J26" s="4">
        <f>+IF(TA_ti!J26*TA_ti!J$47*TA_ti!$BD26=0,10000,TA_ti!J26*TA_ti!J$47*TA_ti!$BD26)</f>
        <v>10000</v>
      </c>
      <c r="K26" s="4">
        <f>+IF(TA_ti!K26*TA_ti!K$47*TA_ti!$BD26=0,10000,TA_ti!K26*TA_ti!K$47*TA_ti!$BD26)</f>
        <v>10000</v>
      </c>
      <c r="L26" s="4">
        <f>+IF(TA_ti!L26*TA_ti!L$47*TA_ti!$BD26=0,10000,TA_ti!L26*TA_ti!L$47*TA_ti!$BD26)</f>
        <v>10000</v>
      </c>
      <c r="M26" s="4">
        <f>+IF(TA_ti!M26*TA_ti!M$47*TA_ti!$BD26=0,10000,TA_ti!M26*TA_ti!M$47*TA_ti!$BD26)</f>
        <v>10000</v>
      </c>
      <c r="N26" s="4">
        <f>+IF(TA_ti!N26*TA_ti!N$47*TA_ti!$BD26=0,10000,TA_ti!N26*TA_ti!N$47*TA_ti!$BD26)</f>
        <v>10000</v>
      </c>
      <c r="O26" s="4">
        <f>+IF(TA_ti!O26*TA_ti!O$47*TA_ti!$BD26=0,10000,TA_ti!O26*TA_ti!O$47*TA_ti!$BD26)</f>
        <v>10000</v>
      </c>
      <c r="P26" s="4">
        <f>+IF(TA_ti!P26*TA_ti!P$47*TA_ti!$BD26=0,10000,TA_ti!P26*TA_ti!P$47*TA_ti!$BD26)</f>
        <v>10000</v>
      </c>
      <c r="Q26" s="4">
        <f>+IF(TA_ti!Q26*TA_ti!Q$47*TA_ti!$BD26=0,10000,TA_ti!Q26*TA_ti!Q$47*TA_ti!$BD26)</f>
        <v>10000</v>
      </c>
      <c r="R26" s="4">
        <f>+IF(TA_ti!R26*TA_ti!R$47*TA_ti!$BD26=0,10000,TA_ti!R26*TA_ti!R$47*TA_ti!$BD26)</f>
        <v>10000</v>
      </c>
      <c r="S26" s="4">
        <f>+IF(TA_ti!S26*TA_ti!S$47*TA_ti!$BD26=0,10000,TA_ti!S26*TA_ti!S$47*TA_ti!$BD26)</f>
        <v>10000</v>
      </c>
      <c r="T26" s="4">
        <f>+IF(TA_ti!T26*TA_ti!T$47*TA_ti!$BD26=0,10000,TA_ti!T26*TA_ti!T$47*TA_ti!$BD26)</f>
        <v>10000</v>
      </c>
      <c r="U26" s="4">
        <f>+IF(TA_ti!U26*TA_ti!U$47*TA_ti!$BD26=0,10000,TA_ti!U26*TA_ti!U$47*TA_ti!$BD26)</f>
        <v>15</v>
      </c>
      <c r="V26" s="4">
        <f>+IF(TA_ti!V26*TA_ti!V$47*TA_ti!$BD26=0,10000,TA_ti!V26*TA_ti!V$47*TA_ti!$BD26)</f>
        <v>10000</v>
      </c>
      <c r="W26" s="4">
        <f>+IF(TA_ti!W26*TA_ti!W$47*TA_ti!$BD26=0,10000,TA_ti!W26*TA_ti!W$47*TA_ti!$BD26)</f>
        <v>10000</v>
      </c>
      <c r="X26" s="4">
        <f>+IF(TA_ti!X26*TA_ti!X$47*TA_ti!$BD26=0,10000,TA_ti!X26*TA_ti!X$47*TA_ti!$BD26)</f>
        <v>10000</v>
      </c>
      <c r="Y26" s="4">
        <f>+IF(TA_ti!Y26*TA_ti!Y$47*TA_ti!$BD26=0,10000,TA_ti!Y26*TA_ti!Y$47*TA_ti!$BD26)</f>
        <v>10000</v>
      </c>
      <c r="Z26" s="4">
        <f>+IF(TA_ti!Z26*TA_ti!Z$47*TA_ti!$BD26=0,10000,TA_ti!Z26*TA_ti!Z$47*TA_ti!$BD26)</f>
        <v>15</v>
      </c>
      <c r="AA26" s="4">
        <f>+IF(TA_ti!AA26*TA_ti!AA$47*TA_ti!$BD26=0,10000,TA_ti!AA26*TA_ti!AA$47*TA_ti!$BD26)</f>
        <v>10000</v>
      </c>
      <c r="AB26" s="4">
        <f>+IF(TA_ti!AB26*TA_ti!AB$47*TA_ti!$BD26=0,10000,TA_ti!AB26*TA_ti!AB$47*TA_ti!$BD26)</f>
        <v>10000</v>
      </c>
      <c r="AC26" s="4">
        <f>+IF(TA_ti!AC26*TA_ti!AC$47*TA_ti!$BD26=0,10000,TA_ti!AC26*TA_ti!AC$47*TA_ti!$BD26)</f>
        <v>10000</v>
      </c>
      <c r="AD26" s="4">
        <f>+IF(TA_ti!AD26*TA_ti!AD$47*TA_ti!$BD26=0,10000,TA_ti!AD26*TA_ti!AD$47*TA_ti!$BD26)</f>
        <v>10000</v>
      </c>
      <c r="AE26" s="4">
        <f>+IF(TA_ti!AE26*TA_ti!AE$47*TA_ti!$BD26=0,10000,TA_ti!AE26*TA_ti!AE$47*TA_ti!$BD26)</f>
        <v>10000</v>
      </c>
      <c r="AF26" s="4">
        <f>+IF(TA_ti!AF26*TA_ti!AF$47*TA_ti!$BD26=0,10000,TA_ti!AF26*TA_ti!AF$47*TA_ti!$BD26)</f>
        <v>10000</v>
      </c>
      <c r="AG26" s="4">
        <f>+IF(TA_ti!AG26*TA_ti!AG$47*TA_ti!$BD26=0,10000,TA_ti!AG26*TA_ti!AG$47*TA_ti!$BD26)</f>
        <v>10000</v>
      </c>
      <c r="AH26" s="4">
        <f>+IF(TA_ti!AH26*TA_ti!AH$47*TA_ti!$BD26=0,10000,TA_ti!AH26*TA_ti!AH$47*TA_ti!$BD26)</f>
        <v>10000</v>
      </c>
      <c r="AI26" s="4">
        <f>+IF(TA_ti!AI26*TA_ti!AI$47*TA_ti!$BD26=0,10000,TA_ti!AI26*TA_ti!AI$47*TA_ti!$BD26)</f>
        <v>10000</v>
      </c>
      <c r="AJ26" s="4">
        <f>+IF(TA_ti!AJ26*TA_ti!AJ$47*TA_ti!$BD26=0,10000,TA_ti!AJ26*TA_ti!AJ$47*TA_ti!$BD26)</f>
        <v>10000</v>
      </c>
      <c r="AK26" s="4">
        <f>+IF(TA_ti!AK26*TA_ti!AK$47*TA_ti!$BD26=0,10000,TA_ti!AK26*TA_ti!AK$47*TA_ti!$BD26)</f>
        <v>10000</v>
      </c>
      <c r="AL26" s="4">
        <f>+IF(TA_ti!AL26*TA_ti!AL$47*TA_ti!$BD26=0,10000,TA_ti!AL26*TA_ti!AL$47*TA_ti!$BD26)</f>
        <v>10000</v>
      </c>
      <c r="AM26" s="4">
        <f>+IF(TA_ti!AM26*TA_ti!AM$47*TA_ti!$BD26=0,10000,TA_ti!AM26*TA_ti!AM$47*TA_ti!$BD26)</f>
        <v>10000</v>
      </c>
      <c r="AN26" s="4">
        <f>+IF(TA_ti!AN26*TA_ti!AN$47*TA_ti!$BD26=0,10000,TA_ti!AN26*TA_ti!AN$47*TA_ti!$BD26)</f>
        <v>10000</v>
      </c>
      <c r="AO26" s="4">
        <f>+IF(TA_ti!AO26*TA_ti!AO$47*TA_ti!$BD26=0,10000,TA_ti!AO26*TA_ti!AO$47*TA_ti!$BD26)</f>
        <v>10000</v>
      </c>
      <c r="AP26" s="4">
        <f>+IF(TA_ti!AP26*TA_ti!AP$47*TA_ti!$BD26=0,10000,TA_ti!AP26*TA_ti!AP$47*TA_ti!$BD26)</f>
        <v>10000</v>
      </c>
      <c r="AQ26" s="4">
        <f>+IF(TA_ti!AQ26*TA_ti!AQ$47*TA_ti!$BD26=0,10000,TA_ti!AQ26*TA_ti!AQ$47*TA_ti!$BD26)</f>
        <v>10000</v>
      </c>
      <c r="AR26" s="4">
        <f>+IF(TA_ti!AR26*TA_ti!AR$47*TA_ti!$BD26=0,10000,TA_ti!AR26*TA_ti!AR$47*TA_ti!$BD26)</f>
        <v>10000</v>
      </c>
      <c r="AS26" s="4">
        <f>+IF(TA_ti!AS26*TA_ti!AS$47*TA_ti!$BD26=0,10000,TA_ti!AS26*TA_ti!AS$47*TA_ti!$BD26)</f>
        <v>10000</v>
      </c>
      <c r="AT26" s="4">
        <f>+IF(TA_ti!AT26*TA_ti!AT$47*TA_ti!$BD26=0,10000,TA_ti!AT26*TA_ti!AT$47*TA_ti!$BD26)</f>
        <v>10000</v>
      </c>
      <c r="AU26" s="4">
        <f>+IF(TA_ti!AU26*TA_ti!AU$47*TA_ti!$BD26=0,10000,TA_ti!AU26*TA_ti!AU$47*TA_ti!$BD26)</f>
        <v>10000</v>
      </c>
      <c r="AV26" s="4">
        <f>+IF(TA_ti!AV26*TA_ti!AV$47*TA_ti!$BD26=0,10000,TA_ti!AV26*TA_ti!AV$47*TA_ti!$BD26)</f>
        <v>10000</v>
      </c>
      <c r="AW26" s="4">
        <f>+IF(TA_ti!AW26*TA_ti!AW$47*TA_ti!$BD26=0,10000,TA_ti!AW26*TA_ti!AW$47*TA_ti!$BD26)</f>
        <v>10000</v>
      </c>
      <c r="AX26" s="4">
        <f>+IF(TA_ti!AX26*TA_ti!AX$47*TA_ti!$BD26=0,10000,TA_ti!AX26*TA_ti!AX$47*TA_ti!$BD26)</f>
        <v>10000</v>
      </c>
      <c r="AY26" s="4">
        <f>+IF(TA_ti!AY26*TA_ti!AY$47*TA_ti!$BD26=0,10000,TA_ti!AY26*TA_ti!AY$47*TA_ti!$BD26)</f>
        <v>10000</v>
      </c>
      <c r="AZ26" s="4">
        <f>+IF(TA_ti!AZ26*TA_ti!AZ$47*TA_ti!$BD26=0,10000,TA_ti!AZ26*TA_ti!AZ$47*TA_ti!$BD26)</f>
        <v>10000</v>
      </c>
      <c r="BA26" s="4">
        <f>+IF(TA_ti!BA26*TA_ti!BA$47*TA_ti!$BD26=0,10000,TA_ti!BA26*TA_ti!BA$47*TA_ti!$BD26)</f>
        <v>10000</v>
      </c>
      <c r="BB26" s="4">
        <f>+IF(TA_ti!BB26*TA_ti!BB$47*TA_ti!$BD26=0,10000,TA_ti!BB26*TA_ti!BB$47*TA_ti!$BD26)</f>
        <v>10000</v>
      </c>
      <c r="BC26" s="4">
        <f>+IF(TA_ti!BC26*TA_ti!BC$47*TA_ti!$BD26=0,10000,TA_ti!BC26*TA_ti!BC$47*TA_ti!$BD26)</f>
        <v>10000</v>
      </c>
    </row>
    <row r="27" spans="1:55" ht="18.75" customHeight="1" x14ac:dyDescent="0.25">
      <c r="A27" s="5" t="s">
        <v>78</v>
      </c>
      <c r="B27" s="4">
        <f>+IF(TA_ti!B27*TA_ti!B$47*TA_ti!$BD27=0,10000,TA_ti!B27*TA_ti!B$47*TA_ti!$BD27)</f>
        <v>10000</v>
      </c>
      <c r="C27" s="4">
        <f>+IF(TA_ti!C27*TA_ti!C$47*TA_ti!$BD27=0,10000,TA_ti!C27*TA_ti!C$47*TA_ti!$BD27)</f>
        <v>10000</v>
      </c>
      <c r="D27" s="4">
        <f>+IF(TA_ti!D27*TA_ti!D$47*TA_ti!$BD27=0,10000,TA_ti!D27*TA_ti!D$47*TA_ti!$BD27)</f>
        <v>10000</v>
      </c>
      <c r="E27" s="4">
        <f>+IF(TA_ti!E27*TA_ti!E$47*TA_ti!$BD27=0,10000,TA_ti!E27*TA_ti!E$47*TA_ti!$BD27)</f>
        <v>10000</v>
      </c>
      <c r="F27" s="4">
        <f>+IF(TA_ti!F27*TA_ti!F$47*TA_ti!$BD27=0,10000,TA_ti!F27*TA_ti!F$47*TA_ti!$BD27)</f>
        <v>10000</v>
      </c>
      <c r="G27" s="4">
        <f>+IF(TA_ti!G27*TA_ti!G$47*TA_ti!$BD27=0,10000,TA_ti!G27*TA_ti!G$47*TA_ti!$BD27)</f>
        <v>10000</v>
      </c>
      <c r="H27" s="4">
        <f>+IF(TA_ti!H27*TA_ti!H$47*TA_ti!$BD27=0,10000,TA_ti!H27*TA_ti!H$47*TA_ti!$BD27)</f>
        <v>10000</v>
      </c>
      <c r="I27" s="4">
        <f>+IF(TA_ti!I27*TA_ti!I$47*TA_ti!$BD27=0,10000,TA_ti!I27*TA_ti!I$47*TA_ti!$BD27)</f>
        <v>10000</v>
      </c>
      <c r="J27" s="4">
        <f>+IF(TA_ti!J27*TA_ti!J$47*TA_ti!$BD27=0,10000,TA_ti!J27*TA_ti!J$47*TA_ti!$BD27)</f>
        <v>10000</v>
      </c>
      <c r="K27" s="4">
        <f>+IF(TA_ti!K27*TA_ti!K$47*TA_ti!$BD27=0,10000,TA_ti!K27*TA_ti!K$47*TA_ti!$BD27)</f>
        <v>10000</v>
      </c>
      <c r="L27" s="4">
        <f>+IF(TA_ti!L27*TA_ti!L$47*TA_ti!$BD27=0,10000,TA_ti!L27*TA_ti!L$47*TA_ti!$BD27)</f>
        <v>10000</v>
      </c>
      <c r="M27" s="4">
        <f>+IF(TA_ti!M27*TA_ti!M$47*TA_ti!$BD27=0,10000,TA_ti!M27*TA_ti!M$47*TA_ti!$BD27)</f>
        <v>10000</v>
      </c>
      <c r="N27" s="4">
        <f>+IF(TA_ti!N27*TA_ti!N$47*TA_ti!$BD27=0,10000,TA_ti!N27*TA_ti!N$47*TA_ti!$BD27)</f>
        <v>10000</v>
      </c>
      <c r="O27" s="4">
        <f>+IF(TA_ti!O27*TA_ti!O$47*TA_ti!$BD27=0,10000,TA_ti!O27*TA_ti!O$47*TA_ti!$BD27)</f>
        <v>10000</v>
      </c>
      <c r="P27" s="4">
        <f>+IF(TA_ti!P27*TA_ti!P$47*TA_ti!$BD27=0,10000,TA_ti!P27*TA_ti!P$47*TA_ti!$BD27)</f>
        <v>10000</v>
      </c>
      <c r="Q27" s="4">
        <f>+IF(TA_ti!Q27*TA_ti!Q$47*TA_ti!$BD27=0,10000,TA_ti!Q27*TA_ti!Q$47*TA_ti!$BD27)</f>
        <v>10000</v>
      </c>
      <c r="R27" s="4">
        <f>+IF(TA_ti!R27*TA_ti!R$47*TA_ti!$BD27=0,10000,TA_ti!R27*TA_ti!R$47*TA_ti!$BD27)</f>
        <v>10000</v>
      </c>
      <c r="S27" s="4">
        <f>+IF(TA_ti!S27*TA_ti!S$47*TA_ti!$BD27=0,10000,TA_ti!S27*TA_ti!S$47*TA_ti!$BD27)</f>
        <v>10000</v>
      </c>
      <c r="T27" s="4">
        <f>+IF(TA_ti!T27*TA_ti!T$47*TA_ti!$BD27=0,10000,TA_ti!T27*TA_ti!T$47*TA_ti!$BD27)</f>
        <v>10000</v>
      </c>
      <c r="U27" s="4">
        <f>+IF(TA_ti!U27*TA_ti!U$47*TA_ti!$BD27=0,10000,TA_ti!U27*TA_ti!U$47*TA_ti!$BD27)</f>
        <v>15</v>
      </c>
      <c r="V27" s="4">
        <f>+IF(TA_ti!V27*TA_ti!V$47*TA_ti!$BD27=0,10000,TA_ti!V27*TA_ti!V$47*TA_ti!$BD27)</f>
        <v>10000</v>
      </c>
      <c r="W27" s="4">
        <f>+IF(TA_ti!W27*TA_ti!W$47*TA_ti!$BD27=0,10000,TA_ti!W27*TA_ti!W$47*TA_ti!$BD27)</f>
        <v>10000</v>
      </c>
      <c r="X27" s="4">
        <f>+IF(TA_ti!X27*TA_ti!X$47*TA_ti!$BD27=0,10000,TA_ti!X27*TA_ti!X$47*TA_ti!$BD27)</f>
        <v>10000</v>
      </c>
      <c r="Y27" s="4">
        <f>+IF(TA_ti!Y27*TA_ti!Y$47*TA_ti!$BD27=0,10000,TA_ti!Y27*TA_ti!Y$47*TA_ti!$BD27)</f>
        <v>10000</v>
      </c>
      <c r="Z27" s="4">
        <f>+IF(TA_ti!Z27*TA_ti!Z$47*TA_ti!$BD27=0,10000,TA_ti!Z27*TA_ti!Z$47*TA_ti!$BD27)</f>
        <v>15</v>
      </c>
      <c r="AA27" s="4">
        <f>+IF(TA_ti!AA27*TA_ti!AA$47*TA_ti!$BD27=0,10000,TA_ti!AA27*TA_ti!AA$47*TA_ti!$BD27)</f>
        <v>10</v>
      </c>
      <c r="AB27" s="4">
        <f>+IF(TA_ti!AB27*TA_ti!AB$47*TA_ti!$BD27=0,10000,TA_ti!AB27*TA_ti!AB$47*TA_ti!$BD27)</f>
        <v>10000</v>
      </c>
      <c r="AC27" s="4">
        <f>+IF(TA_ti!AC27*TA_ti!AC$47*TA_ti!$BD27=0,10000,TA_ti!AC27*TA_ti!AC$47*TA_ti!$BD27)</f>
        <v>10000</v>
      </c>
      <c r="AD27" s="4">
        <f>+IF(TA_ti!AD27*TA_ti!AD$47*TA_ti!$BD27=0,10000,TA_ti!AD27*TA_ti!AD$47*TA_ti!$BD27)</f>
        <v>10000</v>
      </c>
      <c r="AE27" s="4">
        <f>+IF(TA_ti!AE27*TA_ti!AE$47*TA_ti!$BD27=0,10000,TA_ti!AE27*TA_ti!AE$47*TA_ti!$BD27)</f>
        <v>10000</v>
      </c>
      <c r="AF27" s="4">
        <f>+IF(TA_ti!AF27*TA_ti!AF$47*TA_ti!$BD27=0,10000,TA_ti!AF27*TA_ti!AF$47*TA_ti!$BD27)</f>
        <v>10000</v>
      </c>
      <c r="AG27" s="4">
        <f>+IF(TA_ti!AG27*TA_ti!AG$47*TA_ti!$BD27=0,10000,TA_ti!AG27*TA_ti!AG$47*TA_ti!$BD27)</f>
        <v>10000</v>
      </c>
      <c r="AH27" s="4">
        <f>+IF(TA_ti!AH27*TA_ti!AH$47*TA_ti!$BD27=0,10000,TA_ti!AH27*TA_ti!AH$47*TA_ti!$BD27)</f>
        <v>10000</v>
      </c>
      <c r="AI27" s="4">
        <f>+IF(TA_ti!AI27*TA_ti!AI$47*TA_ti!$BD27=0,10000,TA_ti!AI27*TA_ti!AI$47*TA_ti!$BD27)</f>
        <v>10000</v>
      </c>
      <c r="AJ27" s="4">
        <f>+IF(TA_ti!AJ27*TA_ti!AJ$47*TA_ti!$BD27=0,10000,TA_ti!AJ27*TA_ti!AJ$47*TA_ti!$BD27)</f>
        <v>10000</v>
      </c>
      <c r="AK27" s="4">
        <f>+IF(TA_ti!AK27*TA_ti!AK$47*TA_ti!$BD27=0,10000,TA_ti!AK27*TA_ti!AK$47*TA_ti!$BD27)</f>
        <v>10000</v>
      </c>
      <c r="AL27" s="4">
        <f>+IF(TA_ti!AL27*TA_ti!AL$47*TA_ti!$BD27=0,10000,TA_ti!AL27*TA_ti!AL$47*TA_ti!$BD27)</f>
        <v>10000</v>
      </c>
      <c r="AM27" s="4">
        <f>+IF(TA_ti!AM27*TA_ti!AM$47*TA_ti!$BD27=0,10000,TA_ti!AM27*TA_ti!AM$47*TA_ti!$BD27)</f>
        <v>10000</v>
      </c>
      <c r="AN27" s="4">
        <f>+IF(TA_ti!AN27*TA_ti!AN$47*TA_ti!$BD27=0,10000,TA_ti!AN27*TA_ti!AN$47*TA_ti!$BD27)</f>
        <v>10000</v>
      </c>
      <c r="AO27" s="4">
        <f>+IF(TA_ti!AO27*TA_ti!AO$47*TA_ti!$BD27=0,10000,TA_ti!AO27*TA_ti!AO$47*TA_ti!$BD27)</f>
        <v>10000</v>
      </c>
      <c r="AP27" s="4">
        <f>+IF(TA_ti!AP27*TA_ti!AP$47*TA_ti!$BD27=0,10000,TA_ti!AP27*TA_ti!AP$47*TA_ti!$BD27)</f>
        <v>10000</v>
      </c>
      <c r="AQ27" s="4">
        <f>+IF(TA_ti!AQ27*TA_ti!AQ$47*TA_ti!$BD27=0,10000,TA_ti!AQ27*TA_ti!AQ$47*TA_ti!$BD27)</f>
        <v>10000</v>
      </c>
      <c r="AR27" s="4">
        <f>+IF(TA_ti!AR27*TA_ti!AR$47*TA_ti!$BD27=0,10000,TA_ti!AR27*TA_ti!AR$47*TA_ti!$BD27)</f>
        <v>10000</v>
      </c>
      <c r="AS27" s="4">
        <f>+IF(TA_ti!AS27*TA_ti!AS$47*TA_ti!$BD27=0,10000,TA_ti!AS27*TA_ti!AS$47*TA_ti!$BD27)</f>
        <v>10000</v>
      </c>
      <c r="AT27" s="4">
        <f>+IF(TA_ti!AT27*TA_ti!AT$47*TA_ti!$BD27=0,10000,TA_ti!AT27*TA_ti!AT$47*TA_ti!$BD27)</f>
        <v>10000</v>
      </c>
      <c r="AU27" s="4">
        <f>+IF(TA_ti!AU27*TA_ti!AU$47*TA_ti!$BD27=0,10000,TA_ti!AU27*TA_ti!AU$47*TA_ti!$BD27)</f>
        <v>10000</v>
      </c>
      <c r="AV27" s="4">
        <f>+IF(TA_ti!AV27*TA_ti!AV$47*TA_ti!$BD27=0,10000,TA_ti!AV27*TA_ti!AV$47*TA_ti!$BD27)</f>
        <v>10000</v>
      </c>
      <c r="AW27" s="4">
        <f>+IF(TA_ti!AW27*TA_ti!AW$47*TA_ti!$BD27=0,10000,TA_ti!AW27*TA_ti!AW$47*TA_ti!$BD27)</f>
        <v>10000</v>
      </c>
      <c r="AX27" s="4">
        <f>+IF(TA_ti!AX27*TA_ti!AX$47*TA_ti!$BD27=0,10000,TA_ti!AX27*TA_ti!AX$47*TA_ti!$BD27)</f>
        <v>10000</v>
      </c>
      <c r="AY27" s="4">
        <f>+IF(TA_ti!AY27*TA_ti!AY$47*TA_ti!$BD27=0,10000,TA_ti!AY27*TA_ti!AY$47*TA_ti!$BD27)</f>
        <v>10000</v>
      </c>
      <c r="AZ27" s="4">
        <f>+IF(TA_ti!AZ27*TA_ti!AZ$47*TA_ti!$BD27=0,10000,TA_ti!AZ27*TA_ti!AZ$47*TA_ti!$BD27)</f>
        <v>10000</v>
      </c>
      <c r="BA27" s="4">
        <f>+IF(TA_ti!BA27*TA_ti!BA$47*TA_ti!$BD27=0,10000,TA_ti!BA27*TA_ti!BA$47*TA_ti!$BD27)</f>
        <v>10000</v>
      </c>
      <c r="BB27" s="4">
        <f>+IF(TA_ti!BB27*TA_ti!BB$47*TA_ti!$BD27=0,10000,TA_ti!BB27*TA_ti!BB$47*TA_ti!$BD27)</f>
        <v>10000</v>
      </c>
      <c r="BC27" s="4">
        <f>+IF(TA_ti!BC27*TA_ti!BC$47*TA_ti!$BD27=0,10000,TA_ti!BC27*TA_ti!BC$47*TA_ti!$BD27)</f>
        <v>10000</v>
      </c>
    </row>
    <row r="28" spans="1:55" ht="18.75" customHeight="1" x14ac:dyDescent="0.25">
      <c r="A28" s="5" t="s">
        <v>79</v>
      </c>
      <c r="B28" s="4">
        <f>+IF(TA_ti!B28*TA_ti!B$47*TA_ti!$BD28=0,10000,TA_ti!B28*TA_ti!B$47*TA_ti!$BD28)</f>
        <v>10000</v>
      </c>
      <c r="C28" s="4">
        <f>+IF(TA_ti!C28*TA_ti!C$47*TA_ti!$BD28=0,10000,TA_ti!C28*TA_ti!C$47*TA_ti!$BD28)</f>
        <v>10000</v>
      </c>
      <c r="D28" s="4">
        <f>+IF(TA_ti!D28*TA_ti!D$47*TA_ti!$BD28=0,10000,TA_ti!D28*TA_ti!D$47*TA_ti!$BD28)</f>
        <v>10000</v>
      </c>
      <c r="E28" s="4">
        <f>+IF(TA_ti!E28*TA_ti!E$47*TA_ti!$BD28=0,10000,TA_ti!E28*TA_ti!E$47*TA_ti!$BD28)</f>
        <v>10000</v>
      </c>
      <c r="F28" s="4">
        <f>+IF(TA_ti!F28*TA_ti!F$47*TA_ti!$BD28=0,10000,TA_ti!F28*TA_ti!F$47*TA_ti!$BD28)</f>
        <v>10000</v>
      </c>
      <c r="G28" s="4">
        <f>+IF(TA_ti!G28*TA_ti!G$47*TA_ti!$BD28=0,10000,TA_ti!G28*TA_ti!G$47*TA_ti!$BD28)</f>
        <v>10000</v>
      </c>
      <c r="H28" s="4">
        <f>+IF(TA_ti!H28*TA_ti!H$47*TA_ti!$BD28=0,10000,TA_ti!H28*TA_ti!H$47*TA_ti!$BD28)</f>
        <v>10000</v>
      </c>
      <c r="I28" s="4">
        <f>+IF(TA_ti!I28*TA_ti!I$47*TA_ti!$BD28=0,10000,TA_ti!I28*TA_ti!I$47*TA_ti!$BD28)</f>
        <v>10000</v>
      </c>
      <c r="J28" s="4">
        <f>+IF(TA_ti!J28*TA_ti!J$47*TA_ti!$BD28=0,10000,TA_ti!J28*TA_ti!J$47*TA_ti!$BD28)</f>
        <v>10000</v>
      </c>
      <c r="K28" s="4">
        <f>+IF(TA_ti!K28*TA_ti!K$47*TA_ti!$BD28=0,10000,TA_ti!K28*TA_ti!K$47*TA_ti!$BD28)</f>
        <v>10000</v>
      </c>
      <c r="L28" s="4">
        <f>+IF(TA_ti!L28*TA_ti!L$47*TA_ti!$BD28=0,10000,TA_ti!L28*TA_ti!L$47*TA_ti!$BD28)</f>
        <v>12</v>
      </c>
      <c r="M28" s="4">
        <f>+IF(TA_ti!M28*TA_ti!M$47*TA_ti!$BD28=0,10000,TA_ti!M28*TA_ti!M$47*TA_ti!$BD28)</f>
        <v>12</v>
      </c>
      <c r="N28" s="4">
        <f>+IF(TA_ti!N28*TA_ti!N$47*TA_ti!$BD28=0,10000,TA_ti!N28*TA_ti!N$47*TA_ti!$BD28)</f>
        <v>10000</v>
      </c>
      <c r="O28" s="4">
        <f>+IF(TA_ti!O28*TA_ti!O$47*TA_ti!$BD28=0,10000,TA_ti!O28*TA_ti!O$47*TA_ti!$BD28)</f>
        <v>10000</v>
      </c>
      <c r="P28" s="4">
        <f>+IF(TA_ti!P28*TA_ti!P$47*TA_ti!$BD28=0,10000,TA_ti!P28*TA_ti!P$47*TA_ti!$BD28)</f>
        <v>10000</v>
      </c>
      <c r="Q28" s="4">
        <f>+IF(TA_ti!Q28*TA_ti!Q$47*TA_ti!$BD28=0,10000,TA_ti!Q28*TA_ti!Q$47*TA_ti!$BD28)</f>
        <v>10000</v>
      </c>
      <c r="R28" s="4">
        <f>+IF(TA_ti!R28*TA_ti!R$47*TA_ti!$BD28=0,10000,TA_ti!R28*TA_ti!R$47*TA_ti!$BD28)</f>
        <v>10000</v>
      </c>
      <c r="S28" s="4">
        <f>+IF(TA_ti!S28*TA_ti!S$47*TA_ti!$BD28=0,10000,TA_ti!S28*TA_ti!S$47*TA_ti!$BD28)</f>
        <v>10000</v>
      </c>
      <c r="T28" s="4">
        <f>+IF(TA_ti!T28*TA_ti!T$47*TA_ti!$BD28=0,10000,TA_ti!T28*TA_ti!T$47*TA_ti!$BD28)</f>
        <v>10000</v>
      </c>
      <c r="U28" s="4">
        <f>+IF(TA_ti!U28*TA_ti!U$47*TA_ti!$BD28=0,10000,TA_ti!U28*TA_ti!U$47*TA_ti!$BD28)</f>
        <v>15</v>
      </c>
      <c r="V28" s="4">
        <f>+IF(TA_ti!V28*TA_ti!V$47*TA_ti!$BD28=0,10000,TA_ti!V28*TA_ti!V$47*TA_ti!$BD28)</f>
        <v>10000</v>
      </c>
      <c r="W28" s="4">
        <f>+IF(TA_ti!W28*TA_ti!W$47*TA_ti!$BD28=0,10000,TA_ti!W28*TA_ti!W$47*TA_ti!$BD28)</f>
        <v>10000</v>
      </c>
      <c r="X28" s="4">
        <f>+IF(TA_ti!X28*TA_ti!X$47*TA_ti!$BD28=0,10000,TA_ti!X28*TA_ti!X$47*TA_ti!$BD28)</f>
        <v>10000</v>
      </c>
      <c r="Y28" s="4">
        <f>+IF(TA_ti!Y28*TA_ti!Y$47*TA_ti!$BD28=0,10000,TA_ti!Y28*TA_ti!Y$47*TA_ti!$BD28)</f>
        <v>10000</v>
      </c>
      <c r="Z28" s="4">
        <f>+IF(TA_ti!Z28*TA_ti!Z$47*TA_ti!$BD28=0,10000,TA_ti!Z28*TA_ti!Z$47*TA_ti!$BD28)</f>
        <v>15</v>
      </c>
      <c r="AA28" s="4">
        <f>+IF(TA_ti!AA28*TA_ti!AA$47*TA_ti!$BD28=0,10000,TA_ti!AA28*TA_ti!AA$47*TA_ti!$BD28)</f>
        <v>10</v>
      </c>
      <c r="AB28" s="4">
        <f>+IF(TA_ti!AB28*TA_ti!AB$47*TA_ti!$BD28=0,10000,TA_ti!AB28*TA_ti!AB$47*TA_ti!$BD28)</f>
        <v>10000</v>
      </c>
      <c r="AC28" s="4">
        <f>+IF(TA_ti!AC28*TA_ti!AC$47*TA_ti!$BD28=0,10000,TA_ti!AC28*TA_ti!AC$47*TA_ti!$BD28)</f>
        <v>10</v>
      </c>
      <c r="AD28" s="4">
        <f>+IF(TA_ti!AD28*TA_ti!AD$47*TA_ti!$BD28=0,10000,TA_ti!AD28*TA_ti!AD$47*TA_ti!$BD28)</f>
        <v>10000</v>
      </c>
      <c r="AE28" s="4">
        <f>+IF(TA_ti!AE28*TA_ti!AE$47*TA_ti!$BD28=0,10000,TA_ti!AE28*TA_ti!AE$47*TA_ti!$BD28)</f>
        <v>10</v>
      </c>
      <c r="AF28" s="4">
        <f>+IF(TA_ti!AF28*TA_ti!AF$47*TA_ti!$BD28=0,10000,TA_ti!AF28*TA_ti!AF$47*TA_ti!$BD28)</f>
        <v>10</v>
      </c>
      <c r="AG28" s="4">
        <f>+IF(TA_ti!AG28*TA_ti!AG$47*TA_ti!$BD28=0,10000,TA_ti!AG28*TA_ti!AG$47*TA_ti!$BD28)</f>
        <v>30</v>
      </c>
      <c r="AH28" s="4">
        <f>+IF(TA_ti!AH28*TA_ti!AH$47*TA_ti!$BD28=0,10000,TA_ti!AH28*TA_ti!AH$47*TA_ti!$BD28)</f>
        <v>10</v>
      </c>
      <c r="AI28" s="4">
        <f>+IF(TA_ti!AI28*TA_ti!AI$47*TA_ti!$BD28=0,10000,TA_ti!AI28*TA_ti!AI$47*TA_ti!$BD28)</f>
        <v>10000</v>
      </c>
      <c r="AJ28" s="4">
        <f>+IF(TA_ti!AJ28*TA_ti!AJ$47*TA_ti!$BD28=0,10000,TA_ti!AJ28*TA_ti!AJ$47*TA_ti!$BD28)</f>
        <v>10000</v>
      </c>
      <c r="AK28" s="4">
        <f>+IF(TA_ti!AK28*TA_ti!AK$47*TA_ti!$BD28=0,10000,TA_ti!AK28*TA_ti!AK$47*TA_ti!$BD28)</f>
        <v>10000</v>
      </c>
      <c r="AL28" s="4">
        <f>+IF(TA_ti!AL28*TA_ti!AL$47*TA_ti!$BD28=0,10000,TA_ti!AL28*TA_ti!AL$47*TA_ti!$BD28)</f>
        <v>10000</v>
      </c>
      <c r="AM28" s="4">
        <f>+IF(TA_ti!AM28*TA_ti!AM$47*TA_ti!$BD28=0,10000,TA_ti!AM28*TA_ti!AM$47*TA_ti!$BD28)</f>
        <v>10000</v>
      </c>
      <c r="AN28" s="4">
        <f>+IF(TA_ti!AN28*TA_ti!AN$47*TA_ti!$BD28=0,10000,TA_ti!AN28*TA_ti!AN$47*TA_ti!$BD28)</f>
        <v>10000</v>
      </c>
      <c r="AO28" s="4">
        <f>+IF(TA_ti!AO28*TA_ti!AO$47*TA_ti!$BD28=0,10000,TA_ti!AO28*TA_ti!AO$47*TA_ti!$BD28)</f>
        <v>10000</v>
      </c>
      <c r="AP28" s="4">
        <f>+IF(TA_ti!AP28*TA_ti!AP$47*TA_ti!$BD28=0,10000,TA_ti!AP28*TA_ti!AP$47*TA_ti!$BD28)</f>
        <v>10000</v>
      </c>
      <c r="AQ28" s="4">
        <f>+IF(TA_ti!AQ28*TA_ti!AQ$47*TA_ti!$BD28=0,10000,TA_ti!AQ28*TA_ti!AQ$47*TA_ti!$BD28)</f>
        <v>10000</v>
      </c>
      <c r="AR28" s="4">
        <f>+IF(TA_ti!AR28*TA_ti!AR$47*TA_ti!$BD28=0,10000,TA_ti!AR28*TA_ti!AR$47*TA_ti!$BD28)</f>
        <v>10000</v>
      </c>
      <c r="AS28" s="4">
        <f>+IF(TA_ti!AS28*TA_ti!AS$47*TA_ti!$BD28=0,10000,TA_ti!AS28*TA_ti!AS$47*TA_ti!$BD28)</f>
        <v>10000</v>
      </c>
      <c r="AT28" s="4">
        <f>+IF(TA_ti!AT28*TA_ti!AT$47*TA_ti!$BD28=0,10000,TA_ti!AT28*TA_ti!AT$47*TA_ti!$BD28)</f>
        <v>10000</v>
      </c>
      <c r="AU28" s="4">
        <f>+IF(TA_ti!AU28*TA_ti!AU$47*TA_ti!$BD28=0,10000,TA_ti!AU28*TA_ti!AU$47*TA_ti!$BD28)</f>
        <v>10000</v>
      </c>
      <c r="AV28" s="4">
        <f>+IF(TA_ti!AV28*TA_ti!AV$47*TA_ti!$BD28=0,10000,TA_ti!AV28*TA_ti!AV$47*TA_ti!$BD28)</f>
        <v>10000</v>
      </c>
      <c r="AW28" s="4">
        <f>+IF(TA_ti!AW28*TA_ti!AW$47*TA_ti!$BD28=0,10000,TA_ti!AW28*TA_ti!AW$47*TA_ti!$BD28)</f>
        <v>10000</v>
      </c>
      <c r="AX28" s="4">
        <f>+IF(TA_ti!AX28*TA_ti!AX$47*TA_ti!$BD28=0,10000,TA_ti!AX28*TA_ti!AX$47*TA_ti!$BD28)</f>
        <v>10000</v>
      </c>
      <c r="AY28" s="4">
        <f>+IF(TA_ti!AY28*TA_ti!AY$47*TA_ti!$BD28=0,10000,TA_ti!AY28*TA_ti!AY$47*TA_ti!$BD28)</f>
        <v>10000</v>
      </c>
      <c r="AZ28" s="4">
        <f>+IF(TA_ti!AZ28*TA_ti!AZ$47*TA_ti!$BD28=0,10000,TA_ti!AZ28*TA_ti!AZ$47*TA_ti!$BD28)</f>
        <v>10000</v>
      </c>
      <c r="BA28" s="4">
        <f>+IF(TA_ti!BA28*TA_ti!BA$47*TA_ti!$BD28=0,10000,TA_ti!BA28*TA_ti!BA$47*TA_ti!$BD28)</f>
        <v>10000</v>
      </c>
      <c r="BB28" s="4">
        <f>+IF(TA_ti!BB28*TA_ti!BB$47*TA_ti!$BD28=0,10000,TA_ti!BB28*TA_ti!BB$47*TA_ti!$BD28)</f>
        <v>10000</v>
      </c>
      <c r="BC28" s="4">
        <f>+IF(TA_ti!BC28*TA_ti!BC$47*TA_ti!$BD28=0,10000,TA_ti!BC28*TA_ti!BC$47*TA_ti!$BD28)</f>
        <v>10000</v>
      </c>
    </row>
    <row r="29" spans="1:55" ht="18.75" customHeight="1" x14ac:dyDescent="0.25">
      <c r="A29" s="5" t="s">
        <v>80</v>
      </c>
      <c r="B29" s="4">
        <f>+IF(TA_ti!B29*TA_ti!B$47*TA_ti!$BD29=0,10000,TA_ti!B29*TA_ti!B$47*TA_ti!$BD29)</f>
        <v>10000</v>
      </c>
      <c r="C29" s="4">
        <f>+IF(TA_ti!C29*TA_ti!C$47*TA_ti!$BD29=0,10000,TA_ti!C29*TA_ti!C$47*TA_ti!$BD29)</f>
        <v>10000</v>
      </c>
      <c r="D29" s="4">
        <f>+IF(TA_ti!D29*TA_ti!D$47*TA_ti!$BD29=0,10000,TA_ti!D29*TA_ti!D$47*TA_ti!$BD29)</f>
        <v>10000</v>
      </c>
      <c r="E29" s="4">
        <f>+IF(TA_ti!E29*TA_ti!E$47*TA_ti!$BD29=0,10000,TA_ti!E29*TA_ti!E$47*TA_ti!$BD29)</f>
        <v>10000</v>
      </c>
      <c r="F29" s="4">
        <f>+IF(TA_ti!F29*TA_ti!F$47*TA_ti!$BD29=0,10000,TA_ti!F29*TA_ti!F$47*TA_ti!$BD29)</f>
        <v>10000</v>
      </c>
      <c r="G29" s="4">
        <f>+IF(TA_ti!G29*TA_ti!G$47*TA_ti!$BD29=0,10000,TA_ti!G29*TA_ti!G$47*TA_ti!$BD29)</f>
        <v>10000</v>
      </c>
      <c r="H29" s="4">
        <f>+IF(TA_ti!H29*TA_ti!H$47*TA_ti!$BD29=0,10000,TA_ti!H29*TA_ti!H$47*TA_ti!$BD29)</f>
        <v>10000</v>
      </c>
      <c r="I29" s="4">
        <f>+IF(TA_ti!I29*TA_ti!I$47*TA_ti!$BD29=0,10000,TA_ti!I29*TA_ti!I$47*TA_ti!$BD29)</f>
        <v>10000</v>
      </c>
      <c r="J29" s="4">
        <f>+IF(TA_ti!J29*TA_ti!J$47*TA_ti!$BD29=0,10000,TA_ti!J29*TA_ti!J$47*TA_ti!$BD29)</f>
        <v>15</v>
      </c>
      <c r="K29" s="4">
        <f>+IF(TA_ti!K29*TA_ti!K$47*TA_ti!$BD29=0,10000,TA_ti!K29*TA_ti!K$47*TA_ti!$BD29)</f>
        <v>10000</v>
      </c>
      <c r="L29" s="4">
        <f>+IF(TA_ti!L29*TA_ti!L$47*TA_ti!$BD29=0,10000,TA_ti!L29*TA_ti!L$47*TA_ti!$BD29)</f>
        <v>10000</v>
      </c>
      <c r="M29" s="4">
        <f>+IF(TA_ti!M29*TA_ti!M$47*TA_ti!$BD29=0,10000,TA_ti!M29*TA_ti!M$47*TA_ti!$BD29)</f>
        <v>10000</v>
      </c>
      <c r="N29" s="4">
        <f>+IF(TA_ti!N29*TA_ti!N$47*TA_ti!$BD29=0,10000,TA_ti!N29*TA_ti!N$47*TA_ti!$BD29)</f>
        <v>10000</v>
      </c>
      <c r="O29" s="4">
        <f>+IF(TA_ti!O29*TA_ti!O$47*TA_ti!$BD29=0,10000,TA_ti!O29*TA_ti!O$47*TA_ti!$BD29)</f>
        <v>10000</v>
      </c>
      <c r="P29" s="4">
        <f>+IF(TA_ti!P29*TA_ti!P$47*TA_ti!$BD29=0,10000,TA_ti!P29*TA_ti!P$47*TA_ti!$BD29)</f>
        <v>10000</v>
      </c>
      <c r="Q29" s="4">
        <f>+IF(TA_ti!Q29*TA_ti!Q$47*TA_ti!$BD29=0,10000,TA_ti!Q29*TA_ti!Q$47*TA_ti!$BD29)</f>
        <v>10000</v>
      </c>
      <c r="R29" s="4">
        <f>+IF(TA_ti!R29*TA_ti!R$47*TA_ti!$BD29=0,10000,TA_ti!R29*TA_ti!R$47*TA_ti!$BD29)</f>
        <v>10000</v>
      </c>
      <c r="S29" s="4">
        <f>+IF(TA_ti!S29*TA_ti!S$47*TA_ti!$BD29=0,10000,TA_ti!S29*TA_ti!S$47*TA_ti!$BD29)</f>
        <v>10000</v>
      </c>
      <c r="T29" s="4">
        <f>+IF(TA_ti!T29*TA_ti!T$47*TA_ti!$BD29=0,10000,TA_ti!T29*TA_ti!T$47*TA_ti!$BD29)</f>
        <v>10000</v>
      </c>
      <c r="U29" s="4">
        <f>+IF(TA_ti!U29*TA_ti!U$47*TA_ti!$BD29=0,10000,TA_ti!U29*TA_ti!U$47*TA_ti!$BD29)</f>
        <v>10000</v>
      </c>
      <c r="V29" s="4">
        <f>+IF(TA_ti!V29*TA_ti!V$47*TA_ti!$BD29=0,10000,TA_ti!V29*TA_ti!V$47*TA_ti!$BD29)</f>
        <v>10000</v>
      </c>
      <c r="W29" s="4">
        <f>+IF(TA_ti!W29*TA_ti!W$47*TA_ti!$BD29=0,10000,TA_ti!W29*TA_ti!W$47*TA_ti!$BD29)</f>
        <v>10000</v>
      </c>
      <c r="X29" s="4">
        <f>+IF(TA_ti!X29*TA_ti!X$47*TA_ti!$BD29=0,10000,TA_ti!X29*TA_ti!X$47*TA_ti!$BD29)</f>
        <v>10000</v>
      </c>
      <c r="Y29" s="4">
        <f>+IF(TA_ti!Y29*TA_ti!Y$47*TA_ti!$BD29=0,10000,TA_ti!Y29*TA_ti!Y$47*TA_ti!$BD29)</f>
        <v>10000</v>
      </c>
      <c r="Z29" s="4">
        <f>+IF(TA_ti!Z29*TA_ti!Z$47*TA_ti!$BD29=0,10000,TA_ti!Z29*TA_ti!Z$47*TA_ti!$BD29)</f>
        <v>10000</v>
      </c>
      <c r="AA29" s="4">
        <f>+IF(TA_ti!AA29*TA_ti!AA$47*TA_ti!$BD29=0,10000,TA_ti!AA29*TA_ti!AA$47*TA_ti!$BD29)</f>
        <v>10000</v>
      </c>
      <c r="AB29" s="4">
        <f>+IF(TA_ti!AB29*TA_ti!AB$47*TA_ti!$BD29=0,10000,TA_ti!AB29*TA_ti!AB$47*TA_ti!$BD29)</f>
        <v>10000</v>
      </c>
      <c r="AC29" s="4">
        <f>+IF(TA_ti!AC29*TA_ti!AC$47*TA_ti!$BD29=0,10000,TA_ti!AC29*TA_ti!AC$47*TA_ti!$BD29)</f>
        <v>10000</v>
      </c>
      <c r="AD29" s="4">
        <f>+IF(TA_ti!AD29*TA_ti!AD$47*TA_ti!$BD29=0,10000,TA_ti!AD29*TA_ti!AD$47*TA_ti!$BD29)</f>
        <v>10000</v>
      </c>
      <c r="AE29" s="4">
        <f>+IF(TA_ti!AE29*TA_ti!AE$47*TA_ti!$BD29=0,10000,TA_ti!AE29*TA_ti!AE$47*TA_ti!$BD29)</f>
        <v>10000</v>
      </c>
      <c r="AF29" s="4">
        <f>+IF(TA_ti!AF29*TA_ti!AF$47*TA_ti!$BD29=0,10000,TA_ti!AF29*TA_ti!AF$47*TA_ti!$BD29)</f>
        <v>10000</v>
      </c>
      <c r="AG29" s="4">
        <f>+IF(TA_ti!AG29*TA_ti!AG$47*TA_ti!$BD29=0,10000,TA_ti!AG29*TA_ti!AG$47*TA_ti!$BD29)</f>
        <v>10000</v>
      </c>
      <c r="AH29" s="4">
        <f>+IF(TA_ti!AH29*TA_ti!AH$47*TA_ti!$BD29=0,10000,TA_ti!AH29*TA_ti!AH$47*TA_ti!$BD29)</f>
        <v>10000</v>
      </c>
      <c r="AI29" s="4">
        <f>+IF(TA_ti!AI29*TA_ti!AI$47*TA_ti!$BD29=0,10000,TA_ti!AI29*TA_ti!AI$47*TA_ti!$BD29)</f>
        <v>10000</v>
      </c>
      <c r="AJ29" s="4">
        <f>+IF(TA_ti!AJ29*TA_ti!AJ$47*TA_ti!$BD29=0,10000,TA_ti!AJ29*TA_ti!AJ$47*TA_ti!$BD29)</f>
        <v>10000</v>
      </c>
      <c r="AK29" s="4">
        <f>+IF(TA_ti!AK29*TA_ti!AK$47*TA_ti!$BD29=0,10000,TA_ti!AK29*TA_ti!AK$47*TA_ti!$BD29)</f>
        <v>10000</v>
      </c>
      <c r="AL29" s="4">
        <f>+IF(TA_ti!AL29*TA_ti!AL$47*TA_ti!$BD29=0,10000,TA_ti!AL29*TA_ti!AL$47*TA_ti!$BD29)</f>
        <v>10000</v>
      </c>
      <c r="AM29" s="4">
        <f>+IF(TA_ti!AM29*TA_ti!AM$47*TA_ti!$BD29=0,10000,TA_ti!AM29*TA_ti!AM$47*TA_ti!$BD29)</f>
        <v>10000</v>
      </c>
      <c r="AN29" s="4">
        <f>+IF(TA_ti!AN29*TA_ti!AN$47*TA_ti!$BD29=0,10000,TA_ti!AN29*TA_ti!AN$47*TA_ti!$BD29)</f>
        <v>10000</v>
      </c>
      <c r="AO29" s="4">
        <f>+IF(TA_ti!AO29*TA_ti!AO$47*TA_ti!$BD29=0,10000,TA_ti!AO29*TA_ti!AO$47*TA_ti!$BD29)</f>
        <v>10000</v>
      </c>
      <c r="AP29" s="4">
        <f>+IF(TA_ti!AP29*TA_ti!AP$47*TA_ti!$BD29=0,10000,TA_ti!AP29*TA_ti!AP$47*TA_ti!$BD29)</f>
        <v>10000</v>
      </c>
      <c r="AQ29" s="4">
        <f>+IF(TA_ti!AQ29*TA_ti!AQ$47*TA_ti!$BD29=0,10000,TA_ti!AQ29*TA_ti!AQ$47*TA_ti!$BD29)</f>
        <v>10000</v>
      </c>
      <c r="AR29" s="4">
        <f>+IF(TA_ti!AR29*TA_ti!AR$47*TA_ti!$BD29=0,10000,TA_ti!AR29*TA_ti!AR$47*TA_ti!$BD29)</f>
        <v>10000</v>
      </c>
      <c r="AS29" s="4">
        <f>+IF(TA_ti!AS29*TA_ti!AS$47*TA_ti!$BD29=0,10000,TA_ti!AS29*TA_ti!AS$47*TA_ti!$BD29)</f>
        <v>10000</v>
      </c>
      <c r="AT29" s="4">
        <f>+IF(TA_ti!AT29*TA_ti!AT$47*TA_ti!$BD29=0,10000,TA_ti!AT29*TA_ti!AT$47*TA_ti!$BD29)</f>
        <v>10000</v>
      </c>
      <c r="AU29" s="4">
        <f>+IF(TA_ti!AU29*TA_ti!AU$47*TA_ti!$BD29=0,10000,TA_ti!AU29*TA_ti!AU$47*TA_ti!$BD29)</f>
        <v>10000</v>
      </c>
      <c r="AV29" s="4">
        <f>+IF(TA_ti!AV29*TA_ti!AV$47*TA_ti!$BD29=0,10000,TA_ti!AV29*TA_ti!AV$47*TA_ti!$BD29)</f>
        <v>10000</v>
      </c>
      <c r="AW29" s="4">
        <f>+IF(TA_ti!AW29*TA_ti!AW$47*TA_ti!$BD29=0,10000,TA_ti!AW29*TA_ti!AW$47*TA_ti!$BD29)</f>
        <v>10000</v>
      </c>
      <c r="AX29" s="4">
        <f>+IF(TA_ti!AX29*TA_ti!AX$47*TA_ti!$BD29=0,10000,TA_ti!AX29*TA_ti!AX$47*TA_ti!$BD29)</f>
        <v>10000</v>
      </c>
      <c r="AY29" s="4">
        <f>+IF(TA_ti!AY29*TA_ti!AY$47*TA_ti!$BD29=0,10000,TA_ti!AY29*TA_ti!AY$47*TA_ti!$BD29)</f>
        <v>10000</v>
      </c>
      <c r="AZ29" s="4">
        <f>+IF(TA_ti!AZ29*TA_ti!AZ$47*TA_ti!$BD29=0,10000,TA_ti!AZ29*TA_ti!AZ$47*TA_ti!$BD29)</f>
        <v>10000</v>
      </c>
      <c r="BA29" s="4">
        <f>+IF(TA_ti!BA29*TA_ti!BA$47*TA_ti!$BD29=0,10000,TA_ti!BA29*TA_ti!BA$47*TA_ti!$BD29)</f>
        <v>10000</v>
      </c>
      <c r="BB29" s="4">
        <f>+IF(TA_ti!BB29*TA_ti!BB$47*TA_ti!$BD29=0,10000,TA_ti!BB29*TA_ti!BB$47*TA_ti!$BD29)</f>
        <v>10000</v>
      </c>
      <c r="BC29" s="4">
        <f>+IF(TA_ti!BC29*TA_ti!BC$47*TA_ti!$BD29=0,10000,TA_ti!BC29*TA_ti!BC$47*TA_ti!$BD29)</f>
        <v>10000</v>
      </c>
    </row>
    <row r="30" spans="1:55" ht="18.75" customHeight="1" x14ac:dyDescent="0.25">
      <c r="A30" s="5" t="s">
        <v>81</v>
      </c>
      <c r="B30" s="4">
        <f>+IF(TA_ti!B30*TA_ti!B$47*TA_ti!$BD30=0,10000,TA_ti!B30*TA_ti!B$47*TA_ti!$BD30)</f>
        <v>10000</v>
      </c>
      <c r="C30" s="4">
        <f>+IF(TA_ti!C30*TA_ti!C$47*TA_ti!$BD30=0,10000,TA_ti!C30*TA_ti!C$47*TA_ti!$BD30)</f>
        <v>10000</v>
      </c>
      <c r="D30" s="4">
        <f>+IF(TA_ti!D30*TA_ti!D$47*TA_ti!$BD30=0,10000,TA_ti!D30*TA_ti!D$47*TA_ti!$BD30)</f>
        <v>10000</v>
      </c>
      <c r="E30" s="4">
        <f>+IF(TA_ti!E30*TA_ti!E$47*TA_ti!$BD30=0,10000,TA_ti!E30*TA_ti!E$47*TA_ti!$BD30)</f>
        <v>10000</v>
      </c>
      <c r="F30" s="4">
        <f>+IF(TA_ti!F30*TA_ti!F$47*TA_ti!$BD30=0,10000,TA_ti!F30*TA_ti!F$47*TA_ti!$BD30)</f>
        <v>10000</v>
      </c>
      <c r="G30" s="4">
        <f>+IF(TA_ti!G30*TA_ti!G$47*TA_ti!$BD30=0,10000,TA_ti!G30*TA_ti!G$47*TA_ti!$BD30)</f>
        <v>10000</v>
      </c>
      <c r="H30" s="4">
        <f>+IF(TA_ti!H30*TA_ti!H$47*TA_ti!$BD30=0,10000,TA_ti!H30*TA_ti!H$47*TA_ti!$BD30)</f>
        <v>10000</v>
      </c>
      <c r="I30" s="4">
        <f>+IF(TA_ti!I30*TA_ti!I$47*TA_ti!$BD30=0,10000,TA_ti!I30*TA_ti!I$47*TA_ti!$BD30)</f>
        <v>10000</v>
      </c>
      <c r="J30" s="4">
        <f>+IF(TA_ti!J30*TA_ti!J$47*TA_ti!$BD30=0,10000,TA_ti!J30*TA_ti!J$47*TA_ti!$BD30)</f>
        <v>10000</v>
      </c>
      <c r="K30" s="4">
        <f>+IF(TA_ti!K30*TA_ti!K$47*TA_ti!$BD30=0,10000,TA_ti!K30*TA_ti!K$47*TA_ti!$BD30)</f>
        <v>10000</v>
      </c>
      <c r="L30" s="4">
        <f>+IF(TA_ti!L30*TA_ti!L$47*TA_ti!$BD30=0,10000,TA_ti!L30*TA_ti!L$47*TA_ti!$BD30)</f>
        <v>10000</v>
      </c>
      <c r="M30" s="4">
        <f>+IF(TA_ti!M30*TA_ti!M$47*TA_ti!$BD30=0,10000,TA_ti!M30*TA_ti!M$47*TA_ti!$BD30)</f>
        <v>10000</v>
      </c>
      <c r="N30" s="4">
        <f>+IF(TA_ti!N30*TA_ti!N$47*TA_ti!$BD30=0,10000,TA_ti!N30*TA_ti!N$47*TA_ti!$BD30)</f>
        <v>10000</v>
      </c>
      <c r="O30" s="4">
        <f>+IF(TA_ti!O30*TA_ti!O$47*TA_ti!$BD30=0,10000,TA_ti!O30*TA_ti!O$47*TA_ti!$BD30)</f>
        <v>10000</v>
      </c>
      <c r="P30" s="4">
        <f>+IF(TA_ti!P30*TA_ti!P$47*TA_ti!$BD30=0,10000,TA_ti!P30*TA_ti!P$47*TA_ti!$BD30)</f>
        <v>10000</v>
      </c>
      <c r="Q30" s="4">
        <f>+IF(TA_ti!Q30*TA_ti!Q$47*TA_ti!$BD30=0,10000,TA_ti!Q30*TA_ti!Q$47*TA_ti!$BD30)</f>
        <v>10000</v>
      </c>
      <c r="R30" s="4">
        <f>+IF(TA_ti!R30*TA_ti!R$47*TA_ti!$BD30=0,10000,TA_ti!R30*TA_ti!R$47*TA_ti!$BD30)</f>
        <v>10000</v>
      </c>
      <c r="S30" s="4">
        <f>+IF(TA_ti!S30*TA_ti!S$47*TA_ti!$BD30=0,10000,TA_ti!S30*TA_ti!S$47*TA_ti!$BD30)</f>
        <v>10000</v>
      </c>
      <c r="T30" s="4">
        <f>+IF(TA_ti!T30*TA_ti!T$47*TA_ti!$BD30=0,10000,TA_ti!T30*TA_ti!T$47*TA_ti!$BD30)</f>
        <v>10000</v>
      </c>
      <c r="U30" s="4">
        <f>+IF(TA_ti!U30*TA_ti!U$47*TA_ti!$BD30=0,10000,TA_ti!U30*TA_ti!U$47*TA_ti!$BD30)</f>
        <v>10000</v>
      </c>
      <c r="V30" s="4">
        <f>+IF(TA_ti!V30*TA_ti!V$47*TA_ti!$BD30=0,10000,TA_ti!V30*TA_ti!V$47*TA_ti!$BD30)</f>
        <v>10000</v>
      </c>
      <c r="W30" s="4">
        <f>+IF(TA_ti!W30*TA_ti!W$47*TA_ti!$BD30=0,10000,TA_ti!W30*TA_ti!W$47*TA_ti!$BD30)</f>
        <v>10000</v>
      </c>
      <c r="X30" s="4">
        <f>+IF(TA_ti!X30*TA_ti!X$47*TA_ti!$BD30=0,10000,TA_ti!X30*TA_ti!X$47*TA_ti!$BD30)</f>
        <v>10000</v>
      </c>
      <c r="Y30" s="4">
        <f>+IF(TA_ti!Y30*TA_ti!Y$47*TA_ti!$BD30=0,10000,TA_ti!Y30*TA_ti!Y$47*TA_ti!$BD30)</f>
        <v>10000</v>
      </c>
      <c r="Z30" s="4">
        <f>+IF(TA_ti!Z30*TA_ti!Z$47*TA_ti!$BD30=0,10000,TA_ti!Z30*TA_ti!Z$47*TA_ti!$BD30)</f>
        <v>10000</v>
      </c>
      <c r="AA30" s="4">
        <f>+IF(TA_ti!AA30*TA_ti!AA$47*TA_ti!$BD30=0,10000,TA_ti!AA30*TA_ti!AA$47*TA_ti!$BD30)</f>
        <v>10000</v>
      </c>
      <c r="AB30" s="4">
        <f>+IF(TA_ti!AB30*TA_ti!AB$47*TA_ti!$BD30=0,10000,TA_ti!AB30*TA_ti!AB$47*TA_ti!$BD30)</f>
        <v>10000</v>
      </c>
      <c r="AC30" s="4">
        <f>+IF(TA_ti!AC30*TA_ti!AC$47*TA_ti!$BD30=0,10000,TA_ti!AC30*TA_ti!AC$47*TA_ti!$BD30)</f>
        <v>10000</v>
      </c>
      <c r="AD30" s="4">
        <f>+IF(TA_ti!AD30*TA_ti!AD$47*TA_ti!$BD30=0,10000,TA_ti!AD30*TA_ti!AD$47*TA_ti!$BD30)</f>
        <v>10000</v>
      </c>
      <c r="AE30" s="4">
        <f>+IF(TA_ti!AE30*TA_ti!AE$47*TA_ti!$BD30=0,10000,TA_ti!AE30*TA_ti!AE$47*TA_ti!$BD30)</f>
        <v>10000</v>
      </c>
      <c r="AF30" s="4">
        <f>+IF(TA_ti!AF30*TA_ti!AF$47*TA_ti!$BD30=0,10000,TA_ti!AF30*TA_ti!AF$47*TA_ti!$BD30)</f>
        <v>10000</v>
      </c>
      <c r="AG30" s="4">
        <f>+IF(TA_ti!AG30*TA_ti!AG$47*TA_ti!$BD30=0,10000,TA_ti!AG30*TA_ti!AG$47*TA_ti!$BD30)</f>
        <v>10000</v>
      </c>
      <c r="AH30" s="4">
        <f>+IF(TA_ti!AH30*TA_ti!AH$47*TA_ti!$BD30=0,10000,TA_ti!AH30*TA_ti!AH$47*TA_ti!$BD30)</f>
        <v>10000</v>
      </c>
      <c r="AI30" s="4">
        <f>+IF(TA_ti!AI30*TA_ti!AI$47*TA_ti!$BD30=0,10000,TA_ti!AI30*TA_ti!AI$47*TA_ti!$BD30)</f>
        <v>10000</v>
      </c>
      <c r="AJ30" s="4">
        <f>+IF(TA_ti!AJ30*TA_ti!AJ$47*TA_ti!$BD30=0,10000,TA_ti!AJ30*TA_ti!AJ$47*TA_ti!$BD30)</f>
        <v>10000</v>
      </c>
      <c r="AK30" s="4">
        <f>+IF(TA_ti!AK30*TA_ti!AK$47*TA_ti!$BD30=0,10000,TA_ti!AK30*TA_ti!AK$47*TA_ti!$BD30)</f>
        <v>10000</v>
      </c>
      <c r="AL30" s="4">
        <f>+IF(TA_ti!AL30*TA_ti!AL$47*TA_ti!$BD30=0,10000,TA_ti!AL30*TA_ti!AL$47*TA_ti!$BD30)</f>
        <v>10000</v>
      </c>
      <c r="AM30" s="4">
        <f>+IF(TA_ti!AM30*TA_ti!AM$47*TA_ti!$BD30=0,10000,TA_ti!AM30*TA_ti!AM$47*TA_ti!$BD30)</f>
        <v>10000</v>
      </c>
      <c r="AN30" s="4">
        <f>+IF(TA_ti!AN30*TA_ti!AN$47*TA_ti!$BD30=0,10000,TA_ti!AN30*TA_ti!AN$47*TA_ti!$BD30)</f>
        <v>10000</v>
      </c>
      <c r="AO30" s="4">
        <f>+IF(TA_ti!AO30*TA_ti!AO$47*TA_ti!$BD30=0,10000,TA_ti!AO30*TA_ti!AO$47*TA_ti!$BD30)</f>
        <v>10000</v>
      </c>
      <c r="AP30" s="4">
        <f>+IF(TA_ti!AP30*TA_ti!AP$47*TA_ti!$BD30=0,10000,TA_ti!AP30*TA_ti!AP$47*TA_ti!$BD30)</f>
        <v>10000</v>
      </c>
      <c r="AQ30" s="4">
        <f>+IF(TA_ti!AQ30*TA_ti!AQ$47*TA_ti!$BD30=0,10000,TA_ti!AQ30*TA_ti!AQ$47*TA_ti!$BD30)</f>
        <v>10000</v>
      </c>
      <c r="AR30" s="4">
        <f>+IF(TA_ti!AR30*TA_ti!AR$47*TA_ti!$BD30=0,10000,TA_ti!AR30*TA_ti!AR$47*TA_ti!$BD30)</f>
        <v>10000</v>
      </c>
      <c r="AS30" s="4">
        <f>+IF(TA_ti!AS30*TA_ti!AS$47*TA_ti!$BD30=0,10000,TA_ti!AS30*TA_ti!AS$47*TA_ti!$BD30)</f>
        <v>10000</v>
      </c>
      <c r="AT30" s="4">
        <f>+IF(TA_ti!AT30*TA_ti!AT$47*TA_ti!$BD30=0,10000,TA_ti!AT30*TA_ti!AT$47*TA_ti!$BD30)</f>
        <v>10000</v>
      </c>
      <c r="AU30" s="4">
        <f>+IF(TA_ti!AU30*TA_ti!AU$47*TA_ti!$BD30=0,10000,TA_ti!AU30*TA_ti!AU$47*TA_ti!$BD30)</f>
        <v>10000</v>
      </c>
      <c r="AV30" s="4">
        <f>+IF(TA_ti!AV30*TA_ti!AV$47*TA_ti!$BD30=0,10000,TA_ti!AV30*TA_ti!AV$47*TA_ti!$BD30)</f>
        <v>10000</v>
      </c>
      <c r="AW30" s="4">
        <f>+IF(TA_ti!AW30*TA_ti!AW$47*TA_ti!$BD30=0,10000,TA_ti!AW30*TA_ti!AW$47*TA_ti!$BD30)</f>
        <v>10000</v>
      </c>
      <c r="AX30" s="4">
        <f>+IF(TA_ti!AX30*TA_ti!AX$47*TA_ti!$BD30=0,10000,TA_ti!AX30*TA_ti!AX$47*TA_ti!$BD30)</f>
        <v>10000</v>
      </c>
      <c r="AY30" s="4">
        <f>+IF(TA_ti!AY30*TA_ti!AY$47*TA_ti!$BD30=0,10000,TA_ti!AY30*TA_ti!AY$47*TA_ti!$BD30)</f>
        <v>10000</v>
      </c>
      <c r="AZ30" s="4">
        <f>+IF(TA_ti!AZ30*TA_ti!AZ$47*TA_ti!$BD30=0,10000,TA_ti!AZ30*TA_ti!AZ$47*TA_ti!$BD30)</f>
        <v>10000</v>
      </c>
      <c r="BA30" s="4">
        <f>+IF(TA_ti!BA30*TA_ti!BA$47*TA_ti!$BD30=0,10000,TA_ti!BA30*TA_ti!BA$47*TA_ti!$BD30)</f>
        <v>10000</v>
      </c>
      <c r="BB30" s="4">
        <f>+IF(TA_ti!BB30*TA_ti!BB$47*TA_ti!$BD30=0,10000,TA_ti!BB30*TA_ti!BB$47*TA_ti!$BD30)</f>
        <v>10000</v>
      </c>
      <c r="BC30" s="4">
        <f>+IF(TA_ti!BC30*TA_ti!BC$47*TA_ti!$BD30=0,10000,TA_ti!BC30*TA_ti!BC$47*TA_ti!$BD30)</f>
        <v>10000</v>
      </c>
    </row>
    <row r="31" spans="1:55" ht="18.75" customHeight="1" x14ac:dyDescent="0.25">
      <c r="A31" s="5" t="s">
        <v>82</v>
      </c>
      <c r="B31" s="4">
        <f>+IF(TA_ti!B31*TA_ti!B$47*TA_ti!$BD31=0,10000,TA_ti!B31*TA_ti!B$47*TA_ti!$BD31)</f>
        <v>10000</v>
      </c>
      <c r="C31" s="4">
        <f>+IF(TA_ti!C31*TA_ti!C$47*TA_ti!$BD31=0,10000,TA_ti!C31*TA_ti!C$47*TA_ti!$BD31)</f>
        <v>10000</v>
      </c>
      <c r="D31" s="4">
        <f>+IF(TA_ti!D31*TA_ti!D$47*TA_ti!$BD31=0,10000,TA_ti!D31*TA_ti!D$47*TA_ti!$BD31)</f>
        <v>10000</v>
      </c>
      <c r="E31" s="4">
        <f>+IF(TA_ti!E31*TA_ti!E$47*TA_ti!$BD31=0,10000,TA_ti!E31*TA_ti!E$47*TA_ti!$BD31)</f>
        <v>10000</v>
      </c>
      <c r="F31" s="4">
        <f>+IF(TA_ti!F31*TA_ti!F$47*TA_ti!$BD31=0,10000,TA_ti!F31*TA_ti!F$47*TA_ti!$BD31)</f>
        <v>10000</v>
      </c>
      <c r="G31" s="4">
        <f>+IF(TA_ti!G31*TA_ti!G$47*TA_ti!$BD31=0,10000,TA_ti!G31*TA_ti!G$47*TA_ti!$BD31)</f>
        <v>10000</v>
      </c>
      <c r="H31" s="4">
        <f>+IF(TA_ti!H31*TA_ti!H$47*TA_ti!$BD31=0,10000,TA_ti!H31*TA_ti!H$47*TA_ti!$BD31)</f>
        <v>10000</v>
      </c>
      <c r="I31" s="4">
        <f>+IF(TA_ti!I31*TA_ti!I$47*TA_ti!$BD31=0,10000,TA_ti!I31*TA_ti!I$47*TA_ti!$BD31)</f>
        <v>10000</v>
      </c>
      <c r="J31" s="4">
        <f>+IF(TA_ti!J31*TA_ti!J$47*TA_ti!$BD31=0,10000,TA_ti!J31*TA_ti!J$47*TA_ti!$BD31)</f>
        <v>10000</v>
      </c>
      <c r="K31" s="4">
        <f>+IF(TA_ti!K31*TA_ti!K$47*TA_ti!$BD31=0,10000,TA_ti!K31*TA_ti!K$47*TA_ti!$BD31)</f>
        <v>10000</v>
      </c>
      <c r="L31" s="4">
        <f>+IF(TA_ti!L31*TA_ti!L$47*TA_ti!$BD31=0,10000,TA_ti!L31*TA_ti!L$47*TA_ti!$BD31)</f>
        <v>10000</v>
      </c>
      <c r="M31" s="4">
        <f>+IF(TA_ti!M31*TA_ti!M$47*TA_ti!$BD31=0,10000,TA_ti!M31*TA_ti!M$47*TA_ti!$BD31)</f>
        <v>10000</v>
      </c>
      <c r="N31" s="4">
        <f>+IF(TA_ti!N31*TA_ti!N$47*TA_ti!$BD31=0,10000,TA_ti!N31*TA_ti!N$47*TA_ti!$BD31)</f>
        <v>10000</v>
      </c>
      <c r="O31" s="4">
        <f>+IF(TA_ti!O31*TA_ti!O$47*TA_ti!$BD31=0,10000,TA_ti!O31*TA_ti!O$47*TA_ti!$BD31)</f>
        <v>10000</v>
      </c>
      <c r="P31" s="4">
        <f>+IF(TA_ti!P31*TA_ti!P$47*TA_ti!$BD31=0,10000,TA_ti!P31*TA_ti!P$47*TA_ti!$BD31)</f>
        <v>10000</v>
      </c>
      <c r="Q31" s="4">
        <f>+IF(TA_ti!Q31*TA_ti!Q$47*TA_ti!$BD31=0,10000,TA_ti!Q31*TA_ti!Q$47*TA_ti!$BD31)</f>
        <v>10000</v>
      </c>
      <c r="R31" s="4">
        <f>+IF(TA_ti!R31*TA_ti!R$47*TA_ti!$BD31=0,10000,TA_ti!R31*TA_ti!R$47*TA_ti!$BD31)</f>
        <v>10000</v>
      </c>
      <c r="S31" s="4">
        <f>+IF(TA_ti!S31*TA_ti!S$47*TA_ti!$BD31=0,10000,TA_ti!S31*TA_ti!S$47*TA_ti!$BD31)</f>
        <v>10000</v>
      </c>
      <c r="T31" s="4">
        <f>+IF(TA_ti!T31*TA_ti!T$47*TA_ti!$BD31=0,10000,TA_ti!T31*TA_ti!T$47*TA_ti!$BD31)</f>
        <v>10000</v>
      </c>
      <c r="U31" s="4">
        <f>+IF(TA_ti!U31*TA_ti!U$47*TA_ti!$BD31=0,10000,TA_ti!U31*TA_ti!U$47*TA_ti!$BD31)</f>
        <v>10000</v>
      </c>
      <c r="V31" s="4">
        <f>+IF(TA_ti!V31*TA_ti!V$47*TA_ti!$BD31=0,10000,TA_ti!V31*TA_ti!V$47*TA_ti!$BD31)</f>
        <v>10000</v>
      </c>
      <c r="W31" s="4">
        <f>+IF(TA_ti!W31*TA_ti!W$47*TA_ti!$BD31=0,10000,TA_ti!W31*TA_ti!W$47*TA_ti!$BD31)</f>
        <v>10000</v>
      </c>
      <c r="X31" s="4">
        <f>+IF(TA_ti!X31*TA_ti!X$47*TA_ti!$BD31=0,10000,TA_ti!X31*TA_ti!X$47*TA_ti!$BD31)</f>
        <v>10000</v>
      </c>
      <c r="Y31" s="4">
        <f>+IF(TA_ti!Y31*TA_ti!Y$47*TA_ti!$BD31=0,10000,TA_ti!Y31*TA_ti!Y$47*TA_ti!$BD31)</f>
        <v>10000</v>
      </c>
      <c r="Z31" s="4">
        <f>+IF(TA_ti!Z31*TA_ti!Z$47*TA_ti!$BD31=0,10000,TA_ti!Z31*TA_ti!Z$47*TA_ti!$BD31)</f>
        <v>10000</v>
      </c>
      <c r="AA31" s="4">
        <f>+IF(TA_ti!AA31*TA_ti!AA$47*TA_ti!$BD31=0,10000,TA_ti!AA31*TA_ti!AA$47*TA_ti!$BD31)</f>
        <v>10000</v>
      </c>
      <c r="AB31" s="4">
        <f>+IF(TA_ti!AB31*TA_ti!AB$47*TA_ti!$BD31=0,10000,TA_ti!AB31*TA_ti!AB$47*TA_ti!$BD31)</f>
        <v>10000</v>
      </c>
      <c r="AC31" s="4">
        <f>+IF(TA_ti!AC31*TA_ti!AC$47*TA_ti!$BD31=0,10000,TA_ti!AC31*TA_ti!AC$47*TA_ti!$BD31)</f>
        <v>10000</v>
      </c>
      <c r="AD31" s="4">
        <f>+IF(TA_ti!AD31*TA_ti!AD$47*TA_ti!$BD31=0,10000,TA_ti!AD31*TA_ti!AD$47*TA_ti!$BD31)</f>
        <v>10000</v>
      </c>
      <c r="AE31" s="4">
        <f>+IF(TA_ti!AE31*TA_ti!AE$47*TA_ti!$BD31=0,10000,TA_ti!AE31*TA_ti!AE$47*TA_ti!$BD31)</f>
        <v>10000</v>
      </c>
      <c r="AF31" s="4">
        <f>+IF(TA_ti!AF31*TA_ti!AF$47*TA_ti!$BD31=0,10000,TA_ti!AF31*TA_ti!AF$47*TA_ti!$BD31)</f>
        <v>10</v>
      </c>
      <c r="AG31" s="4">
        <f>+IF(TA_ti!AG31*TA_ti!AG$47*TA_ti!$BD31=0,10000,TA_ti!AG31*TA_ti!AG$47*TA_ti!$BD31)</f>
        <v>30</v>
      </c>
      <c r="AH31" s="4">
        <f>+IF(TA_ti!AH31*TA_ti!AH$47*TA_ti!$BD31=0,10000,TA_ti!AH31*TA_ti!AH$47*TA_ti!$BD31)</f>
        <v>10</v>
      </c>
      <c r="AI31" s="4">
        <f>+IF(TA_ti!AI31*TA_ti!AI$47*TA_ti!$BD31=0,10000,TA_ti!AI31*TA_ti!AI$47*TA_ti!$BD31)</f>
        <v>10</v>
      </c>
      <c r="AJ31" s="4">
        <f>+IF(TA_ti!AJ31*TA_ti!AJ$47*TA_ti!$BD31=0,10000,TA_ti!AJ31*TA_ti!AJ$47*TA_ti!$BD31)</f>
        <v>20</v>
      </c>
      <c r="AK31" s="4">
        <f>+IF(TA_ti!AK31*TA_ti!AK$47*TA_ti!$BD31=0,10000,TA_ti!AK31*TA_ti!AK$47*TA_ti!$BD31)</f>
        <v>10</v>
      </c>
      <c r="AL31" s="4">
        <f>+IF(TA_ti!AL31*TA_ti!AL$47*TA_ti!$BD31=0,10000,TA_ti!AL31*TA_ti!AL$47*TA_ti!$BD31)</f>
        <v>10000</v>
      </c>
      <c r="AM31" s="4">
        <f>+IF(TA_ti!AM31*TA_ti!AM$47*TA_ti!$BD31=0,10000,TA_ti!AM31*TA_ti!AM$47*TA_ti!$BD31)</f>
        <v>10000</v>
      </c>
      <c r="AN31" s="4">
        <f>+IF(TA_ti!AN31*TA_ti!AN$47*TA_ti!$BD31=0,10000,TA_ti!AN31*TA_ti!AN$47*TA_ti!$BD31)</f>
        <v>10000</v>
      </c>
      <c r="AO31" s="4">
        <f>+IF(TA_ti!AO31*TA_ti!AO$47*TA_ti!$BD31=0,10000,TA_ti!AO31*TA_ti!AO$47*TA_ti!$BD31)</f>
        <v>10000</v>
      </c>
      <c r="AP31" s="4">
        <f>+IF(TA_ti!AP31*TA_ti!AP$47*TA_ti!$BD31=0,10000,TA_ti!AP31*TA_ti!AP$47*TA_ti!$BD31)</f>
        <v>10000</v>
      </c>
      <c r="AQ31" s="4">
        <f>+IF(TA_ti!AQ31*TA_ti!AQ$47*TA_ti!$BD31=0,10000,TA_ti!AQ31*TA_ti!AQ$47*TA_ti!$BD31)</f>
        <v>10000</v>
      </c>
      <c r="AR31" s="4">
        <f>+IF(TA_ti!AR31*TA_ti!AR$47*TA_ti!$BD31=0,10000,TA_ti!AR31*TA_ti!AR$47*TA_ti!$BD31)</f>
        <v>10000</v>
      </c>
      <c r="AS31" s="4">
        <f>+IF(TA_ti!AS31*TA_ti!AS$47*TA_ti!$BD31=0,10000,TA_ti!AS31*TA_ti!AS$47*TA_ti!$BD31)</f>
        <v>10000</v>
      </c>
      <c r="AT31" s="4">
        <f>+IF(TA_ti!AT31*TA_ti!AT$47*TA_ti!$BD31=0,10000,TA_ti!AT31*TA_ti!AT$47*TA_ti!$BD31)</f>
        <v>10000</v>
      </c>
      <c r="AU31" s="4">
        <f>+IF(TA_ti!AU31*TA_ti!AU$47*TA_ti!$BD31=0,10000,TA_ti!AU31*TA_ti!AU$47*TA_ti!$BD31)</f>
        <v>10000</v>
      </c>
      <c r="AV31" s="4">
        <f>+IF(TA_ti!AV31*TA_ti!AV$47*TA_ti!$BD31=0,10000,TA_ti!AV31*TA_ti!AV$47*TA_ti!$BD31)</f>
        <v>10000</v>
      </c>
      <c r="AW31" s="4">
        <f>+IF(TA_ti!AW31*TA_ti!AW$47*TA_ti!$BD31=0,10000,TA_ti!AW31*TA_ti!AW$47*TA_ti!$BD31)</f>
        <v>10000</v>
      </c>
      <c r="AX31" s="4">
        <f>+IF(TA_ti!AX31*TA_ti!AX$47*TA_ti!$BD31=0,10000,TA_ti!AX31*TA_ti!AX$47*TA_ti!$BD31)</f>
        <v>10000</v>
      </c>
      <c r="AY31" s="4">
        <f>+IF(TA_ti!AY31*TA_ti!AY$47*TA_ti!$BD31=0,10000,TA_ti!AY31*TA_ti!AY$47*TA_ti!$BD31)</f>
        <v>10000</v>
      </c>
      <c r="AZ31" s="4">
        <f>+IF(TA_ti!AZ31*TA_ti!AZ$47*TA_ti!$BD31=0,10000,TA_ti!AZ31*TA_ti!AZ$47*TA_ti!$BD31)</f>
        <v>10000</v>
      </c>
      <c r="BA31" s="4">
        <f>+IF(TA_ti!BA31*TA_ti!BA$47*TA_ti!$BD31=0,10000,TA_ti!BA31*TA_ti!BA$47*TA_ti!$BD31)</f>
        <v>10000</v>
      </c>
      <c r="BB31" s="4">
        <f>+IF(TA_ti!BB31*TA_ti!BB$47*TA_ti!$BD31=0,10000,TA_ti!BB31*TA_ti!BB$47*TA_ti!$BD31)</f>
        <v>10000</v>
      </c>
      <c r="BC31" s="4">
        <f>+IF(TA_ti!BC31*TA_ti!BC$47*TA_ti!$BD31=0,10000,TA_ti!BC31*TA_ti!BC$47*TA_ti!$BD31)</f>
        <v>10000</v>
      </c>
    </row>
    <row r="32" spans="1:55" ht="18.75" customHeight="1" x14ac:dyDescent="0.25">
      <c r="A32" s="5" t="s">
        <v>83</v>
      </c>
      <c r="B32" s="4">
        <f>+IF(TA_ti!B32*TA_ti!B$47*TA_ti!$BD32=0,10000,TA_ti!B32*TA_ti!B$47*TA_ti!$BD32)</f>
        <v>10000</v>
      </c>
      <c r="C32" s="4">
        <f>+IF(TA_ti!C32*TA_ti!C$47*TA_ti!$BD32=0,10000,TA_ti!C32*TA_ti!C$47*TA_ti!$BD32)</f>
        <v>10000</v>
      </c>
      <c r="D32" s="4">
        <f>+IF(TA_ti!D32*TA_ti!D$47*TA_ti!$BD32=0,10000,TA_ti!D32*TA_ti!D$47*TA_ti!$BD32)</f>
        <v>10000</v>
      </c>
      <c r="E32" s="4">
        <f>+IF(TA_ti!E32*TA_ti!E$47*TA_ti!$BD32=0,10000,TA_ti!E32*TA_ti!E$47*TA_ti!$BD32)</f>
        <v>10000</v>
      </c>
      <c r="F32" s="4">
        <f>+IF(TA_ti!F32*TA_ti!F$47*TA_ti!$BD32=0,10000,TA_ti!F32*TA_ti!F$47*TA_ti!$BD32)</f>
        <v>10000</v>
      </c>
      <c r="G32" s="4">
        <f>+IF(TA_ti!G32*TA_ti!G$47*TA_ti!$BD32=0,10000,TA_ti!G32*TA_ti!G$47*TA_ti!$BD32)</f>
        <v>10000</v>
      </c>
      <c r="H32" s="4">
        <f>+IF(TA_ti!H32*TA_ti!H$47*TA_ti!$BD32=0,10000,TA_ti!H32*TA_ti!H$47*TA_ti!$BD32)</f>
        <v>10000</v>
      </c>
      <c r="I32" s="4">
        <f>+IF(TA_ti!I32*TA_ti!I$47*TA_ti!$BD32=0,10000,TA_ti!I32*TA_ti!I$47*TA_ti!$BD32)</f>
        <v>10000</v>
      </c>
      <c r="J32" s="4">
        <f>+IF(TA_ti!J32*TA_ti!J$47*TA_ti!$BD32=0,10000,TA_ti!J32*TA_ti!J$47*TA_ti!$BD32)</f>
        <v>10000</v>
      </c>
      <c r="K32" s="4">
        <f>+IF(TA_ti!K32*TA_ti!K$47*TA_ti!$BD32=0,10000,TA_ti!K32*TA_ti!K$47*TA_ti!$BD32)</f>
        <v>10000</v>
      </c>
      <c r="L32" s="4">
        <f>+IF(TA_ti!L32*TA_ti!L$47*TA_ti!$BD32=0,10000,TA_ti!L32*TA_ti!L$47*TA_ti!$BD32)</f>
        <v>10000</v>
      </c>
      <c r="M32" s="4">
        <f>+IF(TA_ti!M32*TA_ti!M$47*TA_ti!$BD32=0,10000,TA_ti!M32*TA_ti!M$47*TA_ti!$BD32)</f>
        <v>10000</v>
      </c>
      <c r="N32" s="4">
        <f>+IF(TA_ti!N32*TA_ti!N$47*TA_ti!$BD32=0,10000,TA_ti!N32*TA_ti!N$47*TA_ti!$BD32)</f>
        <v>10000</v>
      </c>
      <c r="O32" s="4">
        <f>+IF(TA_ti!O32*TA_ti!O$47*TA_ti!$BD32=0,10000,TA_ti!O32*TA_ti!O$47*TA_ti!$BD32)</f>
        <v>10000</v>
      </c>
      <c r="P32" s="4">
        <f>+IF(TA_ti!P32*TA_ti!P$47*TA_ti!$BD32=0,10000,TA_ti!P32*TA_ti!P$47*TA_ti!$BD32)</f>
        <v>10000</v>
      </c>
      <c r="Q32" s="4">
        <f>+IF(TA_ti!Q32*TA_ti!Q$47*TA_ti!$BD32=0,10000,TA_ti!Q32*TA_ti!Q$47*TA_ti!$BD32)</f>
        <v>10000</v>
      </c>
      <c r="R32" s="4">
        <f>+IF(TA_ti!R32*TA_ti!R$47*TA_ti!$BD32=0,10000,TA_ti!R32*TA_ti!R$47*TA_ti!$BD32)</f>
        <v>10000</v>
      </c>
      <c r="S32" s="4">
        <f>+IF(TA_ti!S32*TA_ti!S$47*TA_ti!$BD32=0,10000,TA_ti!S32*TA_ti!S$47*TA_ti!$BD32)</f>
        <v>10000</v>
      </c>
      <c r="T32" s="4">
        <f>+IF(TA_ti!T32*TA_ti!T$47*TA_ti!$BD32=0,10000,TA_ti!T32*TA_ti!T$47*TA_ti!$BD32)</f>
        <v>10000</v>
      </c>
      <c r="U32" s="4">
        <f>+IF(TA_ti!U32*TA_ti!U$47*TA_ti!$BD32=0,10000,TA_ti!U32*TA_ti!U$47*TA_ti!$BD32)</f>
        <v>10000</v>
      </c>
      <c r="V32" s="4">
        <f>+IF(TA_ti!V32*TA_ti!V$47*TA_ti!$BD32=0,10000,TA_ti!V32*TA_ti!V$47*TA_ti!$BD32)</f>
        <v>10000</v>
      </c>
      <c r="W32" s="4">
        <f>+IF(TA_ti!W32*TA_ti!W$47*TA_ti!$BD32=0,10000,TA_ti!W32*TA_ti!W$47*TA_ti!$BD32)</f>
        <v>10000</v>
      </c>
      <c r="X32" s="4">
        <f>+IF(TA_ti!X32*TA_ti!X$47*TA_ti!$BD32=0,10000,TA_ti!X32*TA_ti!X$47*TA_ti!$BD32)</f>
        <v>10000</v>
      </c>
      <c r="Y32" s="4">
        <f>+IF(TA_ti!Y32*TA_ti!Y$47*TA_ti!$BD32=0,10000,TA_ti!Y32*TA_ti!Y$47*TA_ti!$BD32)</f>
        <v>10000</v>
      </c>
      <c r="Z32" s="4">
        <f>+IF(TA_ti!Z32*TA_ti!Z$47*TA_ti!$BD32=0,10000,TA_ti!Z32*TA_ti!Z$47*TA_ti!$BD32)</f>
        <v>10000</v>
      </c>
      <c r="AA32" s="4">
        <f>+IF(TA_ti!AA32*TA_ti!AA$47*TA_ti!$BD32=0,10000,TA_ti!AA32*TA_ti!AA$47*TA_ti!$BD32)</f>
        <v>10000</v>
      </c>
      <c r="AB32" s="4">
        <f>+IF(TA_ti!AB32*TA_ti!AB$47*TA_ti!$BD32=0,10000,TA_ti!AB32*TA_ti!AB$47*TA_ti!$BD32)</f>
        <v>10000</v>
      </c>
      <c r="AC32" s="4">
        <f>+IF(TA_ti!AC32*TA_ti!AC$47*TA_ti!$BD32=0,10000,TA_ti!AC32*TA_ti!AC$47*TA_ti!$BD32)</f>
        <v>10</v>
      </c>
      <c r="AD32" s="4">
        <f>+IF(TA_ti!AD32*TA_ti!AD$47*TA_ti!$BD32=0,10000,TA_ti!AD32*TA_ti!AD$47*TA_ti!$BD32)</f>
        <v>10000</v>
      </c>
      <c r="AE32" s="4">
        <f>+IF(TA_ti!AE32*TA_ti!AE$47*TA_ti!$BD32=0,10000,TA_ti!AE32*TA_ti!AE$47*TA_ti!$BD32)</f>
        <v>10</v>
      </c>
      <c r="AF32" s="4">
        <f>+IF(TA_ti!AF32*TA_ti!AF$47*TA_ti!$BD32=0,10000,TA_ti!AF32*TA_ti!AF$47*TA_ti!$BD32)</f>
        <v>10</v>
      </c>
      <c r="AG32" s="4">
        <f>+IF(TA_ti!AG32*TA_ti!AG$47*TA_ti!$BD32=0,10000,TA_ti!AG32*TA_ti!AG$47*TA_ti!$BD32)</f>
        <v>30</v>
      </c>
      <c r="AH32" s="4">
        <f>+IF(TA_ti!AH32*TA_ti!AH$47*TA_ti!$BD32=0,10000,TA_ti!AH32*TA_ti!AH$47*TA_ti!$BD32)</f>
        <v>10</v>
      </c>
      <c r="AI32" s="4">
        <f>+IF(TA_ti!AI32*TA_ti!AI$47*TA_ti!$BD32=0,10000,TA_ti!AI32*TA_ti!AI$47*TA_ti!$BD32)</f>
        <v>10</v>
      </c>
      <c r="AJ32" s="4">
        <f>+IF(TA_ti!AJ32*TA_ti!AJ$47*TA_ti!$BD32=0,10000,TA_ti!AJ32*TA_ti!AJ$47*TA_ti!$BD32)</f>
        <v>20</v>
      </c>
      <c r="AK32" s="4">
        <f>+IF(TA_ti!AK32*TA_ti!AK$47*TA_ti!$BD32=0,10000,TA_ti!AK32*TA_ti!AK$47*TA_ti!$BD32)</f>
        <v>10</v>
      </c>
      <c r="AL32" s="4">
        <f>+IF(TA_ti!AL32*TA_ti!AL$47*TA_ti!$BD32=0,10000,TA_ti!AL32*TA_ti!AL$47*TA_ti!$BD32)</f>
        <v>10000</v>
      </c>
      <c r="AM32" s="4">
        <f>+IF(TA_ti!AM32*TA_ti!AM$47*TA_ti!$BD32=0,10000,TA_ti!AM32*TA_ti!AM$47*TA_ti!$BD32)</f>
        <v>10000</v>
      </c>
      <c r="AN32" s="4">
        <f>+IF(TA_ti!AN32*TA_ti!AN$47*TA_ti!$BD32=0,10000,TA_ti!AN32*TA_ti!AN$47*TA_ti!$BD32)</f>
        <v>10000</v>
      </c>
      <c r="AO32" s="4">
        <f>+IF(TA_ti!AO32*TA_ti!AO$47*TA_ti!$BD32=0,10000,TA_ti!AO32*TA_ti!AO$47*TA_ti!$BD32)</f>
        <v>10000</v>
      </c>
      <c r="AP32" s="4">
        <f>+IF(TA_ti!AP32*TA_ti!AP$47*TA_ti!$BD32=0,10000,TA_ti!AP32*TA_ti!AP$47*TA_ti!$BD32)</f>
        <v>10000</v>
      </c>
      <c r="AQ32" s="4">
        <f>+IF(TA_ti!AQ32*TA_ti!AQ$47*TA_ti!$BD32=0,10000,TA_ti!AQ32*TA_ti!AQ$47*TA_ti!$BD32)</f>
        <v>10000</v>
      </c>
      <c r="AR32" s="4">
        <f>+IF(TA_ti!AR32*TA_ti!AR$47*TA_ti!$BD32=0,10000,TA_ti!AR32*TA_ti!AR$47*TA_ti!$BD32)</f>
        <v>10000</v>
      </c>
      <c r="AS32" s="4">
        <f>+IF(TA_ti!AS32*TA_ti!AS$47*TA_ti!$BD32=0,10000,TA_ti!AS32*TA_ti!AS$47*TA_ti!$BD32)</f>
        <v>10000</v>
      </c>
      <c r="AT32" s="4">
        <f>+IF(TA_ti!AT32*TA_ti!AT$47*TA_ti!$BD32=0,10000,TA_ti!AT32*TA_ti!AT$47*TA_ti!$BD32)</f>
        <v>10000</v>
      </c>
      <c r="AU32" s="4">
        <f>+IF(TA_ti!AU32*TA_ti!AU$47*TA_ti!$BD32=0,10000,TA_ti!AU32*TA_ti!AU$47*TA_ti!$BD32)</f>
        <v>10000</v>
      </c>
      <c r="AV32" s="4">
        <f>+IF(TA_ti!AV32*TA_ti!AV$47*TA_ti!$BD32=0,10000,TA_ti!AV32*TA_ti!AV$47*TA_ti!$BD32)</f>
        <v>10000</v>
      </c>
      <c r="AW32" s="4">
        <f>+IF(TA_ti!AW32*TA_ti!AW$47*TA_ti!$BD32=0,10000,TA_ti!AW32*TA_ti!AW$47*TA_ti!$BD32)</f>
        <v>10000</v>
      </c>
      <c r="AX32" s="4">
        <f>+IF(TA_ti!AX32*TA_ti!AX$47*TA_ti!$BD32=0,10000,TA_ti!AX32*TA_ti!AX$47*TA_ti!$BD32)</f>
        <v>10000</v>
      </c>
      <c r="AY32" s="4">
        <f>+IF(TA_ti!AY32*TA_ti!AY$47*TA_ti!$BD32=0,10000,TA_ti!AY32*TA_ti!AY$47*TA_ti!$BD32)</f>
        <v>10000</v>
      </c>
      <c r="AZ32" s="4">
        <f>+IF(TA_ti!AZ32*TA_ti!AZ$47*TA_ti!$BD32=0,10000,TA_ti!AZ32*TA_ti!AZ$47*TA_ti!$BD32)</f>
        <v>10000</v>
      </c>
      <c r="BA32" s="4">
        <f>+IF(TA_ti!BA32*TA_ti!BA$47*TA_ti!$BD32=0,10000,TA_ti!BA32*TA_ti!BA$47*TA_ti!$BD32)</f>
        <v>10000</v>
      </c>
      <c r="BB32" s="4">
        <f>+IF(TA_ti!BB32*TA_ti!BB$47*TA_ti!$BD32=0,10000,TA_ti!BB32*TA_ti!BB$47*TA_ti!$BD32)</f>
        <v>10000</v>
      </c>
      <c r="BC32" s="4">
        <f>+IF(TA_ti!BC32*TA_ti!BC$47*TA_ti!$BD32=0,10000,TA_ti!BC32*TA_ti!BC$47*TA_ti!$BD32)</f>
        <v>10000</v>
      </c>
    </row>
    <row r="33" spans="1:55" ht="18.75" customHeight="1" x14ac:dyDescent="0.25">
      <c r="A33" s="5" t="s">
        <v>84</v>
      </c>
      <c r="B33" s="4">
        <f>+IF(TA_ti!B33*TA_ti!B$47*TA_ti!$BD33=0,10000,TA_ti!B33*TA_ti!B$47*TA_ti!$BD33)</f>
        <v>10000</v>
      </c>
      <c r="C33" s="4">
        <f>+IF(TA_ti!C33*TA_ti!C$47*TA_ti!$BD33=0,10000,TA_ti!C33*TA_ti!C$47*TA_ti!$BD33)</f>
        <v>10000</v>
      </c>
      <c r="D33" s="4">
        <f>+IF(TA_ti!D33*TA_ti!D$47*TA_ti!$BD33=0,10000,TA_ti!D33*TA_ti!D$47*TA_ti!$BD33)</f>
        <v>10000</v>
      </c>
      <c r="E33" s="4">
        <f>+IF(TA_ti!E33*TA_ti!E$47*TA_ti!$BD33=0,10000,TA_ti!E33*TA_ti!E$47*TA_ti!$BD33)</f>
        <v>10000</v>
      </c>
      <c r="F33" s="4">
        <f>+IF(TA_ti!F33*TA_ti!F$47*TA_ti!$BD33=0,10000,TA_ti!F33*TA_ti!F$47*TA_ti!$BD33)</f>
        <v>10000</v>
      </c>
      <c r="G33" s="4">
        <f>+IF(TA_ti!G33*TA_ti!G$47*TA_ti!$BD33=0,10000,TA_ti!G33*TA_ti!G$47*TA_ti!$BD33)</f>
        <v>10000</v>
      </c>
      <c r="H33" s="4">
        <f>+IF(TA_ti!H33*TA_ti!H$47*TA_ti!$BD33=0,10000,TA_ti!H33*TA_ti!H$47*TA_ti!$BD33)</f>
        <v>10000</v>
      </c>
      <c r="I33" s="4">
        <f>+IF(TA_ti!I33*TA_ti!I$47*TA_ti!$BD33=0,10000,TA_ti!I33*TA_ti!I$47*TA_ti!$BD33)</f>
        <v>10000</v>
      </c>
      <c r="J33" s="4">
        <f>+IF(TA_ti!J33*TA_ti!J$47*TA_ti!$BD33=0,10000,TA_ti!J33*TA_ti!J$47*TA_ti!$BD33)</f>
        <v>10000</v>
      </c>
      <c r="K33" s="4">
        <f>+IF(TA_ti!K33*TA_ti!K$47*TA_ti!$BD33=0,10000,TA_ti!K33*TA_ti!K$47*TA_ti!$BD33)</f>
        <v>10000</v>
      </c>
      <c r="L33" s="4">
        <f>+IF(TA_ti!L33*TA_ti!L$47*TA_ti!$BD33=0,10000,TA_ti!L33*TA_ti!L$47*TA_ti!$BD33)</f>
        <v>10000</v>
      </c>
      <c r="M33" s="4">
        <f>+IF(TA_ti!M33*TA_ti!M$47*TA_ti!$BD33=0,10000,TA_ti!M33*TA_ti!M$47*TA_ti!$BD33)</f>
        <v>10000</v>
      </c>
      <c r="N33" s="4">
        <f>+IF(TA_ti!N33*TA_ti!N$47*TA_ti!$BD33=0,10000,TA_ti!N33*TA_ti!N$47*TA_ti!$BD33)</f>
        <v>10000</v>
      </c>
      <c r="O33" s="4">
        <f>+IF(TA_ti!O33*TA_ti!O$47*TA_ti!$BD33=0,10000,TA_ti!O33*TA_ti!O$47*TA_ti!$BD33)</f>
        <v>10000</v>
      </c>
      <c r="P33" s="4">
        <f>+IF(TA_ti!P33*TA_ti!P$47*TA_ti!$BD33=0,10000,TA_ti!P33*TA_ti!P$47*TA_ti!$BD33)</f>
        <v>10000</v>
      </c>
      <c r="Q33" s="4">
        <f>+IF(TA_ti!Q33*TA_ti!Q$47*TA_ti!$BD33=0,10000,TA_ti!Q33*TA_ti!Q$47*TA_ti!$BD33)</f>
        <v>10000</v>
      </c>
      <c r="R33" s="4">
        <f>+IF(TA_ti!R33*TA_ti!R$47*TA_ti!$BD33=0,10000,TA_ti!R33*TA_ti!R$47*TA_ti!$BD33)</f>
        <v>10000</v>
      </c>
      <c r="S33" s="4">
        <f>+IF(TA_ti!S33*TA_ti!S$47*TA_ti!$BD33=0,10000,TA_ti!S33*TA_ti!S$47*TA_ti!$BD33)</f>
        <v>10000</v>
      </c>
      <c r="T33" s="4">
        <f>+IF(TA_ti!T33*TA_ti!T$47*TA_ti!$BD33=0,10000,TA_ti!T33*TA_ti!T$47*TA_ti!$BD33)</f>
        <v>10000</v>
      </c>
      <c r="U33" s="4">
        <f>+IF(TA_ti!U33*TA_ti!U$47*TA_ti!$BD33=0,10000,TA_ti!U33*TA_ti!U$47*TA_ti!$BD33)</f>
        <v>10000</v>
      </c>
      <c r="V33" s="4">
        <f>+IF(TA_ti!V33*TA_ti!V$47*TA_ti!$BD33=0,10000,TA_ti!V33*TA_ti!V$47*TA_ti!$BD33)</f>
        <v>10000</v>
      </c>
      <c r="W33" s="4">
        <f>+IF(TA_ti!W33*TA_ti!W$47*TA_ti!$BD33=0,10000,TA_ti!W33*TA_ti!W$47*TA_ti!$BD33)</f>
        <v>10000</v>
      </c>
      <c r="X33" s="4">
        <f>+IF(TA_ti!X33*TA_ti!X$47*TA_ti!$BD33=0,10000,TA_ti!X33*TA_ti!X$47*TA_ti!$BD33)</f>
        <v>10000</v>
      </c>
      <c r="Y33" s="4">
        <f>+IF(TA_ti!Y33*TA_ti!Y$47*TA_ti!$BD33=0,10000,TA_ti!Y33*TA_ti!Y$47*TA_ti!$BD33)</f>
        <v>10000</v>
      </c>
      <c r="Z33" s="4">
        <f>+IF(TA_ti!Z33*TA_ti!Z$47*TA_ti!$BD33=0,10000,TA_ti!Z33*TA_ti!Z$47*TA_ti!$BD33)</f>
        <v>10000</v>
      </c>
      <c r="AA33" s="4">
        <f>+IF(TA_ti!AA33*TA_ti!AA$47*TA_ti!$BD33=0,10000,TA_ti!AA33*TA_ti!AA$47*TA_ti!$BD33)</f>
        <v>10000</v>
      </c>
      <c r="AB33" s="4">
        <f>+IF(TA_ti!AB33*TA_ti!AB$47*TA_ti!$BD33=0,10000,TA_ti!AB33*TA_ti!AB$47*TA_ti!$BD33)</f>
        <v>10000</v>
      </c>
      <c r="AC33" s="4">
        <f>+IF(TA_ti!AC33*TA_ti!AC$47*TA_ti!$BD33=0,10000,TA_ti!AC33*TA_ti!AC$47*TA_ti!$BD33)</f>
        <v>10</v>
      </c>
      <c r="AD33" s="4">
        <f>+IF(TA_ti!AD33*TA_ti!AD$47*TA_ti!$BD33=0,10000,TA_ti!AD33*TA_ti!AD$47*TA_ti!$BD33)</f>
        <v>10000</v>
      </c>
      <c r="AE33" s="4">
        <f>+IF(TA_ti!AE33*TA_ti!AE$47*TA_ti!$BD33=0,10000,TA_ti!AE33*TA_ti!AE$47*TA_ti!$BD33)</f>
        <v>10000</v>
      </c>
      <c r="AF33" s="4">
        <f>+IF(TA_ti!AF33*TA_ti!AF$47*TA_ti!$BD33=0,10000,TA_ti!AF33*TA_ti!AF$47*TA_ti!$BD33)</f>
        <v>10</v>
      </c>
      <c r="AG33" s="4">
        <f>+IF(TA_ti!AG33*TA_ti!AG$47*TA_ti!$BD33=0,10000,TA_ti!AG33*TA_ti!AG$47*TA_ti!$BD33)</f>
        <v>30</v>
      </c>
      <c r="AH33" s="4">
        <f>+IF(TA_ti!AH33*TA_ti!AH$47*TA_ti!$BD33=0,10000,TA_ti!AH33*TA_ti!AH$47*TA_ti!$BD33)</f>
        <v>10</v>
      </c>
      <c r="AI33" s="4">
        <f>+IF(TA_ti!AI33*TA_ti!AI$47*TA_ti!$BD33=0,10000,TA_ti!AI33*TA_ti!AI$47*TA_ti!$BD33)</f>
        <v>10</v>
      </c>
      <c r="AJ33" s="4">
        <f>+IF(TA_ti!AJ33*TA_ti!AJ$47*TA_ti!$BD33=0,10000,TA_ti!AJ33*TA_ti!AJ$47*TA_ti!$BD33)</f>
        <v>20</v>
      </c>
      <c r="AK33" s="4">
        <f>+IF(TA_ti!AK33*TA_ti!AK$47*TA_ti!$BD33=0,10000,TA_ti!AK33*TA_ti!AK$47*TA_ti!$BD33)</f>
        <v>10</v>
      </c>
      <c r="AL33" s="4">
        <f>+IF(TA_ti!AL33*TA_ti!AL$47*TA_ti!$BD33=0,10000,TA_ti!AL33*TA_ti!AL$47*TA_ti!$BD33)</f>
        <v>10000</v>
      </c>
      <c r="AM33" s="4">
        <f>+IF(TA_ti!AM33*TA_ti!AM$47*TA_ti!$BD33=0,10000,TA_ti!AM33*TA_ti!AM$47*TA_ti!$BD33)</f>
        <v>10000</v>
      </c>
      <c r="AN33" s="4">
        <f>+IF(TA_ti!AN33*TA_ti!AN$47*TA_ti!$BD33=0,10000,TA_ti!AN33*TA_ti!AN$47*TA_ti!$BD33)</f>
        <v>10000</v>
      </c>
      <c r="AO33" s="4">
        <f>+IF(TA_ti!AO33*TA_ti!AO$47*TA_ti!$BD33=0,10000,TA_ti!AO33*TA_ti!AO$47*TA_ti!$BD33)</f>
        <v>10000</v>
      </c>
      <c r="AP33" s="4">
        <f>+IF(TA_ti!AP33*TA_ti!AP$47*TA_ti!$BD33=0,10000,TA_ti!AP33*TA_ti!AP$47*TA_ti!$BD33)</f>
        <v>10000</v>
      </c>
      <c r="AQ33" s="4">
        <f>+IF(TA_ti!AQ33*TA_ti!AQ$47*TA_ti!$BD33=0,10000,TA_ti!AQ33*TA_ti!AQ$47*TA_ti!$BD33)</f>
        <v>10000</v>
      </c>
      <c r="AR33" s="4">
        <f>+IF(TA_ti!AR33*TA_ti!AR$47*TA_ti!$BD33=0,10000,TA_ti!AR33*TA_ti!AR$47*TA_ti!$BD33)</f>
        <v>10000</v>
      </c>
      <c r="AS33" s="4">
        <f>+IF(TA_ti!AS33*TA_ti!AS$47*TA_ti!$BD33=0,10000,TA_ti!AS33*TA_ti!AS$47*TA_ti!$BD33)</f>
        <v>10000</v>
      </c>
      <c r="AT33" s="4">
        <f>+IF(TA_ti!AT33*TA_ti!AT$47*TA_ti!$BD33=0,10000,TA_ti!AT33*TA_ti!AT$47*TA_ti!$BD33)</f>
        <v>10000</v>
      </c>
      <c r="AU33" s="4">
        <f>+IF(TA_ti!AU33*TA_ti!AU$47*TA_ti!$BD33=0,10000,TA_ti!AU33*TA_ti!AU$47*TA_ti!$BD33)</f>
        <v>10000</v>
      </c>
      <c r="AV33" s="4">
        <f>+IF(TA_ti!AV33*TA_ti!AV$47*TA_ti!$BD33=0,10000,TA_ti!AV33*TA_ti!AV$47*TA_ti!$BD33)</f>
        <v>10000</v>
      </c>
      <c r="AW33" s="4">
        <f>+IF(TA_ti!AW33*TA_ti!AW$47*TA_ti!$BD33=0,10000,TA_ti!AW33*TA_ti!AW$47*TA_ti!$BD33)</f>
        <v>10000</v>
      </c>
      <c r="AX33" s="4">
        <f>+IF(TA_ti!AX33*TA_ti!AX$47*TA_ti!$BD33=0,10000,TA_ti!AX33*TA_ti!AX$47*TA_ti!$BD33)</f>
        <v>10000</v>
      </c>
      <c r="AY33" s="4">
        <f>+IF(TA_ti!AY33*TA_ti!AY$47*TA_ti!$BD33=0,10000,TA_ti!AY33*TA_ti!AY$47*TA_ti!$BD33)</f>
        <v>10000</v>
      </c>
      <c r="AZ33" s="4">
        <f>+IF(TA_ti!AZ33*TA_ti!AZ$47*TA_ti!$BD33=0,10000,TA_ti!AZ33*TA_ti!AZ$47*TA_ti!$BD33)</f>
        <v>10000</v>
      </c>
      <c r="BA33" s="4">
        <f>+IF(TA_ti!BA33*TA_ti!BA$47*TA_ti!$BD33=0,10000,TA_ti!BA33*TA_ti!BA$47*TA_ti!$BD33)</f>
        <v>10000</v>
      </c>
      <c r="BB33" s="4">
        <f>+IF(TA_ti!BB33*TA_ti!BB$47*TA_ti!$BD33=0,10000,TA_ti!BB33*TA_ti!BB$47*TA_ti!$BD33)</f>
        <v>10000</v>
      </c>
      <c r="BC33" s="4">
        <f>+IF(TA_ti!BC33*TA_ti!BC$47*TA_ti!$BD33=0,10000,TA_ti!BC33*TA_ti!BC$47*TA_ti!$BD33)</f>
        <v>10000</v>
      </c>
    </row>
    <row r="34" spans="1:55" ht="19.5" customHeight="1" x14ac:dyDescent="0.25">
      <c r="A34" s="5" t="s">
        <v>85</v>
      </c>
      <c r="B34" s="4">
        <f>+IF(TA_ti!B34*TA_ti!B$47*TA_ti!$BD34=0,10000,TA_ti!B34*TA_ti!B$47*TA_ti!$BD34)</f>
        <v>10000</v>
      </c>
      <c r="C34" s="4">
        <f>+IF(TA_ti!C34*TA_ti!C$47*TA_ti!$BD34=0,10000,TA_ti!C34*TA_ti!C$47*TA_ti!$BD34)</f>
        <v>10000</v>
      </c>
      <c r="D34" s="4">
        <f>+IF(TA_ti!D34*TA_ti!D$47*TA_ti!$BD34=0,10000,TA_ti!D34*TA_ti!D$47*TA_ti!$BD34)</f>
        <v>10000</v>
      </c>
      <c r="E34" s="4">
        <f>+IF(TA_ti!E34*TA_ti!E$47*TA_ti!$BD34=0,10000,TA_ti!E34*TA_ti!E$47*TA_ti!$BD34)</f>
        <v>10000</v>
      </c>
      <c r="F34" s="4">
        <f>+IF(TA_ti!F34*TA_ti!F$47*TA_ti!$BD34=0,10000,TA_ti!F34*TA_ti!F$47*TA_ti!$BD34)</f>
        <v>10000</v>
      </c>
      <c r="G34" s="4">
        <f>+IF(TA_ti!G34*TA_ti!G$47*TA_ti!$BD34=0,10000,TA_ti!G34*TA_ti!G$47*TA_ti!$BD34)</f>
        <v>10000</v>
      </c>
      <c r="H34" s="4">
        <f>+IF(TA_ti!H34*TA_ti!H$47*TA_ti!$BD34=0,10000,TA_ti!H34*TA_ti!H$47*TA_ti!$BD34)</f>
        <v>10000</v>
      </c>
      <c r="I34" s="4">
        <f>+IF(TA_ti!I34*TA_ti!I$47*TA_ti!$BD34=0,10000,TA_ti!I34*TA_ti!I$47*TA_ti!$BD34)</f>
        <v>10000</v>
      </c>
      <c r="J34" s="4">
        <f>+IF(TA_ti!J34*TA_ti!J$47*TA_ti!$BD34=0,10000,TA_ti!J34*TA_ti!J$47*TA_ti!$BD34)</f>
        <v>10000</v>
      </c>
      <c r="K34" s="4">
        <f>+IF(TA_ti!K34*TA_ti!K$47*TA_ti!$BD34=0,10000,TA_ti!K34*TA_ti!K$47*TA_ti!$BD34)</f>
        <v>10000</v>
      </c>
      <c r="L34" s="4">
        <f>+IF(TA_ti!L34*TA_ti!L$47*TA_ti!$BD34=0,10000,TA_ti!L34*TA_ti!L$47*TA_ti!$BD34)</f>
        <v>10000</v>
      </c>
      <c r="M34" s="4">
        <f>+IF(TA_ti!M34*TA_ti!M$47*TA_ti!$BD34=0,10000,TA_ti!M34*TA_ti!M$47*TA_ti!$BD34)</f>
        <v>10000</v>
      </c>
      <c r="N34" s="4">
        <f>+IF(TA_ti!N34*TA_ti!N$47*TA_ti!$BD34=0,10000,TA_ti!N34*TA_ti!N$47*TA_ti!$BD34)</f>
        <v>10000</v>
      </c>
      <c r="O34" s="4">
        <f>+IF(TA_ti!O34*TA_ti!O$47*TA_ti!$BD34=0,10000,TA_ti!O34*TA_ti!O$47*TA_ti!$BD34)</f>
        <v>10000</v>
      </c>
      <c r="P34" s="4">
        <f>+IF(TA_ti!P34*TA_ti!P$47*TA_ti!$BD34=0,10000,TA_ti!P34*TA_ti!P$47*TA_ti!$BD34)</f>
        <v>10000</v>
      </c>
      <c r="Q34" s="4">
        <f>+IF(TA_ti!Q34*TA_ti!Q$47*TA_ti!$BD34=0,10000,TA_ti!Q34*TA_ti!Q$47*TA_ti!$BD34)</f>
        <v>10000</v>
      </c>
      <c r="R34" s="4">
        <f>+IF(TA_ti!R34*TA_ti!R$47*TA_ti!$BD34=0,10000,TA_ti!R34*TA_ti!R$47*TA_ti!$BD34)</f>
        <v>10000</v>
      </c>
      <c r="S34" s="4">
        <f>+IF(TA_ti!S34*TA_ti!S$47*TA_ti!$BD34=0,10000,TA_ti!S34*TA_ti!S$47*TA_ti!$BD34)</f>
        <v>10000</v>
      </c>
      <c r="T34" s="4">
        <f>+IF(TA_ti!T34*TA_ti!T$47*TA_ti!$BD34=0,10000,TA_ti!T34*TA_ti!T$47*TA_ti!$BD34)</f>
        <v>10000</v>
      </c>
      <c r="U34" s="4">
        <f>+IF(TA_ti!U34*TA_ti!U$47*TA_ti!$BD34=0,10000,TA_ti!U34*TA_ti!U$47*TA_ti!$BD34)</f>
        <v>10000</v>
      </c>
      <c r="V34" s="4">
        <f>+IF(TA_ti!V34*TA_ti!V$47*TA_ti!$BD34=0,10000,TA_ti!V34*TA_ti!V$47*TA_ti!$BD34)</f>
        <v>10000</v>
      </c>
      <c r="W34" s="4">
        <f>+IF(TA_ti!W34*TA_ti!W$47*TA_ti!$BD34=0,10000,TA_ti!W34*TA_ti!W$47*TA_ti!$BD34)</f>
        <v>10000</v>
      </c>
      <c r="X34" s="4">
        <f>+IF(TA_ti!X34*TA_ti!X$47*TA_ti!$BD34=0,10000,TA_ti!X34*TA_ti!X$47*TA_ti!$BD34)</f>
        <v>10000</v>
      </c>
      <c r="Y34" s="4">
        <f>+IF(TA_ti!Y34*TA_ti!Y$47*TA_ti!$BD34=0,10000,TA_ti!Y34*TA_ti!Y$47*TA_ti!$BD34)</f>
        <v>10000</v>
      </c>
      <c r="Z34" s="4">
        <f>+IF(TA_ti!Z34*TA_ti!Z$47*TA_ti!$BD34=0,10000,TA_ti!Z34*TA_ti!Z$47*TA_ti!$BD34)</f>
        <v>10000</v>
      </c>
      <c r="AA34" s="4">
        <f>+IF(TA_ti!AA34*TA_ti!AA$47*TA_ti!$BD34=0,10000,TA_ti!AA34*TA_ti!AA$47*TA_ti!$BD34)</f>
        <v>10</v>
      </c>
      <c r="AB34" s="4">
        <f>+IF(TA_ti!AB34*TA_ti!AB$47*TA_ti!$BD34=0,10000,TA_ti!AB34*TA_ti!AB$47*TA_ti!$BD34)</f>
        <v>10000</v>
      </c>
      <c r="AC34" s="4">
        <f>+IF(TA_ti!AC34*TA_ti!AC$47*TA_ti!$BD34=0,10000,TA_ti!AC34*TA_ti!AC$47*TA_ti!$BD34)</f>
        <v>10</v>
      </c>
      <c r="AD34" s="4">
        <f>+IF(TA_ti!AD34*TA_ti!AD$47*TA_ti!$BD34=0,10000,TA_ti!AD34*TA_ti!AD$47*TA_ti!$BD34)</f>
        <v>10000</v>
      </c>
      <c r="AE34" s="4">
        <f>+IF(TA_ti!AE34*TA_ti!AE$47*TA_ti!$BD34=0,10000,TA_ti!AE34*TA_ti!AE$47*TA_ti!$BD34)</f>
        <v>10000</v>
      </c>
      <c r="AF34" s="4">
        <f>+IF(TA_ti!AF34*TA_ti!AF$47*TA_ti!$BD34=0,10000,TA_ti!AF34*TA_ti!AF$47*TA_ti!$BD34)</f>
        <v>10</v>
      </c>
      <c r="AG34" s="4">
        <f>+IF(TA_ti!AG34*TA_ti!AG$47*TA_ti!$BD34=0,10000,TA_ti!AG34*TA_ti!AG$47*TA_ti!$BD34)</f>
        <v>30</v>
      </c>
      <c r="AH34" s="4">
        <f>+IF(TA_ti!AH34*TA_ti!AH$47*TA_ti!$BD34=0,10000,TA_ti!AH34*TA_ti!AH$47*TA_ti!$BD34)</f>
        <v>10</v>
      </c>
      <c r="AI34" s="4">
        <f>+IF(TA_ti!AI34*TA_ti!AI$47*TA_ti!$BD34=0,10000,TA_ti!AI34*TA_ti!AI$47*TA_ti!$BD34)</f>
        <v>10</v>
      </c>
      <c r="AJ34" s="4">
        <f>+IF(TA_ti!AJ34*TA_ti!AJ$47*TA_ti!$BD34=0,10000,TA_ti!AJ34*TA_ti!AJ$47*TA_ti!$BD34)</f>
        <v>10000</v>
      </c>
      <c r="AK34" s="4">
        <f>+IF(TA_ti!AK34*TA_ti!AK$47*TA_ti!$BD34=0,10000,TA_ti!AK34*TA_ti!AK$47*TA_ti!$BD34)</f>
        <v>10000</v>
      </c>
      <c r="AL34" s="4">
        <f>+IF(TA_ti!AL34*TA_ti!AL$47*TA_ti!$BD34=0,10000,TA_ti!AL34*TA_ti!AL$47*TA_ti!$BD34)</f>
        <v>10000</v>
      </c>
      <c r="AM34" s="4">
        <f>+IF(TA_ti!AM34*TA_ti!AM$47*TA_ti!$BD34=0,10000,TA_ti!AM34*TA_ti!AM$47*TA_ti!$BD34)</f>
        <v>10000</v>
      </c>
      <c r="AN34" s="4">
        <f>+IF(TA_ti!AN34*TA_ti!AN$47*TA_ti!$BD34=0,10000,TA_ti!AN34*TA_ti!AN$47*TA_ti!$BD34)</f>
        <v>10000</v>
      </c>
      <c r="AO34" s="4">
        <f>+IF(TA_ti!AO34*TA_ti!AO$47*TA_ti!$BD34=0,10000,TA_ti!AO34*TA_ti!AO$47*TA_ti!$BD34)</f>
        <v>10000</v>
      </c>
      <c r="AP34" s="4">
        <f>+IF(TA_ti!AP34*TA_ti!AP$47*TA_ti!$BD34=0,10000,TA_ti!AP34*TA_ti!AP$47*TA_ti!$BD34)</f>
        <v>10000</v>
      </c>
      <c r="AQ34" s="4">
        <f>+IF(TA_ti!AQ34*TA_ti!AQ$47*TA_ti!$BD34=0,10000,TA_ti!AQ34*TA_ti!AQ$47*TA_ti!$BD34)</f>
        <v>10000</v>
      </c>
      <c r="AR34" s="4">
        <f>+IF(TA_ti!AR34*TA_ti!AR$47*TA_ti!$BD34=0,10000,TA_ti!AR34*TA_ti!AR$47*TA_ti!$BD34)</f>
        <v>10000</v>
      </c>
      <c r="AS34" s="4">
        <f>+IF(TA_ti!AS34*TA_ti!AS$47*TA_ti!$BD34=0,10000,TA_ti!AS34*TA_ti!AS$47*TA_ti!$BD34)</f>
        <v>10000</v>
      </c>
      <c r="AT34" s="4">
        <f>+IF(TA_ti!AT34*TA_ti!AT$47*TA_ti!$BD34=0,10000,TA_ti!AT34*TA_ti!AT$47*TA_ti!$BD34)</f>
        <v>10000</v>
      </c>
      <c r="AU34" s="4">
        <f>+IF(TA_ti!AU34*TA_ti!AU$47*TA_ti!$BD34=0,10000,TA_ti!AU34*TA_ti!AU$47*TA_ti!$BD34)</f>
        <v>10000</v>
      </c>
      <c r="AV34" s="4">
        <f>+IF(TA_ti!AV34*TA_ti!AV$47*TA_ti!$BD34=0,10000,TA_ti!AV34*TA_ti!AV$47*TA_ti!$BD34)</f>
        <v>10000</v>
      </c>
      <c r="AW34" s="4">
        <f>+IF(TA_ti!AW34*TA_ti!AW$47*TA_ti!$BD34=0,10000,TA_ti!AW34*TA_ti!AW$47*TA_ti!$BD34)</f>
        <v>10000</v>
      </c>
      <c r="AX34" s="4">
        <f>+IF(TA_ti!AX34*TA_ti!AX$47*TA_ti!$BD34=0,10000,TA_ti!AX34*TA_ti!AX$47*TA_ti!$BD34)</f>
        <v>10000</v>
      </c>
      <c r="AY34" s="4">
        <f>+IF(TA_ti!AY34*TA_ti!AY$47*TA_ti!$BD34=0,10000,TA_ti!AY34*TA_ti!AY$47*TA_ti!$BD34)</f>
        <v>10000</v>
      </c>
      <c r="AZ34" s="4">
        <f>+IF(TA_ti!AZ34*TA_ti!AZ$47*TA_ti!$BD34=0,10000,TA_ti!AZ34*TA_ti!AZ$47*TA_ti!$BD34)</f>
        <v>10000</v>
      </c>
      <c r="BA34" s="4">
        <f>+IF(TA_ti!BA34*TA_ti!BA$47*TA_ti!$BD34=0,10000,TA_ti!BA34*TA_ti!BA$47*TA_ti!$BD34)</f>
        <v>10000</v>
      </c>
      <c r="BB34" s="4">
        <f>+IF(TA_ti!BB34*TA_ti!BB$47*TA_ti!$BD34=0,10000,TA_ti!BB34*TA_ti!BB$47*TA_ti!$BD34)</f>
        <v>10000</v>
      </c>
      <c r="BC34" s="4">
        <f>+IF(TA_ti!BC34*TA_ti!BC$47*TA_ti!$BD34=0,10000,TA_ti!BC34*TA_ti!BC$47*TA_ti!$BD34)</f>
        <v>10000</v>
      </c>
    </row>
    <row r="35" spans="1:55" ht="18.75" customHeight="1" x14ac:dyDescent="0.25">
      <c r="A35" s="5" t="s">
        <v>86</v>
      </c>
      <c r="B35" s="4">
        <f>+IF(TA_ti!B35*TA_ti!B$47*TA_ti!$BD35=0,10000,TA_ti!B35*TA_ti!B$47*TA_ti!$BD35)</f>
        <v>10000</v>
      </c>
      <c r="C35" s="4">
        <f>+IF(TA_ti!C35*TA_ti!C$47*TA_ti!$BD35=0,10000,TA_ti!C35*TA_ti!C$47*TA_ti!$BD35)</f>
        <v>10000</v>
      </c>
      <c r="D35" s="4">
        <f>+IF(TA_ti!D35*TA_ti!D$47*TA_ti!$BD35=0,10000,TA_ti!D35*TA_ti!D$47*TA_ti!$BD35)</f>
        <v>10000</v>
      </c>
      <c r="E35" s="4">
        <f>+IF(TA_ti!E35*TA_ti!E$47*TA_ti!$BD35=0,10000,TA_ti!E35*TA_ti!E$47*TA_ti!$BD35)</f>
        <v>10000</v>
      </c>
      <c r="F35" s="4">
        <f>+IF(TA_ti!F35*TA_ti!F$47*TA_ti!$BD35=0,10000,TA_ti!F35*TA_ti!F$47*TA_ti!$BD35)</f>
        <v>10000</v>
      </c>
      <c r="G35" s="4">
        <f>+IF(TA_ti!G35*TA_ti!G$47*TA_ti!$BD35=0,10000,TA_ti!G35*TA_ti!G$47*TA_ti!$BD35)</f>
        <v>10000</v>
      </c>
      <c r="H35" s="4">
        <f>+IF(TA_ti!H35*TA_ti!H$47*TA_ti!$BD35=0,10000,TA_ti!H35*TA_ti!H$47*TA_ti!$BD35)</f>
        <v>10000</v>
      </c>
      <c r="I35" s="4">
        <f>+IF(TA_ti!I35*TA_ti!I$47*TA_ti!$BD35=0,10000,TA_ti!I35*TA_ti!I$47*TA_ti!$BD35)</f>
        <v>10000</v>
      </c>
      <c r="J35" s="4">
        <f>+IF(TA_ti!J35*TA_ti!J$47*TA_ti!$BD35=0,10000,TA_ti!J35*TA_ti!J$47*TA_ti!$BD35)</f>
        <v>10000</v>
      </c>
      <c r="K35" s="4">
        <f>+IF(TA_ti!K35*TA_ti!K$47*TA_ti!$BD35=0,10000,TA_ti!K35*TA_ti!K$47*TA_ti!$BD35)</f>
        <v>10000</v>
      </c>
      <c r="L35" s="4">
        <f>+IF(TA_ti!L35*TA_ti!L$47*TA_ti!$BD35=0,10000,TA_ti!L35*TA_ti!L$47*TA_ti!$BD35)</f>
        <v>10000</v>
      </c>
      <c r="M35" s="4">
        <f>+IF(TA_ti!M35*TA_ti!M$47*TA_ti!$BD35=0,10000,TA_ti!M35*TA_ti!M$47*TA_ti!$BD35)</f>
        <v>10000</v>
      </c>
      <c r="N35" s="4">
        <f>+IF(TA_ti!N35*TA_ti!N$47*TA_ti!$BD35=0,10000,TA_ti!N35*TA_ti!N$47*TA_ti!$BD35)</f>
        <v>10000</v>
      </c>
      <c r="O35" s="4">
        <f>+IF(TA_ti!O35*TA_ti!O$47*TA_ti!$BD35=0,10000,TA_ti!O35*TA_ti!O$47*TA_ti!$BD35)</f>
        <v>10000</v>
      </c>
      <c r="P35" s="4">
        <f>+IF(TA_ti!P35*TA_ti!P$47*TA_ti!$BD35=0,10000,TA_ti!P35*TA_ti!P$47*TA_ti!$BD35)</f>
        <v>10000</v>
      </c>
      <c r="Q35" s="4">
        <f>+IF(TA_ti!Q35*TA_ti!Q$47*TA_ti!$BD35=0,10000,TA_ti!Q35*TA_ti!Q$47*TA_ti!$BD35)</f>
        <v>10000</v>
      </c>
      <c r="R35" s="4">
        <f>+IF(TA_ti!R35*TA_ti!R$47*TA_ti!$BD35=0,10000,TA_ti!R35*TA_ti!R$47*TA_ti!$BD35)</f>
        <v>10000</v>
      </c>
      <c r="S35" s="4">
        <f>+IF(TA_ti!S35*TA_ti!S$47*TA_ti!$BD35=0,10000,TA_ti!S35*TA_ti!S$47*TA_ti!$BD35)</f>
        <v>10000</v>
      </c>
      <c r="T35" s="4">
        <f>+IF(TA_ti!T35*TA_ti!T$47*TA_ti!$BD35=0,10000,TA_ti!T35*TA_ti!T$47*TA_ti!$BD35)</f>
        <v>10000</v>
      </c>
      <c r="U35" s="4">
        <f>+IF(TA_ti!U35*TA_ti!U$47*TA_ti!$BD35=0,10000,TA_ti!U35*TA_ti!U$47*TA_ti!$BD35)</f>
        <v>10000</v>
      </c>
      <c r="V35" s="4">
        <f>+IF(TA_ti!V35*TA_ti!V$47*TA_ti!$BD35=0,10000,TA_ti!V35*TA_ti!V$47*TA_ti!$BD35)</f>
        <v>10000</v>
      </c>
      <c r="W35" s="4">
        <f>+IF(TA_ti!W35*TA_ti!W$47*TA_ti!$BD35=0,10000,TA_ti!W35*TA_ti!W$47*TA_ti!$BD35)</f>
        <v>10000</v>
      </c>
      <c r="X35" s="4">
        <f>+IF(TA_ti!X35*TA_ti!X$47*TA_ti!$BD35=0,10000,TA_ti!X35*TA_ti!X$47*TA_ti!$BD35)</f>
        <v>10000</v>
      </c>
      <c r="Y35" s="4">
        <f>+IF(TA_ti!Y35*TA_ti!Y$47*TA_ti!$BD35=0,10000,TA_ti!Y35*TA_ti!Y$47*TA_ti!$BD35)</f>
        <v>10000</v>
      </c>
      <c r="Z35" s="4">
        <f>+IF(TA_ti!Z35*TA_ti!Z$47*TA_ti!$BD35=0,10000,TA_ti!Z35*TA_ti!Z$47*TA_ti!$BD35)</f>
        <v>10000</v>
      </c>
      <c r="AA35" s="4">
        <f>+IF(TA_ti!AA35*TA_ti!AA$47*TA_ti!$BD35=0,10000,TA_ti!AA35*TA_ti!AA$47*TA_ti!$BD35)</f>
        <v>10</v>
      </c>
      <c r="AB35" s="4">
        <f>+IF(TA_ti!AB35*TA_ti!AB$47*TA_ti!$BD35=0,10000,TA_ti!AB35*TA_ti!AB$47*TA_ti!$BD35)</f>
        <v>10000</v>
      </c>
      <c r="AC35" s="4">
        <f>+IF(TA_ti!AC35*TA_ti!AC$47*TA_ti!$BD35=0,10000,TA_ti!AC35*TA_ti!AC$47*TA_ti!$BD35)</f>
        <v>10000</v>
      </c>
      <c r="AD35" s="4">
        <f>+IF(TA_ti!AD35*TA_ti!AD$47*TA_ti!$BD35=0,10000,TA_ti!AD35*TA_ti!AD$47*TA_ti!$BD35)</f>
        <v>10000</v>
      </c>
      <c r="AE35" s="4">
        <f>+IF(TA_ti!AE35*TA_ti!AE$47*TA_ti!$BD35=0,10000,TA_ti!AE35*TA_ti!AE$47*TA_ti!$BD35)</f>
        <v>10000</v>
      </c>
      <c r="AF35" s="4">
        <f>+IF(TA_ti!AF35*TA_ti!AF$47*TA_ti!$BD35=0,10000,TA_ti!AF35*TA_ti!AF$47*TA_ti!$BD35)</f>
        <v>10000</v>
      </c>
      <c r="AG35" s="4">
        <f>+IF(TA_ti!AG35*TA_ti!AG$47*TA_ti!$BD35=0,10000,TA_ti!AG35*TA_ti!AG$47*TA_ti!$BD35)</f>
        <v>10000</v>
      </c>
      <c r="AH35" s="4">
        <f>+IF(TA_ti!AH35*TA_ti!AH$47*TA_ti!$BD35=0,10000,TA_ti!AH35*TA_ti!AH$47*TA_ti!$BD35)</f>
        <v>10000</v>
      </c>
      <c r="AI35" s="4">
        <f>+IF(TA_ti!AI35*TA_ti!AI$47*TA_ti!$BD35=0,10000,TA_ti!AI35*TA_ti!AI$47*TA_ti!$BD35)</f>
        <v>10000</v>
      </c>
      <c r="AJ35" s="4">
        <f>+IF(TA_ti!AJ35*TA_ti!AJ$47*TA_ti!$BD35=0,10000,TA_ti!AJ35*TA_ti!AJ$47*TA_ti!$BD35)</f>
        <v>10000</v>
      </c>
      <c r="AK35" s="4">
        <f>+IF(TA_ti!AK35*TA_ti!AK$47*TA_ti!$BD35=0,10000,TA_ti!AK35*TA_ti!AK$47*TA_ti!$BD35)</f>
        <v>10000</v>
      </c>
      <c r="AL35" s="4">
        <f>+IF(TA_ti!AL35*TA_ti!AL$47*TA_ti!$BD35=0,10000,TA_ti!AL35*TA_ti!AL$47*TA_ti!$BD35)</f>
        <v>10000</v>
      </c>
      <c r="AM35" s="4">
        <f>+IF(TA_ti!AM35*TA_ti!AM$47*TA_ti!$BD35=0,10000,TA_ti!AM35*TA_ti!AM$47*TA_ti!$BD35)</f>
        <v>10000</v>
      </c>
      <c r="AN35" s="4">
        <f>+IF(TA_ti!AN35*TA_ti!AN$47*TA_ti!$BD35=0,10000,TA_ti!AN35*TA_ti!AN$47*TA_ti!$BD35)</f>
        <v>10000</v>
      </c>
      <c r="AO35" s="4">
        <f>+IF(TA_ti!AO35*TA_ti!AO$47*TA_ti!$BD35=0,10000,TA_ti!AO35*TA_ti!AO$47*TA_ti!$BD35)</f>
        <v>10000</v>
      </c>
      <c r="AP35" s="4">
        <f>+IF(TA_ti!AP35*TA_ti!AP$47*TA_ti!$BD35=0,10000,TA_ti!AP35*TA_ti!AP$47*TA_ti!$BD35)</f>
        <v>10000</v>
      </c>
      <c r="AQ35" s="4">
        <f>+IF(TA_ti!AQ35*TA_ti!AQ$47*TA_ti!$BD35=0,10000,TA_ti!AQ35*TA_ti!AQ$47*TA_ti!$BD35)</f>
        <v>10000</v>
      </c>
      <c r="AR35" s="4">
        <f>+IF(TA_ti!AR35*TA_ti!AR$47*TA_ti!$BD35=0,10000,TA_ti!AR35*TA_ti!AR$47*TA_ti!$BD35)</f>
        <v>10000</v>
      </c>
      <c r="AS35" s="4">
        <f>+IF(TA_ti!AS35*TA_ti!AS$47*TA_ti!$BD35=0,10000,TA_ti!AS35*TA_ti!AS$47*TA_ti!$BD35)</f>
        <v>10000</v>
      </c>
      <c r="AT35" s="4">
        <f>+IF(TA_ti!AT35*TA_ti!AT$47*TA_ti!$BD35=0,10000,TA_ti!AT35*TA_ti!AT$47*TA_ti!$BD35)</f>
        <v>10000</v>
      </c>
      <c r="AU35" s="4">
        <f>+IF(TA_ti!AU35*TA_ti!AU$47*TA_ti!$BD35=0,10000,TA_ti!AU35*TA_ti!AU$47*TA_ti!$BD35)</f>
        <v>10000</v>
      </c>
      <c r="AV35" s="4">
        <f>+IF(TA_ti!AV35*TA_ti!AV$47*TA_ti!$BD35=0,10000,TA_ti!AV35*TA_ti!AV$47*TA_ti!$BD35)</f>
        <v>10000</v>
      </c>
      <c r="AW35" s="4">
        <f>+IF(TA_ti!AW35*TA_ti!AW$47*TA_ti!$BD35=0,10000,TA_ti!AW35*TA_ti!AW$47*TA_ti!$BD35)</f>
        <v>10000</v>
      </c>
      <c r="AX35" s="4">
        <f>+IF(TA_ti!AX35*TA_ti!AX$47*TA_ti!$BD35=0,10000,TA_ti!AX35*TA_ti!AX$47*TA_ti!$BD35)</f>
        <v>10000</v>
      </c>
      <c r="AY35" s="4">
        <f>+IF(TA_ti!AY35*TA_ti!AY$47*TA_ti!$BD35=0,10000,TA_ti!AY35*TA_ti!AY$47*TA_ti!$BD35)</f>
        <v>10000</v>
      </c>
      <c r="AZ35" s="4">
        <f>+IF(TA_ti!AZ35*TA_ti!AZ$47*TA_ti!$BD35=0,10000,TA_ti!AZ35*TA_ti!AZ$47*TA_ti!$BD35)</f>
        <v>10000</v>
      </c>
      <c r="BA35" s="4">
        <f>+IF(TA_ti!BA35*TA_ti!BA$47*TA_ti!$BD35=0,10000,TA_ti!BA35*TA_ti!BA$47*TA_ti!$BD35)</f>
        <v>10000</v>
      </c>
      <c r="BB35" s="4">
        <f>+IF(TA_ti!BB35*TA_ti!BB$47*TA_ti!$BD35=0,10000,TA_ti!BB35*TA_ti!BB$47*TA_ti!$BD35)</f>
        <v>10000</v>
      </c>
      <c r="BC35" s="4">
        <f>+IF(TA_ti!BC35*TA_ti!BC$47*TA_ti!$BD35=0,10000,TA_ti!BC35*TA_ti!BC$47*TA_ti!$BD35)</f>
        <v>10000</v>
      </c>
    </row>
    <row r="36" spans="1:55" ht="18.75" customHeight="1" x14ac:dyDescent="0.25">
      <c r="A36" s="5" t="s">
        <v>87</v>
      </c>
      <c r="B36" s="4">
        <f>+IF(TA_ti!B36*TA_ti!B$47*TA_ti!$BD36=0,10000,TA_ti!B36*TA_ti!B$47*TA_ti!$BD36)</f>
        <v>10000</v>
      </c>
      <c r="C36" s="4">
        <f>+IF(TA_ti!C36*TA_ti!C$47*TA_ti!$BD36=0,10000,TA_ti!C36*TA_ti!C$47*TA_ti!$BD36)</f>
        <v>10000</v>
      </c>
      <c r="D36" s="4">
        <f>+IF(TA_ti!D36*TA_ti!D$47*TA_ti!$BD36=0,10000,TA_ti!D36*TA_ti!D$47*TA_ti!$BD36)</f>
        <v>10000</v>
      </c>
      <c r="E36" s="4">
        <f>+IF(TA_ti!E36*TA_ti!E$47*TA_ti!$BD36=0,10000,TA_ti!E36*TA_ti!E$47*TA_ti!$BD36)</f>
        <v>10000</v>
      </c>
      <c r="F36" s="4">
        <f>+IF(TA_ti!F36*TA_ti!F$47*TA_ti!$BD36=0,10000,TA_ti!F36*TA_ti!F$47*TA_ti!$BD36)</f>
        <v>10000</v>
      </c>
      <c r="G36" s="4">
        <f>+IF(TA_ti!G36*TA_ti!G$47*TA_ti!$BD36=0,10000,TA_ti!G36*TA_ti!G$47*TA_ti!$BD36)</f>
        <v>10000</v>
      </c>
      <c r="H36" s="4">
        <f>+IF(TA_ti!H36*TA_ti!H$47*TA_ti!$BD36=0,10000,TA_ti!H36*TA_ti!H$47*TA_ti!$BD36)</f>
        <v>10000</v>
      </c>
      <c r="I36" s="4">
        <f>+IF(TA_ti!I36*TA_ti!I$47*TA_ti!$BD36=0,10000,TA_ti!I36*TA_ti!I$47*TA_ti!$BD36)</f>
        <v>10000</v>
      </c>
      <c r="J36" s="4">
        <f>+IF(TA_ti!J36*TA_ti!J$47*TA_ti!$BD36=0,10000,TA_ti!J36*TA_ti!J$47*TA_ti!$BD36)</f>
        <v>10000</v>
      </c>
      <c r="K36" s="4">
        <f>+IF(TA_ti!K36*TA_ti!K$47*TA_ti!$BD36=0,10000,TA_ti!K36*TA_ti!K$47*TA_ti!$BD36)</f>
        <v>10000</v>
      </c>
      <c r="L36" s="4">
        <f>+IF(TA_ti!L36*TA_ti!L$47*TA_ti!$BD36=0,10000,TA_ti!L36*TA_ti!L$47*TA_ti!$BD36)</f>
        <v>10000</v>
      </c>
      <c r="M36" s="4">
        <f>+IF(TA_ti!M36*TA_ti!M$47*TA_ti!$BD36=0,10000,TA_ti!M36*TA_ti!M$47*TA_ti!$BD36)</f>
        <v>10000</v>
      </c>
      <c r="N36" s="4">
        <f>+IF(TA_ti!N36*TA_ti!N$47*TA_ti!$BD36=0,10000,TA_ti!N36*TA_ti!N$47*TA_ti!$BD36)</f>
        <v>10000</v>
      </c>
      <c r="O36" s="4">
        <f>+IF(TA_ti!O36*TA_ti!O$47*TA_ti!$BD36=0,10000,TA_ti!O36*TA_ti!O$47*TA_ti!$BD36)</f>
        <v>10000</v>
      </c>
      <c r="P36" s="4">
        <f>+IF(TA_ti!P36*TA_ti!P$47*TA_ti!$BD36=0,10000,TA_ti!P36*TA_ti!P$47*TA_ti!$BD36)</f>
        <v>10000</v>
      </c>
      <c r="Q36" s="4">
        <f>+IF(TA_ti!Q36*TA_ti!Q$47*TA_ti!$BD36=0,10000,TA_ti!Q36*TA_ti!Q$47*TA_ti!$BD36)</f>
        <v>10000</v>
      </c>
      <c r="R36" s="4">
        <f>+IF(TA_ti!R36*TA_ti!R$47*TA_ti!$BD36=0,10000,TA_ti!R36*TA_ti!R$47*TA_ti!$BD36)</f>
        <v>10000</v>
      </c>
      <c r="S36" s="4">
        <f>+IF(TA_ti!S36*TA_ti!S$47*TA_ti!$BD36=0,10000,TA_ti!S36*TA_ti!S$47*TA_ti!$BD36)</f>
        <v>10000</v>
      </c>
      <c r="T36" s="4">
        <f>+IF(TA_ti!T36*TA_ti!T$47*TA_ti!$BD36=0,10000,TA_ti!T36*TA_ti!T$47*TA_ti!$BD36)</f>
        <v>10000</v>
      </c>
      <c r="U36" s="4">
        <f>+IF(TA_ti!U36*TA_ti!U$47*TA_ti!$BD36=0,10000,TA_ti!U36*TA_ti!U$47*TA_ti!$BD36)</f>
        <v>10000</v>
      </c>
      <c r="V36" s="4">
        <f>+IF(TA_ti!V36*TA_ti!V$47*TA_ti!$BD36=0,10000,TA_ti!V36*TA_ti!V$47*TA_ti!$BD36)</f>
        <v>10000</v>
      </c>
      <c r="W36" s="4">
        <f>+IF(TA_ti!W36*TA_ti!W$47*TA_ti!$BD36=0,10000,TA_ti!W36*TA_ti!W$47*TA_ti!$BD36)</f>
        <v>10000</v>
      </c>
      <c r="X36" s="4">
        <f>+IF(TA_ti!X36*TA_ti!X$47*TA_ti!$BD36=0,10000,TA_ti!X36*TA_ti!X$47*TA_ti!$BD36)</f>
        <v>10000</v>
      </c>
      <c r="Y36" s="4">
        <f>+IF(TA_ti!Y36*TA_ti!Y$47*TA_ti!$BD36=0,10000,TA_ti!Y36*TA_ti!Y$47*TA_ti!$BD36)</f>
        <v>10000</v>
      </c>
      <c r="Z36" s="4">
        <f>+IF(TA_ti!Z36*TA_ti!Z$47*TA_ti!$BD36=0,10000,TA_ti!Z36*TA_ti!Z$47*TA_ti!$BD36)</f>
        <v>10000</v>
      </c>
      <c r="AA36" s="4">
        <f>+IF(TA_ti!AA36*TA_ti!AA$47*TA_ti!$BD36=0,10000,TA_ti!AA36*TA_ti!AA$47*TA_ti!$BD36)</f>
        <v>10000</v>
      </c>
      <c r="AB36" s="4">
        <f>+IF(TA_ti!AB36*TA_ti!AB$47*TA_ti!$BD36=0,10000,TA_ti!AB36*TA_ti!AB$47*TA_ti!$BD36)</f>
        <v>10000</v>
      </c>
      <c r="AC36" s="4">
        <f>+IF(TA_ti!AC36*TA_ti!AC$47*TA_ti!$BD36=0,10000,TA_ti!AC36*TA_ti!AC$47*TA_ti!$BD36)</f>
        <v>10000</v>
      </c>
      <c r="AD36" s="4">
        <f>+IF(TA_ti!AD36*TA_ti!AD$47*TA_ti!$BD36=0,10000,TA_ti!AD36*TA_ti!AD$47*TA_ti!$BD36)</f>
        <v>10000</v>
      </c>
      <c r="AE36" s="4">
        <f>+IF(TA_ti!AE36*TA_ti!AE$47*TA_ti!$BD36=0,10000,TA_ti!AE36*TA_ti!AE$47*TA_ti!$BD36)</f>
        <v>10000</v>
      </c>
      <c r="AF36" s="4">
        <f>+IF(TA_ti!AF36*TA_ti!AF$47*TA_ti!$BD36=0,10000,TA_ti!AF36*TA_ti!AF$47*TA_ti!$BD36)</f>
        <v>10000</v>
      </c>
      <c r="AG36" s="4">
        <f>+IF(TA_ti!AG36*TA_ti!AG$47*TA_ti!$BD36=0,10000,TA_ti!AG36*TA_ti!AG$47*TA_ti!$BD36)</f>
        <v>10000</v>
      </c>
      <c r="AH36" s="4">
        <f>+IF(TA_ti!AH36*TA_ti!AH$47*TA_ti!$BD36=0,10000,TA_ti!AH36*TA_ti!AH$47*TA_ti!$BD36)</f>
        <v>10000</v>
      </c>
      <c r="AI36" s="4">
        <f>+IF(TA_ti!AI36*TA_ti!AI$47*TA_ti!$BD36=0,10000,TA_ti!AI36*TA_ti!AI$47*TA_ti!$BD36)</f>
        <v>10000</v>
      </c>
      <c r="AJ36" s="4">
        <f>+IF(TA_ti!AJ36*TA_ti!AJ$47*TA_ti!$BD36=0,10000,TA_ti!AJ36*TA_ti!AJ$47*TA_ti!$BD36)</f>
        <v>10000</v>
      </c>
      <c r="AK36" s="4">
        <f>+IF(TA_ti!AK36*TA_ti!AK$47*TA_ti!$BD36=0,10000,TA_ti!AK36*TA_ti!AK$47*TA_ti!$BD36)</f>
        <v>10000</v>
      </c>
      <c r="AL36" s="4">
        <f>+IF(TA_ti!AL36*TA_ti!AL$47*TA_ti!$BD36=0,10000,TA_ti!AL36*TA_ti!AL$47*TA_ti!$BD36)</f>
        <v>10000</v>
      </c>
      <c r="AM36" s="4">
        <f>+IF(TA_ti!AM36*TA_ti!AM$47*TA_ti!$BD36=0,10000,TA_ti!AM36*TA_ti!AM$47*TA_ti!$BD36)</f>
        <v>10000</v>
      </c>
      <c r="AN36" s="4">
        <f>+IF(TA_ti!AN36*TA_ti!AN$47*TA_ti!$BD36=0,10000,TA_ti!AN36*TA_ti!AN$47*TA_ti!$BD36)</f>
        <v>10000</v>
      </c>
      <c r="AO36" s="4">
        <f>+IF(TA_ti!AO36*TA_ti!AO$47*TA_ti!$BD36=0,10000,TA_ti!AO36*TA_ti!AO$47*TA_ti!$BD36)</f>
        <v>10000</v>
      </c>
      <c r="AP36" s="4">
        <f>+IF(TA_ti!AP36*TA_ti!AP$47*TA_ti!$BD36=0,10000,TA_ti!AP36*TA_ti!AP$47*TA_ti!$BD36)</f>
        <v>10000</v>
      </c>
      <c r="AQ36" s="4">
        <f>+IF(TA_ti!AQ36*TA_ti!AQ$47*TA_ti!$BD36=0,10000,TA_ti!AQ36*TA_ti!AQ$47*TA_ti!$BD36)</f>
        <v>10000</v>
      </c>
      <c r="AR36" s="4">
        <f>+IF(TA_ti!AR36*TA_ti!AR$47*TA_ti!$BD36=0,10000,TA_ti!AR36*TA_ti!AR$47*TA_ti!$BD36)</f>
        <v>10000</v>
      </c>
      <c r="AS36" s="4">
        <f>+IF(TA_ti!AS36*TA_ti!AS$47*TA_ti!$BD36=0,10000,TA_ti!AS36*TA_ti!AS$47*TA_ti!$BD36)</f>
        <v>10000</v>
      </c>
      <c r="AT36" s="4">
        <f>+IF(TA_ti!AT36*TA_ti!AT$47*TA_ti!$BD36=0,10000,TA_ti!AT36*TA_ti!AT$47*TA_ti!$BD36)</f>
        <v>10000</v>
      </c>
      <c r="AU36" s="4">
        <f>+IF(TA_ti!AU36*TA_ti!AU$47*TA_ti!$BD36=0,10000,TA_ti!AU36*TA_ti!AU$47*TA_ti!$BD36)</f>
        <v>10000</v>
      </c>
      <c r="AV36" s="4">
        <f>+IF(TA_ti!AV36*TA_ti!AV$47*TA_ti!$BD36=0,10000,TA_ti!AV36*TA_ti!AV$47*TA_ti!$BD36)</f>
        <v>10000</v>
      </c>
      <c r="AW36" s="4">
        <f>+IF(TA_ti!AW36*TA_ti!AW$47*TA_ti!$BD36=0,10000,TA_ti!AW36*TA_ti!AW$47*TA_ti!$BD36)</f>
        <v>10000</v>
      </c>
      <c r="AX36" s="4">
        <f>+IF(TA_ti!AX36*TA_ti!AX$47*TA_ti!$BD36=0,10000,TA_ti!AX36*TA_ti!AX$47*TA_ti!$BD36)</f>
        <v>10000</v>
      </c>
      <c r="AY36" s="4">
        <f>+IF(TA_ti!AY36*TA_ti!AY$47*TA_ti!$BD36=0,10000,TA_ti!AY36*TA_ti!AY$47*TA_ti!$BD36)</f>
        <v>20</v>
      </c>
      <c r="AZ36" s="4">
        <f>+IF(TA_ti!AZ36*TA_ti!AZ$47*TA_ti!$BD36=0,10000,TA_ti!AZ36*TA_ti!AZ$47*TA_ti!$BD36)</f>
        <v>10000</v>
      </c>
      <c r="BA36" s="4">
        <f>+IF(TA_ti!BA36*TA_ti!BA$47*TA_ti!$BD36=0,10000,TA_ti!BA36*TA_ti!BA$47*TA_ti!$BD36)</f>
        <v>10000</v>
      </c>
      <c r="BB36" s="4">
        <f>+IF(TA_ti!BB36*TA_ti!BB$47*TA_ti!$BD36=0,10000,TA_ti!BB36*TA_ti!BB$47*TA_ti!$BD36)</f>
        <v>10000</v>
      </c>
      <c r="BC36" s="4">
        <f>+IF(TA_ti!BC36*TA_ti!BC$47*TA_ti!$BD36=0,10000,TA_ti!BC36*TA_ti!BC$47*TA_ti!$BD36)</f>
        <v>10000</v>
      </c>
    </row>
    <row r="37" spans="1:55" ht="18.75" customHeight="1" x14ac:dyDescent="0.25">
      <c r="A37" s="5" t="s">
        <v>88</v>
      </c>
      <c r="B37" s="4">
        <f>+IF(TA_ti!B37*TA_ti!B$47*TA_ti!$BD37=0,10000,TA_ti!B37*TA_ti!B$47*TA_ti!$BD37)</f>
        <v>10000</v>
      </c>
      <c r="C37" s="4">
        <f>+IF(TA_ti!C37*TA_ti!C$47*TA_ti!$BD37=0,10000,TA_ti!C37*TA_ti!C$47*TA_ti!$BD37)</f>
        <v>10000</v>
      </c>
      <c r="D37" s="4">
        <f>+IF(TA_ti!D37*TA_ti!D$47*TA_ti!$BD37=0,10000,TA_ti!D37*TA_ti!D$47*TA_ti!$BD37)</f>
        <v>10000</v>
      </c>
      <c r="E37" s="4">
        <f>+IF(TA_ti!E37*TA_ti!E$47*TA_ti!$BD37=0,10000,TA_ti!E37*TA_ti!E$47*TA_ti!$BD37)</f>
        <v>10000</v>
      </c>
      <c r="F37" s="4">
        <f>+IF(TA_ti!F37*TA_ti!F$47*TA_ti!$BD37=0,10000,TA_ti!F37*TA_ti!F$47*TA_ti!$BD37)</f>
        <v>10000</v>
      </c>
      <c r="G37" s="4">
        <f>+IF(TA_ti!G37*TA_ti!G$47*TA_ti!$BD37=0,10000,TA_ti!G37*TA_ti!G$47*TA_ti!$BD37)</f>
        <v>10000</v>
      </c>
      <c r="H37" s="4">
        <f>+IF(TA_ti!H37*TA_ti!H$47*TA_ti!$BD37=0,10000,TA_ti!H37*TA_ti!H$47*TA_ti!$BD37)</f>
        <v>10000</v>
      </c>
      <c r="I37" s="4">
        <f>+IF(TA_ti!I37*TA_ti!I$47*TA_ti!$BD37=0,10000,TA_ti!I37*TA_ti!I$47*TA_ti!$BD37)</f>
        <v>10000</v>
      </c>
      <c r="J37" s="4">
        <f>+IF(TA_ti!J37*TA_ti!J$47*TA_ti!$BD37=0,10000,TA_ti!J37*TA_ti!J$47*TA_ti!$BD37)</f>
        <v>10000</v>
      </c>
      <c r="K37" s="4">
        <f>+IF(TA_ti!K37*TA_ti!K$47*TA_ti!$BD37=0,10000,TA_ti!K37*TA_ti!K$47*TA_ti!$BD37)</f>
        <v>10000</v>
      </c>
      <c r="L37" s="4">
        <f>+IF(TA_ti!L37*TA_ti!L$47*TA_ti!$BD37=0,10000,TA_ti!L37*TA_ti!L$47*TA_ti!$BD37)</f>
        <v>12</v>
      </c>
      <c r="M37" s="4">
        <f>+IF(TA_ti!M37*TA_ti!M$47*TA_ti!$BD37=0,10000,TA_ti!M37*TA_ti!M$47*TA_ti!$BD37)</f>
        <v>12</v>
      </c>
      <c r="N37" s="4">
        <f>+IF(TA_ti!N37*TA_ti!N$47*TA_ti!$BD37=0,10000,TA_ti!N37*TA_ti!N$47*TA_ti!$BD37)</f>
        <v>10000</v>
      </c>
      <c r="O37" s="4">
        <f>+IF(TA_ti!O37*TA_ti!O$47*TA_ti!$BD37=0,10000,TA_ti!O37*TA_ti!O$47*TA_ti!$BD37)</f>
        <v>10000</v>
      </c>
      <c r="P37" s="4">
        <f>+IF(TA_ti!P37*TA_ti!P$47*TA_ti!$BD37=0,10000,TA_ti!P37*TA_ti!P$47*TA_ti!$BD37)</f>
        <v>10000</v>
      </c>
      <c r="Q37" s="4">
        <f>+IF(TA_ti!Q37*TA_ti!Q$47*TA_ti!$BD37=0,10000,TA_ti!Q37*TA_ti!Q$47*TA_ti!$BD37)</f>
        <v>10000</v>
      </c>
      <c r="R37" s="4">
        <f>+IF(TA_ti!R37*TA_ti!R$47*TA_ti!$BD37=0,10000,TA_ti!R37*TA_ti!R$47*TA_ti!$BD37)</f>
        <v>10000</v>
      </c>
      <c r="S37" s="4">
        <f>+IF(TA_ti!S37*TA_ti!S$47*TA_ti!$BD37=0,10000,TA_ti!S37*TA_ti!S$47*TA_ti!$BD37)</f>
        <v>10000</v>
      </c>
      <c r="T37" s="4">
        <f>+IF(TA_ti!T37*TA_ti!T$47*TA_ti!$BD37=0,10000,TA_ti!T37*TA_ti!T$47*TA_ti!$BD37)</f>
        <v>10000</v>
      </c>
      <c r="U37" s="4">
        <f>+IF(TA_ti!U37*TA_ti!U$47*TA_ti!$BD37=0,10000,TA_ti!U37*TA_ti!U$47*TA_ti!$BD37)</f>
        <v>10000</v>
      </c>
      <c r="V37" s="4">
        <f>+IF(TA_ti!V37*TA_ti!V$47*TA_ti!$BD37=0,10000,TA_ti!V37*TA_ti!V$47*TA_ti!$BD37)</f>
        <v>10000</v>
      </c>
      <c r="W37" s="4">
        <f>+IF(TA_ti!W37*TA_ti!W$47*TA_ti!$BD37=0,10000,TA_ti!W37*TA_ti!W$47*TA_ti!$BD37)</f>
        <v>10000</v>
      </c>
      <c r="X37" s="4">
        <f>+IF(TA_ti!X37*TA_ti!X$47*TA_ti!$BD37=0,10000,TA_ti!X37*TA_ti!X$47*TA_ti!$BD37)</f>
        <v>10000</v>
      </c>
      <c r="Y37" s="4">
        <f>+IF(TA_ti!Y37*TA_ti!Y$47*TA_ti!$BD37=0,10000,TA_ti!Y37*TA_ti!Y$47*TA_ti!$BD37)</f>
        <v>10000</v>
      </c>
      <c r="Z37" s="4">
        <f>+IF(TA_ti!Z37*TA_ti!Z$47*TA_ti!$BD37=0,10000,TA_ti!Z37*TA_ti!Z$47*TA_ti!$BD37)</f>
        <v>10000</v>
      </c>
      <c r="AA37" s="4">
        <f>+IF(TA_ti!AA37*TA_ti!AA$47*TA_ti!$BD37=0,10000,TA_ti!AA37*TA_ti!AA$47*TA_ti!$BD37)</f>
        <v>10000</v>
      </c>
      <c r="AB37" s="4">
        <f>+IF(TA_ti!AB37*TA_ti!AB$47*TA_ti!$BD37=0,10000,TA_ti!AB37*TA_ti!AB$47*TA_ti!$BD37)</f>
        <v>10000</v>
      </c>
      <c r="AC37" s="4">
        <f>+IF(TA_ti!AC37*TA_ti!AC$47*TA_ti!$BD37=0,10000,TA_ti!AC37*TA_ti!AC$47*TA_ti!$BD37)</f>
        <v>10000</v>
      </c>
      <c r="AD37" s="4">
        <f>+IF(TA_ti!AD37*TA_ti!AD$47*TA_ti!$BD37=0,10000,TA_ti!AD37*TA_ti!AD$47*TA_ti!$BD37)</f>
        <v>10000</v>
      </c>
      <c r="AE37" s="4">
        <f>+IF(TA_ti!AE37*TA_ti!AE$47*TA_ti!$BD37=0,10000,TA_ti!AE37*TA_ti!AE$47*TA_ti!$BD37)</f>
        <v>10000</v>
      </c>
      <c r="AF37" s="4">
        <f>+IF(TA_ti!AF37*TA_ti!AF$47*TA_ti!$BD37=0,10000,TA_ti!AF37*TA_ti!AF$47*TA_ti!$BD37)</f>
        <v>10000</v>
      </c>
      <c r="AG37" s="4">
        <f>+IF(TA_ti!AG37*TA_ti!AG$47*TA_ti!$BD37=0,10000,TA_ti!AG37*TA_ti!AG$47*TA_ti!$BD37)</f>
        <v>10000</v>
      </c>
      <c r="AH37" s="4">
        <f>+IF(TA_ti!AH37*TA_ti!AH$47*TA_ti!$BD37=0,10000,TA_ti!AH37*TA_ti!AH$47*TA_ti!$BD37)</f>
        <v>10000</v>
      </c>
      <c r="AI37" s="4">
        <f>+IF(TA_ti!AI37*TA_ti!AI$47*TA_ti!$BD37=0,10000,TA_ti!AI37*TA_ti!AI$47*TA_ti!$BD37)</f>
        <v>10000</v>
      </c>
      <c r="AJ37" s="4">
        <f>+IF(TA_ti!AJ37*TA_ti!AJ$47*TA_ti!$BD37=0,10000,TA_ti!AJ37*TA_ti!AJ$47*TA_ti!$BD37)</f>
        <v>10000</v>
      </c>
      <c r="AK37" s="4">
        <f>+IF(TA_ti!AK37*TA_ti!AK$47*TA_ti!$BD37=0,10000,TA_ti!AK37*TA_ti!AK$47*TA_ti!$BD37)</f>
        <v>10000</v>
      </c>
      <c r="AL37" s="4">
        <f>+IF(TA_ti!AL37*TA_ti!AL$47*TA_ti!$BD37=0,10000,TA_ti!AL37*TA_ti!AL$47*TA_ti!$BD37)</f>
        <v>10000</v>
      </c>
      <c r="AM37" s="4">
        <f>+IF(TA_ti!AM37*TA_ti!AM$47*TA_ti!$BD37=0,10000,TA_ti!AM37*TA_ti!AM$47*TA_ti!$BD37)</f>
        <v>10000</v>
      </c>
      <c r="AN37" s="4">
        <f>+IF(TA_ti!AN37*TA_ti!AN$47*TA_ti!$BD37=0,10000,TA_ti!AN37*TA_ti!AN$47*TA_ti!$BD37)</f>
        <v>10000</v>
      </c>
      <c r="AO37" s="4">
        <f>+IF(TA_ti!AO37*TA_ti!AO$47*TA_ti!$BD37=0,10000,TA_ti!AO37*TA_ti!AO$47*TA_ti!$BD37)</f>
        <v>10000</v>
      </c>
      <c r="AP37" s="4">
        <f>+IF(TA_ti!AP37*TA_ti!AP$47*TA_ti!$BD37=0,10000,TA_ti!AP37*TA_ti!AP$47*TA_ti!$BD37)</f>
        <v>30</v>
      </c>
      <c r="AQ37" s="4">
        <f>+IF(TA_ti!AQ37*TA_ti!AQ$47*TA_ti!$BD37=0,10000,TA_ti!AQ37*TA_ti!AQ$47*TA_ti!$BD37)</f>
        <v>10000</v>
      </c>
      <c r="AR37" s="4">
        <f>+IF(TA_ti!AR37*TA_ti!AR$47*TA_ti!$BD37=0,10000,TA_ti!AR37*TA_ti!AR$47*TA_ti!$BD37)</f>
        <v>10000</v>
      </c>
      <c r="AS37" s="4">
        <f>+IF(TA_ti!AS37*TA_ti!AS$47*TA_ti!$BD37=0,10000,TA_ti!AS37*TA_ti!AS$47*TA_ti!$BD37)</f>
        <v>10000</v>
      </c>
      <c r="AT37" s="4">
        <f>+IF(TA_ti!AT37*TA_ti!AT$47*TA_ti!$BD37=0,10000,TA_ti!AT37*TA_ti!AT$47*TA_ti!$BD37)</f>
        <v>10000</v>
      </c>
      <c r="AU37" s="4">
        <f>+IF(TA_ti!AU37*TA_ti!AU$47*TA_ti!$BD37=0,10000,TA_ti!AU37*TA_ti!AU$47*TA_ti!$BD37)</f>
        <v>10000</v>
      </c>
      <c r="AV37" s="4">
        <f>+IF(TA_ti!AV37*TA_ti!AV$47*TA_ti!$BD37=0,10000,TA_ti!AV37*TA_ti!AV$47*TA_ti!$BD37)</f>
        <v>10000</v>
      </c>
      <c r="AW37" s="4">
        <f>+IF(TA_ti!AW37*TA_ti!AW$47*TA_ti!$BD37=0,10000,TA_ti!AW37*TA_ti!AW$47*TA_ti!$BD37)</f>
        <v>10000</v>
      </c>
      <c r="AX37" s="4">
        <f>+IF(TA_ti!AX37*TA_ti!AX$47*TA_ti!$BD37=0,10000,TA_ti!AX37*TA_ti!AX$47*TA_ti!$BD37)</f>
        <v>10000</v>
      </c>
      <c r="AY37" s="4">
        <f>+IF(TA_ti!AY37*TA_ti!AY$47*TA_ti!$BD37=0,10000,TA_ti!AY37*TA_ti!AY$47*TA_ti!$BD37)</f>
        <v>10000</v>
      </c>
      <c r="AZ37" s="4">
        <f>+IF(TA_ti!AZ37*TA_ti!AZ$47*TA_ti!$BD37=0,10000,TA_ti!AZ37*TA_ti!AZ$47*TA_ti!$BD37)</f>
        <v>10000</v>
      </c>
      <c r="BA37" s="4">
        <f>+IF(TA_ti!BA37*TA_ti!BA$47*TA_ti!$BD37=0,10000,TA_ti!BA37*TA_ti!BA$47*TA_ti!$BD37)</f>
        <v>10000</v>
      </c>
      <c r="BB37" s="4">
        <f>+IF(TA_ti!BB37*TA_ti!BB$47*TA_ti!$BD37=0,10000,TA_ti!BB37*TA_ti!BB$47*TA_ti!$BD37)</f>
        <v>10000</v>
      </c>
      <c r="BC37" s="4">
        <f>+IF(TA_ti!BC37*TA_ti!BC$47*TA_ti!$BD37=0,10000,TA_ti!BC37*TA_ti!BC$47*TA_ti!$BD37)</f>
        <v>10000</v>
      </c>
    </row>
    <row r="38" spans="1:55" ht="18.75" customHeight="1" x14ac:dyDescent="0.25">
      <c r="A38" s="5" t="s">
        <v>89</v>
      </c>
      <c r="B38" s="4">
        <f>+IF(TA_ti!B38*TA_ti!B$47*TA_ti!$BD38=0,10000,TA_ti!B38*TA_ti!B$47*TA_ti!$BD38)</f>
        <v>10000</v>
      </c>
      <c r="C38" s="4">
        <f>+IF(TA_ti!C38*TA_ti!C$47*TA_ti!$BD38=0,10000,TA_ti!C38*TA_ti!C$47*TA_ti!$BD38)</f>
        <v>10000</v>
      </c>
      <c r="D38" s="4">
        <f>+IF(TA_ti!D38*TA_ti!D$47*TA_ti!$BD38=0,10000,TA_ti!D38*TA_ti!D$47*TA_ti!$BD38)</f>
        <v>10000</v>
      </c>
      <c r="E38" s="4">
        <f>+IF(TA_ti!E38*TA_ti!E$47*TA_ti!$BD38=0,10000,TA_ti!E38*TA_ti!E$47*TA_ti!$BD38)</f>
        <v>10000</v>
      </c>
      <c r="F38" s="4">
        <f>+IF(TA_ti!F38*TA_ti!F$47*TA_ti!$BD38=0,10000,TA_ti!F38*TA_ti!F$47*TA_ti!$BD38)</f>
        <v>10000</v>
      </c>
      <c r="G38" s="4">
        <f>+IF(TA_ti!G38*TA_ti!G$47*TA_ti!$BD38=0,10000,TA_ti!G38*TA_ti!G$47*TA_ti!$BD38)</f>
        <v>10000</v>
      </c>
      <c r="H38" s="4">
        <f>+IF(TA_ti!H38*TA_ti!H$47*TA_ti!$BD38=0,10000,TA_ti!H38*TA_ti!H$47*TA_ti!$BD38)</f>
        <v>10000</v>
      </c>
      <c r="I38" s="4">
        <f>+IF(TA_ti!I38*TA_ti!I$47*TA_ti!$BD38=0,10000,TA_ti!I38*TA_ti!I$47*TA_ti!$BD38)</f>
        <v>10000</v>
      </c>
      <c r="J38" s="4">
        <f>+IF(TA_ti!J38*TA_ti!J$47*TA_ti!$BD38=0,10000,TA_ti!J38*TA_ti!J$47*TA_ti!$BD38)</f>
        <v>10000</v>
      </c>
      <c r="K38" s="4">
        <f>+IF(TA_ti!K38*TA_ti!K$47*TA_ti!$BD38=0,10000,TA_ti!K38*TA_ti!K$47*TA_ti!$BD38)</f>
        <v>10000</v>
      </c>
      <c r="L38" s="4">
        <f>+IF(TA_ti!L38*TA_ti!L$47*TA_ti!$BD38=0,10000,TA_ti!L38*TA_ti!L$47*TA_ti!$BD38)</f>
        <v>10000</v>
      </c>
      <c r="M38" s="4">
        <f>+IF(TA_ti!M38*TA_ti!M$47*TA_ti!$BD38=0,10000,TA_ti!M38*TA_ti!M$47*TA_ti!$BD38)</f>
        <v>10000</v>
      </c>
      <c r="N38" s="4">
        <f>+IF(TA_ti!N38*TA_ti!N$47*TA_ti!$BD38=0,10000,TA_ti!N38*TA_ti!N$47*TA_ti!$BD38)</f>
        <v>10000</v>
      </c>
      <c r="O38" s="4">
        <f>+IF(TA_ti!O38*TA_ti!O$47*TA_ti!$BD38=0,10000,TA_ti!O38*TA_ti!O$47*TA_ti!$BD38)</f>
        <v>10000</v>
      </c>
      <c r="P38" s="4">
        <f>+IF(TA_ti!P38*TA_ti!P$47*TA_ti!$BD38=0,10000,TA_ti!P38*TA_ti!P$47*TA_ti!$BD38)</f>
        <v>10000</v>
      </c>
      <c r="Q38" s="4">
        <f>+IF(TA_ti!Q38*TA_ti!Q$47*TA_ti!$BD38=0,10000,TA_ti!Q38*TA_ti!Q$47*TA_ti!$BD38)</f>
        <v>10000</v>
      </c>
      <c r="R38" s="4">
        <f>+IF(TA_ti!R38*TA_ti!R$47*TA_ti!$BD38=0,10000,TA_ti!R38*TA_ti!R$47*TA_ti!$BD38)</f>
        <v>10000</v>
      </c>
      <c r="S38" s="4">
        <f>+IF(TA_ti!S38*TA_ti!S$47*TA_ti!$BD38=0,10000,TA_ti!S38*TA_ti!S$47*TA_ti!$BD38)</f>
        <v>10000</v>
      </c>
      <c r="T38" s="4">
        <f>+IF(TA_ti!T38*TA_ti!T$47*TA_ti!$BD38=0,10000,TA_ti!T38*TA_ti!T$47*TA_ti!$BD38)</f>
        <v>10000</v>
      </c>
      <c r="U38" s="4">
        <f>+IF(TA_ti!U38*TA_ti!U$47*TA_ti!$BD38=0,10000,TA_ti!U38*TA_ti!U$47*TA_ti!$BD38)</f>
        <v>10000</v>
      </c>
      <c r="V38" s="4">
        <f>+IF(TA_ti!V38*TA_ti!V$47*TA_ti!$BD38=0,10000,TA_ti!V38*TA_ti!V$47*TA_ti!$BD38)</f>
        <v>10000</v>
      </c>
      <c r="W38" s="4">
        <f>+IF(TA_ti!W38*TA_ti!W$47*TA_ti!$BD38=0,10000,TA_ti!W38*TA_ti!W$47*TA_ti!$BD38)</f>
        <v>10000</v>
      </c>
      <c r="X38" s="4">
        <f>+IF(TA_ti!X38*TA_ti!X$47*TA_ti!$BD38=0,10000,TA_ti!X38*TA_ti!X$47*TA_ti!$BD38)</f>
        <v>10000</v>
      </c>
      <c r="Y38" s="4">
        <f>+IF(TA_ti!Y38*TA_ti!Y$47*TA_ti!$BD38=0,10000,TA_ti!Y38*TA_ti!Y$47*TA_ti!$BD38)</f>
        <v>10000</v>
      </c>
      <c r="Z38" s="4">
        <f>+IF(TA_ti!Z38*TA_ti!Z$47*TA_ti!$BD38=0,10000,TA_ti!Z38*TA_ti!Z$47*TA_ti!$BD38)</f>
        <v>10000</v>
      </c>
      <c r="AA38" s="4">
        <f>+IF(TA_ti!AA38*TA_ti!AA$47*TA_ti!$BD38=0,10000,TA_ti!AA38*TA_ti!AA$47*TA_ti!$BD38)</f>
        <v>10000</v>
      </c>
      <c r="AB38" s="4">
        <f>+IF(TA_ti!AB38*TA_ti!AB$47*TA_ti!$BD38=0,10000,TA_ti!AB38*TA_ti!AB$47*TA_ti!$BD38)</f>
        <v>10000</v>
      </c>
      <c r="AC38" s="4">
        <f>+IF(TA_ti!AC38*TA_ti!AC$47*TA_ti!$BD38=0,10000,TA_ti!AC38*TA_ti!AC$47*TA_ti!$BD38)</f>
        <v>10000</v>
      </c>
      <c r="AD38" s="4">
        <f>+IF(TA_ti!AD38*TA_ti!AD$47*TA_ti!$BD38=0,10000,TA_ti!AD38*TA_ti!AD$47*TA_ti!$BD38)</f>
        <v>10000</v>
      </c>
      <c r="AE38" s="4">
        <f>+IF(TA_ti!AE38*TA_ti!AE$47*TA_ti!$BD38=0,10000,TA_ti!AE38*TA_ti!AE$47*TA_ti!$BD38)</f>
        <v>10000</v>
      </c>
      <c r="AF38" s="4">
        <f>+IF(TA_ti!AF38*TA_ti!AF$47*TA_ti!$BD38=0,10000,TA_ti!AF38*TA_ti!AF$47*TA_ti!$BD38)</f>
        <v>10000</v>
      </c>
      <c r="AG38" s="4">
        <f>+IF(TA_ti!AG38*TA_ti!AG$47*TA_ti!$BD38=0,10000,TA_ti!AG38*TA_ti!AG$47*TA_ti!$BD38)</f>
        <v>10000</v>
      </c>
      <c r="AH38" s="4">
        <f>+IF(TA_ti!AH38*TA_ti!AH$47*TA_ti!$BD38=0,10000,TA_ti!AH38*TA_ti!AH$47*TA_ti!$BD38)</f>
        <v>10000</v>
      </c>
      <c r="AI38" s="4">
        <f>+IF(TA_ti!AI38*TA_ti!AI$47*TA_ti!$BD38=0,10000,TA_ti!AI38*TA_ti!AI$47*TA_ti!$BD38)</f>
        <v>10000</v>
      </c>
      <c r="AJ38" s="4">
        <f>+IF(TA_ti!AJ38*TA_ti!AJ$47*TA_ti!$BD38=0,10000,TA_ti!AJ38*TA_ti!AJ$47*TA_ti!$BD38)</f>
        <v>10000</v>
      </c>
      <c r="AK38" s="4">
        <f>+IF(TA_ti!AK38*TA_ti!AK$47*TA_ti!$BD38=0,10000,TA_ti!AK38*TA_ti!AK$47*TA_ti!$BD38)</f>
        <v>10000</v>
      </c>
      <c r="AL38" s="4">
        <f>+IF(TA_ti!AL38*TA_ti!AL$47*TA_ti!$BD38=0,10000,TA_ti!AL38*TA_ti!AL$47*TA_ti!$BD38)</f>
        <v>10000</v>
      </c>
      <c r="AM38" s="4">
        <f>+IF(TA_ti!AM38*TA_ti!AM$47*TA_ti!$BD38=0,10000,TA_ti!AM38*TA_ti!AM$47*TA_ti!$BD38)</f>
        <v>10000</v>
      </c>
      <c r="AN38" s="4">
        <f>+IF(TA_ti!AN38*TA_ti!AN$47*TA_ti!$BD38=0,10000,TA_ti!AN38*TA_ti!AN$47*TA_ti!$BD38)</f>
        <v>10000</v>
      </c>
      <c r="AO38" s="4">
        <f>+IF(TA_ti!AO38*TA_ti!AO$47*TA_ti!$BD38=0,10000,TA_ti!AO38*TA_ti!AO$47*TA_ti!$BD38)</f>
        <v>10000</v>
      </c>
      <c r="AP38" s="4">
        <f>+IF(TA_ti!AP38*TA_ti!AP$47*TA_ti!$BD38=0,10000,TA_ti!AP38*TA_ti!AP$47*TA_ti!$BD38)</f>
        <v>10000</v>
      </c>
      <c r="AQ38" s="4">
        <f>+IF(TA_ti!AQ38*TA_ti!AQ$47*TA_ti!$BD38=0,10000,TA_ti!AQ38*TA_ti!AQ$47*TA_ti!$BD38)</f>
        <v>10000</v>
      </c>
      <c r="AR38" s="4">
        <f>+IF(TA_ti!AR38*TA_ti!AR$47*TA_ti!$BD38=0,10000,TA_ti!AR38*TA_ti!AR$47*TA_ti!$BD38)</f>
        <v>10000</v>
      </c>
      <c r="AS38" s="4">
        <f>+IF(TA_ti!AS38*TA_ti!AS$47*TA_ti!$BD38=0,10000,TA_ti!AS38*TA_ti!AS$47*TA_ti!$BD38)</f>
        <v>10000</v>
      </c>
      <c r="AT38" s="4">
        <f>+IF(TA_ti!AT38*TA_ti!AT$47*TA_ti!$BD38=0,10000,TA_ti!AT38*TA_ti!AT$47*TA_ti!$BD38)</f>
        <v>10000</v>
      </c>
      <c r="AU38" s="4">
        <f>+IF(TA_ti!AU38*TA_ti!AU$47*TA_ti!$BD38=0,10000,TA_ti!AU38*TA_ti!AU$47*TA_ti!$BD38)</f>
        <v>10000</v>
      </c>
      <c r="AV38" s="4">
        <f>+IF(TA_ti!AV38*TA_ti!AV$47*TA_ti!$BD38=0,10000,TA_ti!AV38*TA_ti!AV$47*TA_ti!$BD38)</f>
        <v>10000</v>
      </c>
      <c r="AW38" s="4">
        <f>+IF(TA_ti!AW38*TA_ti!AW$47*TA_ti!$BD38=0,10000,TA_ti!AW38*TA_ti!AW$47*TA_ti!$BD38)</f>
        <v>10000</v>
      </c>
      <c r="AX38" s="4">
        <f>+IF(TA_ti!AX38*TA_ti!AX$47*TA_ti!$BD38=0,10000,TA_ti!AX38*TA_ti!AX$47*TA_ti!$BD38)</f>
        <v>10000</v>
      </c>
      <c r="AY38" s="4">
        <f>+IF(TA_ti!AY38*TA_ti!AY$47*TA_ti!$BD38=0,10000,TA_ti!AY38*TA_ti!AY$47*TA_ti!$BD38)</f>
        <v>10000</v>
      </c>
      <c r="AZ38" s="4">
        <f>+IF(TA_ti!AZ38*TA_ti!AZ$47*TA_ti!$BD38=0,10000,TA_ti!AZ38*TA_ti!AZ$47*TA_ti!$BD38)</f>
        <v>10000</v>
      </c>
      <c r="BA38" s="4">
        <f>+IF(TA_ti!BA38*TA_ti!BA$47*TA_ti!$BD38=0,10000,TA_ti!BA38*TA_ti!BA$47*TA_ti!$BD38)</f>
        <v>10000</v>
      </c>
      <c r="BB38" s="4">
        <f>+IF(TA_ti!BB38*TA_ti!BB$47*TA_ti!$BD38=0,10000,TA_ti!BB38*TA_ti!BB$47*TA_ti!$BD38)</f>
        <v>10000</v>
      </c>
      <c r="BC38" s="4">
        <f>+IF(TA_ti!BC38*TA_ti!BC$47*TA_ti!$BD38=0,10000,TA_ti!BC38*TA_ti!BC$47*TA_ti!$BD38)</f>
        <v>10000</v>
      </c>
    </row>
    <row r="39" spans="1:55" ht="18.75" customHeight="1" x14ac:dyDescent="0.25">
      <c r="A39" s="5" t="s">
        <v>90</v>
      </c>
      <c r="B39" s="4">
        <f>+IF(TA_ti!B39*TA_ti!B$47*TA_ti!$BD39=0,10000,TA_ti!B39*TA_ti!B$47*TA_ti!$BD39)</f>
        <v>10000</v>
      </c>
      <c r="C39" s="4">
        <f>+IF(TA_ti!C39*TA_ti!C$47*TA_ti!$BD39=0,10000,TA_ti!C39*TA_ti!C$47*TA_ti!$BD39)</f>
        <v>10000</v>
      </c>
      <c r="D39" s="4">
        <f>+IF(TA_ti!D39*TA_ti!D$47*TA_ti!$BD39=0,10000,TA_ti!D39*TA_ti!D$47*TA_ti!$BD39)</f>
        <v>10000</v>
      </c>
      <c r="E39" s="4">
        <f>+IF(TA_ti!E39*TA_ti!E$47*TA_ti!$BD39=0,10000,TA_ti!E39*TA_ti!E$47*TA_ti!$BD39)</f>
        <v>10000</v>
      </c>
      <c r="F39" s="4">
        <f>+IF(TA_ti!F39*TA_ti!F$47*TA_ti!$BD39=0,10000,TA_ti!F39*TA_ti!F$47*TA_ti!$BD39)</f>
        <v>10000</v>
      </c>
      <c r="G39" s="4">
        <f>+IF(TA_ti!G39*TA_ti!G$47*TA_ti!$BD39=0,10000,TA_ti!G39*TA_ti!G$47*TA_ti!$BD39)</f>
        <v>10000</v>
      </c>
      <c r="H39" s="4">
        <f>+IF(TA_ti!H39*TA_ti!H$47*TA_ti!$BD39=0,10000,TA_ti!H39*TA_ti!H$47*TA_ti!$BD39)</f>
        <v>10000</v>
      </c>
      <c r="I39" s="4">
        <f>+IF(TA_ti!I39*TA_ti!I$47*TA_ti!$BD39=0,10000,TA_ti!I39*TA_ti!I$47*TA_ti!$BD39)</f>
        <v>10000</v>
      </c>
      <c r="J39" s="4">
        <f>+IF(TA_ti!J39*TA_ti!J$47*TA_ti!$BD39=0,10000,TA_ti!J39*TA_ti!J$47*TA_ti!$BD39)</f>
        <v>10000</v>
      </c>
      <c r="K39" s="4">
        <f>+IF(TA_ti!K39*TA_ti!K$47*TA_ti!$BD39=0,10000,TA_ti!K39*TA_ti!K$47*TA_ti!$BD39)</f>
        <v>10000</v>
      </c>
      <c r="L39" s="4">
        <f>+IF(TA_ti!L39*TA_ti!L$47*TA_ti!$BD39=0,10000,TA_ti!L39*TA_ti!L$47*TA_ti!$BD39)</f>
        <v>10000</v>
      </c>
      <c r="M39" s="4">
        <f>+IF(TA_ti!M39*TA_ti!M$47*TA_ti!$BD39=0,10000,TA_ti!M39*TA_ti!M$47*TA_ti!$BD39)</f>
        <v>10000</v>
      </c>
      <c r="N39" s="4">
        <f>+IF(TA_ti!N39*TA_ti!N$47*TA_ti!$BD39=0,10000,TA_ti!N39*TA_ti!N$47*TA_ti!$BD39)</f>
        <v>10000</v>
      </c>
      <c r="O39" s="4">
        <f>+IF(TA_ti!O39*TA_ti!O$47*TA_ti!$BD39=0,10000,TA_ti!O39*TA_ti!O$47*TA_ti!$BD39)</f>
        <v>10000</v>
      </c>
      <c r="P39" s="4">
        <f>+IF(TA_ti!P39*TA_ti!P$47*TA_ti!$BD39=0,10000,TA_ti!P39*TA_ti!P$47*TA_ti!$BD39)</f>
        <v>10000</v>
      </c>
      <c r="Q39" s="4">
        <f>+IF(TA_ti!Q39*TA_ti!Q$47*TA_ti!$BD39=0,10000,TA_ti!Q39*TA_ti!Q$47*TA_ti!$BD39)</f>
        <v>10000</v>
      </c>
      <c r="R39" s="4">
        <f>+IF(TA_ti!R39*TA_ti!R$47*TA_ti!$BD39=0,10000,TA_ti!R39*TA_ti!R$47*TA_ti!$BD39)</f>
        <v>10000</v>
      </c>
      <c r="S39" s="4">
        <f>+IF(TA_ti!S39*TA_ti!S$47*TA_ti!$BD39=0,10000,TA_ti!S39*TA_ti!S$47*TA_ti!$BD39)</f>
        <v>10000</v>
      </c>
      <c r="T39" s="4">
        <f>+IF(TA_ti!T39*TA_ti!T$47*TA_ti!$BD39=0,10000,TA_ti!T39*TA_ti!T$47*TA_ti!$BD39)</f>
        <v>10000</v>
      </c>
      <c r="U39" s="4">
        <f>+IF(TA_ti!U39*TA_ti!U$47*TA_ti!$BD39=0,10000,TA_ti!U39*TA_ti!U$47*TA_ti!$BD39)</f>
        <v>10000</v>
      </c>
      <c r="V39" s="4">
        <f>+IF(TA_ti!V39*TA_ti!V$47*TA_ti!$BD39=0,10000,TA_ti!V39*TA_ti!V$47*TA_ti!$BD39)</f>
        <v>10000</v>
      </c>
      <c r="W39" s="4">
        <f>+IF(TA_ti!W39*TA_ti!W$47*TA_ti!$BD39=0,10000,TA_ti!W39*TA_ti!W$47*TA_ti!$BD39)</f>
        <v>10000</v>
      </c>
      <c r="X39" s="4">
        <f>+IF(TA_ti!X39*TA_ti!X$47*TA_ti!$BD39=0,10000,TA_ti!X39*TA_ti!X$47*TA_ti!$BD39)</f>
        <v>10000</v>
      </c>
      <c r="Y39" s="4">
        <f>+IF(TA_ti!Y39*TA_ti!Y$47*TA_ti!$BD39=0,10000,TA_ti!Y39*TA_ti!Y$47*TA_ti!$BD39)</f>
        <v>10000</v>
      </c>
      <c r="Z39" s="4">
        <f>+IF(TA_ti!Z39*TA_ti!Z$47*TA_ti!$BD39=0,10000,TA_ti!Z39*TA_ti!Z$47*TA_ti!$BD39)</f>
        <v>10000</v>
      </c>
      <c r="AA39" s="4">
        <f>+IF(TA_ti!AA39*TA_ti!AA$47*TA_ti!$BD39=0,10000,TA_ti!AA39*TA_ti!AA$47*TA_ti!$BD39)</f>
        <v>10000</v>
      </c>
      <c r="AB39" s="4">
        <f>+IF(TA_ti!AB39*TA_ti!AB$47*TA_ti!$BD39=0,10000,TA_ti!AB39*TA_ti!AB$47*TA_ti!$BD39)</f>
        <v>10000</v>
      </c>
      <c r="AC39" s="4">
        <f>+IF(TA_ti!AC39*TA_ti!AC$47*TA_ti!$BD39=0,10000,TA_ti!AC39*TA_ti!AC$47*TA_ti!$BD39)</f>
        <v>10000</v>
      </c>
      <c r="AD39" s="4">
        <f>+IF(TA_ti!AD39*TA_ti!AD$47*TA_ti!$BD39=0,10000,TA_ti!AD39*TA_ti!AD$47*TA_ti!$BD39)</f>
        <v>10000</v>
      </c>
      <c r="AE39" s="4">
        <f>+IF(TA_ti!AE39*TA_ti!AE$47*TA_ti!$BD39=0,10000,TA_ti!AE39*TA_ti!AE$47*TA_ti!$BD39)</f>
        <v>10000</v>
      </c>
      <c r="AF39" s="4">
        <f>+IF(TA_ti!AF39*TA_ti!AF$47*TA_ti!$BD39=0,10000,TA_ti!AF39*TA_ti!AF$47*TA_ti!$BD39)</f>
        <v>10000</v>
      </c>
      <c r="AG39" s="4">
        <f>+IF(TA_ti!AG39*TA_ti!AG$47*TA_ti!$BD39=0,10000,TA_ti!AG39*TA_ti!AG$47*TA_ti!$BD39)</f>
        <v>10000</v>
      </c>
      <c r="AH39" s="4">
        <f>+IF(TA_ti!AH39*TA_ti!AH$47*TA_ti!$BD39=0,10000,TA_ti!AH39*TA_ti!AH$47*TA_ti!$BD39)</f>
        <v>10000</v>
      </c>
      <c r="AI39" s="4">
        <f>+IF(TA_ti!AI39*TA_ti!AI$47*TA_ti!$BD39=0,10000,TA_ti!AI39*TA_ti!AI$47*TA_ti!$BD39)</f>
        <v>10000</v>
      </c>
      <c r="AJ39" s="4">
        <f>+IF(TA_ti!AJ39*TA_ti!AJ$47*TA_ti!$BD39=0,10000,TA_ti!AJ39*TA_ti!AJ$47*TA_ti!$BD39)</f>
        <v>10000</v>
      </c>
      <c r="AK39" s="4">
        <f>+IF(TA_ti!AK39*TA_ti!AK$47*TA_ti!$BD39=0,10000,TA_ti!AK39*TA_ti!AK$47*TA_ti!$BD39)</f>
        <v>10000</v>
      </c>
      <c r="AL39" s="4">
        <f>+IF(TA_ti!AL39*TA_ti!AL$47*TA_ti!$BD39=0,10000,TA_ti!AL39*TA_ti!AL$47*TA_ti!$BD39)</f>
        <v>10000</v>
      </c>
      <c r="AM39" s="4">
        <f>+IF(TA_ti!AM39*TA_ti!AM$47*TA_ti!$BD39=0,10000,TA_ti!AM39*TA_ti!AM$47*TA_ti!$BD39)</f>
        <v>10000</v>
      </c>
      <c r="AN39" s="4">
        <f>+IF(TA_ti!AN39*TA_ti!AN$47*TA_ti!$BD39=0,10000,TA_ti!AN39*TA_ti!AN$47*TA_ti!$BD39)</f>
        <v>10000</v>
      </c>
      <c r="AO39" s="4">
        <f>+IF(TA_ti!AO39*TA_ti!AO$47*TA_ti!$BD39=0,10000,TA_ti!AO39*TA_ti!AO$47*TA_ti!$BD39)</f>
        <v>10000</v>
      </c>
      <c r="AP39" s="4">
        <f>+IF(TA_ti!AP39*TA_ti!AP$47*TA_ti!$BD39=0,10000,TA_ti!AP39*TA_ti!AP$47*TA_ti!$BD39)</f>
        <v>10000</v>
      </c>
      <c r="AQ39" s="4">
        <f>+IF(TA_ti!AQ39*TA_ti!AQ$47*TA_ti!$BD39=0,10000,TA_ti!AQ39*TA_ti!AQ$47*TA_ti!$BD39)</f>
        <v>10000</v>
      </c>
      <c r="AR39" s="4">
        <f>+IF(TA_ti!AR39*TA_ti!AR$47*TA_ti!$BD39=0,10000,TA_ti!AR39*TA_ti!AR$47*TA_ti!$BD39)</f>
        <v>10000</v>
      </c>
      <c r="AS39" s="4">
        <f>+IF(TA_ti!AS39*TA_ti!AS$47*TA_ti!$BD39=0,10000,TA_ti!AS39*TA_ti!AS$47*TA_ti!$BD39)</f>
        <v>10000</v>
      </c>
      <c r="AT39" s="4">
        <f>+IF(TA_ti!AT39*TA_ti!AT$47*TA_ti!$BD39=0,10000,TA_ti!AT39*TA_ti!AT$47*TA_ti!$BD39)</f>
        <v>10000</v>
      </c>
      <c r="AU39" s="4">
        <f>+IF(TA_ti!AU39*TA_ti!AU$47*TA_ti!$BD39=0,10000,TA_ti!AU39*TA_ti!AU$47*TA_ti!$BD39)</f>
        <v>10000</v>
      </c>
      <c r="AV39" s="4">
        <f>+IF(TA_ti!AV39*TA_ti!AV$47*TA_ti!$BD39=0,10000,TA_ti!AV39*TA_ti!AV$47*TA_ti!$BD39)</f>
        <v>10000</v>
      </c>
      <c r="AW39" s="4">
        <f>+IF(TA_ti!AW39*TA_ti!AW$47*TA_ti!$BD39=0,10000,TA_ti!AW39*TA_ti!AW$47*TA_ti!$BD39)</f>
        <v>10000</v>
      </c>
      <c r="AX39" s="4">
        <f>+IF(TA_ti!AX39*TA_ti!AX$47*TA_ti!$BD39=0,10000,TA_ti!AX39*TA_ti!AX$47*TA_ti!$BD39)</f>
        <v>10000</v>
      </c>
      <c r="AY39" s="4">
        <f>+IF(TA_ti!AY39*TA_ti!AY$47*TA_ti!$BD39=0,10000,TA_ti!AY39*TA_ti!AY$47*TA_ti!$BD39)</f>
        <v>10000</v>
      </c>
      <c r="AZ39" s="4">
        <f>+IF(TA_ti!AZ39*TA_ti!AZ$47*TA_ti!$BD39=0,10000,TA_ti!AZ39*TA_ti!AZ$47*TA_ti!$BD39)</f>
        <v>10000</v>
      </c>
      <c r="BA39" s="4">
        <f>+IF(TA_ti!BA39*TA_ti!BA$47*TA_ti!$BD39=0,10000,TA_ti!BA39*TA_ti!BA$47*TA_ti!$BD39)</f>
        <v>10000</v>
      </c>
      <c r="BB39" s="4">
        <f>+IF(TA_ti!BB39*TA_ti!BB$47*TA_ti!$BD39=0,10000,TA_ti!BB39*TA_ti!BB$47*TA_ti!$BD39)</f>
        <v>10000</v>
      </c>
      <c r="BC39" s="4">
        <f>+IF(TA_ti!BC39*TA_ti!BC$47*TA_ti!$BD39=0,10000,TA_ti!BC39*TA_ti!BC$47*TA_ti!$BD39)</f>
        <v>10000</v>
      </c>
    </row>
    <row r="40" spans="1:55" ht="18.75" customHeight="1" x14ac:dyDescent="0.25">
      <c r="A40" s="5" t="s">
        <v>91</v>
      </c>
      <c r="B40" s="4">
        <f>+IF(TA_ti!B40*TA_ti!B$47*TA_ti!$BD40=0,10000,TA_ti!B40*TA_ti!B$47*TA_ti!$BD40)</f>
        <v>10000</v>
      </c>
      <c r="C40" s="4">
        <f>+IF(TA_ti!C40*TA_ti!C$47*TA_ti!$BD40=0,10000,TA_ti!C40*TA_ti!C$47*TA_ti!$BD40)</f>
        <v>10000</v>
      </c>
      <c r="D40" s="4">
        <f>+IF(TA_ti!D40*TA_ti!D$47*TA_ti!$BD40=0,10000,TA_ti!D40*TA_ti!D$47*TA_ti!$BD40)</f>
        <v>15</v>
      </c>
      <c r="E40" s="4">
        <f>+IF(TA_ti!E40*TA_ti!E$47*TA_ti!$BD40=0,10000,TA_ti!E40*TA_ti!E$47*TA_ti!$BD40)</f>
        <v>10000</v>
      </c>
      <c r="F40" s="4">
        <f>+IF(TA_ti!F40*TA_ti!F$47*TA_ti!$BD40=0,10000,TA_ti!F40*TA_ti!F$47*TA_ti!$BD40)</f>
        <v>10000</v>
      </c>
      <c r="G40" s="4">
        <f>+IF(TA_ti!G40*TA_ti!G$47*TA_ti!$BD40=0,10000,TA_ti!G40*TA_ti!G$47*TA_ti!$BD40)</f>
        <v>10000</v>
      </c>
      <c r="H40" s="4">
        <f>+IF(TA_ti!H40*TA_ti!H$47*TA_ti!$BD40=0,10000,TA_ti!H40*TA_ti!H$47*TA_ti!$BD40)</f>
        <v>10000</v>
      </c>
      <c r="I40" s="4">
        <f>+IF(TA_ti!I40*TA_ti!I$47*TA_ti!$BD40=0,10000,TA_ti!I40*TA_ti!I$47*TA_ti!$BD40)</f>
        <v>10000</v>
      </c>
      <c r="J40" s="4">
        <f>+IF(TA_ti!J40*TA_ti!J$47*TA_ti!$BD40=0,10000,TA_ti!J40*TA_ti!J$47*TA_ti!$BD40)</f>
        <v>15</v>
      </c>
      <c r="K40" s="4">
        <f>+IF(TA_ti!K40*TA_ti!K$47*TA_ti!$BD40=0,10000,TA_ti!K40*TA_ti!K$47*TA_ti!$BD40)</f>
        <v>10000</v>
      </c>
      <c r="L40" s="4">
        <f>+IF(TA_ti!L40*TA_ti!L$47*TA_ti!$BD40=0,10000,TA_ti!L40*TA_ti!L$47*TA_ti!$BD40)</f>
        <v>12</v>
      </c>
      <c r="M40" s="4">
        <f>+IF(TA_ti!M40*TA_ti!M$47*TA_ti!$BD40=0,10000,TA_ti!M40*TA_ti!M$47*TA_ti!$BD40)</f>
        <v>12</v>
      </c>
      <c r="N40" s="4">
        <f>+IF(TA_ti!N40*TA_ti!N$47*TA_ti!$BD40=0,10000,TA_ti!N40*TA_ti!N$47*TA_ti!$BD40)</f>
        <v>15</v>
      </c>
      <c r="O40" s="4">
        <f>+IF(TA_ti!O40*TA_ti!O$47*TA_ti!$BD40=0,10000,TA_ti!O40*TA_ti!O$47*TA_ti!$BD40)</f>
        <v>10000</v>
      </c>
      <c r="P40" s="4">
        <f>+IF(TA_ti!P40*TA_ti!P$47*TA_ti!$BD40=0,10000,TA_ti!P40*TA_ti!P$47*TA_ti!$BD40)</f>
        <v>10000</v>
      </c>
      <c r="Q40" s="4">
        <f>+IF(TA_ti!Q40*TA_ti!Q$47*TA_ti!$BD40=0,10000,TA_ti!Q40*TA_ti!Q$47*TA_ti!$BD40)</f>
        <v>10000</v>
      </c>
      <c r="R40" s="4">
        <f>+IF(TA_ti!R40*TA_ti!R$47*TA_ti!$BD40=0,10000,TA_ti!R40*TA_ti!R$47*TA_ti!$BD40)</f>
        <v>15</v>
      </c>
      <c r="S40" s="4">
        <f>+IF(TA_ti!S40*TA_ti!S$47*TA_ti!$BD40=0,10000,TA_ti!S40*TA_ti!S$47*TA_ti!$BD40)</f>
        <v>10000</v>
      </c>
      <c r="T40" s="4">
        <f>+IF(TA_ti!T40*TA_ti!T$47*TA_ti!$BD40=0,10000,TA_ti!T40*TA_ti!T$47*TA_ti!$BD40)</f>
        <v>10000</v>
      </c>
      <c r="U40" s="4">
        <f>+IF(TA_ti!U40*TA_ti!U$47*TA_ti!$BD40=0,10000,TA_ti!U40*TA_ti!U$47*TA_ti!$BD40)</f>
        <v>10000</v>
      </c>
      <c r="V40" s="4">
        <f>+IF(TA_ti!V40*TA_ti!V$47*TA_ti!$BD40=0,10000,TA_ti!V40*TA_ti!V$47*TA_ti!$BD40)</f>
        <v>10000</v>
      </c>
      <c r="W40" s="4">
        <f>+IF(TA_ti!W40*TA_ti!W$47*TA_ti!$BD40=0,10000,TA_ti!W40*TA_ti!W$47*TA_ti!$BD40)</f>
        <v>10000</v>
      </c>
      <c r="X40" s="4">
        <f>+IF(TA_ti!X40*TA_ti!X$47*TA_ti!$BD40=0,10000,TA_ti!X40*TA_ti!X$47*TA_ti!$BD40)</f>
        <v>10000</v>
      </c>
      <c r="Y40" s="4">
        <f>+IF(TA_ti!Y40*TA_ti!Y$47*TA_ti!$BD40=0,10000,TA_ti!Y40*TA_ti!Y$47*TA_ti!$BD40)</f>
        <v>10000</v>
      </c>
      <c r="Z40" s="4">
        <f>+IF(TA_ti!Z40*TA_ti!Z$47*TA_ti!$BD40=0,10000,TA_ti!Z40*TA_ti!Z$47*TA_ti!$BD40)</f>
        <v>10000</v>
      </c>
      <c r="AA40" s="4">
        <f>+IF(TA_ti!AA40*TA_ti!AA$47*TA_ti!$BD40=0,10000,TA_ti!AA40*TA_ti!AA$47*TA_ti!$BD40)</f>
        <v>10000</v>
      </c>
      <c r="AB40" s="4">
        <f>+IF(TA_ti!AB40*TA_ti!AB$47*TA_ti!$BD40=0,10000,TA_ti!AB40*TA_ti!AB$47*TA_ti!$BD40)</f>
        <v>10000</v>
      </c>
      <c r="AC40" s="4">
        <f>+IF(TA_ti!AC40*TA_ti!AC$47*TA_ti!$BD40=0,10000,TA_ti!AC40*TA_ti!AC$47*TA_ti!$BD40)</f>
        <v>10000</v>
      </c>
      <c r="AD40" s="4">
        <f>+IF(TA_ti!AD40*TA_ti!AD$47*TA_ti!$BD40=0,10000,TA_ti!AD40*TA_ti!AD$47*TA_ti!$BD40)</f>
        <v>10000</v>
      </c>
      <c r="AE40" s="4">
        <f>+IF(TA_ti!AE40*TA_ti!AE$47*TA_ti!$BD40=0,10000,TA_ti!AE40*TA_ti!AE$47*TA_ti!$BD40)</f>
        <v>10000</v>
      </c>
      <c r="AF40" s="4">
        <f>+IF(TA_ti!AF40*TA_ti!AF$47*TA_ti!$BD40=0,10000,TA_ti!AF40*TA_ti!AF$47*TA_ti!$BD40)</f>
        <v>10000</v>
      </c>
      <c r="AG40" s="4">
        <f>+IF(TA_ti!AG40*TA_ti!AG$47*TA_ti!$BD40=0,10000,TA_ti!AG40*TA_ti!AG$47*TA_ti!$BD40)</f>
        <v>10000</v>
      </c>
      <c r="AH40" s="4">
        <f>+IF(TA_ti!AH40*TA_ti!AH$47*TA_ti!$BD40=0,10000,TA_ti!AH40*TA_ti!AH$47*TA_ti!$BD40)</f>
        <v>10000</v>
      </c>
      <c r="AI40" s="4">
        <f>+IF(TA_ti!AI40*TA_ti!AI$47*TA_ti!$BD40=0,10000,TA_ti!AI40*TA_ti!AI$47*TA_ti!$BD40)</f>
        <v>10000</v>
      </c>
      <c r="AJ40" s="4">
        <f>+IF(TA_ti!AJ40*TA_ti!AJ$47*TA_ti!$BD40=0,10000,TA_ti!AJ40*TA_ti!AJ$47*TA_ti!$BD40)</f>
        <v>10000</v>
      </c>
      <c r="AK40" s="4">
        <f>+IF(TA_ti!AK40*TA_ti!AK$47*TA_ti!$BD40=0,10000,TA_ti!AK40*TA_ti!AK$47*TA_ti!$BD40)</f>
        <v>10000</v>
      </c>
      <c r="AL40" s="4">
        <f>+IF(TA_ti!AL40*TA_ti!AL$47*TA_ti!$BD40=0,10000,TA_ti!AL40*TA_ti!AL$47*TA_ti!$BD40)</f>
        <v>10000</v>
      </c>
      <c r="AM40" s="4">
        <f>+IF(TA_ti!AM40*TA_ti!AM$47*TA_ti!$BD40=0,10000,TA_ti!AM40*TA_ti!AM$47*TA_ti!$BD40)</f>
        <v>10000</v>
      </c>
      <c r="AN40" s="4">
        <f>+IF(TA_ti!AN40*TA_ti!AN$47*TA_ti!$BD40=0,10000,TA_ti!AN40*TA_ti!AN$47*TA_ti!$BD40)</f>
        <v>60</v>
      </c>
      <c r="AO40" s="4">
        <f>+IF(TA_ti!AO40*TA_ti!AO$47*TA_ti!$BD40=0,10000,TA_ti!AO40*TA_ti!AO$47*TA_ti!$BD40)</f>
        <v>10000</v>
      </c>
      <c r="AP40" s="4">
        <f>+IF(TA_ti!AP40*TA_ti!AP$47*TA_ti!$BD40=0,10000,TA_ti!AP40*TA_ti!AP$47*TA_ti!$BD40)</f>
        <v>10000</v>
      </c>
      <c r="AQ40" s="4">
        <f>+IF(TA_ti!AQ40*TA_ti!AQ$47*TA_ti!$BD40=0,10000,TA_ti!AQ40*TA_ti!AQ$47*TA_ti!$BD40)</f>
        <v>10000</v>
      </c>
      <c r="AR40" s="4">
        <f>+IF(TA_ti!AR40*TA_ti!AR$47*TA_ti!$BD40=0,10000,TA_ti!AR40*TA_ti!AR$47*TA_ti!$BD40)</f>
        <v>10000</v>
      </c>
      <c r="AS40" s="4">
        <f>+IF(TA_ti!AS40*TA_ti!AS$47*TA_ti!$BD40=0,10000,TA_ti!AS40*TA_ti!AS$47*TA_ti!$BD40)</f>
        <v>10000</v>
      </c>
      <c r="AT40" s="4">
        <f>+IF(TA_ti!AT40*TA_ti!AT$47*TA_ti!$BD40=0,10000,TA_ti!AT40*TA_ti!AT$47*TA_ti!$BD40)</f>
        <v>10000</v>
      </c>
      <c r="AU40" s="4">
        <f>+IF(TA_ti!AU40*TA_ti!AU$47*TA_ti!$BD40=0,10000,TA_ti!AU40*TA_ti!AU$47*TA_ti!$BD40)</f>
        <v>10000</v>
      </c>
      <c r="AV40" s="4">
        <f>+IF(TA_ti!AV40*TA_ti!AV$47*TA_ti!$BD40=0,10000,TA_ti!AV40*TA_ti!AV$47*TA_ti!$BD40)</f>
        <v>10000</v>
      </c>
      <c r="AW40" s="4">
        <f>+IF(TA_ti!AW40*TA_ti!AW$47*TA_ti!$BD40=0,10000,TA_ti!AW40*TA_ti!AW$47*TA_ti!$BD40)</f>
        <v>10000</v>
      </c>
      <c r="AX40" s="4">
        <f>+IF(TA_ti!AX40*TA_ti!AX$47*TA_ti!$BD40=0,10000,TA_ti!AX40*TA_ti!AX$47*TA_ti!$BD40)</f>
        <v>10000</v>
      </c>
      <c r="AY40" s="4">
        <f>+IF(TA_ti!AY40*TA_ti!AY$47*TA_ti!$BD40=0,10000,TA_ti!AY40*TA_ti!AY$47*TA_ti!$BD40)</f>
        <v>10000</v>
      </c>
      <c r="AZ40" s="4">
        <f>+IF(TA_ti!AZ40*TA_ti!AZ$47*TA_ti!$BD40=0,10000,TA_ti!AZ40*TA_ti!AZ$47*TA_ti!$BD40)</f>
        <v>15</v>
      </c>
      <c r="BA40" s="4">
        <f>+IF(TA_ti!BA40*TA_ti!BA$47*TA_ti!$BD40=0,10000,TA_ti!BA40*TA_ti!BA$47*TA_ti!$BD40)</f>
        <v>10000</v>
      </c>
      <c r="BB40" s="4">
        <f>+IF(TA_ti!BB40*TA_ti!BB$47*TA_ti!$BD40=0,10000,TA_ti!BB40*TA_ti!BB$47*TA_ti!$BD40)</f>
        <v>10000</v>
      </c>
      <c r="BC40" s="4">
        <f>+IF(TA_ti!BC40*TA_ti!BC$47*TA_ti!$BD40=0,10000,TA_ti!BC40*TA_ti!BC$47*TA_ti!$BD40)</f>
        <v>10000</v>
      </c>
    </row>
    <row r="41" spans="1:55" ht="18.75" customHeight="1" x14ac:dyDescent="0.25">
      <c r="A41" s="5" t="s">
        <v>92</v>
      </c>
      <c r="B41" s="4">
        <f>+IF(TA_ti!B41*TA_ti!B$47*TA_ti!$BD41=0,10000,TA_ti!B41*TA_ti!B$47*TA_ti!$BD41)</f>
        <v>10000</v>
      </c>
      <c r="C41" s="4">
        <f>+IF(TA_ti!C41*TA_ti!C$47*TA_ti!$BD41=0,10000,TA_ti!C41*TA_ti!C$47*TA_ti!$BD41)</f>
        <v>10000</v>
      </c>
      <c r="D41" s="4">
        <f>+IF(TA_ti!D41*TA_ti!D$47*TA_ti!$BD41=0,10000,TA_ti!D41*TA_ti!D$47*TA_ti!$BD41)</f>
        <v>10000</v>
      </c>
      <c r="E41" s="4">
        <f>+IF(TA_ti!E41*TA_ti!E$47*TA_ti!$BD41=0,10000,TA_ti!E41*TA_ti!E$47*TA_ti!$BD41)</f>
        <v>10000</v>
      </c>
      <c r="F41" s="4">
        <f>+IF(TA_ti!F41*TA_ti!F$47*TA_ti!$BD41=0,10000,TA_ti!F41*TA_ti!F$47*TA_ti!$BD41)</f>
        <v>10000</v>
      </c>
      <c r="G41" s="4">
        <f>+IF(TA_ti!G41*TA_ti!G$47*TA_ti!$BD41=0,10000,TA_ti!G41*TA_ti!G$47*TA_ti!$BD41)</f>
        <v>10000</v>
      </c>
      <c r="H41" s="4">
        <f>+IF(TA_ti!H41*TA_ti!H$47*TA_ti!$BD41=0,10000,TA_ti!H41*TA_ti!H$47*TA_ti!$BD41)</f>
        <v>10000</v>
      </c>
      <c r="I41" s="4">
        <f>+IF(TA_ti!I41*TA_ti!I$47*TA_ti!$BD41=0,10000,TA_ti!I41*TA_ti!I$47*TA_ti!$BD41)</f>
        <v>10000</v>
      </c>
      <c r="J41" s="4">
        <f>+IF(TA_ti!J41*TA_ti!J$47*TA_ti!$BD41=0,10000,TA_ti!J41*TA_ti!J$47*TA_ti!$BD41)</f>
        <v>10000</v>
      </c>
      <c r="K41" s="4">
        <f>+IF(TA_ti!K41*TA_ti!K$47*TA_ti!$BD41=0,10000,TA_ti!K41*TA_ti!K$47*TA_ti!$BD41)</f>
        <v>10000</v>
      </c>
      <c r="L41" s="4">
        <f>+IF(TA_ti!L41*TA_ti!L$47*TA_ti!$BD41=0,10000,TA_ti!L41*TA_ti!L$47*TA_ti!$BD41)</f>
        <v>10000</v>
      </c>
      <c r="M41" s="4">
        <f>+IF(TA_ti!M41*TA_ti!M$47*TA_ti!$BD41=0,10000,TA_ti!M41*TA_ti!M$47*TA_ti!$BD41)</f>
        <v>10000</v>
      </c>
      <c r="N41" s="4">
        <f>+IF(TA_ti!N41*TA_ti!N$47*TA_ti!$BD41=0,10000,TA_ti!N41*TA_ti!N$47*TA_ti!$BD41)</f>
        <v>10000</v>
      </c>
      <c r="O41" s="4">
        <f>+IF(TA_ti!O41*TA_ti!O$47*TA_ti!$BD41=0,10000,TA_ti!O41*TA_ti!O$47*TA_ti!$BD41)</f>
        <v>10000</v>
      </c>
      <c r="P41" s="4">
        <f>+IF(TA_ti!P41*TA_ti!P$47*TA_ti!$BD41=0,10000,TA_ti!P41*TA_ti!P$47*TA_ti!$BD41)</f>
        <v>10000</v>
      </c>
      <c r="Q41" s="4">
        <f>+IF(TA_ti!Q41*TA_ti!Q$47*TA_ti!$BD41=0,10000,TA_ti!Q41*TA_ti!Q$47*TA_ti!$BD41)</f>
        <v>10000</v>
      </c>
      <c r="R41" s="4">
        <f>+IF(TA_ti!R41*TA_ti!R$47*TA_ti!$BD41=0,10000,TA_ti!R41*TA_ti!R$47*TA_ti!$BD41)</f>
        <v>10000</v>
      </c>
      <c r="S41" s="4">
        <f>+IF(TA_ti!S41*TA_ti!S$47*TA_ti!$BD41=0,10000,TA_ti!S41*TA_ti!S$47*TA_ti!$BD41)</f>
        <v>10000</v>
      </c>
      <c r="T41" s="4">
        <f>+IF(TA_ti!T41*TA_ti!T$47*TA_ti!$BD41=0,10000,TA_ti!T41*TA_ti!T$47*TA_ti!$BD41)</f>
        <v>10000</v>
      </c>
      <c r="U41" s="4">
        <f>+IF(TA_ti!U41*TA_ti!U$47*TA_ti!$BD41=0,10000,TA_ti!U41*TA_ti!U$47*TA_ti!$BD41)</f>
        <v>15</v>
      </c>
      <c r="V41" s="4">
        <f>+IF(TA_ti!V41*TA_ti!V$47*TA_ti!$BD41=0,10000,TA_ti!V41*TA_ti!V$47*TA_ti!$BD41)</f>
        <v>10000</v>
      </c>
      <c r="W41" s="4">
        <f>+IF(TA_ti!W41*TA_ti!W$47*TA_ti!$BD41=0,10000,TA_ti!W41*TA_ti!W$47*TA_ti!$BD41)</f>
        <v>10000</v>
      </c>
      <c r="X41" s="4">
        <f>+IF(TA_ti!X41*TA_ti!X$47*TA_ti!$BD41=0,10000,TA_ti!X41*TA_ti!X$47*TA_ti!$BD41)</f>
        <v>10000</v>
      </c>
      <c r="Y41" s="4">
        <f>+IF(TA_ti!Y41*TA_ti!Y$47*TA_ti!$BD41=0,10000,TA_ti!Y41*TA_ti!Y$47*TA_ti!$BD41)</f>
        <v>10000</v>
      </c>
      <c r="Z41" s="4">
        <f>+IF(TA_ti!Z41*TA_ti!Z$47*TA_ti!$BD41=0,10000,TA_ti!Z41*TA_ti!Z$47*TA_ti!$BD41)</f>
        <v>15</v>
      </c>
      <c r="AA41" s="4">
        <f>+IF(TA_ti!AA41*TA_ti!AA$47*TA_ti!$BD41=0,10000,TA_ti!AA41*TA_ti!AA$47*TA_ti!$BD41)</f>
        <v>10</v>
      </c>
      <c r="AB41" s="4">
        <f>+IF(TA_ti!AB41*TA_ti!AB$47*TA_ti!$BD41=0,10000,TA_ti!AB41*TA_ti!AB$47*TA_ti!$BD41)</f>
        <v>10000</v>
      </c>
      <c r="AC41" s="4">
        <f>+IF(TA_ti!AC41*TA_ti!AC$47*TA_ti!$BD41=0,10000,TA_ti!AC41*TA_ti!AC$47*TA_ti!$BD41)</f>
        <v>10000</v>
      </c>
      <c r="AD41" s="4">
        <f>+IF(TA_ti!AD41*TA_ti!AD$47*TA_ti!$BD41=0,10000,TA_ti!AD41*TA_ti!AD$47*TA_ti!$BD41)</f>
        <v>10000</v>
      </c>
      <c r="AE41" s="4">
        <f>+IF(TA_ti!AE41*TA_ti!AE$47*TA_ti!$BD41=0,10000,TA_ti!AE41*TA_ti!AE$47*TA_ti!$BD41)</f>
        <v>10000</v>
      </c>
      <c r="AF41" s="4">
        <f>+IF(TA_ti!AF41*TA_ti!AF$47*TA_ti!$BD41=0,10000,TA_ti!AF41*TA_ti!AF$47*TA_ti!$BD41)</f>
        <v>10000</v>
      </c>
      <c r="AG41" s="4">
        <f>+IF(TA_ti!AG41*TA_ti!AG$47*TA_ti!$BD41=0,10000,TA_ti!AG41*TA_ti!AG$47*TA_ti!$BD41)</f>
        <v>10000</v>
      </c>
      <c r="AH41" s="4">
        <f>+IF(TA_ti!AH41*TA_ti!AH$47*TA_ti!$BD41=0,10000,TA_ti!AH41*TA_ti!AH$47*TA_ti!$BD41)</f>
        <v>10000</v>
      </c>
      <c r="AI41" s="4">
        <f>+IF(TA_ti!AI41*TA_ti!AI$47*TA_ti!$BD41=0,10000,TA_ti!AI41*TA_ti!AI$47*TA_ti!$BD41)</f>
        <v>10000</v>
      </c>
      <c r="AJ41" s="4">
        <f>+IF(TA_ti!AJ41*TA_ti!AJ$47*TA_ti!$BD41=0,10000,TA_ti!AJ41*TA_ti!AJ$47*TA_ti!$BD41)</f>
        <v>10000</v>
      </c>
      <c r="AK41" s="4">
        <f>+IF(TA_ti!AK41*TA_ti!AK$47*TA_ti!$BD41=0,10000,TA_ti!AK41*TA_ti!AK$47*TA_ti!$BD41)</f>
        <v>10000</v>
      </c>
      <c r="AL41" s="4">
        <f>+IF(TA_ti!AL41*TA_ti!AL$47*TA_ti!$BD41=0,10000,TA_ti!AL41*TA_ti!AL$47*TA_ti!$BD41)</f>
        <v>10000</v>
      </c>
      <c r="AM41" s="4">
        <f>+IF(TA_ti!AM41*TA_ti!AM$47*TA_ti!$BD41=0,10000,TA_ti!AM41*TA_ti!AM$47*TA_ti!$BD41)</f>
        <v>10000</v>
      </c>
      <c r="AN41" s="4">
        <f>+IF(TA_ti!AN41*TA_ti!AN$47*TA_ti!$BD41=0,10000,TA_ti!AN41*TA_ti!AN$47*TA_ti!$BD41)</f>
        <v>10000</v>
      </c>
      <c r="AO41" s="4">
        <f>+IF(TA_ti!AO41*TA_ti!AO$47*TA_ti!$BD41=0,10000,TA_ti!AO41*TA_ti!AO$47*TA_ti!$BD41)</f>
        <v>10000</v>
      </c>
      <c r="AP41" s="4">
        <f>+IF(TA_ti!AP41*TA_ti!AP$47*TA_ti!$BD41=0,10000,TA_ti!AP41*TA_ti!AP$47*TA_ti!$BD41)</f>
        <v>10000</v>
      </c>
      <c r="AQ41" s="4">
        <f>+IF(TA_ti!AQ41*TA_ti!AQ$47*TA_ti!$BD41=0,10000,TA_ti!AQ41*TA_ti!AQ$47*TA_ti!$BD41)</f>
        <v>10000</v>
      </c>
      <c r="AR41" s="4">
        <f>+IF(TA_ti!AR41*TA_ti!AR$47*TA_ti!$BD41=0,10000,TA_ti!AR41*TA_ti!AR$47*TA_ti!$BD41)</f>
        <v>10000</v>
      </c>
      <c r="AS41" s="4">
        <f>+IF(TA_ti!AS41*TA_ti!AS$47*TA_ti!$BD41=0,10000,TA_ti!AS41*TA_ti!AS$47*TA_ti!$BD41)</f>
        <v>10000</v>
      </c>
      <c r="AT41" s="4">
        <f>+IF(TA_ti!AT41*TA_ti!AT$47*TA_ti!$BD41=0,10000,TA_ti!AT41*TA_ti!AT$47*TA_ti!$BD41)</f>
        <v>10000</v>
      </c>
      <c r="AU41" s="4">
        <f>+IF(TA_ti!AU41*TA_ti!AU$47*TA_ti!$BD41=0,10000,TA_ti!AU41*TA_ti!AU$47*TA_ti!$BD41)</f>
        <v>10000</v>
      </c>
      <c r="AV41" s="4">
        <f>+IF(TA_ti!AV41*TA_ti!AV$47*TA_ti!$BD41=0,10000,TA_ti!AV41*TA_ti!AV$47*TA_ti!$BD41)</f>
        <v>10000</v>
      </c>
      <c r="AW41" s="4">
        <f>+IF(TA_ti!AW41*TA_ti!AW$47*TA_ti!$BD41=0,10000,TA_ti!AW41*TA_ti!AW$47*TA_ti!$BD41)</f>
        <v>10000</v>
      </c>
      <c r="AX41" s="4">
        <f>+IF(TA_ti!AX41*TA_ti!AX$47*TA_ti!$BD41=0,10000,TA_ti!AX41*TA_ti!AX$47*TA_ti!$BD41)</f>
        <v>10000</v>
      </c>
      <c r="AY41" s="4">
        <f>+IF(TA_ti!AY41*TA_ti!AY$47*TA_ti!$BD41=0,10000,TA_ti!AY41*TA_ti!AY$47*TA_ti!$BD41)</f>
        <v>10000</v>
      </c>
      <c r="AZ41" s="4">
        <f>+IF(TA_ti!AZ41*TA_ti!AZ$47*TA_ti!$BD41=0,10000,TA_ti!AZ41*TA_ti!AZ$47*TA_ti!$BD41)</f>
        <v>10000</v>
      </c>
      <c r="BA41" s="4">
        <f>+IF(TA_ti!BA41*TA_ti!BA$47*TA_ti!$BD41=0,10000,TA_ti!BA41*TA_ti!BA$47*TA_ti!$BD41)</f>
        <v>10000</v>
      </c>
      <c r="BB41" s="4">
        <f>+IF(TA_ti!BB41*TA_ti!BB$47*TA_ti!$BD41=0,10000,TA_ti!BB41*TA_ti!BB$47*TA_ti!$BD41)</f>
        <v>10000</v>
      </c>
      <c r="BC41" s="4">
        <f>+IF(TA_ti!BC41*TA_ti!BC$47*TA_ti!$BD41=0,10000,TA_ti!BC41*TA_ti!BC$47*TA_ti!$BD41)</f>
        <v>10000</v>
      </c>
    </row>
    <row r="42" spans="1:55" ht="18.75" customHeight="1" x14ac:dyDescent="0.25">
      <c r="A42" s="5" t="s">
        <v>93</v>
      </c>
      <c r="B42" s="4">
        <f>+IF(TA_ti!B42*TA_ti!B$47*TA_ti!$BD42=0,10000,TA_ti!B42*TA_ti!B$47*TA_ti!$BD42)</f>
        <v>10000</v>
      </c>
      <c r="C42" s="4">
        <f>+IF(TA_ti!C42*TA_ti!C$47*TA_ti!$BD42=0,10000,TA_ti!C42*TA_ti!C$47*TA_ti!$BD42)</f>
        <v>10000</v>
      </c>
      <c r="D42" s="4">
        <f>+IF(TA_ti!D42*TA_ti!D$47*TA_ti!$BD42=0,10000,TA_ti!D42*TA_ti!D$47*TA_ti!$BD42)</f>
        <v>10000</v>
      </c>
      <c r="E42" s="4">
        <f>+IF(TA_ti!E42*TA_ti!E$47*TA_ti!$BD42=0,10000,TA_ti!E42*TA_ti!E$47*TA_ti!$BD42)</f>
        <v>10000</v>
      </c>
      <c r="F42" s="4">
        <f>+IF(TA_ti!F42*TA_ti!F$47*TA_ti!$BD42=0,10000,TA_ti!F42*TA_ti!F$47*TA_ti!$BD42)</f>
        <v>10000</v>
      </c>
      <c r="G42" s="4">
        <f>+IF(TA_ti!G42*TA_ti!G$47*TA_ti!$BD42=0,10000,TA_ti!G42*TA_ti!G$47*TA_ti!$BD42)</f>
        <v>10000</v>
      </c>
      <c r="H42" s="4">
        <f>+IF(TA_ti!H42*TA_ti!H$47*TA_ti!$BD42=0,10000,TA_ti!H42*TA_ti!H$47*TA_ti!$BD42)</f>
        <v>10000</v>
      </c>
      <c r="I42" s="4">
        <f>+IF(TA_ti!I42*TA_ti!I$47*TA_ti!$BD42=0,10000,TA_ti!I42*TA_ti!I$47*TA_ti!$BD42)</f>
        <v>10000</v>
      </c>
      <c r="J42" s="4">
        <f>+IF(TA_ti!J42*TA_ti!J$47*TA_ti!$BD42=0,10000,TA_ti!J42*TA_ti!J$47*TA_ti!$BD42)</f>
        <v>10000</v>
      </c>
      <c r="K42" s="4">
        <f>+IF(TA_ti!K42*TA_ti!K$47*TA_ti!$BD42=0,10000,TA_ti!K42*TA_ti!K$47*TA_ti!$BD42)</f>
        <v>10000</v>
      </c>
      <c r="L42" s="4">
        <f>+IF(TA_ti!L42*TA_ti!L$47*TA_ti!$BD42=0,10000,TA_ti!L42*TA_ti!L$47*TA_ti!$BD42)</f>
        <v>10000</v>
      </c>
      <c r="M42" s="4">
        <f>+IF(TA_ti!M42*TA_ti!M$47*TA_ti!$BD42=0,10000,TA_ti!M42*TA_ti!M$47*TA_ti!$BD42)</f>
        <v>10000</v>
      </c>
      <c r="N42" s="4">
        <f>+IF(TA_ti!N42*TA_ti!N$47*TA_ti!$BD42=0,10000,TA_ti!N42*TA_ti!N$47*TA_ti!$BD42)</f>
        <v>10000</v>
      </c>
      <c r="O42" s="4">
        <f>+IF(TA_ti!O42*TA_ti!O$47*TA_ti!$BD42=0,10000,TA_ti!O42*TA_ti!O$47*TA_ti!$BD42)</f>
        <v>10000</v>
      </c>
      <c r="P42" s="4">
        <f>+IF(TA_ti!P42*TA_ti!P$47*TA_ti!$BD42=0,10000,TA_ti!P42*TA_ti!P$47*TA_ti!$BD42)</f>
        <v>10000</v>
      </c>
      <c r="Q42" s="4">
        <f>+IF(TA_ti!Q42*TA_ti!Q$47*TA_ti!$BD42=0,10000,TA_ti!Q42*TA_ti!Q$47*TA_ti!$BD42)</f>
        <v>10000</v>
      </c>
      <c r="R42" s="4">
        <f>+IF(TA_ti!R42*TA_ti!R$47*TA_ti!$BD42=0,10000,TA_ti!R42*TA_ti!R$47*TA_ti!$BD42)</f>
        <v>10000</v>
      </c>
      <c r="S42" s="4">
        <f>+IF(TA_ti!S42*TA_ti!S$47*TA_ti!$BD42=0,10000,TA_ti!S42*TA_ti!S$47*TA_ti!$BD42)</f>
        <v>10000</v>
      </c>
      <c r="T42" s="4">
        <f>+IF(TA_ti!T42*TA_ti!T$47*TA_ti!$BD42=0,10000,TA_ti!T42*TA_ti!T$47*TA_ti!$BD42)</f>
        <v>10000</v>
      </c>
      <c r="U42" s="4">
        <f>+IF(TA_ti!U42*TA_ti!U$47*TA_ti!$BD42=0,10000,TA_ti!U42*TA_ti!U$47*TA_ti!$BD42)</f>
        <v>10000</v>
      </c>
      <c r="V42" s="4">
        <f>+IF(TA_ti!V42*TA_ti!V$47*TA_ti!$BD42=0,10000,TA_ti!V42*TA_ti!V$47*TA_ti!$BD42)</f>
        <v>10000</v>
      </c>
      <c r="W42" s="4">
        <f>+IF(TA_ti!W42*TA_ti!W$47*TA_ti!$BD42=0,10000,TA_ti!W42*TA_ti!W$47*TA_ti!$BD42)</f>
        <v>10000</v>
      </c>
      <c r="X42" s="4">
        <f>+IF(TA_ti!X42*TA_ti!X$47*TA_ti!$BD42=0,10000,TA_ti!X42*TA_ti!X$47*TA_ti!$BD42)</f>
        <v>10000</v>
      </c>
      <c r="Y42" s="4">
        <f>+IF(TA_ti!Y42*TA_ti!Y$47*TA_ti!$BD42=0,10000,TA_ti!Y42*TA_ti!Y$47*TA_ti!$BD42)</f>
        <v>10000</v>
      </c>
      <c r="Z42" s="4">
        <f>+IF(TA_ti!Z42*TA_ti!Z$47*TA_ti!$BD42=0,10000,TA_ti!Z42*TA_ti!Z$47*TA_ti!$BD42)</f>
        <v>10000</v>
      </c>
      <c r="AA42" s="4">
        <f>+IF(TA_ti!AA42*TA_ti!AA$47*TA_ti!$BD42=0,10000,TA_ti!AA42*TA_ti!AA$47*TA_ti!$BD42)</f>
        <v>10000</v>
      </c>
      <c r="AB42" s="4">
        <f>+IF(TA_ti!AB42*TA_ti!AB$47*TA_ti!$BD42=0,10000,TA_ti!AB42*TA_ti!AB$47*TA_ti!$BD42)</f>
        <v>10000</v>
      </c>
      <c r="AC42" s="4">
        <f>+IF(TA_ti!AC42*TA_ti!AC$47*TA_ti!$BD42=0,10000,TA_ti!AC42*TA_ti!AC$47*TA_ti!$BD42)</f>
        <v>10000</v>
      </c>
      <c r="AD42" s="4">
        <f>+IF(TA_ti!AD42*TA_ti!AD$47*TA_ti!$BD42=0,10000,TA_ti!AD42*TA_ti!AD$47*TA_ti!$BD42)</f>
        <v>10000</v>
      </c>
      <c r="AE42" s="4">
        <f>+IF(TA_ti!AE42*TA_ti!AE$47*TA_ti!$BD42=0,10000,TA_ti!AE42*TA_ti!AE$47*TA_ti!$BD42)</f>
        <v>10000</v>
      </c>
      <c r="AF42" s="4">
        <f>+IF(TA_ti!AF42*TA_ti!AF$47*TA_ti!$BD42=0,10000,TA_ti!AF42*TA_ti!AF$47*TA_ti!$BD42)</f>
        <v>10000</v>
      </c>
      <c r="AG42" s="4">
        <f>+IF(TA_ti!AG42*TA_ti!AG$47*TA_ti!$BD42=0,10000,TA_ti!AG42*TA_ti!AG$47*TA_ti!$BD42)</f>
        <v>10000</v>
      </c>
      <c r="AH42" s="4">
        <f>+IF(TA_ti!AH42*TA_ti!AH$47*TA_ti!$BD42=0,10000,TA_ti!AH42*TA_ti!AH$47*TA_ti!$BD42)</f>
        <v>10000</v>
      </c>
      <c r="AI42" s="4">
        <f>+IF(TA_ti!AI42*TA_ti!AI$47*TA_ti!$BD42=0,10000,TA_ti!AI42*TA_ti!AI$47*TA_ti!$BD42)</f>
        <v>10000</v>
      </c>
      <c r="AJ42" s="4">
        <f>+IF(TA_ti!AJ42*TA_ti!AJ$47*TA_ti!$BD42=0,10000,TA_ti!AJ42*TA_ti!AJ$47*TA_ti!$BD42)</f>
        <v>10000</v>
      </c>
      <c r="AK42" s="4">
        <f>+IF(TA_ti!AK42*TA_ti!AK$47*TA_ti!$BD42=0,10000,TA_ti!AK42*TA_ti!AK$47*TA_ti!$BD42)</f>
        <v>10000</v>
      </c>
      <c r="AL42" s="4">
        <f>+IF(TA_ti!AL42*TA_ti!AL$47*TA_ti!$BD42=0,10000,TA_ti!AL42*TA_ti!AL$47*TA_ti!$BD42)</f>
        <v>10000</v>
      </c>
      <c r="AM42" s="4">
        <f>+IF(TA_ti!AM42*TA_ti!AM$47*TA_ti!$BD42=0,10000,TA_ti!AM42*TA_ti!AM$47*TA_ti!$BD42)</f>
        <v>10000</v>
      </c>
      <c r="AN42" s="4">
        <f>+IF(TA_ti!AN42*TA_ti!AN$47*TA_ti!$BD42=0,10000,TA_ti!AN42*TA_ti!AN$47*TA_ti!$BD42)</f>
        <v>10000</v>
      </c>
      <c r="AO42" s="4">
        <f>+IF(TA_ti!AO42*TA_ti!AO$47*TA_ti!$BD42=0,10000,TA_ti!AO42*TA_ti!AO$47*TA_ti!$BD42)</f>
        <v>10000</v>
      </c>
      <c r="AP42" s="4">
        <f>+IF(TA_ti!AP42*TA_ti!AP$47*TA_ti!$BD42=0,10000,TA_ti!AP42*TA_ti!AP$47*TA_ti!$BD42)</f>
        <v>10000</v>
      </c>
      <c r="AQ42" s="4">
        <f>+IF(TA_ti!AQ42*TA_ti!AQ$47*TA_ti!$BD42=0,10000,TA_ti!AQ42*TA_ti!AQ$47*TA_ti!$BD42)</f>
        <v>10000</v>
      </c>
      <c r="AR42" s="4">
        <f>+IF(TA_ti!AR42*TA_ti!AR$47*TA_ti!$BD42=0,10000,TA_ti!AR42*TA_ti!AR$47*TA_ti!$BD42)</f>
        <v>10000</v>
      </c>
      <c r="AS42" s="4">
        <f>+IF(TA_ti!AS42*TA_ti!AS$47*TA_ti!$BD42=0,10000,TA_ti!AS42*TA_ti!AS$47*TA_ti!$BD42)</f>
        <v>10000</v>
      </c>
      <c r="AT42" s="4">
        <f>+IF(TA_ti!AT42*TA_ti!AT$47*TA_ti!$BD42=0,10000,TA_ti!AT42*TA_ti!AT$47*TA_ti!$BD42)</f>
        <v>10000</v>
      </c>
      <c r="AU42" s="4">
        <f>+IF(TA_ti!AU42*TA_ti!AU$47*TA_ti!$BD42=0,10000,TA_ti!AU42*TA_ti!AU$47*TA_ti!$BD42)</f>
        <v>10000</v>
      </c>
      <c r="AV42" s="4">
        <f>+IF(TA_ti!AV42*TA_ti!AV$47*TA_ti!$BD42=0,10000,TA_ti!AV42*TA_ti!AV$47*TA_ti!$BD42)</f>
        <v>10000</v>
      </c>
      <c r="AW42" s="4">
        <f>+IF(TA_ti!AW42*TA_ti!AW$47*TA_ti!$BD42=0,10000,TA_ti!AW42*TA_ti!AW$47*TA_ti!$BD42)</f>
        <v>10000</v>
      </c>
      <c r="AX42" s="4">
        <f>+IF(TA_ti!AX42*TA_ti!AX$47*TA_ti!$BD42=0,10000,TA_ti!AX42*TA_ti!AX$47*TA_ti!$BD42)</f>
        <v>10000</v>
      </c>
      <c r="AY42" s="4">
        <f>+IF(TA_ti!AY42*TA_ti!AY$47*TA_ti!$BD42=0,10000,TA_ti!AY42*TA_ti!AY$47*TA_ti!$BD42)</f>
        <v>10000</v>
      </c>
      <c r="AZ42" s="4">
        <f>+IF(TA_ti!AZ42*TA_ti!AZ$47*TA_ti!$BD42=0,10000,TA_ti!AZ42*TA_ti!AZ$47*TA_ti!$BD42)</f>
        <v>10000</v>
      </c>
      <c r="BA42" s="4">
        <f>+IF(TA_ti!BA42*TA_ti!BA$47*TA_ti!$BD42=0,10000,TA_ti!BA42*TA_ti!BA$47*TA_ti!$BD42)</f>
        <v>10000</v>
      </c>
      <c r="BB42" s="4">
        <f>+IF(TA_ti!BB42*TA_ti!BB$47*TA_ti!$BD42=0,10000,TA_ti!BB42*TA_ti!BB$47*TA_ti!$BD42)</f>
        <v>10000</v>
      </c>
      <c r="BC42" s="4">
        <f>+IF(TA_ti!BC42*TA_ti!BC$47*TA_ti!$BD42=0,10000,TA_ti!BC42*TA_ti!BC$47*TA_ti!$BD42)</f>
        <v>10000</v>
      </c>
    </row>
    <row r="43" spans="1:55" ht="18.75" customHeight="1" x14ac:dyDescent="0.25">
      <c r="A43" s="5" t="s">
        <v>94</v>
      </c>
      <c r="B43" s="4">
        <f>+IF(TA_ti!B43*TA_ti!B$47*TA_ti!$BD43=0,10000,TA_ti!B43*TA_ti!B$47*TA_ti!$BD43)</f>
        <v>10000</v>
      </c>
      <c r="C43" s="4">
        <f>+IF(TA_ti!C43*TA_ti!C$47*TA_ti!$BD43=0,10000,TA_ti!C43*TA_ti!C$47*TA_ti!$BD43)</f>
        <v>10000</v>
      </c>
      <c r="D43" s="4">
        <f>+IF(TA_ti!D43*TA_ti!D$47*TA_ti!$BD43=0,10000,TA_ti!D43*TA_ti!D$47*TA_ti!$BD43)</f>
        <v>10000</v>
      </c>
      <c r="E43" s="4">
        <f>+IF(TA_ti!E43*TA_ti!E$47*TA_ti!$BD43=0,10000,TA_ti!E43*TA_ti!E$47*TA_ti!$BD43)</f>
        <v>10000</v>
      </c>
      <c r="F43" s="4">
        <f>+IF(TA_ti!F43*TA_ti!F$47*TA_ti!$BD43=0,10000,TA_ti!F43*TA_ti!F$47*TA_ti!$BD43)</f>
        <v>10000</v>
      </c>
      <c r="G43" s="4">
        <f>+IF(TA_ti!G43*TA_ti!G$47*TA_ti!$BD43=0,10000,TA_ti!G43*TA_ti!G$47*TA_ti!$BD43)</f>
        <v>10000</v>
      </c>
      <c r="H43" s="4">
        <f>+IF(TA_ti!H43*TA_ti!H$47*TA_ti!$BD43=0,10000,TA_ti!H43*TA_ti!H$47*TA_ti!$BD43)</f>
        <v>10000</v>
      </c>
      <c r="I43" s="4">
        <f>+IF(TA_ti!I43*TA_ti!I$47*TA_ti!$BD43=0,10000,TA_ti!I43*TA_ti!I$47*TA_ti!$BD43)</f>
        <v>10000</v>
      </c>
      <c r="J43" s="4">
        <f>+IF(TA_ti!J43*TA_ti!J$47*TA_ti!$BD43=0,10000,TA_ti!J43*TA_ti!J$47*TA_ti!$BD43)</f>
        <v>10000</v>
      </c>
      <c r="K43" s="4">
        <f>+IF(TA_ti!K43*TA_ti!K$47*TA_ti!$BD43=0,10000,TA_ti!K43*TA_ti!K$47*TA_ti!$BD43)</f>
        <v>10000</v>
      </c>
      <c r="L43" s="4">
        <f>+IF(TA_ti!L43*TA_ti!L$47*TA_ti!$BD43=0,10000,TA_ti!L43*TA_ti!L$47*TA_ti!$BD43)</f>
        <v>10000</v>
      </c>
      <c r="M43" s="4">
        <f>+IF(TA_ti!M43*TA_ti!M$47*TA_ti!$BD43=0,10000,TA_ti!M43*TA_ti!M$47*TA_ti!$BD43)</f>
        <v>10000</v>
      </c>
      <c r="N43" s="4">
        <f>+IF(TA_ti!N43*TA_ti!N$47*TA_ti!$BD43=0,10000,TA_ti!N43*TA_ti!N$47*TA_ti!$BD43)</f>
        <v>10000</v>
      </c>
      <c r="O43" s="4">
        <f>+IF(TA_ti!O43*TA_ti!O$47*TA_ti!$BD43=0,10000,TA_ti!O43*TA_ti!O$47*TA_ti!$BD43)</f>
        <v>10000</v>
      </c>
      <c r="P43" s="4">
        <f>+IF(TA_ti!P43*TA_ti!P$47*TA_ti!$BD43=0,10000,TA_ti!P43*TA_ti!P$47*TA_ti!$BD43)</f>
        <v>10000</v>
      </c>
      <c r="Q43" s="4">
        <f>+IF(TA_ti!Q43*TA_ti!Q$47*TA_ti!$BD43=0,10000,TA_ti!Q43*TA_ti!Q$47*TA_ti!$BD43)</f>
        <v>10000</v>
      </c>
      <c r="R43" s="4">
        <f>+IF(TA_ti!R43*TA_ti!R$47*TA_ti!$BD43=0,10000,TA_ti!R43*TA_ti!R$47*TA_ti!$BD43)</f>
        <v>10000</v>
      </c>
      <c r="S43" s="4">
        <f>+IF(TA_ti!S43*TA_ti!S$47*TA_ti!$BD43=0,10000,TA_ti!S43*TA_ti!S$47*TA_ti!$BD43)</f>
        <v>10000</v>
      </c>
      <c r="T43" s="4">
        <f>+IF(TA_ti!T43*TA_ti!T$47*TA_ti!$BD43=0,10000,TA_ti!T43*TA_ti!T$47*TA_ti!$BD43)</f>
        <v>10000</v>
      </c>
      <c r="U43" s="4">
        <f>+IF(TA_ti!U43*TA_ti!U$47*TA_ti!$BD43=0,10000,TA_ti!U43*TA_ti!U$47*TA_ti!$BD43)</f>
        <v>10000</v>
      </c>
      <c r="V43" s="4">
        <f>+IF(TA_ti!V43*TA_ti!V$47*TA_ti!$BD43=0,10000,TA_ti!V43*TA_ti!V$47*TA_ti!$BD43)</f>
        <v>10000</v>
      </c>
      <c r="W43" s="4">
        <f>+IF(TA_ti!W43*TA_ti!W$47*TA_ti!$BD43=0,10000,TA_ti!W43*TA_ti!W$47*TA_ti!$BD43)</f>
        <v>10000</v>
      </c>
      <c r="X43" s="4">
        <f>+IF(TA_ti!X43*TA_ti!X$47*TA_ti!$BD43=0,10000,TA_ti!X43*TA_ti!X$47*TA_ti!$BD43)</f>
        <v>10000</v>
      </c>
      <c r="Y43" s="4">
        <f>+IF(TA_ti!Y43*TA_ti!Y$47*TA_ti!$BD43=0,10000,TA_ti!Y43*TA_ti!Y$47*TA_ti!$BD43)</f>
        <v>10000</v>
      </c>
      <c r="Z43" s="4">
        <f>+IF(TA_ti!Z43*TA_ti!Z$47*TA_ti!$BD43=0,10000,TA_ti!Z43*TA_ti!Z$47*TA_ti!$BD43)</f>
        <v>10000</v>
      </c>
      <c r="AA43" s="4">
        <f>+IF(TA_ti!AA43*TA_ti!AA$47*TA_ti!$BD43=0,10000,TA_ti!AA43*TA_ti!AA$47*TA_ti!$BD43)</f>
        <v>10</v>
      </c>
      <c r="AB43" s="4">
        <f>+IF(TA_ti!AB43*TA_ti!AB$47*TA_ti!$BD43=0,10000,TA_ti!AB43*TA_ti!AB$47*TA_ti!$BD43)</f>
        <v>10000</v>
      </c>
      <c r="AC43" s="4">
        <f>+IF(TA_ti!AC43*TA_ti!AC$47*TA_ti!$BD43=0,10000,TA_ti!AC43*TA_ti!AC$47*TA_ti!$BD43)</f>
        <v>10000</v>
      </c>
      <c r="AD43" s="4">
        <f>+IF(TA_ti!AD43*TA_ti!AD$47*TA_ti!$BD43=0,10000,TA_ti!AD43*TA_ti!AD$47*TA_ti!$BD43)</f>
        <v>10000</v>
      </c>
      <c r="AE43" s="4">
        <f>+IF(TA_ti!AE43*TA_ti!AE$47*TA_ti!$BD43=0,10000,TA_ti!AE43*TA_ti!AE$47*TA_ti!$BD43)</f>
        <v>10000</v>
      </c>
      <c r="AF43" s="4">
        <f>+IF(TA_ti!AF43*TA_ti!AF$47*TA_ti!$BD43=0,10000,TA_ti!AF43*TA_ti!AF$47*TA_ti!$BD43)</f>
        <v>10</v>
      </c>
      <c r="AG43" s="4">
        <f>+IF(TA_ti!AG43*TA_ti!AG$47*TA_ti!$BD43=0,10000,TA_ti!AG43*TA_ti!AG$47*TA_ti!$BD43)</f>
        <v>30</v>
      </c>
      <c r="AH43" s="4">
        <f>+IF(TA_ti!AH43*TA_ti!AH$47*TA_ti!$BD43=0,10000,TA_ti!AH43*TA_ti!AH$47*TA_ti!$BD43)</f>
        <v>10000</v>
      </c>
      <c r="AI43" s="4">
        <f>+IF(TA_ti!AI43*TA_ti!AI$47*TA_ti!$BD43=0,10000,TA_ti!AI43*TA_ti!AI$47*TA_ti!$BD43)</f>
        <v>10000</v>
      </c>
      <c r="AJ43" s="4">
        <f>+IF(TA_ti!AJ43*TA_ti!AJ$47*TA_ti!$BD43=0,10000,TA_ti!AJ43*TA_ti!AJ$47*TA_ti!$BD43)</f>
        <v>10000</v>
      </c>
      <c r="AK43" s="4">
        <f>+IF(TA_ti!AK43*TA_ti!AK$47*TA_ti!$BD43=0,10000,TA_ti!AK43*TA_ti!AK$47*TA_ti!$BD43)</f>
        <v>10000</v>
      </c>
      <c r="AL43" s="4">
        <f>+IF(TA_ti!AL43*TA_ti!AL$47*TA_ti!$BD43=0,10000,TA_ti!AL43*TA_ti!AL$47*TA_ti!$BD43)</f>
        <v>10000</v>
      </c>
      <c r="AM43" s="4">
        <f>+IF(TA_ti!AM43*TA_ti!AM$47*TA_ti!$BD43=0,10000,TA_ti!AM43*TA_ti!AM$47*TA_ti!$BD43)</f>
        <v>10000</v>
      </c>
      <c r="AN43" s="4">
        <f>+IF(TA_ti!AN43*TA_ti!AN$47*TA_ti!$BD43=0,10000,TA_ti!AN43*TA_ti!AN$47*TA_ti!$BD43)</f>
        <v>10000</v>
      </c>
      <c r="AO43" s="4">
        <f>+IF(TA_ti!AO43*TA_ti!AO$47*TA_ti!$BD43=0,10000,TA_ti!AO43*TA_ti!AO$47*TA_ti!$BD43)</f>
        <v>10000</v>
      </c>
      <c r="AP43" s="4">
        <f>+IF(TA_ti!AP43*TA_ti!AP$47*TA_ti!$BD43=0,10000,TA_ti!AP43*TA_ti!AP$47*TA_ti!$BD43)</f>
        <v>10000</v>
      </c>
      <c r="AQ43" s="4">
        <f>+IF(TA_ti!AQ43*TA_ti!AQ$47*TA_ti!$BD43=0,10000,TA_ti!AQ43*TA_ti!AQ$47*TA_ti!$BD43)</f>
        <v>10000</v>
      </c>
      <c r="AR43" s="4">
        <f>+IF(TA_ti!AR43*TA_ti!AR$47*TA_ti!$BD43=0,10000,TA_ti!AR43*TA_ti!AR$47*TA_ti!$BD43)</f>
        <v>10000</v>
      </c>
      <c r="AS43" s="4">
        <f>+IF(TA_ti!AS43*TA_ti!AS$47*TA_ti!$BD43=0,10000,TA_ti!AS43*TA_ti!AS$47*TA_ti!$BD43)</f>
        <v>10000</v>
      </c>
      <c r="AT43" s="4">
        <f>+IF(TA_ti!AT43*TA_ti!AT$47*TA_ti!$BD43=0,10000,TA_ti!AT43*TA_ti!AT$47*TA_ti!$BD43)</f>
        <v>10000</v>
      </c>
      <c r="AU43" s="4">
        <f>+IF(TA_ti!AU43*TA_ti!AU$47*TA_ti!$BD43=0,10000,TA_ti!AU43*TA_ti!AU$47*TA_ti!$BD43)</f>
        <v>10000</v>
      </c>
      <c r="AV43" s="4">
        <f>+IF(TA_ti!AV43*TA_ti!AV$47*TA_ti!$BD43=0,10000,TA_ti!AV43*TA_ti!AV$47*TA_ti!$BD43)</f>
        <v>10000</v>
      </c>
      <c r="AW43" s="4">
        <f>+IF(TA_ti!AW43*TA_ti!AW$47*TA_ti!$BD43=0,10000,TA_ti!AW43*TA_ti!AW$47*TA_ti!$BD43)</f>
        <v>10000</v>
      </c>
      <c r="AX43" s="4">
        <f>+IF(TA_ti!AX43*TA_ti!AX$47*TA_ti!$BD43=0,10000,TA_ti!AX43*TA_ti!AX$47*TA_ti!$BD43)</f>
        <v>10000</v>
      </c>
      <c r="AY43" s="4">
        <f>+IF(TA_ti!AY43*TA_ti!AY$47*TA_ti!$BD43=0,10000,TA_ti!AY43*TA_ti!AY$47*TA_ti!$BD43)</f>
        <v>10000</v>
      </c>
      <c r="AZ43" s="4">
        <f>+IF(TA_ti!AZ43*TA_ti!AZ$47*TA_ti!$BD43=0,10000,TA_ti!AZ43*TA_ti!AZ$47*TA_ti!$BD43)</f>
        <v>10000</v>
      </c>
      <c r="BA43" s="4">
        <f>+IF(TA_ti!BA43*TA_ti!BA$47*TA_ti!$BD43=0,10000,TA_ti!BA43*TA_ti!BA$47*TA_ti!$BD43)</f>
        <v>10000</v>
      </c>
      <c r="BB43" s="4">
        <f>+IF(TA_ti!BB43*TA_ti!BB$47*TA_ti!$BD43=0,10000,TA_ti!BB43*TA_ti!BB$47*TA_ti!$BD43)</f>
        <v>10000</v>
      </c>
      <c r="BC43" s="4">
        <f>+IF(TA_ti!BC43*TA_ti!BC$47*TA_ti!$BD43=0,10000,TA_ti!BC43*TA_ti!BC$47*TA_ti!$BD43)</f>
        <v>10000</v>
      </c>
    </row>
    <row r="44" spans="1:55" ht="18.75" customHeight="1" x14ac:dyDescent="0.25">
      <c r="A44" s="5" t="s">
        <v>95</v>
      </c>
      <c r="B44" s="4">
        <f>+IF(TA_ti!B44*TA_ti!B$47*TA_ti!$BD44=0,10000,TA_ti!B44*TA_ti!B$47*TA_ti!$BD44)</f>
        <v>10000</v>
      </c>
      <c r="C44" s="4">
        <f>+IF(TA_ti!C44*TA_ti!C$47*TA_ti!$BD44=0,10000,TA_ti!C44*TA_ti!C$47*TA_ti!$BD44)</f>
        <v>10000</v>
      </c>
      <c r="D44" s="4">
        <f>+IF(TA_ti!D44*TA_ti!D$47*TA_ti!$BD44=0,10000,TA_ti!D44*TA_ti!D$47*TA_ti!$BD44)</f>
        <v>10000</v>
      </c>
      <c r="E44" s="4">
        <f>+IF(TA_ti!E44*TA_ti!E$47*TA_ti!$BD44=0,10000,TA_ti!E44*TA_ti!E$47*TA_ti!$BD44)</f>
        <v>10000</v>
      </c>
      <c r="F44" s="4">
        <f>+IF(TA_ti!F44*TA_ti!F$47*TA_ti!$BD44=0,10000,TA_ti!F44*TA_ti!F$47*TA_ti!$BD44)</f>
        <v>10000</v>
      </c>
      <c r="G44" s="4">
        <f>+IF(TA_ti!G44*TA_ti!G$47*TA_ti!$BD44=0,10000,TA_ti!G44*TA_ti!G$47*TA_ti!$BD44)</f>
        <v>10000</v>
      </c>
      <c r="H44" s="4">
        <f>+IF(TA_ti!H44*TA_ti!H$47*TA_ti!$BD44=0,10000,TA_ti!H44*TA_ti!H$47*TA_ti!$BD44)</f>
        <v>10000</v>
      </c>
      <c r="I44" s="4">
        <f>+IF(TA_ti!I44*TA_ti!I$47*TA_ti!$BD44=0,10000,TA_ti!I44*TA_ti!I$47*TA_ti!$BD44)</f>
        <v>10000</v>
      </c>
      <c r="J44" s="4">
        <f>+IF(TA_ti!J44*TA_ti!J$47*TA_ti!$BD44=0,10000,TA_ti!J44*TA_ti!J$47*TA_ti!$BD44)</f>
        <v>10000</v>
      </c>
      <c r="K44" s="4">
        <f>+IF(TA_ti!K44*TA_ti!K$47*TA_ti!$BD44=0,10000,TA_ti!K44*TA_ti!K$47*TA_ti!$BD44)</f>
        <v>10000</v>
      </c>
      <c r="L44" s="4">
        <f>+IF(TA_ti!L44*TA_ti!L$47*TA_ti!$BD44=0,10000,TA_ti!L44*TA_ti!L$47*TA_ti!$BD44)</f>
        <v>10000</v>
      </c>
      <c r="M44" s="4">
        <f>+IF(TA_ti!M44*TA_ti!M$47*TA_ti!$BD44=0,10000,TA_ti!M44*TA_ti!M$47*TA_ti!$BD44)</f>
        <v>10000</v>
      </c>
      <c r="N44" s="4">
        <f>+IF(TA_ti!N44*TA_ti!N$47*TA_ti!$BD44=0,10000,TA_ti!N44*TA_ti!N$47*TA_ti!$BD44)</f>
        <v>10000</v>
      </c>
      <c r="O44" s="4">
        <f>+IF(TA_ti!O44*TA_ti!O$47*TA_ti!$BD44=0,10000,TA_ti!O44*TA_ti!O$47*TA_ti!$BD44)</f>
        <v>10000</v>
      </c>
      <c r="P44" s="4">
        <f>+IF(TA_ti!P44*TA_ti!P$47*TA_ti!$BD44=0,10000,TA_ti!P44*TA_ti!P$47*TA_ti!$BD44)</f>
        <v>10000</v>
      </c>
      <c r="Q44" s="4">
        <f>+IF(TA_ti!Q44*TA_ti!Q$47*TA_ti!$BD44=0,10000,TA_ti!Q44*TA_ti!Q$47*TA_ti!$BD44)</f>
        <v>10000</v>
      </c>
      <c r="R44" s="4">
        <f>+IF(TA_ti!R44*TA_ti!R$47*TA_ti!$BD44=0,10000,TA_ti!R44*TA_ti!R$47*TA_ti!$BD44)</f>
        <v>10000</v>
      </c>
      <c r="S44" s="4">
        <f>+IF(TA_ti!S44*TA_ti!S$47*TA_ti!$BD44=0,10000,TA_ti!S44*TA_ti!S$47*TA_ti!$BD44)</f>
        <v>10000</v>
      </c>
      <c r="T44" s="4">
        <f>+IF(TA_ti!T44*TA_ti!T$47*TA_ti!$BD44=0,10000,TA_ti!T44*TA_ti!T$47*TA_ti!$BD44)</f>
        <v>10000</v>
      </c>
      <c r="U44" s="4">
        <f>+IF(TA_ti!U44*TA_ti!U$47*TA_ti!$BD44=0,10000,TA_ti!U44*TA_ti!U$47*TA_ti!$BD44)</f>
        <v>10000</v>
      </c>
      <c r="V44" s="4">
        <f>+IF(TA_ti!V44*TA_ti!V$47*TA_ti!$BD44=0,10000,TA_ti!V44*TA_ti!V$47*TA_ti!$BD44)</f>
        <v>10000</v>
      </c>
      <c r="W44" s="4">
        <f>+IF(TA_ti!W44*TA_ti!W$47*TA_ti!$BD44=0,10000,TA_ti!W44*TA_ti!W$47*TA_ti!$BD44)</f>
        <v>10000</v>
      </c>
      <c r="X44" s="4">
        <f>+IF(TA_ti!X44*TA_ti!X$47*TA_ti!$BD44=0,10000,TA_ti!X44*TA_ti!X$47*TA_ti!$BD44)</f>
        <v>10000</v>
      </c>
      <c r="Y44" s="4">
        <f>+IF(TA_ti!Y44*TA_ti!Y$47*TA_ti!$BD44=0,10000,TA_ti!Y44*TA_ti!Y$47*TA_ti!$BD44)</f>
        <v>10000</v>
      </c>
      <c r="Z44" s="4">
        <f>+IF(TA_ti!Z44*TA_ti!Z$47*TA_ti!$BD44=0,10000,TA_ti!Z44*TA_ti!Z$47*TA_ti!$BD44)</f>
        <v>10000</v>
      </c>
      <c r="AA44" s="4">
        <f>+IF(TA_ti!AA44*TA_ti!AA$47*TA_ti!$BD44=0,10000,TA_ti!AA44*TA_ti!AA$47*TA_ti!$BD44)</f>
        <v>10</v>
      </c>
      <c r="AB44" s="4">
        <f>+IF(TA_ti!AB44*TA_ti!AB$47*TA_ti!$BD44=0,10000,TA_ti!AB44*TA_ti!AB$47*TA_ti!$BD44)</f>
        <v>10000</v>
      </c>
      <c r="AC44" s="4">
        <f>+IF(TA_ti!AC44*TA_ti!AC$47*TA_ti!$BD44=0,10000,TA_ti!AC44*TA_ti!AC$47*TA_ti!$BD44)</f>
        <v>10000</v>
      </c>
      <c r="AD44" s="4">
        <f>+IF(TA_ti!AD44*TA_ti!AD$47*TA_ti!$BD44=0,10000,TA_ti!AD44*TA_ti!AD$47*TA_ti!$BD44)</f>
        <v>10000</v>
      </c>
      <c r="AE44" s="4">
        <f>+IF(TA_ti!AE44*TA_ti!AE$47*TA_ti!$BD44=0,10000,TA_ti!AE44*TA_ti!AE$47*TA_ti!$BD44)</f>
        <v>10000</v>
      </c>
      <c r="AF44" s="4">
        <f>+IF(TA_ti!AF44*TA_ti!AF$47*TA_ti!$BD44=0,10000,TA_ti!AF44*TA_ti!AF$47*TA_ti!$BD44)</f>
        <v>10</v>
      </c>
      <c r="AG44" s="4">
        <f>+IF(TA_ti!AG44*TA_ti!AG$47*TA_ti!$BD44=0,10000,TA_ti!AG44*TA_ti!AG$47*TA_ti!$BD44)</f>
        <v>30</v>
      </c>
      <c r="AH44" s="4">
        <f>+IF(TA_ti!AH44*TA_ti!AH$47*TA_ti!$BD44=0,10000,TA_ti!AH44*TA_ti!AH$47*TA_ti!$BD44)</f>
        <v>10000</v>
      </c>
      <c r="AI44" s="4">
        <f>+IF(TA_ti!AI44*TA_ti!AI$47*TA_ti!$BD44=0,10000,TA_ti!AI44*TA_ti!AI$47*TA_ti!$BD44)</f>
        <v>10000</v>
      </c>
      <c r="AJ44" s="4">
        <f>+IF(TA_ti!AJ44*TA_ti!AJ$47*TA_ti!$BD44=0,10000,TA_ti!AJ44*TA_ti!AJ$47*TA_ti!$BD44)</f>
        <v>10000</v>
      </c>
      <c r="AK44" s="4">
        <f>+IF(TA_ti!AK44*TA_ti!AK$47*TA_ti!$BD44=0,10000,TA_ti!AK44*TA_ti!AK$47*TA_ti!$BD44)</f>
        <v>10000</v>
      </c>
      <c r="AL44" s="4">
        <f>+IF(TA_ti!AL44*TA_ti!AL$47*TA_ti!$BD44=0,10000,TA_ti!AL44*TA_ti!AL$47*TA_ti!$BD44)</f>
        <v>10000</v>
      </c>
      <c r="AM44" s="4">
        <f>+IF(TA_ti!AM44*TA_ti!AM$47*TA_ti!$BD44=0,10000,TA_ti!AM44*TA_ti!AM$47*TA_ti!$BD44)</f>
        <v>10000</v>
      </c>
      <c r="AN44" s="4">
        <f>+IF(TA_ti!AN44*TA_ti!AN$47*TA_ti!$BD44=0,10000,TA_ti!AN44*TA_ti!AN$47*TA_ti!$BD44)</f>
        <v>10000</v>
      </c>
      <c r="AO44" s="4">
        <f>+IF(TA_ti!AO44*TA_ti!AO$47*TA_ti!$BD44=0,10000,TA_ti!AO44*TA_ti!AO$47*TA_ti!$BD44)</f>
        <v>10000</v>
      </c>
      <c r="AP44" s="4">
        <f>+IF(TA_ti!AP44*TA_ti!AP$47*TA_ti!$BD44=0,10000,TA_ti!AP44*TA_ti!AP$47*TA_ti!$BD44)</f>
        <v>10000</v>
      </c>
      <c r="AQ44" s="4">
        <f>+IF(TA_ti!AQ44*TA_ti!AQ$47*TA_ti!$BD44=0,10000,TA_ti!AQ44*TA_ti!AQ$47*TA_ti!$BD44)</f>
        <v>10000</v>
      </c>
      <c r="AR44" s="4">
        <f>+IF(TA_ti!AR44*TA_ti!AR$47*TA_ti!$BD44=0,10000,TA_ti!AR44*TA_ti!AR$47*TA_ti!$BD44)</f>
        <v>10000</v>
      </c>
      <c r="AS44" s="4">
        <f>+IF(TA_ti!AS44*TA_ti!AS$47*TA_ti!$BD44=0,10000,TA_ti!AS44*TA_ti!AS$47*TA_ti!$BD44)</f>
        <v>10000</v>
      </c>
      <c r="AT44" s="4">
        <f>+IF(TA_ti!AT44*TA_ti!AT$47*TA_ti!$BD44=0,10000,TA_ti!AT44*TA_ti!AT$47*TA_ti!$BD44)</f>
        <v>10000</v>
      </c>
      <c r="AU44" s="4">
        <f>+IF(TA_ti!AU44*TA_ti!AU$47*TA_ti!$BD44=0,10000,TA_ti!AU44*TA_ti!AU$47*TA_ti!$BD44)</f>
        <v>10000</v>
      </c>
      <c r="AV44" s="4">
        <f>+IF(TA_ti!AV44*TA_ti!AV$47*TA_ti!$BD44=0,10000,TA_ti!AV44*TA_ti!AV$47*TA_ti!$BD44)</f>
        <v>10000</v>
      </c>
      <c r="AW44" s="4">
        <f>+IF(TA_ti!AW44*TA_ti!AW$47*TA_ti!$BD44=0,10000,TA_ti!AW44*TA_ti!AW$47*TA_ti!$BD44)</f>
        <v>10000</v>
      </c>
      <c r="AX44" s="4">
        <f>+IF(TA_ti!AX44*TA_ti!AX$47*TA_ti!$BD44=0,10000,TA_ti!AX44*TA_ti!AX$47*TA_ti!$BD44)</f>
        <v>10000</v>
      </c>
      <c r="AY44" s="4">
        <f>+IF(TA_ti!AY44*TA_ti!AY$47*TA_ti!$BD44=0,10000,TA_ti!AY44*TA_ti!AY$47*TA_ti!$BD44)</f>
        <v>10000</v>
      </c>
      <c r="AZ44" s="4">
        <f>+IF(TA_ti!AZ44*TA_ti!AZ$47*TA_ti!$BD44=0,10000,TA_ti!AZ44*TA_ti!AZ$47*TA_ti!$BD44)</f>
        <v>10000</v>
      </c>
      <c r="BA44" s="4">
        <f>+IF(TA_ti!BA44*TA_ti!BA$47*TA_ti!$BD44=0,10000,TA_ti!BA44*TA_ti!BA$47*TA_ti!$BD44)</f>
        <v>10000</v>
      </c>
      <c r="BB44" s="4">
        <f>+IF(TA_ti!BB44*TA_ti!BB$47*TA_ti!$BD44=0,10000,TA_ti!BB44*TA_ti!BB$47*TA_ti!$BD44)</f>
        <v>10000</v>
      </c>
      <c r="BC44" s="4">
        <f>+IF(TA_ti!BC44*TA_ti!BC$47*TA_ti!$BD44=0,10000,TA_ti!BC44*TA_ti!BC$47*TA_ti!$BD44)</f>
        <v>10000</v>
      </c>
    </row>
    <row r="45" spans="1:55" ht="18.75" customHeight="1" x14ac:dyDescent="0.25">
      <c r="A45" s="5" t="s">
        <v>96</v>
      </c>
      <c r="B45" s="4">
        <f>+IF(TA_ti!B45*TA_ti!B$47*TA_ti!$BD45=0,10000,TA_ti!B45*TA_ti!B$47*TA_ti!$BD45)</f>
        <v>10000</v>
      </c>
      <c r="C45" s="4">
        <f>+IF(TA_ti!C45*TA_ti!C$47*TA_ti!$BD45=0,10000,TA_ti!C45*TA_ti!C$47*TA_ti!$BD45)</f>
        <v>10000</v>
      </c>
      <c r="D45" s="4">
        <f>+IF(TA_ti!D45*TA_ti!D$47*TA_ti!$BD45=0,10000,TA_ti!D45*TA_ti!D$47*TA_ti!$BD45)</f>
        <v>10000</v>
      </c>
      <c r="E45" s="4">
        <f>+IF(TA_ti!E45*TA_ti!E$47*TA_ti!$BD45=0,10000,TA_ti!E45*TA_ti!E$47*TA_ti!$BD45)</f>
        <v>10000</v>
      </c>
      <c r="F45" s="4">
        <f>+IF(TA_ti!F45*TA_ti!F$47*TA_ti!$BD45=0,10000,TA_ti!F45*TA_ti!F$47*TA_ti!$BD45)</f>
        <v>10000</v>
      </c>
      <c r="G45" s="4">
        <f>+IF(TA_ti!G45*TA_ti!G$47*TA_ti!$BD45=0,10000,TA_ti!G45*TA_ti!G$47*TA_ti!$BD45)</f>
        <v>10000</v>
      </c>
      <c r="H45" s="4">
        <f>+IF(TA_ti!H45*TA_ti!H$47*TA_ti!$BD45=0,10000,TA_ti!H45*TA_ti!H$47*TA_ti!$BD45)</f>
        <v>10000</v>
      </c>
      <c r="I45" s="4">
        <f>+IF(TA_ti!I45*TA_ti!I$47*TA_ti!$BD45=0,10000,TA_ti!I45*TA_ti!I$47*TA_ti!$BD45)</f>
        <v>10000</v>
      </c>
      <c r="J45" s="4">
        <f>+IF(TA_ti!J45*TA_ti!J$47*TA_ti!$BD45=0,10000,TA_ti!J45*TA_ti!J$47*TA_ti!$BD45)</f>
        <v>10000</v>
      </c>
      <c r="K45" s="4">
        <f>+IF(TA_ti!K45*TA_ti!K$47*TA_ti!$BD45=0,10000,TA_ti!K45*TA_ti!K$47*TA_ti!$BD45)</f>
        <v>10000</v>
      </c>
      <c r="L45" s="4">
        <f>+IF(TA_ti!L45*TA_ti!L$47*TA_ti!$BD45=0,10000,TA_ti!L45*TA_ti!L$47*TA_ti!$BD45)</f>
        <v>10000</v>
      </c>
      <c r="M45" s="4">
        <f>+IF(TA_ti!M45*TA_ti!M$47*TA_ti!$BD45=0,10000,TA_ti!M45*TA_ti!M$47*TA_ti!$BD45)</f>
        <v>10000</v>
      </c>
      <c r="N45" s="4">
        <f>+IF(TA_ti!N45*TA_ti!N$47*TA_ti!$BD45=0,10000,TA_ti!N45*TA_ti!N$47*TA_ti!$BD45)</f>
        <v>10000</v>
      </c>
      <c r="O45" s="4">
        <f>+IF(TA_ti!O45*TA_ti!O$47*TA_ti!$BD45=0,10000,TA_ti!O45*TA_ti!O$47*TA_ti!$BD45)</f>
        <v>10000</v>
      </c>
      <c r="P45" s="4">
        <f>+IF(TA_ti!P45*TA_ti!P$47*TA_ti!$BD45=0,10000,TA_ti!P45*TA_ti!P$47*TA_ti!$BD45)</f>
        <v>10000</v>
      </c>
      <c r="Q45" s="4">
        <f>+IF(TA_ti!Q45*TA_ti!Q$47*TA_ti!$BD45=0,10000,TA_ti!Q45*TA_ti!Q$47*TA_ti!$BD45)</f>
        <v>10000</v>
      </c>
      <c r="R45" s="4">
        <f>+IF(TA_ti!R45*TA_ti!R$47*TA_ti!$BD45=0,10000,TA_ti!R45*TA_ti!R$47*TA_ti!$BD45)</f>
        <v>10000</v>
      </c>
      <c r="S45" s="4">
        <f>+IF(TA_ti!S45*TA_ti!S$47*TA_ti!$BD45=0,10000,TA_ti!S45*TA_ti!S$47*TA_ti!$BD45)</f>
        <v>10000</v>
      </c>
      <c r="T45" s="4">
        <f>+IF(TA_ti!T45*TA_ti!T$47*TA_ti!$BD45=0,10000,TA_ti!T45*TA_ti!T$47*TA_ti!$BD45)</f>
        <v>10000</v>
      </c>
      <c r="U45" s="4">
        <f>+IF(TA_ti!U45*TA_ti!U$47*TA_ti!$BD45=0,10000,TA_ti!U45*TA_ti!U$47*TA_ti!$BD45)</f>
        <v>10000</v>
      </c>
      <c r="V45" s="4">
        <f>+IF(TA_ti!V45*TA_ti!V$47*TA_ti!$BD45=0,10000,TA_ti!V45*TA_ti!V$47*TA_ti!$BD45)</f>
        <v>10000</v>
      </c>
      <c r="W45" s="4">
        <f>+IF(TA_ti!W45*TA_ti!W$47*TA_ti!$BD45=0,10000,TA_ti!W45*TA_ti!W$47*TA_ti!$BD45)</f>
        <v>10000</v>
      </c>
      <c r="X45" s="4">
        <f>+IF(TA_ti!X45*TA_ti!X$47*TA_ti!$BD45=0,10000,TA_ti!X45*TA_ti!X$47*TA_ti!$BD45)</f>
        <v>10000</v>
      </c>
      <c r="Y45" s="4">
        <f>+IF(TA_ti!Y45*TA_ti!Y$47*TA_ti!$BD45=0,10000,TA_ti!Y45*TA_ti!Y$47*TA_ti!$BD45)</f>
        <v>10000</v>
      </c>
      <c r="Z45" s="4">
        <f>+IF(TA_ti!Z45*TA_ti!Z$47*TA_ti!$BD45=0,10000,TA_ti!Z45*TA_ti!Z$47*TA_ti!$BD45)</f>
        <v>10000</v>
      </c>
      <c r="AA45" s="4">
        <f>+IF(TA_ti!AA45*TA_ti!AA$47*TA_ti!$BD45=0,10000,TA_ti!AA45*TA_ti!AA$47*TA_ti!$BD45)</f>
        <v>10</v>
      </c>
      <c r="AB45" s="4">
        <f>+IF(TA_ti!AB45*TA_ti!AB$47*TA_ti!$BD45=0,10000,TA_ti!AB45*TA_ti!AB$47*TA_ti!$BD45)</f>
        <v>10000</v>
      </c>
      <c r="AC45" s="4">
        <f>+IF(TA_ti!AC45*TA_ti!AC$47*TA_ti!$BD45=0,10000,TA_ti!AC45*TA_ti!AC$47*TA_ti!$BD45)</f>
        <v>10000</v>
      </c>
      <c r="AD45" s="4">
        <f>+IF(TA_ti!AD45*TA_ti!AD$47*TA_ti!$BD45=0,10000,TA_ti!AD45*TA_ti!AD$47*TA_ti!$BD45)</f>
        <v>10000</v>
      </c>
      <c r="AE45" s="4">
        <f>+IF(TA_ti!AE45*TA_ti!AE$47*TA_ti!$BD45=0,10000,TA_ti!AE45*TA_ti!AE$47*TA_ti!$BD45)</f>
        <v>10000</v>
      </c>
      <c r="AF45" s="4">
        <f>+IF(TA_ti!AF45*TA_ti!AF$47*TA_ti!$BD45=0,10000,TA_ti!AF45*TA_ti!AF$47*TA_ti!$BD45)</f>
        <v>10</v>
      </c>
      <c r="AG45" s="4">
        <f>+IF(TA_ti!AG45*TA_ti!AG$47*TA_ti!$BD45=0,10000,TA_ti!AG45*TA_ti!AG$47*TA_ti!$BD45)</f>
        <v>30</v>
      </c>
      <c r="AH45" s="4">
        <f>+IF(TA_ti!AH45*TA_ti!AH$47*TA_ti!$BD45=0,10000,TA_ti!AH45*TA_ti!AH$47*TA_ti!$BD45)</f>
        <v>10000</v>
      </c>
      <c r="AI45" s="4">
        <f>+IF(TA_ti!AI45*TA_ti!AI$47*TA_ti!$BD45=0,10000,TA_ti!AI45*TA_ti!AI$47*TA_ti!$BD45)</f>
        <v>10000</v>
      </c>
      <c r="AJ45" s="4">
        <f>+IF(TA_ti!AJ45*TA_ti!AJ$47*TA_ti!$BD45=0,10000,TA_ti!AJ45*TA_ti!AJ$47*TA_ti!$BD45)</f>
        <v>10000</v>
      </c>
      <c r="AK45" s="4">
        <f>+IF(TA_ti!AK45*TA_ti!AK$47*TA_ti!$BD45=0,10000,TA_ti!AK45*TA_ti!AK$47*TA_ti!$BD45)</f>
        <v>10000</v>
      </c>
      <c r="AL45" s="4">
        <f>+IF(TA_ti!AL45*TA_ti!AL$47*TA_ti!$BD45=0,10000,TA_ti!AL45*TA_ti!AL$47*TA_ti!$BD45)</f>
        <v>10000</v>
      </c>
      <c r="AM45" s="4">
        <f>+IF(TA_ti!AM45*TA_ti!AM$47*TA_ti!$BD45=0,10000,TA_ti!AM45*TA_ti!AM$47*TA_ti!$BD45)</f>
        <v>10000</v>
      </c>
      <c r="AN45" s="4">
        <f>+IF(TA_ti!AN45*TA_ti!AN$47*TA_ti!$BD45=0,10000,TA_ti!AN45*TA_ti!AN$47*TA_ti!$BD45)</f>
        <v>10000</v>
      </c>
      <c r="AO45" s="4">
        <f>+IF(TA_ti!AO45*TA_ti!AO$47*TA_ti!$BD45=0,10000,TA_ti!AO45*TA_ti!AO$47*TA_ti!$BD45)</f>
        <v>10000</v>
      </c>
      <c r="AP45" s="4">
        <f>+IF(TA_ti!AP45*TA_ti!AP$47*TA_ti!$BD45=0,10000,TA_ti!AP45*TA_ti!AP$47*TA_ti!$BD45)</f>
        <v>10000</v>
      </c>
      <c r="AQ45" s="4">
        <f>+IF(TA_ti!AQ45*TA_ti!AQ$47*TA_ti!$BD45=0,10000,TA_ti!AQ45*TA_ti!AQ$47*TA_ti!$BD45)</f>
        <v>10000</v>
      </c>
      <c r="AR45" s="4">
        <f>+IF(TA_ti!AR45*TA_ti!AR$47*TA_ti!$BD45=0,10000,TA_ti!AR45*TA_ti!AR$47*TA_ti!$BD45)</f>
        <v>10000</v>
      </c>
      <c r="AS45" s="4">
        <f>+IF(TA_ti!AS45*TA_ti!AS$47*TA_ti!$BD45=0,10000,TA_ti!AS45*TA_ti!AS$47*TA_ti!$BD45)</f>
        <v>10000</v>
      </c>
      <c r="AT45" s="4">
        <f>+IF(TA_ti!AT45*TA_ti!AT$47*TA_ti!$BD45=0,10000,TA_ti!AT45*TA_ti!AT$47*TA_ti!$BD45)</f>
        <v>10000</v>
      </c>
      <c r="AU45" s="4">
        <f>+IF(TA_ti!AU45*TA_ti!AU$47*TA_ti!$BD45=0,10000,TA_ti!AU45*TA_ti!AU$47*TA_ti!$BD45)</f>
        <v>10000</v>
      </c>
      <c r="AV45" s="4">
        <f>+IF(TA_ti!AV45*TA_ti!AV$47*TA_ti!$BD45=0,10000,TA_ti!AV45*TA_ti!AV$47*TA_ti!$BD45)</f>
        <v>10000</v>
      </c>
      <c r="AW45" s="4">
        <f>+IF(TA_ti!AW45*TA_ti!AW$47*TA_ti!$BD45=0,10000,TA_ti!AW45*TA_ti!AW$47*TA_ti!$BD45)</f>
        <v>10000</v>
      </c>
      <c r="AX45" s="4">
        <f>+IF(TA_ti!AX45*TA_ti!AX$47*TA_ti!$BD45=0,10000,TA_ti!AX45*TA_ti!AX$47*TA_ti!$BD45)</f>
        <v>10000</v>
      </c>
      <c r="AY45" s="4">
        <f>+IF(TA_ti!AY45*TA_ti!AY$47*TA_ti!$BD45=0,10000,TA_ti!AY45*TA_ti!AY$47*TA_ti!$BD45)</f>
        <v>10000</v>
      </c>
      <c r="AZ45" s="4">
        <f>+IF(TA_ti!AZ45*TA_ti!AZ$47*TA_ti!$BD45=0,10000,TA_ti!AZ45*TA_ti!AZ$47*TA_ti!$BD45)</f>
        <v>10000</v>
      </c>
      <c r="BA45" s="4">
        <f>+IF(TA_ti!BA45*TA_ti!BA$47*TA_ti!$BD45=0,10000,TA_ti!BA45*TA_ti!BA$47*TA_ti!$BD45)</f>
        <v>10000</v>
      </c>
      <c r="BB45" s="4">
        <f>+IF(TA_ti!BB45*TA_ti!BB$47*TA_ti!$BD45=0,10000,TA_ti!BB45*TA_ti!BB$47*TA_ti!$BD45)</f>
        <v>10000</v>
      </c>
      <c r="BC45" s="4">
        <f>+IF(TA_ti!BC45*TA_ti!BC$47*TA_ti!$BD45=0,10000,TA_ti!BC45*TA_ti!BC$47*TA_ti!$BD45)</f>
        <v>10000</v>
      </c>
    </row>
    <row r="46" spans="1:55" ht="18.75" customHeight="1" x14ac:dyDescent="0.25">
      <c r="A46" s="6" t="s">
        <v>97</v>
      </c>
      <c r="B46" s="4">
        <f>+IF(TA_ti!B46*TA_ti!B$47*TA_ti!$BD46=0,10000,TA_ti!B46*TA_ti!B$47*TA_ti!$BD46)</f>
        <v>10000</v>
      </c>
      <c r="C46" s="4">
        <f>+IF(TA_ti!C46*TA_ti!C$47*TA_ti!$BD46=0,10000,TA_ti!C46*TA_ti!C$47*TA_ti!$BD46)</f>
        <v>10000</v>
      </c>
      <c r="D46" s="4">
        <f>+IF(TA_ti!D46*TA_ti!D$47*TA_ti!$BD46=0,10000,TA_ti!D46*TA_ti!D$47*TA_ti!$BD46)</f>
        <v>10000</v>
      </c>
      <c r="E46" s="4">
        <f>+IF(TA_ti!E46*TA_ti!E$47*TA_ti!$BD46=0,10000,TA_ti!E46*TA_ti!E$47*TA_ti!$BD46)</f>
        <v>10000</v>
      </c>
      <c r="F46" s="4">
        <f>+IF(TA_ti!F46*TA_ti!F$47*TA_ti!$BD46=0,10000,TA_ti!F46*TA_ti!F$47*TA_ti!$BD46)</f>
        <v>10000</v>
      </c>
      <c r="G46" s="4">
        <f>+IF(TA_ti!G46*TA_ti!G$47*TA_ti!$BD46=0,10000,TA_ti!G46*TA_ti!G$47*TA_ti!$BD46)</f>
        <v>10000</v>
      </c>
      <c r="H46" s="4">
        <f>+IF(TA_ti!H46*TA_ti!H$47*TA_ti!$BD46=0,10000,TA_ti!H46*TA_ti!H$47*TA_ti!$BD46)</f>
        <v>10000</v>
      </c>
      <c r="I46" s="4">
        <f>+IF(TA_ti!I46*TA_ti!I$47*TA_ti!$BD46=0,10000,TA_ti!I46*TA_ti!I$47*TA_ti!$BD46)</f>
        <v>10000</v>
      </c>
      <c r="J46" s="4">
        <f>+IF(TA_ti!J46*TA_ti!J$47*TA_ti!$BD46=0,10000,TA_ti!J46*TA_ti!J$47*TA_ti!$BD46)</f>
        <v>10000</v>
      </c>
      <c r="K46" s="4">
        <f>+IF(TA_ti!K46*TA_ti!K$47*TA_ti!$BD46=0,10000,TA_ti!K46*TA_ti!K$47*TA_ti!$BD46)</f>
        <v>10000</v>
      </c>
      <c r="L46" s="4">
        <f>+IF(TA_ti!L46*TA_ti!L$47*TA_ti!$BD46=0,10000,TA_ti!L46*TA_ti!L$47*TA_ti!$BD46)</f>
        <v>10000</v>
      </c>
      <c r="M46" s="4">
        <f>+IF(TA_ti!M46*TA_ti!M$47*TA_ti!$BD46=0,10000,TA_ti!M46*TA_ti!M$47*TA_ti!$BD46)</f>
        <v>10000</v>
      </c>
      <c r="N46" s="4">
        <f>+IF(TA_ti!N46*TA_ti!N$47*TA_ti!$BD46=0,10000,TA_ti!N46*TA_ti!N$47*TA_ti!$BD46)</f>
        <v>10000</v>
      </c>
      <c r="O46" s="4">
        <f>+IF(TA_ti!O46*TA_ti!O$47*TA_ti!$BD46=0,10000,TA_ti!O46*TA_ti!O$47*TA_ti!$BD46)</f>
        <v>10000</v>
      </c>
      <c r="P46" s="4">
        <f>+IF(TA_ti!P46*TA_ti!P$47*TA_ti!$BD46=0,10000,TA_ti!P46*TA_ti!P$47*TA_ti!$BD46)</f>
        <v>10000</v>
      </c>
      <c r="Q46" s="4">
        <f>+IF(TA_ti!Q46*TA_ti!Q$47*TA_ti!$BD46=0,10000,TA_ti!Q46*TA_ti!Q$47*TA_ti!$BD46)</f>
        <v>10000</v>
      </c>
      <c r="R46" s="4">
        <f>+IF(TA_ti!R46*TA_ti!R$47*TA_ti!$BD46=0,10000,TA_ti!R46*TA_ti!R$47*TA_ti!$BD46)</f>
        <v>10000</v>
      </c>
      <c r="S46" s="4">
        <f>+IF(TA_ti!S46*TA_ti!S$47*TA_ti!$BD46=0,10000,TA_ti!S46*TA_ti!S$47*TA_ti!$BD46)</f>
        <v>10000</v>
      </c>
      <c r="T46" s="4">
        <f>+IF(TA_ti!T46*TA_ti!T$47*TA_ti!$BD46=0,10000,TA_ti!T46*TA_ti!T$47*TA_ti!$BD46)</f>
        <v>10000</v>
      </c>
      <c r="U46" s="4">
        <f>+IF(TA_ti!U46*TA_ti!U$47*TA_ti!$BD46=0,10000,TA_ti!U46*TA_ti!U$47*TA_ti!$BD46)</f>
        <v>10000</v>
      </c>
      <c r="V46" s="4">
        <f>+IF(TA_ti!V46*TA_ti!V$47*TA_ti!$BD46=0,10000,TA_ti!V46*TA_ti!V$47*TA_ti!$BD46)</f>
        <v>10000</v>
      </c>
      <c r="W46" s="4">
        <f>+IF(TA_ti!W46*TA_ti!W$47*TA_ti!$BD46=0,10000,TA_ti!W46*TA_ti!W$47*TA_ti!$BD46)</f>
        <v>10000</v>
      </c>
      <c r="X46" s="4">
        <f>+IF(TA_ti!X46*TA_ti!X$47*TA_ti!$BD46=0,10000,TA_ti!X46*TA_ti!X$47*TA_ti!$BD46)</f>
        <v>10000</v>
      </c>
      <c r="Y46" s="4">
        <f>+IF(TA_ti!Y46*TA_ti!Y$47*TA_ti!$BD46=0,10000,TA_ti!Y46*TA_ti!Y$47*TA_ti!$BD46)</f>
        <v>10000</v>
      </c>
      <c r="Z46" s="4">
        <f>+IF(TA_ti!Z46*TA_ti!Z$47*TA_ti!$BD46=0,10000,TA_ti!Z46*TA_ti!Z$47*TA_ti!$BD46)</f>
        <v>10000</v>
      </c>
      <c r="AA46" s="4">
        <f>+IF(TA_ti!AA46*TA_ti!AA$47*TA_ti!$BD46=0,10000,TA_ti!AA46*TA_ti!AA$47*TA_ti!$BD46)</f>
        <v>10</v>
      </c>
      <c r="AB46" s="4">
        <f>+IF(TA_ti!AB46*TA_ti!AB$47*TA_ti!$BD46=0,10000,TA_ti!AB46*TA_ti!AB$47*TA_ti!$BD46)</f>
        <v>10000</v>
      </c>
      <c r="AC46" s="4">
        <f>+IF(TA_ti!AC46*TA_ti!AC$47*TA_ti!$BD46=0,10000,TA_ti!AC46*TA_ti!AC$47*TA_ti!$BD46)</f>
        <v>10000</v>
      </c>
      <c r="AD46" s="4">
        <f>+IF(TA_ti!AD46*TA_ti!AD$47*TA_ti!$BD46=0,10000,TA_ti!AD46*TA_ti!AD$47*TA_ti!$BD46)</f>
        <v>10000</v>
      </c>
      <c r="AE46" s="4">
        <f>+IF(TA_ti!AE46*TA_ti!AE$47*TA_ti!$BD46=0,10000,TA_ti!AE46*TA_ti!AE$47*TA_ti!$BD46)</f>
        <v>10000</v>
      </c>
      <c r="AF46" s="4">
        <f>+IF(TA_ti!AF46*TA_ti!AF$47*TA_ti!$BD46=0,10000,TA_ti!AF46*TA_ti!AF$47*TA_ti!$BD46)</f>
        <v>10</v>
      </c>
      <c r="AG46" s="4">
        <f>+IF(TA_ti!AG46*TA_ti!AG$47*TA_ti!$BD46=0,10000,TA_ti!AG46*TA_ti!AG$47*TA_ti!$BD46)</f>
        <v>30</v>
      </c>
      <c r="AH46" s="4">
        <f>+IF(TA_ti!AH46*TA_ti!AH$47*TA_ti!$BD46=0,10000,TA_ti!AH46*TA_ti!AH$47*TA_ti!$BD46)</f>
        <v>10000</v>
      </c>
      <c r="AI46" s="4">
        <f>+IF(TA_ti!AI46*TA_ti!AI$47*TA_ti!$BD46=0,10000,TA_ti!AI46*TA_ti!AI$47*TA_ti!$BD46)</f>
        <v>10000</v>
      </c>
      <c r="AJ46" s="4">
        <f>+IF(TA_ti!AJ46*TA_ti!AJ$47*TA_ti!$BD46=0,10000,TA_ti!AJ46*TA_ti!AJ$47*TA_ti!$BD46)</f>
        <v>10000</v>
      </c>
      <c r="AK46" s="4">
        <f>+IF(TA_ti!AK46*TA_ti!AK$47*TA_ti!$BD46=0,10000,TA_ti!AK46*TA_ti!AK$47*TA_ti!$BD46)</f>
        <v>10000</v>
      </c>
      <c r="AL46" s="4">
        <f>+IF(TA_ti!AL46*TA_ti!AL$47*TA_ti!$BD46=0,10000,TA_ti!AL46*TA_ti!AL$47*TA_ti!$BD46)</f>
        <v>10000</v>
      </c>
      <c r="AM46" s="4">
        <f>+IF(TA_ti!AM46*TA_ti!AM$47*TA_ti!$BD46=0,10000,TA_ti!AM46*TA_ti!AM$47*TA_ti!$BD46)</f>
        <v>10000</v>
      </c>
      <c r="AN46" s="4">
        <f>+IF(TA_ti!AN46*TA_ti!AN$47*TA_ti!$BD46=0,10000,TA_ti!AN46*TA_ti!AN$47*TA_ti!$BD46)</f>
        <v>10000</v>
      </c>
      <c r="AO46" s="4">
        <f>+IF(TA_ti!AO46*TA_ti!AO$47*TA_ti!$BD46=0,10000,TA_ti!AO46*TA_ti!AO$47*TA_ti!$BD46)</f>
        <v>10000</v>
      </c>
      <c r="AP46" s="4">
        <f>+IF(TA_ti!AP46*TA_ti!AP$47*TA_ti!$BD46=0,10000,TA_ti!AP46*TA_ti!AP$47*TA_ti!$BD46)</f>
        <v>10000</v>
      </c>
      <c r="AQ46" s="4">
        <f>+IF(TA_ti!AQ46*TA_ti!AQ$47*TA_ti!$BD46=0,10000,TA_ti!AQ46*TA_ti!AQ$47*TA_ti!$BD46)</f>
        <v>10000</v>
      </c>
      <c r="AR46" s="4">
        <f>+IF(TA_ti!AR46*TA_ti!AR$47*TA_ti!$BD46=0,10000,TA_ti!AR46*TA_ti!AR$47*TA_ti!$BD46)</f>
        <v>10000</v>
      </c>
      <c r="AS46" s="4">
        <f>+IF(TA_ti!AS46*TA_ti!AS$47*TA_ti!$BD46=0,10000,TA_ti!AS46*TA_ti!AS$47*TA_ti!$BD46)</f>
        <v>10000</v>
      </c>
      <c r="AT46" s="4">
        <f>+IF(TA_ti!AT46*TA_ti!AT$47*TA_ti!$BD46=0,10000,TA_ti!AT46*TA_ti!AT$47*TA_ti!$BD46)</f>
        <v>10000</v>
      </c>
      <c r="AU46" s="4">
        <f>+IF(TA_ti!AU46*TA_ti!AU$47*TA_ti!$BD46=0,10000,TA_ti!AU46*TA_ti!AU$47*TA_ti!$BD46)</f>
        <v>10000</v>
      </c>
      <c r="AV46" s="4">
        <f>+IF(TA_ti!AV46*TA_ti!AV$47*TA_ti!$BD46=0,10000,TA_ti!AV46*TA_ti!AV$47*TA_ti!$BD46)</f>
        <v>10000</v>
      </c>
      <c r="AW46" s="4">
        <f>+IF(TA_ti!AW46*TA_ti!AW$47*TA_ti!$BD46=0,10000,TA_ti!AW46*TA_ti!AW$47*TA_ti!$BD46)</f>
        <v>10000</v>
      </c>
      <c r="AX46" s="4">
        <f>+IF(TA_ti!AX46*TA_ti!AX$47*TA_ti!$BD46=0,10000,TA_ti!AX46*TA_ti!AX$47*TA_ti!$BD46)</f>
        <v>10000</v>
      </c>
      <c r="AY46" s="4">
        <f>+IF(TA_ti!AY46*TA_ti!AY$47*TA_ti!$BD46=0,10000,TA_ti!AY46*TA_ti!AY$47*TA_ti!$BD46)</f>
        <v>10000</v>
      </c>
      <c r="AZ46" s="4">
        <f>+IF(TA_ti!AZ46*TA_ti!AZ$47*TA_ti!$BD46=0,10000,TA_ti!AZ46*TA_ti!AZ$47*TA_ti!$BD46)</f>
        <v>10000</v>
      </c>
      <c r="BA46" s="4">
        <f>+IF(TA_ti!BA46*TA_ti!BA$47*TA_ti!$BD46=0,10000,TA_ti!BA46*TA_ti!BA$47*TA_ti!$BD46)</f>
        <v>10000</v>
      </c>
      <c r="BB46" s="4">
        <f>+IF(TA_ti!BB46*TA_ti!BB$47*TA_ti!$BD46=0,10000,TA_ti!BB46*TA_ti!BB$47*TA_ti!$BD46)</f>
        <v>10000</v>
      </c>
      <c r="BC46" s="4">
        <f>+IF(TA_ti!BC46*TA_ti!BC$47*TA_ti!$BD46=0,10000,TA_ti!BC46*TA_ti!BC$47*TA_ti!$BD46)</f>
        <v>10000</v>
      </c>
    </row>
  </sheetData>
  <conditionalFormatting sqref="B2:BC46">
    <cfRule type="cellIs" dxfId="6" priority="1" operator="lessThan">
      <formula>5000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2" width="7.5703125" style="7" bestFit="1" customWidth="1"/>
    <col min="53" max="55" width="7.140625" style="7" bestFit="1" customWidth="1"/>
  </cols>
  <sheetData>
    <row r="1" spans="1:55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18.75" customHeight="1" x14ac:dyDescent="0.25">
      <c r="A2" s="3" t="str">
        <f>"T"&amp;_xlfn.SEQUENCE(36,1,1,1)</f>
        <v>T1</v>
      </c>
      <c r="B2" s="4">
        <f>+IF(TA_ti!B2*TA_ti!B$48*TA_ti!$BE2=0,10000,TA_ti!B2*TA_ti!B$48*TA_ti!$BE2)</f>
        <v>10000</v>
      </c>
      <c r="C2" s="4">
        <f>+IF(TA_ti!C2*TA_ti!C$48*TA_ti!$BE2=0,10000,TA_ti!C2*TA_ti!C$48*TA_ti!$BE2)</f>
        <v>10000</v>
      </c>
      <c r="D2" s="4">
        <f>+IF(TA_ti!D2*TA_ti!D$48*TA_ti!$BE2=0,10000,TA_ti!D2*TA_ti!D$48*TA_ti!$BE2)</f>
        <v>10000</v>
      </c>
      <c r="E2" s="4">
        <f>+IF(TA_ti!E2*TA_ti!E$48*TA_ti!$BE2=0,10000,TA_ti!E2*TA_ti!E$48*TA_ti!$BE2)</f>
        <v>10000</v>
      </c>
      <c r="F2" s="4">
        <f>+IF(TA_ti!F2*TA_ti!F$48*TA_ti!$BE2=0,10000,TA_ti!F2*TA_ti!F$48*TA_ti!$BE2)</f>
        <v>10000</v>
      </c>
      <c r="G2" s="4">
        <f>+IF(TA_ti!G2*TA_ti!G$48*TA_ti!$BE2=0,10000,TA_ti!G2*TA_ti!G$48*TA_ti!$BE2)</f>
        <v>10000</v>
      </c>
      <c r="H2" s="4">
        <f>+IF(TA_ti!H2*TA_ti!H$48*TA_ti!$BE2=0,10000,TA_ti!H2*TA_ti!H$48*TA_ti!$BE2)</f>
        <v>10000</v>
      </c>
      <c r="I2" s="4">
        <f>+IF(TA_ti!I2*TA_ti!I$48*TA_ti!$BE2=0,10000,TA_ti!I2*TA_ti!I$48*TA_ti!$BE2)</f>
        <v>10000</v>
      </c>
      <c r="J2" s="4">
        <f>+IF(TA_ti!J2*TA_ti!J$48*TA_ti!$BE2=0,10000,TA_ti!J2*TA_ti!J$48*TA_ti!$BE2)</f>
        <v>10000</v>
      </c>
      <c r="K2" s="4">
        <f>+IF(TA_ti!K2*TA_ti!K$48*TA_ti!$BE2=0,10000,TA_ti!K2*TA_ti!K$48*TA_ti!$BE2)</f>
        <v>10000</v>
      </c>
      <c r="L2" s="4">
        <f>+IF(TA_ti!L2*TA_ti!L$48*TA_ti!$BE2=0,10000,TA_ti!L2*TA_ti!L$48*TA_ti!$BE2)</f>
        <v>10000</v>
      </c>
      <c r="M2" s="4">
        <f>+IF(TA_ti!M2*TA_ti!M$48*TA_ti!$BE2=0,10000,TA_ti!M2*TA_ti!M$48*TA_ti!$BE2)</f>
        <v>12</v>
      </c>
      <c r="N2" s="4">
        <f>+IF(TA_ti!N2*TA_ti!N$48*TA_ti!$BE2=0,10000,TA_ti!N2*TA_ti!N$48*TA_ti!$BE2)</f>
        <v>10000</v>
      </c>
      <c r="O2" s="4">
        <f>+IF(TA_ti!O2*TA_ti!O$48*TA_ti!$BE2=0,10000,TA_ti!O2*TA_ti!O$48*TA_ti!$BE2)</f>
        <v>10000</v>
      </c>
      <c r="P2" s="4">
        <f>+IF(TA_ti!P2*TA_ti!P$48*TA_ti!$BE2=0,10000,TA_ti!P2*TA_ti!P$48*TA_ti!$BE2)</f>
        <v>10000</v>
      </c>
      <c r="Q2" s="4">
        <f>+IF(TA_ti!Q2*TA_ti!Q$48*TA_ti!$BE2=0,10000,TA_ti!Q2*TA_ti!Q$48*TA_ti!$BE2)</f>
        <v>10000</v>
      </c>
      <c r="R2" s="4">
        <f>+IF(TA_ti!R2*TA_ti!R$48*TA_ti!$BE2=0,10000,TA_ti!R2*TA_ti!R$48*TA_ti!$BE2)</f>
        <v>10000</v>
      </c>
      <c r="S2" s="4">
        <f>+IF(TA_ti!S2*TA_ti!S$48*TA_ti!$BE2=0,10000,TA_ti!S2*TA_ti!S$48*TA_ti!$BE2)</f>
        <v>10000</v>
      </c>
      <c r="T2" s="4">
        <f>+IF(TA_ti!T2*TA_ti!T$48*TA_ti!$BE2=0,10000,TA_ti!T2*TA_ti!T$48*TA_ti!$BE2)</f>
        <v>10000</v>
      </c>
      <c r="U2" s="4">
        <f>+IF(TA_ti!U2*TA_ti!U$48*TA_ti!$BE2=0,10000,TA_ti!U2*TA_ti!U$48*TA_ti!$BE2)</f>
        <v>10000</v>
      </c>
      <c r="V2" s="4">
        <f>+IF(TA_ti!V2*TA_ti!V$48*TA_ti!$BE2=0,10000,TA_ti!V2*TA_ti!V$48*TA_ti!$BE2)</f>
        <v>10000</v>
      </c>
      <c r="W2" s="4">
        <f>+IF(TA_ti!W2*TA_ti!W$48*TA_ti!$BE2=0,10000,TA_ti!W2*TA_ti!W$48*TA_ti!$BE2)</f>
        <v>10000</v>
      </c>
      <c r="X2" s="4">
        <f>+IF(TA_ti!X2*TA_ti!X$48*TA_ti!$BE2=0,10000,TA_ti!X2*TA_ti!X$48*TA_ti!$BE2)</f>
        <v>10000</v>
      </c>
      <c r="Y2" s="4">
        <f>+IF(TA_ti!Y2*TA_ti!Y$48*TA_ti!$BE2=0,10000,TA_ti!Y2*TA_ti!Y$48*TA_ti!$BE2)</f>
        <v>10000</v>
      </c>
      <c r="Z2" s="4">
        <f>+IF(TA_ti!Z2*TA_ti!Z$48*TA_ti!$BE2=0,10000,TA_ti!Z2*TA_ti!Z$48*TA_ti!$BE2)</f>
        <v>10000</v>
      </c>
      <c r="AA2" s="4">
        <f>+IF(TA_ti!AA2*TA_ti!AA$48*TA_ti!$BE2=0,10000,TA_ti!AA2*TA_ti!AA$48*TA_ti!$BE2)</f>
        <v>10000</v>
      </c>
      <c r="AB2" s="4">
        <f>+IF(TA_ti!AB2*TA_ti!AB$48*TA_ti!$BE2=0,10000,TA_ti!AB2*TA_ti!AB$48*TA_ti!$BE2)</f>
        <v>10000</v>
      </c>
      <c r="AC2" s="4">
        <f>+IF(TA_ti!AC2*TA_ti!AC$48*TA_ti!$BE2=0,10000,TA_ti!AC2*TA_ti!AC$48*TA_ti!$BE2)</f>
        <v>10000</v>
      </c>
      <c r="AD2" s="4">
        <f>+IF(TA_ti!AD2*TA_ti!AD$48*TA_ti!$BE2=0,10000,TA_ti!AD2*TA_ti!AD$48*TA_ti!$BE2)</f>
        <v>10000</v>
      </c>
      <c r="AE2" s="4">
        <f>+IF(TA_ti!AE2*TA_ti!AE$48*TA_ti!$BE2=0,10000,TA_ti!AE2*TA_ti!AE$48*TA_ti!$BE2)</f>
        <v>10000</v>
      </c>
      <c r="AF2" s="4">
        <f>+IF(TA_ti!AF2*TA_ti!AF$48*TA_ti!$BE2=0,10000,TA_ti!AF2*TA_ti!AF$48*TA_ti!$BE2)</f>
        <v>10000</v>
      </c>
      <c r="AG2" s="4">
        <f>+IF(TA_ti!AG2*TA_ti!AG$48*TA_ti!$BE2=0,10000,TA_ti!AG2*TA_ti!AG$48*TA_ti!$BE2)</f>
        <v>10000</v>
      </c>
      <c r="AH2" s="4">
        <f>+IF(TA_ti!AH2*TA_ti!AH$48*TA_ti!$BE2=0,10000,TA_ti!AH2*TA_ti!AH$48*TA_ti!$BE2)</f>
        <v>10000</v>
      </c>
      <c r="AI2" s="4">
        <f>+IF(TA_ti!AI2*TA_ti!AI$48*TA_ti!$BE2=0,10000,TA_ti!AI2*TA_ti!AI$48*TA_ti!$BE2)</f>
        <v>10000</v>
      </c>
      <c r="AJ2" s="4">
        <f>+IF(TA_ti!AJ2*TA_ti!AJ$48*TA_ti!$BE2=0,10000,TA_ti!AJ2*TA_ti!AJ$48*TA_ti!$BE2)</f>
        <v>10000</v>
      </c>
      <c r="AK2" s="4">
        <f>+IF(TA_ti!AK2*TA_ti!AK$48*TA_ti!$BE2=0,10000,TA_ti!AK2*TA_ti!AK$48*TA_ti!$BE2)</f>
        <v>10000</v>
      </c>
      <c r="AL2" s="4">
        <f>+IF(TA_ti!AL2*TA_ti!AL$48*TA_ti!$BE2=0,10000,TA_ti!AL2*TA_ti!AL$48*TA_ti!$BE2)</f>
        <v>10000</v>
      </c>
      <c r="AM2" s="4">
        <f>+IF(TA_ti!AM2*TA_ti!AM$48*TA_ti!$BE2=0,10000,TA_ti!AM2*TA_ti!AM$48*TA_ti!$BE2)</f>
        <v>10000</v>
      </c>
      <c r="AN2" s="4">
        <f>+IF(TA_ti!AN2*TA_ti!AN$48*TA_ti!$BE2=0,10000,TA_ti!AN2*TA_ti!AN$48*TA_ti!$BE2)</f>
        <v>10000</v>
      </c>
      <c r="AO2" s="4">
        <f>+IF(TA_ti!AO2*TA_ti!AO$48*TA_ti!$BE2=0,10000,TA_ti!AO2*TA_ti!AO$48*TA_ti!$BE2)</f>
        <v>10000</v>
      </c>
      <c r="AP2" s="4">
        <f>+IF(TA_ti!AP2*TA_ti!AP$48*TA_ti!$BE2=0,10000,TA_ti!AP2*TA_ti!AP$48*TA_ti!$BE2)</f>
        <v>10000</v>
      </c>
      <c r="AQ2" s="4">
        <f>+IF(TA_ti!AQ2*TA_ti!AQ$48*TA_ti!$BE2=0,10000,TA_ti!AQ2*TA_ti!AQ$48*TA_ti!$BE2)</f>
        <v>10000</v>
      </c>
      <c r="AR2" s="4">
        <f>+IF(TA_ti!AR2*TA_ti!AR$48*TA_ti!$BE2=0,10000,TA_ti!AR2*TA_ti!AR$48*TA_ti!$BE2)</f>
        <v>10000</v>
      </c>
      <c r="AS2" s="4">
        <f>+IF(TA_ti!AS2*TA_ti!AS$48*TA_ti!$BE2=0,10000,TA_ti!AS2*TA_ti!AS$48*TA_ti!$BE2)</f>
        <v>10000</v>
      </c>
      <c r="AT2" s="4">
        <f>+IF(TA_ti!AT2*TA_ti!AT$48*TA_ti!$BE2=0,10000,TA_ti!AT2*TA_ti!AT$48*TA_ti!$BE2)</f>
        <v>10000</v>
      </c>
      <c r="AU2" s="4">
        <f>+IF(TA_ti!AU2*TA_ti!AU$48*TA_ti!$BE2=0,10000,TA_ti!AU2*TA_ti!AU$48*TA_ti!$BE2)</f>
        <v>10000</v>
      </c>
      <c r="AV2" s="4">
        <f>+IF(TA_ti!AV2*TA_ti!AV$48*TA_ti!$BE2=0,10000,TA_ti!AV2*TA_ti!AV$48*TA_ti!$BE2)</f>
        <v>10000</v>
      </c>
      <c r="AW2" s="4">
        <f>+IF(TA_ti!AW2*TA_ti!AW$48*TA_ti!$BE2=0,10000,TA_ti!AW2*TA_ti!AW$48*TA_ti!$BE2)</f>
        <v>10000</v>
      </c>
      <c r="AX2" s="4">
        <f>+IF(TA_ti!AX2*TA_ti!AX$48*TA_ti!$BE2=0,10000,TA_ti!AX2*TA_ti!AX$48*TA_ti!$BE2)</f>
        <v>10000</v>
      </c>
      <c r="AY2" s="4">
        <f>+IF(TA_ti!AY2*TA_ti!AY$48*TA_ti!$BE2=0,10000,TA_ti!AY2*TA_ti!AY$48*TA_ti!$BE2)</f>
        <v>10000</v>
      </c>
      <c r="AZ2" s="4">
        <f>+IF(TA_ti!AZ2*TA_ti!AZ$48*TA_ti!$BE2=0,10000,TA_ti!AZ2*TA_ti!AZ$48*TA_ti!$BE2)</f>
        <v>10000</v>
      </c>
      <c r="BA2" s="4">
        <f>+IF(TA_ti!BA2*TA_ti!BA$48*TA_ti!$BE2=0,10000,TA_ti!BA2*TA_ti!BA$48*TA_ti!$BE2)</f>
        <v>10000</v>
      </c>
      <c r="BB2" s="4">
        <f>+IF(TA_ti!BB2*TA_ti!BB$48*TA_ti!$BE2=0,10000,TA_ti!BB2*TA_ti!BB$48*TA_ti!$BE2)</f>
        <v>10000</v>
      </c>
      <c r="BC2" s="4">
        <f>+IF(TA_ti!BC2*TA_ti!BC$48*TA_ti!$BE2=0,10000,TA_ti!BC2*TA_ti!BC$48*TA_ti!$BE2)</f>
        <v>10000</v>
      </c>
    </row>
    <row r="3" spans="1:55" ht="18.75" customHeight="1" x14ac:dyDescent="0.25">
      <c r="A3" s="5" t="s">
        <v>54</v>
      </c>
      <c r="B3" s="4">
        <f>+IF(TA_ti!B3*TA_ti!B$48*TA_ti!$BE3=0,10000,TA_ti!B3*TA_ti!B$48*TA_ti!$BE3)</f>
        <v>10000</v>
      </c>
      <c r="C3" s="4">
        <f>+IF(TA_ti!C3*TA_ti!C$48*TA_ti!$BE3=0,10000,TA_ti!C3*TA_ti!C$48*TA_ti!$BE3)</f>
        <v>10000</v>
      </c>
      <c r="D3" s="4">
        <f>+IF(TA_ti!D3*TA_ti!D$48*TA_ti!$BE3=0,10000,TA_ti!D3*TA_ti!D$48*TA_ti!$BE3)</f>
        <v>10000</v>
      </c>
      <c r="E3" s="4">
        <f>+IF(TA_ti!E3*TA_ti!E$48*TA_ti!$BE3=0,10000,TA_ti!E3*TA_ti!E$48*TA_ti!$BE3)</f>
        <v>10000</v>
      </c>
      <c r="F3" s="4">
        <f>+IF(TA_ti!F3*TA_ti!F$48*TA_ti!$BE3=0,10000,TA_ti!F3*TA_ti!F$48*TA_ti!$BE3)</f>
        <v>10000</v>
      </c>
      <c r="G3" s="4">
        <f>+IF(TA_ti!G3*TA_ti!G$48*TA_ti!$BE3=0,10000,TA_ti!G3*TA_ti!G$48*TA_ti!$BE3)</f>
        <v>12</v>
      </c>
      <c r="H3" s="4">
        <f>+IF(TA_ti!H3*TA_ti!H$48*TA_ti!$BE3=0,10000,TA_ti!H3*TA_ti!H$48*TA_ti!$BE3)</f>
        <v>10000</v>
      </c>
      <c r="I3" s="4">
        <f>+IF(TA_ti!I3*TA_ti!I$48*TA_ti!$BE3=0,10000,TA_ti!I3*TA_ti!I$48*TA_ti!$BE3)</f>
        <v>10000</v>
      </c>
      <c r="J3" s="4">
        <f>+IF(TA_ti!J3*TA_ti!J$48*TA_ti!$BE3=0,10000,TA_ti!J3*TA_ti!J$48*TA_ti!$BE3)</f>
        <v>10000</v>
      </c>
      <c r="K3" s="4">
        <f>+IF(TA_ti!K3*TA_ti!K$48*TA_ti!$BE3=0,10000,TA_ti!K3*TA_ti!K$48*TA_ti!$BE3)</f>
        <v>10000</v>
      </c>
      <c r="L3" s="4">
        <f>+IF(TA_ti!L3*TA_ti!L$48*TA_ti!$BE3=0,10000,TA_ti!L3*TA_ti!L$48*TA_ti!$BE3)</f>
        <v>10000</v>
      </c>
      <c r="M3" s="4">
        <f>+IF(TA_ti!M3*TA_ti!M$48*TA_ti!$BE3=0,10000,TA_ti!M3*TA_ti!M$48*TA_ti!$BE3)</f>
        <v>12</v>
      </c>
      <c r="N3" s="4">
        <f>+IF(TA_ti!N3*TA_ti!N$48*TA_ti!$BE3=0,10000,TA_ti!N3*TA_ti!N$48*TA_ti!$BE3)</f>
        <v>10000</v>
      </c>
      <c r="O3" s="4">
        <f>+IF(TA_ti!O3*TA_ti!O$48*TA_ti!$BE3=0,10000,TA_ti!O3*TA_ti!O$48*TA_ti!$BE3)</f>
        <v>10000</v>
      </c>
      <c r="P3" s="4">
        <f>+IF(TA_ti!P3*TA_ti!P$48*TA_ti!$BE3=0,10000,TA_ti!P3*TA_ti!P$48*TA_ti!$BE3)</f>
        <v>10000</v>
      </c>
      <c r="Q3" s="4">
        <f>+IF(TA_ti!Q3*TA_ti!Q$48*TA_ti!$BE3=0,10000,TA_ti!Q3*TA_ti!Q$48*TA_ti!$BE3)</f>
        <v>5</v>
      </c>
      <c r="R3" s="4">
        <f>+IF(TA_ti!R3*TA_ti!R$48*TA_ti!$BE3=0,10000,TA_ti!R3*TA_ti!R$48*TA_ti!$BE3)</f>
        <v>10000</v>
      </c>
      <c r="S3" s="4">
        <f>+IF(TA_ti!S3*TA_ti!S$48*TA_ti!$BE3=0,10000,TA_ti!S3*TA_ti!S$48*TA_ti!$BE3)</f>
        <v>10000</v>
      </c>
      <c r="T3" s="4">
        <f>+IF(TA_ti!T3*TA_ti!T$48*TA_ti!$BE3=0,10000,TA_ti!T3*TA_ti!T$48*TA_ti!$BE3)</f>
        <v>10000</v>
      </c>
      <c r="U3" s="4">
        <f>+IF(TA_ti!U3*TA_ti!U$48*TA_ti!$BE3=0,10000,TA_ti!U3*TA_ti!U$48*TA_ti!$BE3)</f>
        <v>10000</v>
      </c>
      <c r="V3" s="4">
        <f>+IF(TA_ti!V3*TA_ti!V$48*TA_ti!$BE3=0,10000,TA_ti!V3*TA_ti!V$48*TA_ti!$BE3)</f>
        <v>10000</v>
      </c>
      <c r="W3" s="4">
        <f>+IF(TA_ti!W3*TA_ti!W$48*TA_ti!$BE3=0,10000,TA_ti!W3*TA_ti!W$48*TA_ti!$BE3)</f>
        <v>10000</v>
      </c>
      <c r="X3" s="4">
        <f>+IF(TA_ti!X3*TA_ti!X$48*TA_ti!$BE3=0,10000,TA_ti!X3*TA_ti!X$48*TA_ti!$BE3)</f>
        <v>10000</v>
      </c>
      <c r="Y3" s="4">
        <f>+IF(TA_ti!Y3*TA_ti!Y$48*TA_ti!$BE3=0,10000,TA_ti!Y3*TA_ti!Y$48*TA_ti!$BE3)</f>
        <v>10000</v>
      </c>
      <c r="Z3" s="4">
        <f>+IF(TA_ti!Z3*TA_ti!Z$48*TA_ti!$BE3=0,10000,TA_ti!Z3*TA_ti!Z$48*TA_ti!$BE3)</f>
        <v>10000</v>
      </c>
      <c r="AA3" s="4">
        <f>+IF(TA_ti!AA3*TA_ti!AA$48*TA_ti!$BE3=0,10000,TA_ti!AA3*TA_ti!AA$48*TA_ti!$BE3)</f>
        <v>10000</v>
      </c>
      <c r="AB3" s="4">
        <f>+IF(TA_ti!AB3*TA_ti!AB$48*TA_ti!$BE3=0,10000,TA_ti!AB3*TA_ti!AB$48*TA_ti!$BE3)</f>
        <v>10000</v>
      </c>
      <c r="AC3" s="4">
        <f>+IF(TA_ti!AC3*TA_ti!AC$48*TA_ti!$BE3=0,10000,TA_ti!AC3*TA_ti!AC$48*TA_ti!$BE3)</f>
        <v>10000</v>
      </c>
      <c r="AD3" s="4">
        <f>+IF(TA_ti!AD3*TA_ti!AD$48*TA_ti!$BE3=0,10000,TA_ti!AD3*TA_ti!AD$48*TA_ti!$BE3)</f>
        <v>10000</v>
      </c>
      <c r="AE3" s="4">
        <f>+IF(TA_ti!AE3*TA_ti!AE$48*TA_ti!$BE3=0,10000,TA_ti!AE3*TA_ti!AE$48*TA_ti!$BE3)</f>
        <v>10000</v>
      </c>
      <c r="AF3" s="4">
        <f>+IF(TA_ti!AF3*TA_ti!AF$48*TA_ti!$BE3=0,10000,TA_ti!AF3*TA_ti!AF$48*TA_ti!$BE3)</f>
        <v>10000</v>
      </c>
      <c r="AG3" s="4">
        <f>+IF(TA_ti!AG3*TA_ti!AG$48*TA_ti!$BE3=0,10000,TA_ti!AG3*TA_ti!AG$48*TA_ti!$BE3)</f>
        <v>10000</v>
      </c>
      <c r="AH3" s="4">
        <f>+IF(TA_ti!AH3*TA_ti!AH$48*TA_ti!$BE3=0,10000,TA_ti!AH3*TA_ti!AH$48*TA_ti!$BE3)</f>
        <v>10000</v>
      </c>
      <c r="AI3" s="4">
        <f>+IF(TA_ti!AI3*TA_ti!AI$48*TA_ti!$BE3=0,10000,TA_ti!AI3*TA_ti!AI$48*TA_ti!$BE3)</f>
        <v>10000</v>
      </c>
      <c r="AJ3" s="4">
        <f>+IF(TA_ti!AJ3*TA_ti!AJ$48*TA_ti!$BE3=0,10000,TA_ti!AJ3*TA_ti!AJ$48*TA_ti!$BE3)</f>
        <v>10000</v>
      </c>
      <c r="AK3" s="4">
        <f>+IF(TA_ti!AK3*TA_ti!AK$48*TA_ti!$BE3=0,10000,TA_ti!AK3*TA_ti!AK$48*TA_ti!$BE3)</f>
        <v>10000</v>
      </c>
      <c r="AL3" s="4">
        <f>+IF(TA_ti!AL3*TA_ti!AL$48*TA_ti!$BE3=0,10000,TA_ti!AL3*TA_ti!AL$48*TA_ti!$BE3)</f>
        <v>10000</v>
      </c>
      <c r="AM3" s="4">
        <f>+IF(TA_ti!AM3*TA_ti!AM$48*TA_ti!$BE3=0,10000,TA_ti!AM3*TA_ti!AM$48*TA_ti!$BE3)</f>
        <v>10000</v>
      </c>
      <c r="AN3" s="4">
        <f>+IF(TA_ti!AN3*TA_ti!AN$48*TA_ti!$BE3=0,10000,TA_ti!AN3*TA_ti!AN$48*TA_ti!$BE3)</f>
        <v>10000</v>
      </c>
      <c r="AO3" s="4">
        <f>+IF(TA_ti!AO3*TA_ti!AO$48*TA_ti!$BE3=0,10000,TA_ti!AO3*TA_ti!AO$48*TA_ti!$BE3)</f>
        <v>10000</v>
      </c>
      <c r="AP3" s="4">
        <f>+IF(TA_ti!AP3*TA_ti!AP$48*TA_ti!$BE3=0,10000,TA_ti!AP3*TA_ti!AP$48*TA_ti!$BE3)</f>
        <v>10000</v>
      </c>
      <c r="AQ3" s="4">
        <f>+IF(TA_ti!AQ3*TA_ti!AQ$48*TA_ti!$BE3=0,10000,TA_ti!AQ3*TA_ti!AQ$48*TA_ti!$BE3)</f>
        <v>10000</v>
      </c>
      <c r="AR3" s="4">
        <f>+IF(TA_ti!AR3*TA_ti!AR$48*TA_ti!$BE3=0,10000,TA_ti!AR3*TA_ti!AR$48*TA_ti!$BE3)</f>
        <v>10000</v>
      </c>
      <c r="AS3" s="4">
        <f>+IF(TA_ti!AS3*TA_ti!AS$48*TA_ti!$BE3=0,10000,TA_ti!AS3*TA_ti!AS$48*TA_ti!$BE3)</f>
        <v>10000</v>
      </c>
      <c r="AT3" s="4">
        <f>+IF(TA_ti!AT3*TA_ti!AT$48*TA_ti!$BE3=0,10000,TA_ti!AT3*TA_ti!AT$48*TA_ti!$BE3)</f>
        <v>10000</v>
      </c>
      <c r="AU3" s="4">
        <f>+IF(TA_ti!AU3*TA_ti!AU$48*TA_ti!$BE3=0,10000,TA_ti!AU3*TA_ti!AU$48*TA_ti!$BE3)</f>
        <v>10000</v>
      </c>
      <c r="AV3" s="4">
        <f>+IF(TA_ti!AV3*TA_ti!AV$48*TA_ti!$BE3=0,10000,TA_ti!AV3*TA_ti!AV$48*TA_ti!$BE3)</f>
        <v>10000</v>
      </c>
      <c r="AW3" s="4">
        <f>+IF(TA_ti!AW3*TA_ti!AW$48*TA_ti!$BE3=0,10000,TA_ti!AW3*TA_ti!AW$48*TA_ti!$BE3)</f>
        <v>10000</v>
      </c>
      <c r="AX3" s="4">
        <f>+IF(TA_ti!AX3*TA_ti!AX$48*TA_ti!$BE3=0,10000,TA_ti!AX3*TA_ti!AX$48*TA_ti!$BE3)</f>
        <v>10000</v>
      </c>
      <c r="AY3" s="4">
        <f>+IF(TA_ti!AY3*TA_ti!AY$48*TA_ti!$BE3=0,10000,TA_ti!AY3*TA_ti!AY$48*TA_ti!$BE3)</f>
        <v>10000</v>
      </c>
      <c r="AZ3" s="4">
        <f>+IF(TA_ti!AZ3*TA_ti!AZ$48*TA_ti!$BE3=0,10000,TA_ti!AZ3*TA_ti!AZ$48*TA_ti!$BE3)</f>
        <v>10000</v>
      </c>
      <c r="BA3" s="4">
        <f>+IF(TA_ti!BA3*TA_ti!BA$48*TA_ti!$BE3=0,10000,TA_ti!BA3*TA_ti!BA$48*TA_ti!$BE3)</f>
        <v>10000</v>
      </c>
      <c r="BB3" s="4">
        <f>+IF(TA_ti!BB3*TA_ti!BB$48*TA_ti!$BE3=0,10000,TA_ti!BB3*TA_ti!BB$48*TA_ti!$BE3)</f>
        <v>10000</v>
      </c>
      <c r="BC3" s="4">
        <f>+IF(TA_ti!BC3*TA_ti!BC$48*TA_ti!$BE3=0,10000,TA_ti!BC3*TA_ti!BC$48*TA_ti!$BE3)</f>
        <v>10000</v>
      </c>
    </row>
    <row r="4" spans="1:55" ht="18.75" customHeight="1" x14ac:dyDescent="0.25">
      <c r="A4" s="5" t="s">
        <v>55</v>
      </c>
      <c r="B4" s="4">
        <f>+IF(TA_ti!B4*TA_ti!B$48*TA_ti!$BE4=0,10000,TA_ti!B4*TA_ti!B$48*TA_ti!$BE4)</f>
        <v>10000</v>
      </c>
      <c r="C4" s="4">
        <f>+IF(TA_ti!C4*TA_ti!C$48*TA_ti!$BE4=0,10000,TA_ti!C4*TA_ti!C$48*TA_ti!$BE4)</f>
        <v>10000</v>
      </c>
      <c r="D4" s="4">
        <f>+IF(TA_ti!D4*TA_ti!D$48*TA_ti!$BE4=0,10000,TA_ti!D4*TA_ti!D$48*TA_ti!$BE4)</f>
        <v>10000</v>
      </c>
      <c r="E4" s="4">
        <f>+IF(TA_ti!E4*TA_ti!E$48*TA_ti!$BE4=0,10000,TA_ti!E4*TA_ti!E$48*TA_ti!$BE4)</f>
        <v>10000</v>
      </c>
      <c r="F4" s="4">
        <f>+IF(TA_ti!F4*TA_ti!F$48*TA_ti!$BE4=0,10000,TA_ti!F4*TA_ti!F$48*TA_ti!$BE4)</f>
        <v>10000</v>
      </c>
      <c r="G4" s="4">
        <f>+IF(TA_ti!G4*TA_ti!G$48*TA_ti!$BE4=0,10000,TA_ti!G4*TA_ti!G$48*TA_ti!$BE4)</f>
        <v>12</v>
      </c>
      <c r="H4" s="4">
        <f>+IF(TA_ti!H4*TA_ti!H$48*TA_ti!$BE4=0,10000,TA_ti!H4*TA_ti!H$48*TA_ti!$BE4)</f>
        <v>10000</v>
      </c>
      <c r="I4" s="4">
        <f>+IF(TA_ti!I4*TA_ti!I$48*TA_ti!$BE4=0,10000,TA_ti!I4*TA_ti!I$48*TA_ti!$BE4)</f>
        <v>10000</v>
      </c>
      <c r="J4" s="4">
        <f>+IF(TA_ti!J4*TA_ti!J$48*TA_ti!$BE4=0,10000,TA_ti!J4*TA_ti!J$48*TA_ti!$BE4)</f>
        <v>10000</v>
      </c>
      <c r="K4" s="4">
        <f>+IF(TA_ti!K4*TA_ti!K$48*TA_ti!$BE4=0,10000,TA_ti!K4*TA_ti!K$48*TA_ti!$BE4)</f>
        <v>10000</v>
      </c>
      <c r="L4" s="4">
        <f>+IF(TA_ti!L4*TA_ti!L$48*TA_ti!$BE4=0,10000,TA_ti!L4*TA_ti!L$48*TA_ti!$BE4)</f>
        <v>10000</v>
      </c>
      <c r="M4" s="4">
        <f>+IF(TA_ti!M4*TA_ti!M$48*TA_ti!$BE4=0,10000,TA_ti!M4*TA_ti!M$48*TA_ti!$BE4)</f>
        <v>12</v>
      </c>
      <c r="N4" s="4">
        <f>+IF(TA_ti!N4*TA_ti!N$48*TA_ti!$BE4=0,10000,TA_ti!N4*TA_ti!N$48*TA_ti!$BE4)</f>
        <v>10000</v>
      </c>
      <c r="O4" s="4">
        <f>+IF(TA_ti!O4*TA_ti!O$48*TA_ti!$BE4=0,10000,TA_ti!O4*TA_ti!O$48*TA_ti!$BE4)</f>
        <v>10000</v>
      </c>
      <c r="P4" s="4">
        <f>+IF(TA_ti!P4*TA_ti!P$48*TA_ti!$BE4=0,10000,TA_ti!P4*TA_ti!P$48*TA_ti!$BE4)</f>
        <v>10000</v>
      </c>
      <c r="Q4" s="4">
        <f>+IF(TA_ti!Q4*TA_ti!Q$48*TA_ti!$BE4=0,10000,TA_ti!Q4*TA_ti!Q$48*TA_ti!$BE4)</f>
        <v>5</v>
      </c>
      <c r="R4" s="4">
        <f>+IF(TA_ti!R4*TA_ti!R$48*TA_ti!$BE4=0,10000,TA_ti!R4*TA_ti!R$48*TA_ti!$BE4)</f>
        <v>10000</v>
      </c>
      <c r="S4" s="4">
        <f>+IF(TA_ti!S4*TA_ti!S$48*TA_ti!$BE4=0,10000,TA_ti!S4*TA_ti!S$48*TA_ti!$BE4)</f>
        <v>10000</v>
      </c>
      <c r="T4" s="4">
        <f>+IF(TA_ti!T4*TA_ti!T$48*TA_ti!$BE4=0,10000,TA_ti!T4*TA_ti!T$48*TA_ti!$BE4)</f>
        <v>10000</v>
      </c>
      <c r="U4" s="4">
        <f>+IF(TA_ti!U4*TA_ti!U$48*TA_ti!$BE4=0,10000,TA_ti!U4*TA_ti!U$48*TA_ti!$BE4)</f>
        <v>10000</v>
      </c>
      <c r="V4" s="4">
        <f>+IF(TA_ti!V4*TA_ti!V$48*TA_ti!$BE4=0,10000,TA_ti!V4*TA_ti!V$48*TA_ti!$BE4)</f>
        <v>10000</v>
      </c>
      <c r="W4" s="4">
        <f>+IF(TA_ti!W4*TA_ti!W$48*TA_ti!$BE4=0,10000,TA_ti!W4*TA_ti!W$48*TA_ti!$BE4)</f>
        <v>10000</v>
      </c>
      <c r="X4" s="4">
        <f>+IF(TA_ti!X4*TA_ti!X$48*TA_ti!$BE4=0,10000,TA_ti!X4*TA_ti!X$48*TA_ti!$BE4)</f>
        <v>10000</v>
      </c>
      <c r="Y4" s="4">
        <f>+IF(TA_ti!Y4*TA_ti!Y$48*TA_ti!$BE4=0,10000,TA_ti!Y4*TA_ti!Y$48*TA_ti!$BE4)</f>
        <v>10000</v>
      </c>
      <c r="Z4" s="4">
        <f>+IF(TA_ti!Z4*TA_ti!Z$48*TA_ti!$BE4=0,10000,TA_ti!Z4*TA_ti!Z$48*TA_ti!$BE4)</f>
        <v>10000</v>
      </c>
      <c r="AA4" s="4">
        <f>+IF(TA_ti!AA4*TA_ti!AA$48*TA_ti!$BE4=0,10000,TA_ti!AA4*TA_ti!AA$48*TA_ti!$BE4)</f>
        <v>10000</v>
      </c>
      <c r="AB4" s="4">
        <f>+IF(TA_ti!AB4*TA_ti!AB$48*TA_ti!$BE4=0,10000,TA_ti!AB4*TA_ti!AB$48*TA_ti!$BE4)</f>
        <v>10000</v>
      </c>
      <c r="AC4" s="4">
        <f>+IF(TA_ti!AC4*TA_ti!AC$48*TA_ti!$BE4=0,10000,TA_ti!AC4*TA_ti!AC$48*TA_ti!$BE4)</f>
        <v>10000</v>
      </c>
      <c r="AD4" s="4">
        <f>+IF(TA_ti!AD4*TA_ti!AD$48*TA_ti!$BE4=0,10000,TA_ti!AD4*TA_ti!AD$48*TA_ti!$BE4)</f>
        <v>10000</v>
      </c>
      <c r="AE4" s="4">
        <f>+IF(TA_ti!AE4*TA_ti!AE$48*TA_ti!$BE4=0,10000,TA_ti!AE4*TA_ti!AE$48*TA_ti!$BE4)</f>
        <v>10000</v>
      </c>
      <c r="AF4" s="4">
        <f>+IF(TA_ti!AF4*TA_ti!AF$48*TA_ti!$BE4=0,10000,TA_ti!AF4*TA_ti!AF$48*TA_ti!$BE4)</f>
        <v>10000</v>
      </c>
      <c r="AG4" s="4">
        <f>+IF(TA_ti!AG4*TA_ti!AG$48*TA_ti!$BE4=0,10000,TA_ti!AG4*TA_ti!AG$48*TA_ti!$BE4)</f>
        <v>10000</v>
      </c>
      <c r="AH4" s="4">
        <f>+IF(TA_ti!AH4*TA_ti!AH$48*TA_ti!$BE4=0,10000,TA_ti!AH4*TA_ti!AH$48*TA_ti!$BE4)</f>
        <v>10000</v>
      </c>
      <c r="AI4" s="4">
        <f>+IF(TA_ti!AI4*TA_ti!AI$48*TA_ti!$BE4=0,10000,TA_ti!AI4*TA_ti!AI$48*TA_ti!$BE4)</f>
        <v>10000</v>
      </c>
      <c r="AJ4" s="4">
        <f>+IF(TA_ti!AJ4*TA_ti!AJ$48*TA_ti!$BE4=0,10000,TA_ti!AJ4*TA_ti!AJ$48*TA_ti!$BE4)</f>
        <v>10000</v>
      </c>
      <c r="AK4" s="4">
        <f>+IF(TA_ti!AK4*TA_ti!AK$48*TA_ti!$BE4=0,10000,TA_ti!AK4*TA_ti!AK$48*TA_ti!$BE4)</f>
        <v>10000</v>
      </c>
      <c r="AL4" s="4">
        <f>+IF(TA_ti!AL4*TA_ti!AL$48*TA_ti!$BE4=0,10000,TA_ti!AL4*TA_ti!AL$48*TA_ti!$BE4)</f>
        <v>10000</v>
      </c>
      <c r="AM4" s="4">
        <f>+IF(TA_ti!AM4*TA_ti!AM$48*TA_ti!$BE4=0,10000,TA_ti!AM4*TA_ti!AM$48*TA_ti!$BE4)</f>
        <v>10000</v>
      </c>
      <c r="AN4" s="4">
        <f>+IF(TA_ti!AN4*TA_ti!AN$48*TA_ti!$BE4=0,10000,TA_ti!AN4*TA_ti!AN$48*TA_ti!$BE4)</f>
        <v>10000</v>
      </c>
      <c r="AO4" s="4">
        <f>+IF(TA_ti!AO4*TA_ti!AO$48*TA_ti!$BE4=0,10000,TA_ti!AO4*TA_ti!AO$48*TA_ti!$BE4)</f>
        <v>10000</v>
      </c>
      <c r="AP4" s="4">
        <f>+IF(TA_ti!AP4*TA_ti!AP$48*TA_ti!$BE4=0,10000,TA_ti!AP4*TA_ti!AP$48*TA_ti!$BE4)</f>
        <v>10000</v>
      </c>
      <c r="AQ4" s="4">
        <f>+IF(TA_ti!AQ4*TA_ti!AQ$48*TA_ti!$BE4=0,10000,TA_ti!AQ4*TA_ti!AQ$48*TA_ti!$BE4)</f>
        <v>10000</v>
      </c>
      <c r="AR4" s="4">
        <f>+IF(TA_ti!AR4*TA_ti!AR$48*TA_ti!$BE4=0,10000,TA_ti!AR4*TA_ti!AR$48*TA_ti!$BE4)</f>
        <v>10000</v>
      </c>
      <c r="AS4" s="4">
        <f>+IF(TA_ti!AS4*TA_ti!AS$48*TA_ti!$BE4=0,10000,TA_ti!AS4*TA_ti!AS$48*TA_ti!$BE4)</f>
        <v>10000</v>
      </c>
      <c r="AT4" s="4">
        <f>+IF(TA_ti!AT4*TA_ti!AT$48*TA_ti!$BE4=0,10000,TA_ti!AT4*TA_ti!AT$48*TA_ti!$BE4)</f>
        <v>10000</v>
      </c>
      <c r="AU4" s="4">
        <f>+IF(TA_ti!AU4*TA_ti!AU$48*TA_ti!$BE4=0,10000,TA_ti!AU4*TA_ti!AU$48*TA_ti!$BE4)</f>
        <v>10000</v>
      </c>
      <c r="AV4" s="4">
        <f>+IF(TA_ti!AV4*TA_ti!AV$48*TA_ti!$BE4=0,10000,TA_ti!AV4*TA_ti!AV$48*TA_ti!$BE4)</f>
        <v>10000</v>
      </c>
      <c r="AW4" s="4">
        <f>+IF(TA_ti!AW4*TA_ti!AW$48*TA_ti!$BE4=0,10000,TA_ti!AW4*TA_ti!AW$48*TA_ti!$BE4)</f>
        <v>10000</v>
      </c>
      <c r="AX4" s="4">
        <f>+IF(TA_ti!AX4*TA_ti!AX$48*TA_ti!$BE4=0,10000,TA_ti!AX4*TA_ti!AX$48*TA_ti!$BE4)</f>
        <v>10000</v>
      </c>
      <c r="AY4" s="4">
        <f>+IF(TA_ti!AY4*TA_ti!AY$48*TA_ti!$BE4=0,10000,TA_ti!AY4*TA_ti!AY$48*TA_ti!$BE4)</f>
        <v>10000</v>
      </c>
      <c r="AZ4" s="4">
        <f>+IF(TA_ti!AZ4*TA_ti!AZ$48*TA_ti!$BE4=0,10000,TA_ti!AZ4*TA_ti!AZ$48*TA_ti!$BE4)</f>
        <v>10000</v>
      </c>
      <c r="BA4" s="4">
        <f>+IF(TA_ti!BA4*TA_ti!BA$48*TA_ti!$BE4=0,10000,TA_ti!BA4*TA_ti!BA$48*TA_ti!$BE4)</f>
        <v>10000</v>
      </c>
      <c r="BB4" s="4">
        <f>+IF(TA_ti!BB4*TA_ti!BB$48*TA_ti!$BE4=0,10000,TA_ti!BB4*TA_ti!BB$48*TA_ti!$BE4)</f>
        <v>10000</v>
      </c>
      <c r="BC4" s="4">
        <f>+IF(TA_ti!BC4*TA_ti!BC$48*TA_ti!$BE4=0,10000,TA_ti!BC4*TA_ti!BC$48*TA_ti!$BE4)</f>
        <v>10000</v>
      </c>
    </row>
    <row r="5" spans="1:55" ht="18.75" customHeight="1" x14ac:dyDescent="0.25">
      <c r="A5" s="5" t="s">
        <v>56</v>
      </c>
      <c r="B5" s="4">
        <f>+IF(TA_ti!B5*TA_ti!B$48*TA_ti!$BE5=0,10000,TA_ti!B5*TA_ti!B$48*TA_ti!$BE5)</f>
        <v>10000</v>
      </c>
      <c r="C5" s="4">
        <f>+IF(TA_ti!C5*TA_ti!C$48*TA_ti!$BE5=0,10000,TA_ti!C5*TA_ti!C$48*TA_ti!$BE5)</f>
        <v>10000</v>
      </c>
      <c r="D5" s="4">
        <f>+IF(TA_ti!D5*TA_ti!D$48*TA_ti!$BE5=0,10000,TA_ti!D5*TA_ti!D$48*TA_ti!$BE5)</f>
        <v>10000</v>
      </c>
      <c r="E5" s="4">
        <f>+IF(TA_ti!E5*TA_ti!E$48*TA_ti!$BE5=0,10000,TA_ti!E5*TA_ti!E$48*TA_ti!$BE5)</f>
        <v>10000</v>
      </c>
      <c r="F5" s="4">
        <f>+IF(TA_ti!F5*TA_ti!F$48*TA_ti!$BE5=0,10000,TA_ti!F5*TA_ti!F$48*TA_ti!$BE5)</f>
        <v>10000</v>
      </c>
      <c r="G5" s="4">
        <f>+IF(TA_ti!G5*TA_ti!G$48*TA_ti!$BE5=0,10000,TA_ti!G5*TA_ti!G$48*TA_ti!$BE5)</f>
        <v>12</v>
      </c>
      <c r="H5" s="4">
        <f>+IF(TA_ti!H5*TA_ti!H$48*TA_ti!$BE5=0,10000,TA_ti!H5*TA_ti!H$48*TA_ti!$BE5)</f>
        <v>10000</v>
      </c>
      <c r="I5" s="4">
        <f>+IF(TA_ti!I5*TA_ti!I$48*TA_ti!$BE5=0,10000,TA_ti!I5*TA_ti!I$48*TA_ti!$BE5)</f>
        <v>10000</v>
      </c>
      <c r="J5" s="4">
        <f>+IF(TA_ti!J5*TA_ti!J$48*TA_ti!$BE5=0,10000,TA_ti!J5*TA_ti!J$48*TA_ti!$BE5)</f>
        <v>10000</v>
      </c>
      <c r="K5" s="4">
        <f>+IF(TA_ti!K5*TA_ti!K$48*TA_ti!$BE5=0,10000,TA_ti!K5*TA_ti!K$48*TA_ti!$BE5)</f>
        <v>10000</v>
      </c>
      <c r="L5" s="4">
        <f>+IF(TA_ti!L5*TA_ti!L$48*TA_ti!$BE5=0,10000,TA_ti!L5*TA_ti!L$48*TA_ti!$BE5)</f>
        <v>10000</v>
      </c>
      <c r="M5" s="4">
        <f>+IF(TA_ti!M5*TA_ti!M$48*TA_ti!$BE5=0,10000,TA_ti!M5*TA_ti!M$48*TA_ti!$BE5)</f>
        <v>12</v>
      </c>
      <c r="N5" s="4">
        <f>+IF(TA_ti!N5*TA_ti!N$48*TA_ti!$BE5=0,10000,TA_ti!N5*TA_ti!N$48*TA_ti!$BE5)</f>
        <v>10000</v>
      </c>
      <c r="O5" s="4">
        <f>+IF(TA_ti!O5*TA_ti!O$48*TA_ti!$BE5=0,10000,TA_ti!O5*TA_ti!O$48*TA_ti!$BE5)</f>
        <v>10000</v>
      </c>
      <c r="P5" s="4">
        <f>+IF(TA_ti!P5*TA_ti!P$48*TA_ti!$BE5=0,10000,TA_ti!P5*TA_ti!P$48*TA_ti!$BE5)</f>
        <v>10000</v>
      </c>
      <c r="Q5" s="4">
        <f>+IF(TA_ti!Q5*TA_ti!Q$48*TA_ti!$BE5=0,10000,TA_ti!Q5*TA_ti!Q$48*TA_ti!$BE5)</f>
        <v>5</v>
      </c>
      <c r="R5" s="4">
        <f>+IF(TA_ti!R5*TA_ti!R$48*TA_ti!$BE5=0,10000,TA_ti!R5*TA_ti!R$48*TA_ti!$BE5)</f>
        <v>10000</v>
      </c>
      <c r="S5" s="4">
        <f>+IF(TA_ti!S5*TA_ti!S$48*TA_ti!$BE5=0,10000,TA_ti!S5*TA_ti!S$48*TA_ti!$BE5)</f>
        <v>10000</v>
      </c>
      <c r="T5" s="4">
        <f>+IF(TA_ti!T5*TA_ti!T$48*TA_ti!$BE5=0,10000,TA_ti!T5*TA_ti!T$48*TA_ti!$BE5)</f>
        <v>10000</v>
      </c>
      <c r="U5" s="4">
        <f>+IF(TA_ti!U5*TA_ti!U$48*TA_ti!$BE5=0,10000,TA_ti!U5*TA_ti!U$48*TA_ti!$BE5)</f>
        <v>10000</v>
      </c>
      <c r="V5" s="4">
        <f>+IF(TA_ti!V5*TA_ti!V$48*TA_ti!$BE5=0,10000,TA_ti!V5*TA_ti!V$48*TA_ti!$BE5)</f>
        <v>10000</v>
      </c>
      <c r="W5" s="4">
        <f>+IF(TA_ti!W5*TA_ti!W$48*TA_ti!$BE5=0,10000,TA_ti!W5*TA_ti!W$48*TA_ti!$BE5)</f>
        <v>10000</v>
      </c>
      <c r="X5" s="4">
        <f>+IF(TA_ti!X5*TA_ti!X$48*TA_ti!$BE5=0,10000,TA_ti!X5*TA_ti!X$48*TA_ti!$BE5)</f>
        <v>10000</v>
      </c>
      <c r="Y5" s="4">
        <f>+IF(TA_ti!Y5*TA_ti!Y$48*TA_ti!$BE5=0,10000,TA_ti!Y5*TA_ti!Y$48*TA_ti!$BE5)</f>
        <v>10000</v>
      </c>
      <c r="Z5" s="4">
        <f>+IF(TA_ti!Z5*TA_ti!Z$48*TA_ti!$BE5=0,10000,TA_ti!Z5*TA_ti!Z$48*TA_ti!$BE5)</f>
        <v>10000</v>
      </c>
      <c r="AA5" s="4">
        <f>+IF(TA_ti!AA5*TA_ti!AA$48*TA_ti!$BE5=0,10000,TA_ti!AA5*TA_ti!AA$48*TA_ti!$BE5)</f>
        <v>10000</v>
      </c>
      <c r="AB5" s="4">
        <f>+IF(TA_ti!AB5*TA_ti!AB$48*TA_ti!$BE5=0,10000,TA_ti!AB5*TA_ti!AB$48*TA_ti!$BE5)</f>
        <v>10000</v>
      </c>
      <c r="AC5" s="4">
        <f>+IF(TA_ti!AC5*TA_ti!AC$48*TA_ti!$BE5=0,10000,TA_ti!AC5*TA_ti!AC$48*TA_ti!$BE5)</f>
        <v>10000</v>
      </c>
      <c r="AD5" s="4">
        <f>+IF(TA_ti!AD5*TA_ti!AD$48*TA_ti!$BE5=0,10000,TA_ti!AD5*TA_ti!AD$48*TA_ti!$BE5)</f>
        <v>10000</v>
      </c>
      <c r="AE5" s="4">
        <f>+IF(TA_ti!AE5*TA_ti!AE$48*TA_ti!$BE5=0,10000,TA_ti!AE5*TA_ti!AE$48*TA_ti!$BE5)</f>
        <v>10000</v>
      </c>
      <c r="AF5" s="4">
        <f>+IF(TA_ti!AF5*TA_ti!AF$48*TA_ti!$BE5=0,10000,TA_ti!AF5*TA_ti!AF$48*TA_ti!$BE5)</f>
        <v>10000</v>
      </c>
      <c r="AG5" s="4">
        <f>+IF(TA_ti!AG5*TA_ti!AG$48*TA_ti!$BE5=0,10000,TA_ti!AG5*TA_ti!AG$48*TA_ti!$BE5)</f>
        <v>10000</v>
      </c>
      <c r="AH5" s="4">
        <f>+IF(TA_ti!AH5*TA_ti!AH$48*TA_ti!$BE5=0,10000,TA_ti!AH5*TA_ti!AH$48*TA_ti!$BE5)</f>
        <v>10000</v>
      </c>
      <c r="AI5" s="4">
        <f>+IF(TA_ti!AI5*TA_ti!AI$48*TA_ti!$BE5=0,10000,TA_ti!AI5*TA_ti!AI$48*TA_ti!$BE5)</f>
        <v>10000</v>
      </c>
      <c r="AJ5" s="4">
        <f>+IF(TA_ti!AJ5*TA_ti!AJ$48*TA_ti!$BE5=0,10000,TA_ti!AJ5*TA_ti!AJ$48*TA_ti!$BE5)</f>
        <v>10000</v>
      </c>
      <c r="AK5" s="4">
        <f>+IF(TA_ti!AK5*TA_ti!AK$48*TA_ti!$BE5=0,10000,TA_ti!AK5*TA_ti!AK$48*TA_ti!$BE5)</f>
        <v>10000</v>
      </c>
      <c r="AL5" s="4">
        <f>+IF(TA_ti!AL5*TA_ti!AL$48*TA_ti!$BE5=0,10000,TA_ti!AL5*TA_ti!AL$48*TA_ti!$BE5)</f>
        <v>10000</v>
      </c>
      <c r="AM5" s="4">
        <f>+IF(TA_ti!AM5*TA_ti!AM$48*TA_ti!$BE5=0,10000,TA_ti!AM5*TA_ti!AM$48*TA_ti!$BE5)</f>
        <v>10000</v>
      </c>
      <c r="AN5" s="4">
        <f>+IF(TA_ti!AN5*TA_ti!AN$48*TA_ti!$BE5=0,10000,TA_ti!AN5*TA_ti!AN$48*TA_ti!$BE5)</f>
        <v>10000</v>
      </c>
      <c r="AO5" s="4">
        <f>+IF(TA_ti!AO5*TA_ti!AO$48*TA_ti!$BE5=0,10000,TA_ti!AO5*TA_ti!AO$48*TA_ti!$BE5)</f>
        <v>10000</v>
      </c>
      <c r="AP5" s="4">
        <f>+IF(TA_ti!AP5*TA_ti!AP$48*TA_ti!$BE5=0,10000,TA_ti!AP5*TA_ti!AP$48*TA_ti!$BE5)</f>
        <v>10000</v>
      </c>
      <c r="AQ5" s="4">
        <f>+IF(TA_ti!AQ5*TA_ti!AQ$48*TA_ti!$BE5=0,10000,TA_ti!AQ5*TA_ti!AQ$48*TA_ti!$BE5)</f>
        <v>10000</v>
      </c>
      <c r="AR5" s="4">
        <f>+IF(TA_ti!AR5*TA_ti!AR$48*TA_ti!$BE5=0,10000,TA_ti!AR5*TA_ti!AR$48*TA_ti!$BE5)</f>
        <v>10000</v>
      </c>
      <c r="AS5" s="4">
        <f>+IF(TA_ti!AS5*TA_ti!AS$48*TA_ti!$BE5=0,10000,TA_ti!AS5*TA_ti!AS$48*TA_ti!$BE5)</f>
        <v>10000</v>
      </c>
      <c r="AT5" s="4">
        <f>+IF(TA_ti!AT5*TA_ti!AT$48*TA_ti!$BE5=0,10000,TA_ti!AT5*TA_ti!AT$48*TA_ti!$BE5)</f>
        <v>10000</v>
      </c>
      <c r="AU5" s="4">
        <f>+IF(TA_ti!AU5*TA_ti!AU$48*TA_ti!$BE5=0,10000,TA_ti!AU5*TA_ti!AU$48*TA_ti!$BE5)</f>
        <v>10000</v>
      </c>
      <c r="AV5" s="4">
        <f>+IF(TA_ti!AV5*TA_ti!AV$48*TA_ti!$BE5=0,10000,TA_ti!AV5*TA_ti!AV$48*TA_ti!$BE5)</f>
        <v>10000</v>
      </c>
      <c r="AW5" s="4">
        <f>+IF(TA_ti!AW5*TA_ti!AW$48*TA_ti!$BE5=0,10000,TA_ti!AW5*TA_ti!AW$48*TA_ti!$BE5)</f>
        <v>10000</v>
      </c>
      <c r="AX5" s="4">
        <f>+IF(TA_ti!AX5*TA_ti!AX$48*TA_ti!$BE5=0,10000,TA_ti!AX5*TA_ti!AX$48*TA_ti!$BE5)</f>
        <v>10000</v>
      </c>
      <c r="AY5" s="4">
        <f>+IF(TA_ti!AY5*TA_ti!AY$48*TA_ti!$BE5=0,10000,TA_ti!AY5*TA_ti!AY$48*TA_ti!$BE5)</f>
        <v>10000</v>
      </c>
      <c r="AZ5" s="4">
        <f>+IF(TA_ti!AZ5*TA_ti!AZ$48*TA_ti!$BE5=0,10000,TA_ti!AZ5*TA_ti!AZ$48*TA_ti!$BE5)</f>
        <v>10000</v>
      </c>
      <c r="BA5" s="4">
        <f>+IF(TA_ti!BA5*TA_ti!BA$48*TA_ti!$BE5=0,10000,TA_ti!BA5*TA_ti!BA$48*TA_ti!$BE5)</f>
        <v>10000</v>
      </c>
      <c r="BB5" s="4">
        <f>+IF(TA_ti!BB5*TA_ti!BB$48*TA_ti!$BE5=0,10000,TA_ti!BB5*TA_ti!BB$48*TA_ti!$BE5)</f>
        <v>10000</v>
      </c>
      <c r="BC5" s="4">
        <f>+IF(TA_ti!BC5*TA_ti!BC$48*TA_ti!$BE5=0,10000,TA_ti!BC5*TA_ti!BC$48*TA_ti!$BE5)</f>
        <v>10000</v>
      </c>
    </row>
    <row r="6" spans="1:55" ht="18.75" customHeight="1" x14ac:dyDescent="0.25">
      <c r="A6" s="5" t="s">
        <v>57</v>
      </c>
      <c r="B6" s="4">
        <f>+IF(TA_ti!B6*TA_ti!B$48*TA_ti!$BE6=0,10000,TA_ti!B6*TA_ti!B$48*TA_ti!$BE6)</f>
        <v>10000</v>
      </c>
      <c r="C6" s="4">
        <f>+IF(TA_ti!C6*TA_ti!C$48*TA_ti!$BE6=0,10000,TA_ti!C6*TA_ti!C$48*TA_ti!$BE6)</f>
        <v>10000</v>
      </c>
      <c r="D6" s="4">
        <f>+IF(TA_ti!D6*TA_ti!D$48*TA_ti!$BE6=0,10000,TA_ti!D6*TA_ti!D$48*TA_ti!$BE6)</f>
        <v>10000</v>
      </c>
      <c r="E6" s="4">
        <f>+IF(TA_ti!E6*TA_ti!E$48*TA_ti!$BE6=0,10000,TA_ti!E6*TA_ti!E$48*TA_ti!$BE6)</f>
        <v>10000</v>
      </c>
      <c r="F6" s="4">
        <f>+IF(TA_ti!F6*TA_ti!F$48*TA_ti!$BE6=0,10000,TA_ti!F6*TA_ti!F$48*TA_ti!$BE6)</f>
        <v>10000</v>
      </c>
      <c r="G6" s="4">
        <f>+IF(TA_ti!G6*TA_ti!G$48*TA_ti!$BE6=0,10000,TA_ti!G6*TA_ti!G$48*TA_ti!$BE6)</f>
        <v>12</v>
      </c>
      <c r="H6" s="4">
        <f>+IF(TA_ti!H6*TA_ti!H$48*TA_ti!$BE6=0,10000,TA_ti!H6*TA_ti!H$48*TA_ti!$BE6)</f>
        <v>10000</v>
      </c>
      <c r="I6" s="4">
        <f>+IF(TA_ti!I6*TA_ti!I$48*TA_ti!$BE6=0,10000,TA_ti!I6*TA_ti!I$48*TA_ti!$BE6)</f>
        <v>10000</v>
      </c>
      <c r="J6" s="4">
        <f>+IF(TA_ti!J6*TA_ti!J$48*TA_ti!$BE6=0,10000,TA_ti!J6*TA_ti!J$48*TA_ti!$BE6)</f>
        <v>10000</v>
      </c>
      <c r="K6" s="4">
        <f>+IF(TA_ti!K6*TA_ti!K$48*TA_ti!$BE6=0,10000,TA_ti!K6*TA_ti!K$48*TA_ti!$BE6)</f>
        <v>10000</v>
      </c>
      <c r="L6" s="4">
        <f>+IF(TA_ti!L6*TA_ti!L$48*TA_ti!$BE6=0,10000,TA_ti!L6*TA_ti!L$48*TA_ti!$BE6)</f>
        <v>10000</v>
      </c>
      <c r="M6" s="4">
        <f>+IF(TA_ti!M6*TA_ti!M$48*TA_ti!$BE6=0,10000,TA_ti!M6*TA_ti!M$48*TA_ti!$BE6)</f>
        <v>12</v>
      </c>
      <c r="N6" s="4">
        <f>+IF(TA_ti!N6*TA_ti!N$48*TA_ti!$BE6=0,10000,TA_ti!N6*TA_ti!N$48*TA_ti!$BE6)</f>
        <v>10000</v>
      </c>
      <c r="O6" s="4">
        <f>+IF(TA_ti!O6*TA_ti!O$48*TA_ti!$BE6=0,10000,TA_ti!O6*TA_ti!O$48*TA_ti!$BE6)</f>
        <v>10000</v>
      </c>
      <c r="P6" s="4">
        <f>+IF(TA_ti!P6*TA_ti!P$48*TA_ti!$BE6=0,10000,TA_ti!P6*TA_ti!P$48*TA_ti!$BE6)</f>
        <v>10000</v>
      </c>
      <c r="Q6" s="4">
        <f>+IF(TA_ti!Q6*TA_ti!Q$48*TA_ti!$BE6=0,10000,TA_ti!Q6*TA_ti!Q$48*TA_ti!$BE6)</f>
        <v>10000</v>
      </c>
      <c r="R6" s="4">
        <f>+IF(TA_ti!R6*TA_ti!R$48*TA_ti!$BE6=0,10000,TA_ti!R6*TA_ti!R$48*TA_ti!$BE6)</f>
        <v>10000</v>
      </c>
      <c r="S6" s="4">
        <f>+IF(TA_ti!S6*TA_ti!S$48*TA_ti!$BE6=0,10000,TA_ti!S6*TA_ti!S$48*TA_ti!$BE6)</f>
        <v>10000</v>
      </c>
      <c r="T6" s="4">
        <f>+IF(TA_ti!T6*TA_ti!T$48*TA_ti!$BE6=0,10000,TA_ti!T6*TA_ti!T$48*TA_ti!$BE6)</f>
        <v>10000</v>
      </c>
      <c r="U6" s="4">
        <f>+IF(TA_ti!U6*TA_ti!U$48*TA_ti!$BE6=0,10000,TA_ti!U6*TA_ti!U$48*TA_ti!$BE6)</f>
        <v>10000</v>
      </c>
      <c r="V6" s="4">
        <f>+IF(TA_ti!V6*TA_ti!V$48*TA_ti!$BE6=0,10000,TA_ti!V6*TA_ti!V$48*TA_ti!$BE6)</f>
        <v>10000</v>
      </c>
      <c r="W6" s="4">
        <f>+IF(TA_ti!W6*TA_ti!W$48*TA_ti!$BE6=0,10000,TA_ti!W6*TA_ti!W$48*TA_ti!$BE6)</f>
        <v>10000</v>
      </c>
      <c r="X6" s="4">
        <f>+IF(TA_ti!X6*TA_ti!X$48*TA_ti!$BE6=0,10000,TA_ti!X6*TA_ti!X$48*TA_ti!$BE6)</f>
        <v>10000</v>
      </c>
      <c r="Y6" s="4">
        <f>+IF(TA_ti!Y6*TA_ti!Y$48*TA_ti!$BE6=0,10000,TA_ti!Y6*TA_ti!Y$48*TA_ti!$BE6)</f>
        <v>10000</v>
      </c>
      <c r="Z6" s="4">
        <f>+IF(TA_ti!Z6*TA_ti!Z$48*TA_ti!$BE6=0,10000,TA_ti!Z6*TA_ti!Z$48*TA_ti!$BE6)</f>
        <v>10000</v>
      </c>
      <c r="AA6" s="4">
        <f>+IF(TA_ti!AA6*TA_ti!AA$48*TA_ti!$BE6=0,10000,TA_ti!AA6*TA_ti!AA$48*TA_ti!$BE6)</f>
        <v>10000</v>
      </c>
      <c r="AB6" s="4">
        <f>+IF(TA_ti!AB6*TA_ti!AB$48*TA_ti!$BE6=0,10000,TA_ti!AB6*TA_ti!AB$48*TA_ti!$BE6)</f>
        <v>10000</v>
      </c>
      <c r="AC6" s="4">
        <f>+IF(TA_ti!AC6*TA_ti!AC$48*TA_ti!$BE6=0,10000,TA_ti!AC6*TA_ti!AC$48*TA_ti!$BE6)</f>
        <v>10000</v>
      </c>
      <c r="AD6" s="4">
        <f>+IF(TA_ti!AD6*TA_ti!AD$48*TA_ti!$BE6=0,10000,TA_ti!AD6*TA_ti!AD$48*TA_ti!$BE6)</f>
        <v>10000</v>
      </c>
      <c r="AE6" s="4">
        <f>+IF(TA_ti!AE6*TA_ti!AE$48*TA_ti!$BE6=0,10000,TA_ti!AE6*TA_ti!AE$48*TA_ti!$BE6)</f>
        <v>10000</v>
      </c>
      <c r="AF6" s="4">
        <f>+IF(TA_ti!AF6*TA_ti!AF$48*TA_ti!$BE6=0,10000,TA_ti!AF6*TA_ti!AF$48*TA_ti!$BE6)</f>
        <v>10000</v>
      </c>
      <c r="AG6" s="4">
        <f>+IF(TA_ti!AG6*TA_ti!AG$48*TA_ti!$BE6=0,10000,TA_ti!AG6*TA_ti!AG$48*TA_ti!$BE6)</f>
        <v>10000</v>
      </c>
      <c r="AH6" s="4">
        <f>+IF(TA_ti!AH6*TA_ti!AH$48*TA_ti!$BE6=0,10000,TA_ti!AH6*TA_ti!AH$48*TA_ti!$BE6)</f>
        <v>10000</v>
      </c>
      <c r="AI6" s="4">
        <f>+IF(TA_ti!AI6*TA_ti!AI$48*TA_ti!$BE6=0,10000,TA_ti!AI6*TA_ti!AI$48*TA_ti!$BE6)</f>
        <v>10000</v>
      </c>
      <c r="AJ6" s="4">
        <f>+IF(TA_ti!AJ6*TA_ti!AJ$48*TA_ti!$BE6=0,10000,TA_ti!AJ6*TA_ti!AJ$48*TA_ti!$BE6)</f>
        <v>10000</v>
      </c>
      <c r="AK6" s="4">
        <f>+IF(TA_ti!AK6*TA_ti!AK$48*TA_ti!$BE6=0,10000,TA_ti!AK6*TA_ti!AK$48*TA_ti!$BE6)</f>
        <v>10000</v>
      </c>
      <c r="AL6" s="4">
        <f>+IF(TA_ti!AL6*TA_ti!AL$48*TA_ti!$BE6=0,10000,TA_ti!AL6*TA_ti!AL$48*TA_ti!$BE6)</f>
        <v>10000</v>
      </c>
      <c r="AM6" s="4">
        <f>+IF(TA_ti!AM6*TA_ti!AM$48*TA_ti!$BE6=0,10000,TA_ti!AM6*TA_ti!AM$48*TA_ti!$BE6)</f>
        <v>10000</v>
      </c>
      <c r="AN6" s="4">
        <f>+IF(TA_ti!AN6*TA_ti!AN$48*TA_ti!$BE6=0,10000,TA_ti!AN6*TA_ti!AN$48*TA_ti!$BE6)</f>
        <v>10000</v>
      </c>
      <c r="AO6" s="4">
        <f>+IF(TA_ti!AO6*TA_ti!AO$48*TA_ti!$BE6=0,10000,TA_ti!AO6*TA_ti!AO$48*TA_ti!$BE6)</f>
        <v>10000</v>
      </c>
      <c r="AP6" s="4">
        <f>+IF(TA_ti!AP6*TA_ti!AP$48*TA_ti!$BE6=0,10000,TA_ti!AP6*TA_ti!AP$48*TA_ti!$BE6)</f>
        <v>10000</v>
      </c>
      <c r="AQ6" s="4">
        <f>+IF(TA_ti!AQ6*TA_ti!AQ$48*TA_ti!$BE6=0,10000,TA_ti!AQ6*TA_ti!AQ$48*TA_ti!$BE6)</f>
        <v>10000</v>
      </c>
      <c r="AR6" s="4">
        <f>+IF(TA_ti!AR6*TA_ti!AR$48*TA_ti!$BE6=0,10000,TA_ti!AR6*TA_ti!AR$48*TA_ti!$BE6)</f>
        <v>10000</v>
      </c>
      <c r="AS6" s="4">
        <f>+IF(TA_ti!AS6*TA_ti!AS$48*TA_ti!$BE6=0,10000,TA_ti!AS6*TA_ti!AS$48*TA_ti!$BE6)</f>
        <v>10000</v>
      </c>
      <c r="AT6" s="4">
        <f>+IF(TA_ti!AT6*TA_ti!AT$48*TA_ti!$BE6=0,10000,TA_ti!AT6*TA_ti!AT$48*TA_ti!$BE6)</f>
        <v>10000</v>
      </c>
      <c r="AU6" s="4">
        <f>+IF(TA_ti!AU6*TA_ti!AU$48*TA_ti!$BE6=0,10000,TA_ti!AU6*TA_ti!AU$48*TA_ti!$BE6)</f>
        <v>10000</v>
      </c>
      <c r="AV6" s="4">
        <f>+IF(TA_ti!AV6*TA_ti!AV$48*TA_ti!$BE6=0,10000,TA_ti!AV6*TA_ti!AV$48*TA_ti!$BE6)</f>
        <v>10000</v>
      </c>
      <c r="AW6" s="4">
        <f>+IF(TA_ti!AW6*TA_ti!AW$48*TA_ti!$BE6=0,10000,TA_ti!AW6*TA_ti!AW$48*TA_ti!$BE6)</f>
        <v>10000</v>
      </c>
      <c r="AX6" s="4">
        <f>+IF(TA_ti!AX6*TA_ti!AX$48*TA_ti!$BE6=0,10000,TA_ti!AX6*TA_ti!AX$48*TA_ti!$BE6)</f>
        <v>10000</v>
      </c>
      <c r="AY6" s="4">
        <f>+IF(TA_ti!AY6*TA_ti!AY$48*TA_ti!$BE6=0,10000,TA_ti!AY6*TA_ti!AY$48*TA_ti!$BE6)</f>
        <v>10000</v>
      </c>
      <c r="AZ6" s="4">
        <f>+IF(TA_ti!AZ6*TA_ti!AZ$48*TA_ti!$BE6=0,10000,TA_ti!AZ6*TA_ti!AZ$48*TA_ti!$BE6)</f>
        <v>10000</v>
      </c>
      <c r="BA6" s="4">
        <f>+IF(TA_ti!BA6*TA_ti!BA$48*TA_ti!$BE6=0,10000,TA_ti!BA6*TA_ti!BA$48*TA_ti!$BE6)</f>
        <v>10000</v>
      </c>
      <c r="BB6" s="4">
        <f>+IF(TA_ti!BB6*TA_ti!BB$48*TA_ti!$BE6=0,10000,TA_ti!BB6*TA_ti!BB$48*TA_ti!$BE6)</f>
        <v>10000</v>
      </c>
      <c r="BC6" s="4">
        <f>+IF(TA_ti!BC6*TA_ti!BC$48*TA_ti!$BE6=0,10000,TA_ti!BC6*TA_ti!BC$48*TA_ti!$BE6)</f>
        <v>10000</v>
      </c>
    </row>
    <row r="7" spans="1:55" ht="18.75" customHeight="1" x14ac:dyDescent="0.25">
      <c r="A7" s="5" t="s">
        <v>58</v>
      </c>
      <c r="B7" s="4">
        <f>+IF(TA_ti!B7*TA_ti!B$48*TA_ti!$BE7=0,10000,TA_ti!B7*TA_ti!B$48*TA_ti!$BE7)</f>
        <v>10000</v>
      </c>
      <c r="C7" s="4">
        <f>+IF(TA_ti!C7*TA_ti!C$48*TA_ti!$BE7=0,10000,TA_ti!C7*TA_ti!C$48*TA_ti!$BE7)</f>
        <v>10000</v>
      </c>
      <c r="D7" s="4">
        <f>+IF(TA_ti!D7*TA_ti!D$48*TA_ti!$BE7=0,10000,TA_ti!D7*TA_ti!D$48*TA_ti!$BE7)</f>
        <v>10000</v>
      </c>
      <c r="E7" s="4">
        <f>+IF(TA_ti!E7*TA_ti!E$48*TA_ti!$BE7=0,10000,TA_ti!E7*TA_ti!E$48*TA_ti!$BE7)</f>
        <v>10000</v>
      </c>
      <c r="F7" s="4">
        <f>+IF(TA_ti!F7*TA_ti!F$48*TA_ti!$BE7=0,10000,TA_ti!F7*TA_ti!F$48*TA_ti!$BE7)</f>
        <v>10000</v>
      </c>
      <c r="G7" s="4">
        <f>+IF(TA_ti!G7*TA_ti!G$48*TA_ti!$BE7=0,10000,TA_ti!G7*TA_ti!G$48*TA_ti!$BE7)</f>
        <v>12</v>
      </c>
      <c r="H7" s="4">
        <f>+IF(TA_ti!H7*TA_ti!H$48*TA_ti!$BE7=0,10000,TA_ti!H7*TA_ti!H$48*TA_ti!$BE7)</f>
        <v>10000</v>
      </c>
      <c r="I7" s="4">
        <f>+IF(TA_ti!I7*TA_ti!I$48*TA_ti!$BE7=0,10000,TA_ti!I7*TA_ti!I$48*TA_ti!$BE7)</f>
        <v>10000</v>
      </c>
      <c r="J7" s="4">
        <f>+IF(TA_ti!J7*TA_ti!J$48*TA_ti!$BE7=0,10000,TA_ti!J7*TA_ti!J$48*TA_ti!$BE7)</f>
        <v>10000</v>
      </c>
      <c r="K7" s="4">
        <f>+IF(TA_ti!K7*TA_ti!K$48*TA_ti!$BE7=0,10000,TA_ti!K7*TA_ti!K$48*TA_ti!$BE7)</f>
        <v>10000</v>
      </c>
      <c r="L7" s="4">
        <f>+IF(TA_ti!L7*TA_ti!L$48*TA_ti!$BE7=0,10000,TA_ti!L7*TA_ti!L$48*TA_ti!$BE7)</f>
        <v>10000</v>
      </c>
      <c r="M7" s="4">
        <f>+IF(TA_ti!M7*TA_ti!M$48*TA_ti!$BE7=0,10000,TA_ti!M7*TA_ti!M$48*TA_ti!$BE7)</f>
        <v>12</v>
      </c>
      <c r="N7" s="4">
        <f>+IF(TA_ti!N7*TA_ti!N$48*TA_ti!$BE7=0,10000,TA_ti!N7*TA_ti!N$48*TA_ti!$BE7)</f>
        <v>10000</v>
      </c>
      <c r="O7" s="4">
        <f>+IF(TA_ti!O7*TA_ti!O$48*TA_ti!$BE7=0,10000,TA_ti!O7*TA_ti!O$48*TA_ti!$BE7)</f>
        <v>10000</v>
      </c>
      <c r="P7" s="4">
        <f>+IF(TA_ti!P7*TA_ti!P$48*TA_ti!$BE7=0,10000,TA_ti!P7*TA_ti!P$48*TA_ti!$BE7)</f>
        <v>10000</v>
      </c>
      <c r="Q7" s="4">
        <f>+IF(TA_ti!Q7*TA_ti!Q$48*TA_ti!$BE7=0,10000,TA_ti!Q7*TA_ti!Q$48*TA_ti!$BE7)</f>
        <v>5</v>
      </c>
      <c r="R7" s="4">
        <f>+IF(TA_ti!R7*TA_ti!R$48*TA_ti!$BE7=0,10000,TA_ti!R7*TA_ti!R$48*TA_ti!$BE7)</f>
        <v>10000</v>
      </c>
      <c r="S7" s="4">
        <f>+IF(TA_ti!S7*TA_ti!S$48*TA_ti!$BE7=0,10000,TA_ti!S7*TA_ti!S$48*TA_ti!$BE7)</f>
        <v>10000</v>
      </c>
      <c r="T7" s="4">
        <f>+IF(TA_ti!T7*TA_ti!T$48*TA_ti!$BE7=0,10000,TA_ti!T7*TA_ti!T$48*TA_ti!$BE7)</f>
        <v>10000</v>
      </c>
      <c r="U7" s="4">
        <f>+IF(TA_ti!U7*TA_ti!U$48*TA_ti!$BE7=0,10000,TA_ti!U7*TA_ti!U$48*TA_ti!$BE7)</f>
        <v>10000</v>
      </c>
      <c r="V7" s="4">
        <f>+IF(TA_ti!V7*TA_ti!V$48*TA_ti!$BE7=0,10000,TA_ti!V7*TA_ti!V$48*TA_ti!$BE7)</f>
        <v>10000</v>
      </c>
      <c r="W7" s="4">
        <f>+IF(TA_ti!W7*TA_ti!W$48*TA_ti!$BE7=0,10000,TA_ti!W7*TA_ti!W$48*TA_ti!$BE7)</f>
        <v>10000</v>
      </c>
      <c r="X7" s="4">
        <f>+IF(TA_ti!X7*TA_ti!X$48*TA_ti!$BE7=0,10000,TA_ti!X7*TA_ti!X$48*TA_ti!$BE7)</f>
        <v>10000</v>
      </c>
      <c r="Y7" s="4">
        <f>+IF(TA_ti!Y7*TA_ti!Y$48*TA_ti!$BE7=0,10000,TA_ti!Y7*TA_ti!Y$48*TA_ti!$BE7)</f>
        <v>10000</v>
      </c>
      <c r="Z7" s="4">
        <f>+IF(TA_ti!Z7*TA_ti!Z$48*TA_ti!$BE7=0,10000,TA_ti!Z7*TA_ti!Z$48*TA_ti!$BE7)</f>
        <v>10000</v>
      </c>
      <c r="AA7" s="4">
        <f>+IF(TA_ti!AA7*TA_ti!AA$48*TA_ti!$BE7=0,10000,TA_ti!AA7*TA_ti!AA$48*TA_ti!$BE7)</f>
        <v>10000</v>
      </c>
      <c r="AB7" s="4">
        <f>+IF(TA_ti!AB7*TA_ti!AB$48*TA_ti!$BE7=0,10000,TA_ti!AB7*TA_ti!AB$48*TA_ti!$BE7)</f>
        <v>10000</v>
      </c>
      <c r="AC7" s="4">
        <f>+IF(TA_ti!AC7*TA_ti!AC$48*TA_ti!$BE7=0,10000,TA_ti!AC7*TA_ti!AC$48*TA_ti!$BE7)</f>
        <v>10000</v>
      </c>
      <c r="AD7" s="4">
        <f>+IF(TA_ti!AD7*TA_ti!AD$48*TA_ti!$BE7=0,10000,TA_ti!AD7*TA_ti!AD$48*TA_ti!$BE7)</f>
        <v>10000</v>
      </c>
      <c r="AE7" s="4">
        <f>+IF(TA_ti!AE7*TA_ti!AE$48*TA_ti!$BE7=0,10000,TA_ti!AE7*TA_ti!AE$48*TA_ti!$BE7)</f>
        <v>10000</v>
      </c>
      <c r="AF7" s="4">
        <f>+IF(TA_ti!AF7*TA_ti!AF$48*TA_ti!$BE7=0,10000,TA_ti!AF7*TA_ti!AF$48*TA_ti!$BE7)</f>
        <v>10000</v>
      </c>
      <c r="AG7" s="4">
        <f>+IF(TA_ti!AG7*TA_ti!AG$48*TA_ti!$BE7=0,10000,TA_ti!AG7*TA_ti!AG$48*TA_ti!$BE7)</f>
        <v>10000</v>
      </c>
      <c r="AH7" s="4">
        <f>+IF(TA_ti!AH7*TA_ti!AH$48*TA_ti!$BE7=0,10000,TA_ti!AH7*TA_ti!AH$48*TA_ti!$BE7)</f>
        <v>10000</v>
      </c>
      <c r="AI7" s="4">
        <f>+IF(TA_ti!AI7*TA_ti!AI$48*TA_ti!$BE7=0,10000,TA_ti!AI7*TA_ti!AI$48*TA_ti!$BE7)</f>
        <v>10000</v>
      </c>
      <c r="AJ7" s="4">
        <f>+IF(TA_ti!AJ7*TA_ti!AJ$48*TA_ti!$BE7=0,10000,TA_ti!AJ7*TA_ti!AJ$48*TA_ti!$BE7)</f>
        <v>10000</v>
      </c>
      <c r="AK7" s="4">
        <f>+IF(TA_ti!AK7*TA_ti!AK$48*TA_ti!$BE7=0,10000,TA_ti!AK7*TA_ti!AK$48*TA_ti!$BE7)</f>
        <v>10000</v>
      </c>
      <c r="AL7" s="4">
        <f>+IF(TA_ti!AL7*TA_ti!AL$48*TA_ti!$BE7=0,10000,TA_ti!AL7*TA_ti!AL$48*TA_ti!$BE7)</f>
        <v>10000</v>
      </c>
      <c r="AM7" s="4">
        <f>+IF(TA_ti!AM7*TA_ti!AM$48*TA_ti!$BE7=0,10000,TA_ti!AM7*TA_ti!AM$48*TA_ti!$BE7)</f>
        <v>10000</v>
      </c>
      <c r="AN7" s="4">
        <f>+IF(TA_ti!AN7*TA_ti!AN$48*TA_ti!$BE7=0,10000,TA_ti!AN7*TA_ti!AN$48*TA_ti!$BE7)</f>
        <v>10000</v>
      </c>
      <c r="AO7" s="4">
        <f>+IF(TA_ti!AO7*TA_ti!AO$48*TA_ti!$BE7=0,10000,TA_ti!AO7*TA_ti!AO$48*TA_ti!$BE7)</f>
        <v>10000</v>
      </c>
      <c r="AP7" s="4">
        <f>+IF(TA_ti!AP7*TA_ti!AP$48*TA_ti!$BE7=0,10000,TA_ti!AP7*TA_ti!AP$48*TA_ti!$BE7)</f>
        <v>10000</v>
      </c>
      <c r="AQ7" s="4">
        <f>+IF(TA_ti!AQ7*TA_ti!AQ$48*TA_ti!$BE7=0,10000,TA_ti!AQ7*TA_ti!AQ$48*TA_ti!$BE7)</f>
        <v>10000</v>
      </c>
      <c r="AR7" s="4">
        <f>+IF(TA_ti!AR7*TA_ti!AR$48*TA_ti!$BE7=0,10000,TA_ti!AR7*TA_ti!AR$48*TA_ti!$BE7)</f>
        <v>10000</v>
      </c>
      <c r="AS7" s="4">
        <f>+IF(TA_ti!AS7*TA_ti!AS$48*TA_ti!$BE7=0,10000,TA_ti!AS7*TA_ti!AS$48*TA_ti!$BE7)</f>
        <v>10000</v>
      </c>
      <c r="AT7" s="4">
        <f>+IF(TA_ti!AT7*TA_ti!AT$48*TA_ti!$BE7=0,10000,TA_ti!AT7*TA_ti!AT$48*TA_ti!$BE7)</f>
        <v>10000</v>
      </c>
      <c r="AU7" s="4">
        <f>+IF(TA_ti!AU7*TA_ti!AU$48*TA_ti!$BE7=0,10000,TA_ti!AU7*TA_ti!AU$48*TA_ti!$BE7)</f>
        <v>10000</v>
      </c>
      <c r="AV7" s="4">
        <f>+IF(TA_ti!AV7*TA_ti!AV$48*TA_ti!$BE7=0,10000,TA_ti!AV7*TA_ti!AV$48*TA_ti!$BE7)</f>
        <v>10000</v>
      </c>
      <c r="AW7" s="4">
        <f>+IF(TA_ti!AW7*TA_ti!AW$48*TA_ti!$BE7=0,10000,TA_ti!AW7*TA_ti!AW$48*TA_ti!$BE7)</f>
        <v>10000</v>
      </c>
      <c r="AX7" s="4">
        <f>+IF(TA_ti!AX7*TA_ti!AX$48*TA_ti!$BE7=0,10000,TA_ti!AX7*TA_ti!AX$48*TA_ti!$BE7)</f>
        <v>10000</v>
      </c>
      <c r="AY7" s="4">
        <f>+IF(TA_ti!AY7*TA_ti!AY$48*TA_ti!$BE7=0,10000,TA_ti!AY7*TA_ti!AY$48*TA_ti!$BE7)</f>
        <v>10000</v>
      </c>
      <c r="AZ7" s="4">
        <f>+IF(TA_ti!AZ7*TA_ti!AZ$48*TA_ti!$BE7=0,10000,TA_ti!AZ7*TA_ti!AZ$48*TA_ti!$BE7)</f>
        <v>10000</v>
      </c>
      <c r="BA7" s="4">
        <f>+IF(TA_ti!BA7*TA_ti!BA$48*TA_ti!$BE7=0,10000,TA_ti!BA7*TA_ti!BA$48*TA_ti!$BE7)</f>
        <v>10000</v>
      </c>
      <c r="BB7" s="4">
        <f>+IF(TA_ti!BB7*TA_ti!BB$48*TA_ti!$BE7=0,10000,TA_ti!BB7*TA_ti!BB$48*TA_ti!$BE7)</f>
        <v>10000</v>
      </c>
      <c r="BC7" s="4">
        <f>+IF(TA_ti!BC7*TA_ti!BC$48*TA_ti!$BE7=0,10000,TA_ti!BC7*TA_ti!BC$48*TA_ti!$BE7)</f>
        <v>10000</v>
      </c>
    </row>
    <row r="8" spans="1:55" ht="18.75" customHeight="1" x14ac:dyDescent="0.25">
      <c r="A8" s="5" t="s">
        <v>59</v>
      </c>
      <c r="B8" s="4">
        <f>+IF(TA_ti!B8*TA_ti!B$48*TA_ti!$BE8=0,10000,TA_ti!B8*TA_ti!B$48*TA_ti!$BE8)</f>
        <v>10000</v>
      </c>
      <c r="C8" s="4">
        <f>+IF(TA_ti!C8*TA_ti!C$48*TA_ti!$BE8=0,10000,TA_ti!C8*TA_ti!C$48*TA_ti!$BE8)</f>
        <v>10000</v>
      </c>
      <c r="D8" s="4">
        <f>+IF(TA_ti!D8*TA_ti!D$48*TA_ti!$BE8=0,10000,TA_ti!D8*TA_ti!D$48*TA_ti!$BE8)</f>
        <v>10000</v>
      </c>
      <c r="E8" s="4">
        <f>+IF(TA_ti!E8*TA_ti!E$48*TA_ti!$BE8=0,10000,TA_ti!E8*TA_ti!E$48*TA_ti!$BE8)</f>
        <v>10000</v>
      </c>
      <c r="F8" s="4">
        <f>+IF(TA_ti!F8*TA_ti!F$48*TA_ti!$BE8=0,10000,TA_ti!F8*TA_ti!F$48*TA_ti!$BE8)</f>
        <v>10000</v>
      </c>
      <c r="G8" s="4">
        <f>+IF(TA_ti!G8*TA_ti!G$48*TA_ti!$BE8=0,10000,TA_ti!G8*TA_ti!G$48*TA_ti!$BE8)</f>
        <v>12</v>
      </c>
      <c r="H8" s="4">
        <f>+IF(TA_ti!H8*TA_ti!H$48*TA_ti!$BE8=0,10000,TA_ti!H8*TA_ti!H$48*TA_ti!$BE8)</f>
        <v>10000</v>
      </c>
      <c r="I8" s="4">
        <f>+IF(TA_ti!I8*TA_ti!I$48*TA_ti!$BE8=0,10000,TA_ti!I8*TA_ti!I$48*TA_ti!$BE8)</f>
        <v>10000</v>
      </c>
      <c r="J8" s="4">
        <f>+IF(TA_ti!J8*TA_ti!J$48*TA_ti!$BE8=0,10000,TA_ti!J8*TA_ti!J$48*TA_ti!$BE8)</f>
        <v>10000</v>
      </c>
      <c r="K8" s="4">
        <f>+IF(TA_ti!K8*TA_ti!K$48*TA_ti!$BE8=0,10000,TA_ti!K8*TA_ti!K$48*TA_ti!$BE8)</f>
        <v>10000</v>
      </c>
      <c r="L8" s="4">
        <f>+IF(TA_ti!L8*TA_ti!L$48*TA_ti!$BE8=0,10000,TA_ti!L8*TA_ti!L$48*TA_ti!$BE8)</f>
        <v>10000</v>
      </c>
      <c r="M8" s="4">
        <f>+IF(TA_ti!M8*TA_ti!M$48*TA_ti!$BE8=0,10000,TA_ti!M8*TA_ti!M$48*TA_ti!$BE8)</f>
        <v>12</v>
      </c>
      <c r="N8" s="4">
        <f>+IF(TA_ti!N8*TA_ti!N$48*TA_ti!$BE8=0,10000,TA_ti!N8*TA_ti!N$48*TA_ti!$BE8)</f>
        <v>10000</v>
      </c>
      <c r="O8" s="4">
        <f>+IF(TA_ti!O8*TA_ti!O$48*TA_ti!$BE8=0,10000,TA_ti!O8*TA_ti!O$48*TA_ti!$BE8)</f>
        <v>10000</v>
      </c>
      <c r="P8" s="4">
        <f>+IF(TA_ti!P8*TA_ti!P$48*TA_ti!$BE8=0,10000,TA_ti!P8*TA_ti!P$48*TA_ti!$BE8)</f>
        <v>10000</v>
      </c>
      <c r="Q8" s="4">
        <f>+IF(TA_ti!Q8*TA_ti!Q$48*TA_ti!$BE8=0,10000,TA_ti!Q8*TA_ti!Q$48*TA_ti!$BE8)</f>
        <v>5</v>
      </c>
      <c r="R8" s="4">
        <f>+IF(TA_ti!R8*TA_ti!R$48*TA_ti!$BE8=0,10000,TA_ti!R8*TA_ti!R$48*TA_ti!$BE8)</f>
        <v>10000</v>
      </c>
      <c r="S8" s="4">
        <f>+IF(TA_ti!S8*TA_ti!S$48*TA_ti!$BE8=0,10000,TA_ti!S8*TA_ti!S$48*TA_ti!$BE8)</f>
        <v>10000</v>
      </c>
      <c r="T8" s="4">
        <f>+IF(TA_ti!T8*TA_ti!T$48*TA_ti!$BE8=0,10000,TA_ti!T8*TA_ti!T$48*TA_ti!$BE8)</f>
        <v>10000</v>
      </c>
      <c r="U8" s="4">
        <f>+IF(TA_ti!U8*TA_ti!U$48*TA_ti!$BE8=0,10000,TA_ti!U8*TA_ti!U$48*TA_ti!$BE8)</f>
        <v>10000</v>
      </c>
      <c r="V8" s="4">
        <f>+IF(TA_ti!V8*TA_ti!V$48*TA_ti!$BE8=0,10000,TA_ti!V8*TA_ti!V$48*TA_ti!$BE8)</f>
        <v>10000</v>
      </c>
      <c r="W8" s="4">
        <f>+IF(TA_ti!W8*TA_ti!W$48*TA_ti!$BE8=0,10000,TA_ti!W8*TA_ti!W$48*TA_ti!$BE8)</f>
        <v>10000</v>
      </c>
      <c r="X8" s="4">
        <f>+IF(TA_ti!X8*TA_ti!X$48*TA_ti!$BE8=0,10000,TA_ti!X8*TA_ti!X$48*TA_ti!$BE8)</f>
        <v>10000</v>
      </c>
      <c r="Y8" s="4">
        <f>+IF(TA_ti!Y8*TA_ti!Y$48*TA_ti!$BE8=0,10000,TA_ti!Y8*TA_ti!Y$48*TA_ti!$BE8)</f>
        <v>10000</v>
      </c>
      <c r="Z8" s="4">
        <f>+IF(TA_ti!Z8*TA_ti!Z$48*TA_ti!$BE8=0,10000,TA_ti!Z8*TA_ti!Z$48*TA_ti!$BE8)</f>
        <v>10000</v>
      </c>
      <c r="AA8" s="4">
        <f>+IF(TA_ti!AA8*TA_ti!AA$48*TA_ti!$BE8=0,10000,TA_ti!AA8*TA_ti!AA$48*TA_ti!$BE8)</f>
        <v>10000</v>
      </c>
      <c r="AB8" s="4">
        <f>+IF(TA_ti!AB8*TA_ti!AB$48*TA_ti!$BE8=0,10000,TA_ti!AB8*TA_ti!AB$48*TA_ti!$BE8)</f>
        <v>10000</v>
      </c>
      <c r="AC8" s="4">
        <f>+IF(TA_ti!AC8*TA_ti!AC$48*TA_ti!$BE8=0,10000,TA_ti!AC8*TA_ti!AC$48*TA_ti!$BE8)</f>
        <v>10000</v>
      </c>
      <c r="AD8" s="4">
        <f>+IF(TA_ti!AD8*TA_ti!AD$48*TA_ti!$BE8=0,10000,TA_ti!AD8*TA_ti!AD$48*TA_ti!$BE8)</f>
        <v>10000</v>
      </c>
      <c r="AE8" s="4">
        <f>+IF(TA_ti!AE8*TA_ti!AE$48*TA_ti!$BE8=0,10000,TA_ti!AE8*TA_ti!AE$48*TA_ti!$BE8)</f>
        <v>10000</v>
      </c>
      <c r="AF8" s="4">
        <f>+IF(TA_ti!AF8*TA_ti!AF$48*TA_ti!$BE8=0,10000,TA_ti!AF8*TA_ti!AF$48*TA_ti!$BE8)</f>
        <v>10000</v>
      </c>
      <c r="AG8" s="4">
        <f>+IF(TA_ti!AG8*TA_ti!AG$48*TA_ti!$BE8=0,10000,TA_ti!AG8*TA_ti!AG$48*TA_ti!$BE8)</f>
        <v>10000</v>
      </c>
      <c r="AH8" s="4">
        <f>+IF(TA_ti!AH8*TA_ti!AH$48*TA_ti!$BE8=0,10000,TA_ti!AH8*TA_ti!AH$48*TA_ti!$BE8)</f>
        <v>10000</v>
      </c>
      <c r="AI8" s="4">
        <f>+IF(TA_ti!AI8*TA_ti!AI$48*TA_ti!$BE8=0,10000,TA_ti!AI8*TA_ti!AI$48*TA_ti!$BE8)</f>
        <v>10000</v>
      </c>
      <c r="AJ8" s="4">
        <f>+IF(TA_ti!AJ8*TA_ti!AJ$48*TA_ti!$BE8=0,10000,TA_ti!AJ8*TA_ti!AJ$48*TA_ti!$BE8)</f>
        <v>10000</v>
      </c>
      <c r="AK8" s="4">
        <f>+IF(TA_ti!AK8*TA_ti!AK$48*TA_ti!$BE8=0,10000,TA_ti!AK8*TA_ti!AK$48*TA_ti!$BE8)</f>
        <v>10000</v>
      </c>
      <c r="AL8" s="4">
        <f>+IF(TA_ti!AL8*TA_ti!AL$48*TA_ti!$BE8=0,10000,TA_ti!AL8*TA_ti!AL$48*TA_ti!$BE8)</f>
        <v>10000</v>
      </c>
      <c r="AM8" s="4">
        <f>+IF(TA_ti!AM8*TA_ti!AM$48*TA_ti!$BE8=0,10000,TA_ti!AM8*TA_ti!AM$48*TA_ti!$BE8)</f>
        <v>10000</v>
      </c>
      <c r="AN8" s="4">
        <f>+IF(TA_ti!AN8*TA_ti!AN$48*TA_ti!$BE8=0,10000,TA_ti!AN8*TA_ti!AN$48*TA_ti!$BE8)</f>
        <v>10000</v>
      </c>
      <c r="AO8" s="4">
        <f>+IF(TA_ti!AO8*TA_ti!AO$48*TA_ti!$BE8=0,10000,TA_ti!AO8*TA_ti!AO$48*TA_ti!$BE8)</f>
        <v>10000</v>
      </c>
      <c r="AP8" s="4">
        <f>+IF(TA_ti!AP8*TA_ti!AP$48*TA_ti!$BE8=0,10000,TA_ti!AP8*TA_ti!AP$48*TA_ti!$BE8)</f>
        <v>10000</v>
      </c>
      <c r="AQ8" s="4">
        <f>+IF(TA_ti!AQ8*TA_ti!AQ$48*TA_ti!$BE8=0,10000,TA_ti!AQ8*TA_ti!AQ$48*TA_ti!$BE8)</f>
        <v>10000</v>
      </c>
      <c r="AR8" s="4">
        <f>+IF(TA_ti!AR8*TA_ti!AR$48*TA_ti!$BE8=0,10000,TA_ti!AR8*TA_ti!AR$48*TA_ti!$BE8)</f>
        <v>10000</v>
      </c>
      <c r="AS8" s="4">
        <f>+IF(TA_ti!AS8*TA_ti!AS$48*TA_ti!$BE8=0,10000,TA_ti!AS8*TA_ti!AS$48*TA_ti!$BE8)</f>
        <v>10000</v>
      </c>
      <c r="AT8" s="4">
        <f>+IF(TA_ti!AT8*TA_ti!AT$48*TA_ti!$BE8=0,10000,TA_ti!AT8*TA_ti!AT$48*TA_ti!$BE8)</f>
        <v>10000</v>
      </c>
      <c r="AU8" s="4">
        <f>+IF(TA_ti!AU8*TA_ti!AU$48*TA_ti!$BE8=0,10000,TA_ti!AU8*TA_ti!AU$48*TA_ti!$BE8)</f>
        <v>10000</v>
      </c>
      <c r="AV8" s="4">
        <f>+IF(TA_ti!AV8*TA_ti!AV$48*TA_ti!$BE8=0,10000,TA_ti!AV8*TA_ti!AV$48*TA_ti!$BE8)</f>
        <v>10000</v>
      </c>
      <c r="AW8" s="4">
        <f>+IF(TA_ti!AW8*TA_ti!AW$48*TA_ti!$BE8=0,10000,TA_ti!AW8*TA_ti!AW$48*TA_ti!$BE8)</f>
        <v>10000</v>
      </c>
      <c r="AX8" s="4">
        <f>+IF(TA_ti!AX8*TA_ti!AX$48*TA_ti!$BE8=0,10000,TA_ti!AX8*TA_ti!AX$48*TA_ti!$BE8)</f>
        <v>10000</v>
      </c>
      <c r="AY8" s="4">
        <f>+IF(TA_ti!AY8*TA_ti!AY$48*TA_ti!$BE8=0,10000,TA_ti!AY8*TA_ti!AY$48*TA_ti!$BE8)</f>
        <v>10000</v>
      </c>
      <c r="AZ8" s="4">
        <f>+IF(TA_ti!AZ8*TA_ti!AZ$48*TA_ti!$BE8=0,10000,TA_ti!AZ8*TA_ti!AZ$48*TA_ti!$BE8)</f>
        <v>10000</v>
      </c>
      <c r="BA8" s="4">
        <f>+IF(TA_ti!BA8*TA_ti!BA$48*TA_ti!$BE8=0,10000,TA_ti!BA8*TA_ti!BA$48*TA_ti!$BE8)</f>
        <v>10000</v>
      </c>
      <c r="BB8" s="4">
        <f>+IF(TA_ti!BB8*TA_ti!BB$48*TA_ti!$BE8=0,10000,TA_ti!BB8*TA_ti!BB$48*TA_ti!$BE8)</f>
        <v>10000</v>
      </c>
      <c r="BC8" s="4">
        <f>+IF(TA_ti!BC8*TA_ti!BC$48*TA_ti!$BE8=0,10000,TA_ti!BC8*TA_ti!BC$48*TA_ti!$BE8)</f>
        <v>10000</v>
      </c>
    </row>
    <row r="9" spans="1:55" ht="18.75" customHeight="1" x14ac:dyDescent="0.25">
      <c r="A9" s="5" t="s">
        <v>60</v>
      </c>
      <c r="B9" s="4">
        <f>+IF(TA_ti!B9*TA_ti!B$48*TA_ti!$BE9=0,10000,TA_ti!B9*TA_ti!B$48*TA_ti!$BE9)</f>
        <v>10000</v>
      </c>
      <c r="C9" s="4">
        <f>+IF(TA_ti!C9*TA_ti!C$48*TA_ti!$BE9=0,10000,TA_ti!C9*TA_ti!C$48*TA_ti!$BE9)</f>
        <v>10000</v>
      </c>
      <c r="D9" s="4">
        <f>+IF(TA_ti!D9*TA_ti!D$48*TA_ti!$BE9=0,10000,TA_ti!D9*TA_ti!D$48*TA_ti!$BE9)</f>
        <v>10000</v>
      </c>
      <c r="E9" s="4">
        <f>+IF(TA_ti!E9*TA_ti!E$48*TA_ti!$BE9=0,10000,TA_ti!E9*TA_ti!E$48*TA_ti!$BE9)</f>
        <v>10000</v>
      </c>
      <c r="F9" s="4">
        <f>+IF(TA_ti!F9*TA_ti!F$48*TA_ti!$BE9=0,10000,TA_ti!F9*TA_ti!F$48*TA_ti!$BE9)</f>
        <v>10000</v>
      </c>
      <c r="G9" s="4">
        <f>+IF(TA_ti!G9*TA_ti!G$48*TA_ti!$BE9=0,10000,TA_ti!G9*TA_ti!G$48*TA_ti!$BE9)</f>
        <v>12</v>
      </c>
      <c r="H9" s="4">
        <f>+IF(TA_ti!H9*TA_ti!H$48*TA_ti!$BE9=0,10000,TA_ti!H9*TA_ti!H$48*TA_ti!$BE9)</f>
        <v>10000</v>
      </c>
      <c r="I9" s="4">
        <f>+IF(TA_ti!I9*TA_ti!I$48*TA_ti!$BE9=0,10000,TA_ti!I9*TA_ti!I$48*TA_ti!$BE9)</f>
        <v>10000</v>
      </c>
      <c r="J9" s="4">
        <f>+IF(TA_ti!J9*TA_ti!J$48*TA_ti!$BE9=0,10000,TA_ti!J9*TA_ti!J$48*TA_ti!$BE9)</f>
        <v>10000</v>
      </c>
      <c r="K9" s="4">
        <f>+IF(TA_ti!K9*TA_ti!K$48*TA_ti!$BE9=0,10000,TA_ti!K9*TA_ti!K$48*TA_ti!$BE9)</f>
        <v>10000</v>
      </c>
      <c r="L9" s="4">
        <f>+IF(TA_ti!L9*TA_ti!L$48*TA_ti!$BE9=0,10000,TA_ti!L9*TA_ti!L$48*TA_ti!$BE9)</f>
        <v>10000</v>
      </c>
      <c r="M9" s="4">
        <f>+IF(TA_ti!M9*TA_ti!M$48*TA_ti!$BE9=0,10000,TA_ti!M9*TA_ti!M$48*TA_ti!$BE9)</f>
        <v>12</v>
      </c>
      <c r="N9" s="4">
        <f>+IF(TA_ti!N9*TA_ti!N$48*TA_ti!$BE9=0,10000,TA_ti!N9*TA_ti!N$48*TA_ti!$BE9)</f>
        <v>10000</v>
      </c>
      <c r="O9" s="4">
        <f>+IF(TA_ti!O9*TA_ti!O$48*TA_ti!$BE9=0,10000,TA_ti!O9*TA_ti!O$48*TA_ti!$BE9)</f>
        <v>10000</v>
      </c>
      <c r="P9" s="4">
        <f>+IF(TA_ti!P9*TA_ti!P$48*TA_ti!$BE9=0,10000,TA_ti!P9*TA_ti!P$48*TA_ti!$BE9)</f>
        <v>10000</v>
      </c>
      <c r="Q9" s="4">
        <f>+IF(TA_ti!Q9*TA_ti!Q$48*TA_ti!$BE9=0,10000,TA_ti!Q9*TA_ti!Q$48*TA_ti!$BE9)</f>
        <v>5</v>
      </c>
      <c r="R9" s="4">
        <f>+IF(TA_ti!R9*TA_ti!R$48*TA_ti!$BE9=0,10000,TA_ti!R9*TA_ti!R$48*TA_ti!$BE9)</f>
        <v>10000</v>
      </c>
      <c r="S9" s="4">
        <f>+IF(TA_ti!S9*TA_ti!S$48*TA_ti!$BE9=0,10000,TA_ti!S9*TA_ti!S$48*TA_ti!$BE9)</f>
        <v>10000</v>
      </c>
      <c r="T9" s="4">
        <f>+IF(TA_ti!T9*TA_ti!T$48*TA_ti!$BE9=0,10000,TA_ti!T9*TA_ti!T$48*TA_ti!$BE9)</f>
        <v>10000</v>
      </c>
      <c r="U9" s="4">
        <f>+IF(TA_ti!U9*TA_ti!U$48*TA_ti!$BE9=0,10000,TA_ti!U9*TA_ti!U$48*TA_ti!$BE9)</f>
        <v>10000</v>
      </c>
      <c r="V9" s="4">
        <f>+IF(TA_ti!V9*TA_ti!V$48*TA_ti!$BE9=0,10000,TA_ti!V9*TA_ti!V$48*TA_ti!$BE9)</f>
        <v>10000</v>
      </c>
      <c r="W9" s="4">
        <f>+IF(TA_ti!W9*TA_ti!W$48*TA_ti!$BE9=0,10000,TA_ti!W9*TA_ti!W$48*TA_ti!$BE9)</f>
        <v>10000</v>
      </c>
      <c r="X9" s="4">
        <f>+IF(TA_ti!X9*TA_ti!X$48*TA_ti!$BE9=0,10000,TA_ti!X9*TA_ti!X$48*TA_ti!$BE9)</f>
        <v>10000</v>
      </c>
      <c r="Y9" s="4">
        <f>+IF(TA_ti!Y9*TA_ti!Y$48*TA_ti!$BE9=0,10000,TA_ti!Y9*TA_ti!Y$48*TA_ti!$BE9)</f>
        <v>10000</v>
      </c>
      <c r="Z9" s="4">
        <f>+IF(TA_ti!Z9*TA_ti!Z$48*TA_ti!$BE9=0,10000,TA_ti!Z9*TA_ti!Z$48*TA_ti!$BE9)</f>
        <v>10000</v>
      </c>
      <c r="AA9" s="4">
        <f>+IF(TA_ti!AA9*TA_ti!AA$48*TA_ti!$BE9=0,10000,TA_ti!AA9*TA_ti!AA$48*TA_ti!$BE9)</f>
        <v>10000</v>
      </c>
      <c r="AB9" s="4">
        <f>+IF(TA_ti!AB9*TA_ti!AB$48*TA_ti!$BE9=0,10000,TA_ti!AB9*TA_ti!AB$48*TA_ti!$BE9)</f>
        <v>10000</v>
      </c>
      <c r="AC9" s="4">
        <f>+IF(TA_ti!AC9*TA_ti!AC$48*TA_ti!$BE9=0,10000,TA_ti!AC9*TA_ti!AC$48*TA_ti!$BE9)</f>
        <v>10000</v>
      </c>
      <c r="AD9" s="4">
        <f>+IF(TA_ti!AD9*TA_ti!AD$48*TA_ti!$BE9=0,10000,TA_ti!AD9*TA_ti!AD$48*TA_ti!$BE9)</f>
        <v>10000</v>
      </c>
      <c r="AE9" s="4">
        <f>+IF(TA_ti!AE9*TA_ti!AE$48*TA_ti!$BE9=0,10000,TA_ti!AE9*TA_ti!AE$48*TA_ti!$BE9)</f>
        <v>10000</v>
      </c>
      <c r="AF9" s="4">
        <f>+IF(TA_ti!AF9*TA_ti!AF$48*TA_ti!$BE9=0,10000,TA_ti!AF9*TA_ti!AF$48*TA_ti!$BE9)</f>
        <v>10000</v>
      </c>
      <c r="AG9" s="4">
        <f>+IF(TA_ti!AG9*TA_ti!AG$48*TA_ti!$BE9=0,10000,TA_ti!AG9*TA_ti!AG$48*TA_ti!$BE9)</f>
        <v>10000</v>
      </c>
      <c r="AH9" s="4">
        <f>+IF(TA_ti!AH9*TA_ti!AH$48*TA_ti!$BE9=0,10000,TA_ti!AH9*TA_ti!AH$48*TA_ti!$BE9)</f>
        <v>10000</v>
      </c>
      <c r="AI9" s="4">
        <f>+IF(TA_ti!AI9*TA_ti!AI$48*TA_ti!$BE9=0,10000,TA_ti!AI9*TA_ti!AI$48*TA_ti!$BE9)</f>
        <v>10000</v>
      </c>
      <c r="AJ9" s="4">
        <f>+IF(TA_ti!AJ9*TA_ti!AJ$48*TA_ti!$BE9=0,10000,TA_ti!AJ9*TA_ti!AJ$48*TA_ti!$BE9)</f>
        <v>10000</v>
      </c>
      <c r="AK9" s="4">
        <f>+IF(TA_ti!AK9*TA_ti!AK$48*TA_ti!$BE9=0,10000,TA_ti!AK9*TA_ti!AK$48*TA_ti!$BE9)</f>
        <v>10000</v>
      </c>
      <c r="AL9" s="4">
        <f>+IF(TA_ti!AL9*TA_ti!AL$48*TA_ti!$BE9=0,10000,TA_ti!AL9*TA_ti!AL$48*TA_ti!$BE9)</f>
        <v>10000</v>
      </c>
      <c r="AM9" s="4">
        <f>+IF(TA_ti!AM9*TA_ti!AM$48*TA_ti!$BE9=0,10000,TA_ti!AM9*TA_ti!AM$48*TA_ti!$BE9)</f>
        <v>10000</v>
      </c>
      <c r="AN9" s="4">
        <f>+IF(TA_ti!AN9*TA_ti!AN$48*TA_ti!$BE9=0,10000,TA_ti!AN9*TA_ti!AN$48*TA_ti!$BE9)</f>
        <v>10000</v>
      </c>
      <c r="AO9" s="4">
        <f>+IF(TA_ti!AO9*TA_ti!AO$48*TA_ti!$BE9=0,10000,TA_ti!AO9*TA_ti!AO$48*TA_ti!$BE9)</f>
        <v>10000</v>
      </c>
      <c r="AP9" s="4">
        <f>+IF(TA_ti!AP9*TA_ti!AP$48*TA_ti!$BE9=0,10000,TA_ti!AP9*TA_ti!AP$48*TA_ti!$BE9)</f>
        <v>10000</v>
      </c>
      <c r="AQ9" s="4">
        <f>+IF(TA_ti!AQ9*TA_ti!AQ$48*TA_ti!$BE9=0,10000,TA_ti!AQ9*TA_ti!AQ$48*TA_ti!$BE9)</f>
        <v>10000</v>
      </c>
      <c r="AR9" s="4">
        <f>+IF(TA_ti!AR9*TA_ti!AR$48*TA_ti!$BE9=0,10000,TA_ti!AR9*TA_ti!AR$48*TA_ti!$BE9)</f>
        <v>10000</v>
      </c>
      <c r="AS9" s="4">
        <f>+IF(TA_ti!AS9*TA_ti!AS$48*TA_ti!$BE9=0,10000,TA_ti!AS9*TA_ti!AS$48*TA_ti!$BE9)</f>
        <v>10000</v>
      </c>
      <c r="AT9" s="4">
        <f>+IF(TA_ti!AT9*TA_ti!AT$48*TA_ti!$BE9=0,10000,TA_ti!AT9*TA_ti!AT$48*TA_ti!$BE9)</f>
        <v>10000</v>
      </c>
      <c r="AU9" s="4">
        <f>+IF(TA_ti!AU9*TA_ti!AU$48*TA_ti!$BE9=0,10000,TA_ti!AU9*TA_ti!AU$48*TA_ti!$BE9)</f>
        <v>10000</v>
      </c>
      <c r="AV9" s="4">
        <f>+IF(TA_ti!AV9*TA_ti!AV$48*TA_ti!$BE9=0,10000,TA_ti!AV9*TA_ti!AV$48*TA_ti!$BE9)</f>
        <v>10000</v>
      </c>
      <c r="AW9" s="4">
        <f>+IF(TA_ti!AW9*TA_ti!AW$48*TA_ti!$BE9=0,10000,TA_ti!AW9*TA_ti!AW$48*TA_ti!$BE9)</f>
        <v>10000</v>
      </c>
      <c r="AX9" s="4">
        <f>+IF(TA_ti!AX9*TA_ti!AX$48*TA_ti!$BE9=0,10000,TA_ti!AX9*TA_ti!AX$48*TA_ti!$BE9)</f>
        <v>10000</v>
      </c>
      <c r="AY9" s="4">
        <f>+IF(TA_ti!AY9*TA_ti!AY$48*TA_ti!$BE9=0,10000,TA_ti!AY9*TA_ti!AY$48*TA_ti!$BE9)</f>
        <v>10000</v>
      </c>
      <c r="AZ9" s="4">
        <f>+IF(TA_ti!AZ9*TA_ti!AZ$48*TA_ti!$BE9=0,10000,TA_ti!AZ9*TA_ti!AZ$48*TA_ti!$BE9)</f>
        <v>10000</v>
      </c>
      <c r="BA9" s="4">
        <f>+IF(TA_ti!BA9*TA_ti!BA$48*TA_ti!$BE9=0,10000,TA_ti!BA9*TA_ti!BA$48*TA_ti!$BE9)</f>
        <v>10000</v>
      </c>
      <c r="BB9" s="4">
        <f>+IF(TA_ti!BB9*TA_ti!BB$48*TA_ti!$BE9=0,10000,TA_ti!BB9*TA_ti!BB$48*TA_ti!$BE9)</f>
        <v>10000</v>
      </c>
      <c r="BC9" s="4">
        <f>+IF(TA_ti!BC9*TA_ti!BC$48*TA_ti!$BE9=0,10000,TA_ti!BC9*TA_ti!BC$48*TA_ti!$BE9)</f>
        <v>10000</v>
      </c>
    </row>
    <row r="10" spans="1:55" ht="18.75" customHeight="1" x14ac:dyDescent="0.25">
      <c r="A10" s="5" t="s">
        <v>61</v>
      </c>
      <c r="B10" s="4">
        <f>+IF(TA_ti!B10*TA_ti!B$48*TA_ti!$BE10=0,10000,TA_ti!B10*TA_ti!B$48*TA_ti!$BE10)</f>
        <v>10000</v>
      </c>
      <c r="C10" s="4">
        <f>+IF(TA_ti!C10*TA_ti!C$48*TA_ti!$BE10=0,10000,TA_ti!C10*TA_ti!C$48*TA_ti!$BE10)</f>
        <v>10000</v>
      </c>
      <c r="D10" s="4">
        <f>+IF(TA_ti!D10*TA_ti!D$48*TA_ti!$BE10=0,10000,TA_ti!D10*TA_ti!D$48*TA_ti!$BE10)</f>
        <v>10000</v>
      </c>
      <c r="E10" s="4">
        <f>+IF(TA_ti!E10*TA_ti!E$48*TA_ti!$BE10=0,10000,TA_ti!E10*TA_ti!E$48*TA_ti!$BE10)</f>
        <v>10000</v>
      </c>
      <c r="F10" s="4">
        <f>+IF(TA_ti!F10*TA_ti!F$48*TA_ti!$BE10=0,10000,TA_ti!F10*TA_ti!F$48*TA_ti!$BE10)</f>
        <v>10000</v>
      </c>
      <c r="G10" s="4">
        <f>+IF(TA_ti!G10*TA_ti!G$48*TA_ti!$BE10=0,10000,TA_ti!G10*TA_ti!G$48*TA_ti!$BE10)</f>
        <v>12</v>
      </c>
      <c r="H10" s="4">
        <f>+IF(TA_ti!H10*TA_ti!H$48*TA_ti!$BE10=0,10000,TA_ti!H10*TA_ti!H$48*TA_ti!$BE10)</f>
        <v>10000</v>
      </c>
      <c r="I10" s="4">
        <f>+IF(TA_ti!I10*TA_ti!I$48*TA_ti!$BE10=0,10000,TA_ti!I10*TA_ti!I$48*TA_ti!$BE10)</f>
        <v>10000</v>
      </c>
      <c r="J10" s="4">
        <f>+IF(TA_ti!J10*TA_ti!J$48*TA_ti!$BE10=0,10000,TA_ti!J10*TA_ti!J$48*TA_ti!$BE10)</f>
        <v>10000</v>
      </c>
      <c r="K10" s="4">
        <f>+IF(TA_ti!K10*TA_ti!K$48*TA_ti!$BE10=0,10000,TA_ti!K10*TA_ti!K$48*TA_ti!$BE10)</f>
        <v>10000</v>
      </c>
      <c r="L10" s="4">
        <f>+IF(TA_ti!L10*TA_ti!L$48*TA_ti!$BE10=0,10000,TA_ti!L10*TA_ti!L$48*TA_ti!$BE10)</f>
        <v>10000</v>
      </c>
      <c r="M10" s="4">
        <f>+IF(TA_ti!M10*TA_ti!M$48*TA_ti!$BE10=0,10000,TA_ti!M10*TA_ti!M$48*TA_ti!$BE10)</f>
        <v>12</v>
      </c>
      <c r="N10" s="4">
        <f>+IF(TA_ti!N10*TA_ti!N$48*TA_ti!$BE10=0,10000,TA_ti!N10*TA_ti!N$48*TA_ti!$BE10)</f>
        <v>10000</v>
      </c>
      <c r="O10" s="4">
        <f>+IF(TA_ti!O10*TA_ti!O$48*TA_ti!$BE10=0,10000,TA_ti!O10*TA_ti!O$48*TA_ti!$BE10)</f>
        <v>10000</v>
      </c>
      <c r="P10" s="4">
        <f>+IF(TA_ti!P10*TA_ti!P$48*TA_ti!$BE10=0,10000,TA_ti!P10*TA_ti!P$48*TA_ti!$BE10)</f>
        <v>10000</v>
      </c>
      <c r="Q10" s="4">
        <f>+IF(TA_ti!Q10*TA_ti!Q$48*TA_ti!$BE10=0,10000,TA_ti!Q10*TA_ti!Q$48*TA_ti!$BE10)</f>
        <v>10000</v>
      </c>
      <c r="R10" s="4">
        <f>+IF(TA_ti!R10*TA_ti!R$48*TA_ti!$BE10=0,10000,TA_ti!R10*TA_ti!R$48*TA_ti!$BE10)</f>
        <v>10000</v>
      </c>
      <c r="S10" s="4">
        <f>+IF(TA_ti!S10*TA_ti!S$48*TA_ti!$BE10=0,10000,TA_ti!S10*TA_ti!S$48*TA_ti!$BE10)</f>
        <v>10000</v>
      </c>
      <c r="T10" s="4">
        <f>+IF(TA_ti!T10*TA_ti!T$48*TA_ti!$BE10=0,10000,TA_ti!T10*TA_ti!T$48*TA_ti!$BE10)</f>
        <v>10000</v>
      </c>
      <c r="U10" s="4">
        <f>+IF(TA_ti!U10*TA_ti!U$48*TA_ti!$BE10=0,10000,TA_ti!U10*TA_ti!U$48*TA_ti!$BE10)</f>
        <v>10000</v>
      </c>
      <c r="V10" s="4">
        <f>+IF(TA_ti!V10*TA_ti!V$48*TA_ti!$BE10=0,10000,TA_ti!V10*TA_ti!V$48*TA_ti!$BE10)</f>
        <v>10000</v>
      </c>
      <c r="W10" s="4">
        <f>+IF(TA_ti!W10*TA_ti!W$48*TA_ti!$BE10=0,10000,TA_ti!W10*TA_ti!W$48*TA_ti!$BE10)</f>
        <v>10000</v>
      </c>
      <c r="X10" s="4">
        <f>+IF(TA_ti!X10*TA_ti!X$48*TA_ti!$BE10=0,10000,TA_ti!X10*TA_ti!X$48*TA_ti!$BE10)</f>
        <v>10000</v>
      </c>
      <c r="Y10" s="4">
        <f>+IF(TA_ti!Y10*TA_ti!Y$48*TA_ti!$BE10=0,10000,TA_ti!Y10*TA_ti!Y$48*TA_ti!$BE10)</f>
        <v>10000</v>
      </c>
      <c r="Z10" s="4">
        <f>+IF(TA_ti!Z10*TA_ti!Z$48*TA_ti!$BE10=0,10000,TA_ti!Z10*TA_ti!Z$48*TA_ti!$BE10)</f>
        <v>10000</v>
      </c>
      <c r="AA10" s="4">
        <f>+IF(TA_ti!AA10*TA_ti!AA$48*TA_ti!$BE10=0,10000,TA_ti!AA10*TA_ti!AA$48*TA_ti!$BE10)</f>
        <v>10000</v>
      </c>
      <c r="AB10" s="4">
        <f>+IF(TA_ti!AB10*TA_ti!AB$48*TA_ti!$BE10=0,10000,TA_ti!AB10*TA_ti!AB$48*TA_ti!$BE10)</f>
        <v>10000</v>
      </c>
      <c r="AC10" s="4">
        <f>+IF(TA_ti!AC10*TA_ti!AC$48*TA_ti!$BE10=0,10000,TA_ti!AC10*TA_ti!AC$48*TA_ti!$BE10)</f>
        <v>10000</v>
      </c>
      <c r="AD10" s="4">
        <f>+IF(TA_ti!AD10*TA_ti!AD$48*TA_ti!$BE10=0,10000,TA_ti!AD10*TA_ti!AD$48*TA_ti!$BE10)</f>
        <v>10000</v>
      </c>
      <c r="AE10" s="4">
        <f>+IF(TA_ti!AE10*TA_ti!AE$48*TA_ti!$BE10=0,10000,TA_ti!AE10*TA_ti!AE$48*TA_ti!$BE10)</f>
        <v>10000</v>
      </c>
      <c r="AF10" s="4">
        <f>+IF(TA_ti!AF10*TA_ti!AF$48*TA_ti!$BE10=0,10000,TA_ti!AF10*TA_ti!AF$48*TA_ti!$BE10)</f>
        <v>10000</v>
      </c>
      <c r="AG10" s="4">
        <f>+IF(TA_ti!AG10*TA_ti!AG$48*TA_ti!$BE10=0,10000,TA_ti!AG10*TA_ti!AG$48*TA_ti!$BE10)</f>
        <v>10000</v>
      </c>
      <c r="AH10" s="4">
        <f>+IF(TA_ti!AH10*TA_ti!AH$48*TA_ti!$BE10=0,10000,TA_ti!AH10*TA_ti!AH$48*TA_ti!$BE10)</f>
        <v>10000</v>
      </c>
      <c r="AI10" s="4">
        <f>+IF(TA_ti!AI10*TA_ti!AI$48*TA_ti!$BE10=0,10000,TA_ti!AI10*TA_ti!AI$48*TA_ti!$BE10)</f>
        <v>10000</v>
      </c>
      <c r="AJ10" s="4">
        <f>+IF(TA_ti!AJ10*TA_ti!AJ$48*TA_ti!$BE10=0,10000,TA_ti!AJ10*TA_ti!AJ$48*TA_ti!$BE10)</f>
        <v>10000</v>
      </c>
      <c r="AK10" s="4">
        <f>+IF(TA_ti!AK10*TA_ti!AK$48*TA_ti!$BE10=0,10000,TA_ti!AK10*TA_ti!AK$48*TA_ti!$BE10)</f>
        <v>10000</v>
      </c>
      <c r="AL10" s="4">
        <f>+IF(TA_ti!AL10*TA_ti!AL$48*TA_ti!$BE10=0,10000,TA_ti!AL10*TA_ti!AL$48*TA_ti!$BE10)</f>
        <v>10000</v>
      </c>
      <c r="AM10" s="4">
        <f>+IF(TA_ti!AM10*TA_ti!AM$48*TA_ti!$BE10=0,10000,TA_ti!AM10*TA_ti!AM$48*TA_ti!$BE10)</f>
        <v>10000</v>
      </c>
      <c r="AN10" s="4">
        <f>+IF(TA_ti!AN10*TA_ti!AN$48*TA_ti!$BE10=0,10000,TA_ti!AN10*TA_ti!AN$48*TA_ti!$BE10)</f>
        <v>10000</v>
      </c>
      <c r="AO10" s="4">
        <f>+IF(TA_ti!AO10*TA_ti!AO$48*TA_ti!$BE10=0,10000,TA_ti!AO10*TA_ti!AO$48*TA_ti!$BE10)</f>
        <v>10000</v>
      </c>
      <c r="AP10" s="4">
        <f>+IF(TA_ti!AP10*TA_ti!AP$48*TA_ti!$BE10=0,10000,TA_ti!AP10*TA_ti!AP$48*TA_ti!$BE10)</f>
        <v>10000</v>
      </c>
      <c r="AQ10" s="4">
        <f>+IF(TA_ti!AQ10*TA_ti!AQ$48*TA_ti!$BE10=0,10000,TA_ti!AQ10*TA_ti!AQ$48*TA_ti!$BE10)</f>
        <v>10000</v>
      </c>
      <c r="AR10" s="4">
        <f>+IF(TA_ti!AR10*TA_ti!AR$48*TA_ti!$BE10=0,10000,TA_ti!AR10*TA_ti!AR$48*TA_ti!$BE10)</f>
        <v>10000</v>
      </c>
      <c r="AS10" s="4">
        <f>+IF(TA_ti!AS10*TA_ti!AS$48*TA_ti!$BE10=0,10000,TA_ti!AS10*TA_ti!AS$48*TA_ti!$BE10)</f>
        <v>10000</v>
      </c>
      <c r="AT10" s="4">
        <f>+IF(TA_ti!AT10*TA_ti!AT$48*TA_ti!$BE10=0,10000,TA_ti!AT10*TA_ti!AT$48*TA_ti!$BE10)</f>
        <v>10000</v>
      </c>
      <c r="AU10" s="4">
        <f>+IF(TA_ti!AU10*TA_ti!AU$48*TA_ti!$BE10=0,10000,TA_ti!AU10*TA_ti!AU$48*TA_ti!$BE10)</f>
        <v>10000</v>
      </c>
      <c r="AV10" s="4">
        <f>+IF(TA_ti!AV10*TA_ti!AV$48*TA_ti!$BE10=0,10000,TA_ti!AV10*TA_ti!AV$48*TA_ti!$BE10)</f>
        <v>10000</v>
      </c>
      <c r="AW10" s="4">
        <f>+IF(TA_ti!AW10*TA_ti!AW$48*TA_ti!$BE10=0,10000,TA_ti!AW10*TA_ti!AW$48*TA_ti!$BE10)</f>
        <v>10000</v>
      </c>
      <c r="AX10" s="4">
        <f>+IF(TA_ti!AX10*TA_ti!AX$48*TA_ti!$BE10=0,10000,TA_ti!AX10*TA_ti!AX$48*TA_ti!$BE10)</f>
        <v>10000</v>
      </c>
      <c r="AY10" s="4">
        <f>+IF(TA_ti!AY10*TA_ti!AY$48*TA_ti!$BE10=0,10000,TA_ti!AY10*TA_ti!AY$48*TA_ti!$BE10)</f>
        <v>10000</v>
      </c>
      <c r="AZ10" s="4">
        <f>+IF(TA_ti!AZ10*TA_ti!AZ$48*TA_ti!$BE10=0,10000,TA_ti!AZ10*TA_ti!AZ$48*TA_ti!$BE10)</f>
        <v>10000</v>
      </c>
      <c r="BA10" s="4">
        <f>+IF(TA_ti!BA10*TA_ti!BA$48*TA_ti!$BE10=0,10000,TA_ti!BA10*TA_ti!BA$48*TA_ti!$BE10)</f>
        <v>10000</v>
      </c>
      <c r="BB10" s="4">
        <f>+IF(TA_ti!BB10*TA_ti!BB$48*TA_ti!$BE10=0,10000,TA_ti!BB10*TA_ti!BB$48*TA_ti!$BE10)</f>
        <v>10000</v>
      </c>
      <c r="BC10" s="4">
        <f>+IF(TA_ti!BC10*TA_ti!BC$48*TA_ti!$BE10=0,10000,TA_ti!BC10*TA_ti!BC$48*TA_ti!$BE10)</f>
        <v>10000</v>
      </c>
    </row>
    <row r="11" spans="1:55" ht="18.75" customHeight="1" x14ac:dyDescent="0.25">
      <c r="A11" s="5" t="s">
        <v>62</v>
      </c>
      <c r="B11" s="4">
        <f>+IF(TA_ti!B11*TA_ti!B$48*TA_ti!$BE11=0,10000,TA_ti!B11*TA_ti!B$48*TA_ti!$BE11)</f>
        <v>10000</v>
      </c>
      <c r="C11" s="4">
        <f>+IF(TA_ti!C11*TA_ti!C$48*TA_ti!$BE11=0,10000,TA_ti!C11*TA_ti!C$48*TA_ti!$BE11)</f>
        <v>10000</v>
      </c>
      <c r="D11" s="4">
        <f>+IF(TA_ti!D11*TA_ti!D$48*TA_ti!$BE11=0,10000,TA_ti!D11*TA_ti!D$48*TA_ti!$BE11)</f>
        <v>10000</v>
      </c>
      <c r="E11" s="4">
        <f>+IF(TA_ti!E11*TA_ti!E$48*TA_ti!$BE11=0,10000,TA_ti!E11*TA_ti!E$48*TA_ti!$BE11)</f>
        <v>10000</v>
      </c>
      <c r="F11" s="4">
        <f>+IF(TA_ti!F11*TA_ti!F$48*TA_ti!$BE11=0,10000,TA_ti!F11*TA_ti!F$48*TA_ti!$BE11)</f>
        <v>15</v>
      </c>
      <c r="G11" s="4">
        <f>+IF(TA_ti!G11*TA_ti!G$48*TA_ti!$BE11=0,10000,TA_ti!G11*TA_ti!G$48*TA_ti!$BE11)</f>
        <v>10000</v>
      </c>
      <c r="H11" s="4">
        <f>+IF(TA_ti!H11*TA_ti!H$48*TA_ti!$BE11=0,10000,TA_ti!H11*TA_ti!H$48*TA_ti!$BE11)</f>
        <v>10000</v>
      </c>
      <c r="I11" s="4">
        <f>+IF(TA_ti!I11*TA_ti!I$48*TA_ti!$BE11=0,10000,TA_ti!I11*TA_ti!I$48*TA_ti!$BE11)</f>
        <v>10000</v>
      </c>
      <c r="J11" s="4">
        <f>+IF(TA_ti!J11*TA_ti!J$48*TA_ti!$BE11=0,10000,TA_ti!J11*TA_ti!J$48*TA_ti!$BE11)</f>
        <v>10000</v>
      </c>
      <c r="K11" s="4">
        <f>+IF(TA_ti!K11*TA_ti!K$48*TA_ti!$BE11=0,10000,TA_ti!K11*TA_ti!K$48*TA_ti!$BE11)</f>
        <v>10000</v>
      </c>
      <c r="L11" s="4">
        <f>+IF(TA_ti!L11*TA_ti!L$48*TA_ti!$BE11=0,10000,TA_ti!L11*TA_ti!L$48*TA_ti!$BE11)</f>
        <v>10000</v>
      </c>
      <c r="M11" s="4">
        <f>+IF(TA_ti!M11*TA_ti!M$48*TA_ti!$BE11=0,10000,TA_ti!M11*TA_ti!M$48*TA_ti!$BE11)</f>
        <v>15</v>
      </c>
      <c r="N11" s="4">
        <f>+IF(TA_ti!N11*TA_ti!N$48*TA_ti!$BE11=0,10000,TA_ti!N11*TA_ti!N$48*TA_ti!$BE11)</f>
        <v>10000</v>
      </c>
      <c r="O11" s="4">
        <f>+IF(TA_ti!O11*TA_ti!O$48*TA_ti!$BE11=0,10000,TA_ti!O11*TA_ti!O$48*TA_ti!$BE11)</f>
        <v>10000</v>
      </c>
      <c r="P11" s="4">
        <f>+IF(TA_ti!P11*TA_ti!P$48*TA_ti!$BE11=0,10000,TA_ti!P11*TA_ti!P$48*TA_ti!$BE11)</f>
        <v>10000</v>
      </c>
      <c r="Q11" s="4">
        <f>+IF(TA_ti!Q11*TA_ti!Q$48*TA_ti!$BE11=0,10000,TA_ti!Q11*TA_ti!Q$48*TA_ti!$BE11)</f>
        <v>10000</v>
      </c>
      <c r="R11" s="4">
        <f>+IF(TA_ti!R11*TA_ti!R$48*TA_ti!$BE11=0,10000,TA_ti!R11*TA_ti!R$48*TA_ti!$BE11)</f>
        <v>10000</v>
      </c>
      <c r="S11" s="4">
        <f>+IF(TA_ti!S11*TA_ti!S$48*TA_ti!$BE11=0,10000,TA_ti!S11*TA_ti!S$48*TA_ti!$BE11)</f>
        <v>10000</v>
      </c>
      <c r="T11" s="4">
        <f>+IF(TA_ti!T11*TA_ti!T$48*TA_ti!$BE11=0,10000,TA_ti!T11*TA_ti!T$48*TA_ti!$BE11)</f>
        <v>10000</v>
      </c>
      <c r="U11" s="4">
        <f>+IF(TA_ti!U11*TA_ti!U$48*TA_ti!$BE11=0,10000,TA_ti!U11*TA_ti!U$48*TA_ti!$BE11)</f>
        <v>10000</v>
      </c>
      <c r="V11" s="4">
        <f>+IF(TA_ti!V11*TA_ti!V$48*TA_ti!$BE11=0,10000,TA_ti!V11*TA_ti!V$48*TA_ti!$BE11)</f>
        <v>10000</v>
      </c>
      <c r="W11" s="4">
        <f>+IF(TA_ti!W11*TA_ti!W$48*TA_ti!$BE11=0,10000,TA_ti!W11*TA_ti!W$48*TA_ti!$BE11)</f>
        <v>10000</v>
      </c>
      <c r="X11" s="4">
        <f>+IF(TA_ti!X11*TA_ti!X$48*TA_ti!$BE11=0,10000,TA_ti!X11*TA_ti!X$48*TA_ti!$BE11)</f>
        <v>10000</v>
      </c>
      <c r="Y11" s="4">
        <f>+IF(TA_ti!Y11*TA_ti!Y$48*TA_ti!$BE11=0,10000,TA_ti!Y11*TA_ti!Y$48*TA_ti!$BE11)</f>
        <v>10000</v>
      </c>
      <c r="Z11" s="4">
        <f>+IF(TA_ti!Z11*TA_ti!Z$48*TA_ti!$BE11=0,10000,TA_ti!Z11*TA_ti!Z$48*TA_ti!$BE11)</f>
        <v>10000</v>
      </c>
      <c r="AA11" s="4">
        <f>+IF(TA_ti!AA11*TA_ti!AA$48*TA_ti!$BE11=0,10000,TA_ti!AA11*TA_ti!AA$48*TA_ti!$BE11)</f>
        <v>10000</v>
      </c>
      <c r="AB11" s="4">
        <f>+IF(TA_ti!AB11*TA_ti!AB$48*TA_ti!$BE11=0,10000,TA_ti!AB11*TA_ti!AB$48*TA_ti!$BE11)</f>
        <v>10000</v>
      </c>
      <c r="AC11" s="4">
        <f>+IF(TA_ti!AC11*TA_ti!AC$48*TA_ti!$BE11=0,10000,TA_ti!AC11*TA_ti!AC$48*TA_ti!$BE11)</f>
        <v>10000</v>
      </c>
      <c r="AD11" s="4">
        <f>+IF(TA_ti!AD11*TA_ti!AD$48*TA_ti!$BE11=0,10000,TA_ti!AD11*TA_ti!AD$48*TA_ti!$BE11)</f>
        <v>10000</v>
      </c>
      <c r="AE11" s="4">
        <f>+IF(TA_ti!AE11*TA_ti!AE$48*TA_ti!$BE11=0,10000,TA_ti!AE11*TA_ti!AE$48*TA_ti!$BE11)</f>
        <v>10000</v>
      </c>
      <c r="AF11" s="4">
        <f>+IF(TA_ti!AF11*TA_ti!AF$48*TA_ti!$BE11=0,10000,TA_ti!AF11*TA_ti!AF$48*TA_ti!$BE11)</f>
        <v>10000</v>
      </c>
      <c r="AG11" s="4">
        <f>+IF(TA_ti!AG11*TA_ti!AG$48*TA_ti!$BE11=0,10000,TA_ti!AG11*TA_ti!AG$48*TA_ti!$BE11)</f>
        <v>10000</v>
      </c>
      <c r="AH11" s="4">
        <f>+IF(TA_ti!AH11*TA_ti!AH$48*TA_ti!$BE11=0,10000,TA_ti!AH11*TA_ti!AH$48*TA_ti!$BE11)</f>
        <v>10000</v>
      </c>
      <c r="AI11" s="4">
        <f>+IF(TA_ti!AI11*TA_ti!AI$48*TA_ti!$BE11=0,10000,TA_ti!AI11*TA_ti!AI$48*TA_ti!$BE11)</f>
        <v>10000</v>
      </c>
      <c r="AJ11" s="4">
        <f>+IF(TA_ti!AJ11*TA_ti!AJ$48*TA_ti!$BE11=0,10000,TA_ti!AJ11*TA_ti!AJ$48*TA_ti!$BE11)</f>
        <v>10000</v>
      </c>
      <c r="AK11" s="4">
        <f>+IF(TA_ti!AK11*TA_ti!AK$48*TA_ti!$BE11=0,10000,TA_ti!AK11*TA_ti!AK$48*TA_ti!$BE11)</f>
        <v>10000</v>
      </c>
      <c r="AL11" s="4">
        <f>+IF(TA_ti!AL11*TA_ti!AL$48*TA_ti!$BE11=0,10000,TA_ti!AL11*TA_ti!AL$48*TA_ti!$BE11)</f>
        <v>10000</v>
      </c>
      <c r="AM11" s="4">
        <f>+IF(TA_ti!AM11*TA_ti!AM$48*TA_ti!$BE11=0,10000,TA_ti!AM11*TA_ti!AM$48*TA_ti!$BE11)</f>
        <v>10000</v>
      </c>
      <c r="AN11" s="4">
        <f>+IF(TA_ti!AN11*TA_ti!AN$48*TA_ti!$BE11=0,10000,TA_ti!AN11*TA_ti!AN$48*TA_ti!$BE11)</f>
        <v>10000</v>
      </c>
      <c r="AO11" s="4">
        <f>+IF(TA_ti!AO11*TA_ti!AO$48*TA_ti!$BE11=0,10000,TA_ti!AO11*TA_ti!AO$48*TA_ti!$BE11)</f>
        <v>10000</v>
      </c>
      <c r="AP11" s="4">
        <f>+IF(TA_ti!AP11*TA_ti!AP$48*TA_ti!$BE11=0,10000,TA_ti!AP11*TA_ti!AP$48*TA_ti!$BE11)</f>
        <v>10000</v>
      </c>
      <c r="AQ11" s="4">
        <f>+IF(TA_ti!AQ11*TA_ti!AQ$48*TA_ti!$BE11=0,10000,TA_ti!AQ11*TA_ti!AQ$48*TA_ti!$BE11)</f>
        <v>10000</v>
      </c>
      <c r="AR11" s="4">
        <f>+IF(TA_ti!AR11*TA_ti!AR$48*TA_ti!$BE11=0,10000,TA_ti!AR11*TA_ti!AR$48*TA_ti!$BE11)</f>
        <v>10000</v>
      </c>
      <c r="AS11" s="4">
        <f>+IF(TA_ti!AS11*TA_ti!AS$48*TA_ti!$BE11=0,10000,TA_ti!AS11*TA_ti!AS$48*TA_ti!$BE11)</f>
        <v>10000</v>
      </c>
      <c r="AT11" s="4">
        <f>+IF(TA_ti!AT11*TA_ti!AT$48*TA_ti!$BE11=0,10000,TA_ti!AT11*TA_ti!AT$48*TA_ti!$BE11)</f>
        <v>10000</v>
      </c>
      <c r="AU11" s="4">
        <f>+IF(TA_ti!AU11*TA_ti!AU$48*TA_ti!$BE11=0,10000,TA_ti!AU11*TA_ti!AU$48*TA_ti!$BE11)</f>
        <v>10000</v>
      </c>
      <c r="AV11" s="4">
        <f>+IF(TA_ti!AV11*TA_ti!AV$48*TA_ti!$BE11=0,10000,TA_ti!AV11*TA_ti!AV$48*TA_ti!$BE11)</f>
        <v>10000</v>
      </c>
      <c r="AW11" s="4">
        <f>+IF(TA_ti!AW11*TA_ti!AW$48*TA_ti!$BE11=0,10000,TA_ti!AW11*TA_ti!AW$48*TA_ti!$BE11)</f>
        <v>10000</v>
      </c>
      <c r="AX11" s="4">
        <f>+IF(TA_ti!AX11*TA_ti!AX$48*TA_ti!$BE11=0,10000,TA_ti!AX11*TA_ti!AX$48*TA_ti!$BE11)</f>
        <v>10000</v>
      </c>
      <c r="AY11" s="4">
        <f>+IF(TA_ti!AY11*TA_ti!AY$48*TA_ti!$BE11=0,10000,TA_ti!AY11*TA_ti!AY$48*TA_ti!$BE11)</f>
        <v>10000</v>
      </c>
      <c r="AZ11" s="4">
        <f>+IF(TA_ti!AZ11*TA_ti!AZ$48*TA_ti!$BE11=0,10000,TA_ti!AZ11*TA_ti!AZ$48*TA_ti!$BE11)</f>
        <v>10000</v>
      </c>
      <c r="BA11" s="4">
        <f>+IF(TA_ti!BA11*TA_ti!BA$48*TA_ti!$BE11=0,10000,TA_ti!BA11*TA_ti!BA$48*TA_ti!$BE11)</f>
        <v>10000</v>
      </c>
      <c r="BB11" s="4">
        <f>+IF(TA_ti!BB11*TA_ti!BB$48*TA_ti!$BE11=0,10000,TA_ti!BB11*TA_ti!BB$48*TA_ti!$BE11)</f>
        <v>10000</v>
      </c>
      <c r="BC11" s="4">
        <f>+IF(TA_ti!BC11*TA_ti!BC$48*TA_ti!$BE11=0,10000,TA_ti!BC11*TA_ti!BC$48*TA_ti!$BE11)</f>
        <v>10000</v>
      </c>
    </row>
    <row r="12" spans="1:55" ht="18.75" customHeight="1" x14ac:dyDescent="0.25">
      <c r="A12" s="5" t="s">
        <v>63</v>
      </c>
      <c r="B12" s="4">
        <f>+IF(TA_ti!B12*TA_ti!B$48*TA_ti!$BE12=0,10000,TA_ti!B12*TA_ti!B$48*TA_ti!$BE12)</f>
        <v>10000</v>
      </c>
      <c r="C12" s="4">
        <f>+IF(TA_ti!C12*TA_ti!C$48*TA_ti!$BE12=0,10000,TA_ti!C12*TA_ti!C$48*TA_ti!$BE12)</f>
        <v>10000</v>
      </c>
      <c r="D12" s="4">
        <f>+IF(TA_ti!D12*TA_ti!D$48*TA_ti!$BE12=0,10000,TA_ti!D12*TA_ti!D$48*TA_ti!$BE12)</f>
        <v>10000</v>
      </c>
      <c r="E12" s="4">
        <f>+IF(TA_ti!E12*TA_ti!E$48*TA_ti!$BE12=0,10000,TA_ti!E12*TA_ti!E$48*TA_ti!$BE12)</f>
        <v>10000</v>
      </c>
      <c r="F12" s="4">
        <f>+IF(TA_ti!F12*TA_ti!F$48*TA_ti!$BE12=0,10000,TA_ti!F12*TA_ti!F$48*TA_ti!$BE12)</f>
        <v>10000</v>
      </c>
      <c r="G12" s="4">
        <f>+IF(TA_ti!G12*TA_ti!G$48*TA_ti!$BE12=0,10000,TA_ti!G12*TA_ti!G$48*TA_ti!$BE12)</f>
        <v>12</v>
      </c>
      <c r="H12" s="4">
        <f>+IF(TA_ti!H12*TA_ti!H$48*TA_ti!$BE12=0,10000,TA_ti!H12*TA_ti!H$48*TA_ti!$BE12)</f>
        <v>10000</v>
      </c>
      <c r="I12" s="4">
        <f>+IF(TA_ti!I12*TA_ti!I$48*TA_ti!$BE12=0,10000,TA_ti!I12*TA_ti!I$48*TA_ti!$BE12)</f>
        <v>10000</v>
      </c>
      <c r="J12" s="4">
        <f>+IF(TA_ti!J12*TA_ti!J$48*TA_ti!$BE12=0,10000,TA_ti!J12*TA_ti!J$48*TA_ti!$BE12)</f>
        <v>10000</v>
      </c>
      <c r="K12" s="4">
        <f>+IF(TA_ti!K12*TA_ti!K$48*TA_ti!$BE12=0,10000,TA_ti!K12*TA_ti!K$48*TA_ti!$BE12)</f>
        <v>10000</v>
      </c>
      <c r="L12" s="4">
        <f>+IF(TA_ti!L12*TA_ti!L$48*TA_ti!$BE12=0,10000,TA_ti!L12*TA_ti!L$48*TA_ti!$BE12)</f>
        <v>10000</v>
      </c>
      <c r="M12" s="4">
        <f>+IF(TA_ti!M12*TA_ti!M$48*TA_ti!$BE12=0,10000,TA_ti!M12*TA_ti!M$48*TA_ti!$BE12)</f>
        <v>12</v>
      </c>
      <c r="N12" s="4">
        <f>+IF(TA_ti!N12*TA_ti!N$48*TA_ti!$BE12=0,10000,TA_ti!N12*TA_ti!N$48*TA_ti!$BE12)</f>
        <v>10000</v>
      </c>
      <c r="O12" s="4">
        <f>+IF(TA_ti!O12*TA_ti!O$48*TA_ti!$BE12=0,10000,TA_ti!O12*TA_ti!O$48*TA_ti!$BE12)</f>
        <v>10000</v>
      </c>
      <c r="P12" s="4">
        <f>+IF(TA_ti!P12*TA_ti!P$48*TA_ti!$BE12=0,10000,TA_ti!P12*TA_ti!P$48*TA_ti!$BE12)</f>
        <v>10000</v>
      </c>
      <c r="Q12" s="4">
        <f>+IF(TA_ti!Q12*TA_ti!Q$48*TA_ti!$BE12=0,10000,TA_ti!Q12*TA_ti!Q$48*TA_ti!$BE12)</f>
        <v>10000</v>
      </c>
      <c r="R12" s="4">
        <f>+IF(TA_ti!R12*TA_ti!R$48*TA_ti!$BE12=0,10000,TA_ti!R12*TA_ti!R$48*TA_ti!$BE12)</f>
        <v>10000</v>
      </c>
      <c r="S12" s="4">
        <f>+IF(TA_ti!S12*TA_ti!S$48*TA_ti!$BE12=0,10000,TA_ti!S12*TA_ti!S$48*TA_ti!$BE12)</f>
        <v>10000</v>
      </c>
      <c r="T12" s="4">
        <f>+IF(TA_ti!T12*TA_ti!T$48*TA_ti!$BE12=0,10000,TA_ti!T12*TA_ti!T$48*TA_ti!$BE12)</f>
        <v>10000</v>
      </c>
      <c r="U12" s="4">
        <f>+IF(TA_ti!U12*TA_ti!U$48*TA_ti!$BE12=0,10000,TA_ti!U12*TA_ti!U$48*TA_ti!$BE12)</f>
        <v>10000</v>
      </c>
      <c r="V12" s="4">
        <f>+IF(TA_ti!V12*TA_ti!V$48*TA_ti!$BE12=0,10000,TA_ti!V12*TA_ti!V$48*TA_ti!$BE12)</f>
        <v>10000</v>
      </c>
      <c r="W12" s="4">
        <f>+IF(TA_ti!W12*TA_ti!W$48*TA_ti!$BE12=0,10000,TA_ti!W12*TA_ti!W$48*TA_ti!$BE12)</f>
        <v>10000</v>
      </c>
      <c r="X12" s="4">
        <f>+IF(TA_ti!X12*TA_ti!X$48*TA_ti!$BE12=0,10000,TA_ti!X12*TA_ti!X$48*TA_ti!$BE12)</f>
        <v>10000</v>
      </c>
      <c r="Y12" s="4">
        <f>+IF(TA_ti!Y12*TA_ti!Y$48*TA_ti!$BE12=0,10000,TA_ti!Y12*TA_ti!Y$48*TA_ti!$BE12)</f>
        <v>10000</v>
      </c>
      <c r="Z12" s="4">
        <f>+IF(TA_ti!Z12*TA_ti!Z$48*TA_ti!$BE12=0,10000,TA_ti!Z12*TA_ti!Z$48*TA_ti!$BE12)</f>
        <v>10000</v>
      </c>
      <c r="AA12" s="4">
        <f>+IF(TA_ti!AA12*TA_ti!AA$48*TA_ti!$BE12=0,10000,TA_ti!AA12*TA_ti!AA$48*TA_ti!$BE12)</f>
        <v>10000</v>
      </c>
      <c r="AB12" s="4">
        <f>+IF(TA_ti!AB12*TA_ti!AB$48*TA_ti!$BE12=0,10000,TA_ti!AB12*TA_ti!AB$48*TA_ti!$BE12)</f>
        <v>10000</v>
      </c>
      <c r="AC12" s="4">
        <f>+IF(TA_ti!AC12*TA_ti!AC$48*TA_ti!$BE12=0,10000,TA_ti!AC12*TA_ti!AC$48*TA_ti!$BE12)</f>
        <v>10000</v>
      </c>
      <c r="AD12" s="4">
        <f>+IF(TA_ti!AD12*TA_ti!AD$48*TA_ti!$BE12=0,10000,TA_ti!AD12*TA_ti!AD$48*TA_ti!$BE12)</f>
        <v>10000</v>
      </c>
      <c r="AE12" s="4">
        <f>+IF(TA_ti!AE12*TA_ti!AE$48*TA_ti!$BE12=0,10000,TA_ti!AE12*TA_ti!AE$48*TA_ti!$BE12)</f>
        <v>10000</v>
      </c>
      <c r="AF12" s="4">
        <f>+IF(TA_ti!AF12*TA_ti!AF$48*TA_ti!$BE12=0,10000,TA_ti!AF12*TA_ti!AF$48*TA_ti!$BE12)</f>
        <v>10000</v>
      </c>
      <c r="AG12" s="4">
        <f>+IF(TA_ti!AG12*TA_ti!AG$48*TA_ti!$BE12=0,10000,TA_ti!AG12*TA_ti!AG$48*TA_ti!$BE12)</f>
        <v>10000</v>
      </c>
      <c r="AH12" s="4">
        <f>+IF(TA_ti!AH12*TA_ti!AH$48*TA_ti!$BE12=0,10000,TA_ti!AH12*TA_ti!AH$48*TA_ti!$BE12)</f>
        <v>10000</v>
      </c>
      <c r="AI12" s="4">
        <f>+IF(TA_ti!AI12*TA_ti!AI$48*TA_ti!$BE12=0,10000,TA_ti!AI12*TA_ti!AI$48*TA_ti!$BE12)</f>
        <v>10000</v>
      </c>
      <c r="AJ12" s="4">
        <f>+IF(TA_ti!AJ12*TA_ti!AJ$48*TA_ti!$BE12=0,10000,TA_ti!AJ12*TA_ti!AJ$48*TA_ti!$BE12)</f>
        <v>10000</v>
      </c>
      <c r="AK12" s="4">
        <f>+IF(TA_ti!AK12*TA_ti!AK$48*TA_ti!$BE12=0,10000,TA_ti!AK12*TA_ti!AK$48*TA_ti!$BE12)</f>
        <v>10000</v>
      </c>
      <c r="AL12" s="4">
        <f>+IF(TA_ti!AL12*TA_ti!AL$48*TA_ti!$BE12=0,10000,TA_ti!AL12*TA_ti!AL$48*TA_ti!$BE12)</f>
        <v>10000</v>
      </c>
      <c r="AM12" s="4">
        <f>+IF(TA_ti!AM12*TA_ti!AM$48*TA_ti!$BE12=0,10000,TA_ti!AM12*TA_ti!AM$48*TA_ti!$BE12)</f>
        <v>10000</v>
      </c>
      <c r="AN12" s="4">
        <f>+IF(TA_ti!AN12*TA_ti!AN$48*TA_ti!$BE12=0,10000,TA_ti!AN12*TA_ti!AN$48*TA_ti!$BE12)</f>
        <v>10000</v>
      </c>
      <c r="AO12" s="4">
        <f>+IF(TA_ti!AO12*TA_ti!AO$48*TA_ti!$BE12=0,10000,TA_ti!AO12*TA_ti!AO$48*TA_ti!$BE12)</f>
        <v>10000</v>
      </c>
      <c r="AP12" s="4">
        <f>+IF(TA_ti!AP12*TA_ti!AP$48*TA_ti!$BE12=0,10000,TA_ti!AP12*TA_ti!AP$48*TA_ti!$BE12)</f>
        <v>10000</v>
      </c>
      <c r="AQ12" s="4">
        <f>+IF(TA_ti!AQ12*TA_ti!AQ$48*TA_ti!$BE12=0,10000,TA_ti!AQ12*TA_ti!AQ$48*TA_ti!$BE12)</f>
        <v>10000</v>
      </c>
      <c r="AR12" s="4">
        <f>+IF(TA_ti!AR12*TA_ti!AR$48*TA_ti!$BE12=0,10000,TA_ti!AR12*TA_ti!AR$48*TA_ti!$BE12)</f>
        <v>10000</v>
      </c>
      <c r="AS12" s="4">
        <f>+IF(TA_ti!AS12*TA_ti!AS$48*TA_ti!$BE12=0,10000,TA_ti!AS12*TA_ti!AS$48*TA_ti!$BE12)</f>
        <v>10000</v>
      </c>
      <c r="AT12" s="4">
        <f>+IF(TA_ti!AT12*TA_ti!AT$48*TA_ti!$BE12=0,10000,TA_ti!AT12*TA_ti!AT$48*TA_ti!$BE12)</f>
        <v>10000</v>
      </c>
      <c r="AU12" s="4">
        <f>+IF(TA_ti!AU12*TA_ti!AU$48*TA_ti!$BE12=0,10000,TA_ti!AU12*TA_ti!AU$48*TA_ti!$BE12)</f>
        <v>10000</v>
      </c>
      <c r="AV12" s="4">
        <f>+IF(TA_ti!AV12*TA_ti!AV$48*TA_ti!$BE12=0,10000,TA_ti!AV12*TA_ti!AV$48*TA_ti!$BE12)</f>
        <v>10000</v>
      </c>
      <c r="AW12" s="4">
        <f>+IF(TA_ti!AW12*TA_ti!AW$48*TA_ti!$BE12=0,10000,TA_ti!AW12*TA_ti!AW$48*TA_ti!$BE12)</f>
        <v>10000</v>
      </c>
      <c r="AX12" s="4">
        <f>+IF(TA_ti!AX12*TA_ti!AX$48*TA_ti!$BE12=0,10000,TA_ti!AX12*TA_ti!AX$48*TA_ti!$BE12)</f>
        <v>10000</v>
      </c>
      <c r="AY12" s="4">
        <f>+IF(TA_ti!AY12*TA_ti!AY$48*TA_ti!$BE12=0,10000,TA_ti!AY12*TA_ti!AY$48*TA_ti!$BE12)</f>
        <v>10000</v>
      </c>
      <c r="AZ12" s="4">
        <f>+IF(TA_ti!AZ12*TA_ti!AZ$48*TA_ti!$BE12=0,10000,TA_ti!AZ12*TA_ti!AZ$48*TA_ti!$BE12)</f>
        <v>10000</v>
      </c>
      <c r="BA12" s="4">
        <f>+IF(TA_ti!BA12*TA_ti!BA$48*TA_ti!$BE12=0,10000,TA_ti!BA12*TA_ti!BA$48*TA_ti!$BE12)</f>
        <v>10000</v>
      </c>
      <c r="BB12" s="4">
        <f>+IF(TA_ti!BB12*TA_ti!BB$48*TA_ti!$BE12=0,10000,TA_ti!BB12*TA_ti!BB$48*TA_ti!$BE12)</f>
        <v>10000</v>
      </c>
      <c r="BC12" s="4">
        <f>+IF(TA_ti!BC12*TA_ti!BC$48*TA_ti!$BE12=0,10000,TA_ti!BC12*TA_ti!BC$48*TA_ti!$BE12)</f>
        <v>10000</v>
      </c>
    </row>
    <row r="13" spans="1:55" ht="18.75" customHeight="1" x14ac:dyDescent="0.25">
      <c r="A13" s="5" t="s">
        <v>64</v>
      </c>
      <c r="B13" s="4">
        <f>+IF(TA_ti!B13*TA_ti!B$48*TA_ti!$BE13=0,10000,TA_ti!B13*TA_ti!B$48*TA_ti!$BE13)</f>
        <v>10000</v>
      </c>
      <c r="C13" s="4">
        <f>+IF(TA_ti!C13*TA_ti!C$48*TA_ti!$BE13=0,10000,TA_ti!C13*TA_ti!C$48*TA_ti!$BE13)</f>
        <v>10000</v>
      </c>
      <c r="D13" s="4">
        <f>+IF(TA_ti!D13*TA_ti!D$48*TA_ti!$BE13=0,10000,TA_ti!D13*TA_ti!D$48*TA_ti!$BE13)</f>
        <v>10000</v>
      </c>
      <c r="E13" s="4">
        <f>+IF(TA_ti!E13*TA_ti!E$48*TA_ti!$BE13=0,10000,TA_ti!E13*TA_ti!E$48*TA_ti!$BE13)</f>
        <v>10000</v>
      </c>
      <c r="F13" s="4">
        <f>+IF(TA_ti!F13*TA_ti!F$48*TA_ti!$BE13=0,10000,TA_ti!F13*TA_ti!F$48*TA_ti!$BE13)</f>
        <v>15</v>
      </c>
      <c r="G13" s="4">
        <f>+IF(TA_ti!G13*TA_ti!G$48*TA_ti!$BE13=0,10000,TA_ti!G13*TA_ti!G$48*TA_ti!$BE13)</f>
        <v>10000</v>
      </c>
      <c r="H13" s="4">
        <f>+IF(TA_ti!H13*TA_ti!H$48*TA_ti!$BE13=0,10000,TA_ti!H13*TA_ti!H$48*TA_ti!$BE13)</f>
        <v>10000</v>
      </c>
      <c r="I13" s="4">
        <f>+IF(TA_ti!I13*TA_ti!I$48*TA_ti!$BE13=0,10000,TA_ti!I13*TA_ti!I$48*TA_ti!$BE13)</f>
        <v>10000</v>
      </c>
      <c r="J13" s="4">
        <f>+IF(TA_ti!J13*TA_ti!J$48*TA_ti!$BE13=0,10000,TA_ti!J13*TA_ti!J$48*TA_ti!$BE13)</f>
        <v>10000</v>
      </c>
      <c r="K13" s="4">
        <f>+IF(TA_ti!K13*TA_ti!K$48*TA_ti!$BE13=0,10000,TA_ti!K13*TA_ti!K$48*TA_ti!$BE13)</f>
        <v>10000</v>
      </c>
      <c r="L13" s="4">
        <f>+IF(TA_ti!L13*TA_ti!L$48*TA_ti!$BE13=0,10000,TA_ti!L13*TA_ti!L$48*TA_ti!$BE13)</f>
        <v>10000</v>
      </c>
      <c r="M13" s="4">
        <f>+IF(TA_ti!M13*TA_ti!M$48*TA_ti!$BE13=0,10000,TA_ti!M13*TA_ti!M$48*TA_ti!$BE13)</f>
        <v>12</v>
      </c>
      <c r="N13" s="4">
        <f>+IF(TA_ti!N13*TA_ti!N$48*TA_ti!$BE13=0,10000,TA_ti!N13*TA_ti!N$48*TA_ti!$BE13)</f>
        <v>10000</v>
      </c>
      <c r="O13" s="4">
        <f>+IF(TA_ti!O13*TA_ti!O$48*TA_ti!$BE13=0,10000,TA_ti!O13*TA_ti!O$48*TA_ti!$BE13)</f>
        <v>10000</v>
      </c>
      <c r="P13" s="4">
        <f>+IF(TA_ti!P13*TA_ti!P$48*TA_ti!$BE13=0,10000,TA_ti!P13*TA_ti!P$48*TA_ti!$BE13)</f>
        <v>10000</v>
      </c>
      <c r="Q13" s="4">
        <f>+IF(TA_ti!Q13*TA_ti!Q$48*TA_ti!$BE13=0,10000,TA_ti!Q13*TA_ti!Q$48*TA_ti!$BE13)</f>
        <v>10000</v>
      </c>
      <c r="R13" s="4">
        <f>+IF(TA_ti!R13*TA_ti!R$48*TA_ti!$BE13=0,10000,TA_ti!R13*TA_ti!R$48*TA_ti!$BE13)</f>
        <v>10000</v>
      </c>
      <c r="S13" s="4">
        <f>+IF(TA_ti!S13*TA_ti!S$48*TA_ti!$BE13=0,10000,TA_ti!S13*TA_ti!S$48*TA_ti!$BE13)</f>
        <v>10000</v>
      </c>
      <c r="T13" s="4">
        <f>+IF(TA_ti!T13*TA_ti!T$48*TA_ti!$BE13=0,10000,TA_ti!T13*TA_ti!T$48*TA_ti!$BE13)</f>
        <v>10000</v>
      </c>
      <c r="U13" s="4">
        <f>+IF(TA_ti!U13*TA_ti!U$48*TA_ti!$BE13=0,10000,TA_ti!U13*TA_ti!U$48*TA_ti!$BE13)</f>
        <v>10000</v>
      </c>
      <c r="V13" s="4">
        <f>+IF(TA_ti!V13*TA_ti!V$48*TA_ti!$BE13=0,10000,TA_ti!V13*TA_ti!V$48*TA_ti!$BE13)</f>
        <v>10000</v>
      </c>
      <c r="W13" s="4">
        <f>+IF(TA_ti!W13*TA_ti!W$48*TA_ti!$BE13=0,10000,TA_ti!W13*TA_ti!W$48*TA_ti!$BE13)</f>
        <v>10000</v>
      </c>
      <c r="X13" s="4">
        <f>+IF(TA_ti!X13*TA_ti!X$48*TA_ti!$BE13=0,10000,TA_ti!X13*TA_ti!X$48*TA_ti!$BE13)</f>
        <v>10000</v>
      </c>
      <c r="Y13" s="4">
        <f>+IF(TA_ti!Y13*TA_ti!Y$48*TA_ti!$BE13=0,10000,TA_ti!Y13*TA_ti!Y$48*TA_ti!$BE13)</f>
        <v>10000</v>
      </c>
      <c r="Z13" s="4">
        <f>+IF(TA_ti!Z13*TA_ti!Z$48*TA_ti!$BE13=0,10000,TA_ti!Z13*TA_ti!Z$48*TA_ti!$BE13)</f>
        <v>10000</v>
      </c>
      <c r="AA13" s="4">
        <f>+IF(TA_ti!AA13*TA_ti!AA$48*TA_ti!$BE13=0,10000,TA_ti!AA13*TA_ti!AA$48*TA_ti!$BE13)</f>
        <v>10000</v>
      </c>
      <c r="AB13" s="4">
        <f>+IF(TA_ti!AB13*TA_ti!AB$48*TA_ti!$BE13=0,10000,TA_ti!AB13*TA_ti!AB$48*TA_ti!$BE13)</f>
        <v>10000</v>
      </c>
      <c r="AC13" s="4">
        <f>+IF(TA_ti!AC13*TA_ti!AC$48*TA_ti!$BE13=0,10000,TA_ti!AC13*TA_ti!AC$48*TA_ti!$BE13)</f>
        <v>10000</v>
      </c>
      <c r="AD13" s="4">
        <f>+IF(TA_ti!AD13*TA_ti!AD$48*TA_ti!$BE13=0,10000,TA_ti!AD13*TA_ti!AD$48*TA_ti!$BE13)</f>
        <v>10000</v>
      </c>
      <c r="AE13" s="4">
        <f>+IF(TA_ti!AE13*TA_ti!AE$48*TA_ti!$BE13=0,10000,TA_ti!AE13*TA_ti!AE$48*TA_ti!$BE13)</f>
        <v>10000</v>
      </c>
      <c r="AF13" s="4">
        <f>+IF(TA_ti!AF13*TA_ti!AF$48*TA_ti!$BE13=0,10000,TA_ti!AF13*TA_ti!AF$48*TA_ti!$BE13)</f>
        <v>10000</v>
      </c>
      <c r="AG13" s="4">
        <f>+IF(TA_ti!AG13*TA_ti!AG$48*TA_ti!$BE13=0,10000,TA_ti!AG13*TA_ti!AG$48*TA_ti!$BE13)</f>
        <v>10000</v>
      </c>
      <c r="AH13" s="4">
        <f>+IF(TA_ti!AH13*TA_ti!AH$48*TA_ti!$BE13=0,10000,TA_ti!AH13*TA_ti!AH$48*TA_ti!$BE13)</f>
        <v>10000</v>
      </c>
      <c r="AI13" s="4">
        <f>+IF(TA_ti!AI13*TA_ti!AI$48*TA_ti!$BE13=0,10000,TA_ti!AI13*TA_ti!AI$48*TA_ti!$BE13)</f>
        <v>10000</v>
      </c>
      <c r="AJ13" s="4">
        <f>+IF(TA_ti!AJ13*TA_ti!AJ$48*TA_ti!$BE13=0,10000,TA_ti!AJ13*TA_ti!AJ$48*TA_ti!$BE13)</f>
        <v>10000</v>
      </c>
      <c r="AK13" s="4">
        <f>+IF(TA_ti!AK13*TA_ti!AK$48*TA_ti!$BE13=0,10000,TA_ti!AK13*TA_ti!AK$48*TA_ti!$BE13)</f>
        <v>10000</v>
      </c>
      <c r="AL13" s="4">
        <f>+IF(TA_ti!AL13*TA_ti!AL$48*TA_ti!$BE13=0,10000,TA_ti!AL13*TA_ti!AL$48*TA_ti!$BE13)</f>
        <v>10000</v>
      </c>
      <c r="AM13" s="4">
        <f>+IF(TA_ti!AM13*TA_ti!AM$48*TA_ti!$BE13=0,10000,TA_ti!AM13*TA_ti!AM$48*TA_ti!$BE13)</f>
        <v>10000</v>
      </c>
      <c r="AN13" s="4">
        <f>+IF(TA_ti!AN13*TA_ti!AN$48*TA_ti!$BE13=0,10000,TA_ti!AN13*TA_ti!AN$48*TA_ti!$BE13)</f>
        <v>10000</v>
      </c>
      <c r="AO13" s="4">
        <f>+IF(TA_ti!AO13*TA_ti!AO$48*TA_ti!$BE13=0,10000,TA_ti!AO13*TA_ti!AO$48*TA_ti!$BE13)</f>
        <v>10000</v>
      </c>
      <c r="AP13" s="4">
        <f>+IF(TA_ti!AP13*TA_ti!AP$48*TA_ti!$BE13=0,10000,TA_ti!AP13*TA_ti!AP$48*TA_ti!$BE13)</f>
        <v>10000</v>
      </c>
      <c r="AQ13" s="4">
        <f>+IF(TA_ti!AQ13*TA_ti!AQ$48*TA_ti!$BE13=0,10000,TA_ti!AQ13*TA_ti!AQ$48*TA_ti!$BE13)</f>
        <v>10000</v>
      </c>
      <c r="AR13" s="4">
        <f>+IF(TA_ti!AR13*TA_ti!AR$48*TA_ti!$BE13=0,10000,TA_ti!AR13*TA_ti!AR$48*TA_ti!$BE13)</f>
        <v>10000</v>
      </c>
      <c r="AS13" s="4">
        <f>+IF(TA_ti!AS13*TA_ti!AS$48*TA_ti!$BE13=0,10000,TA_ti!AS13*TA_ti!AS$48*TA_ti!$BE13)</f>
        <v>10000</v>
      </c>
      <c r="AT13" s="4">
        <f>+IF(TA_ti!AT13*TA_ti!AT$48*TA_ti!$BE13=0,10000,TA_ti!AT13*TA_ti!AT$48*TA_ti!$BE13)</f>
        <v>10000</v>
      </c>
      <c r="AU13" s="4">
        <f>+IF(TA_ti!AU13*TA_ti!AU$48*TA_ti!$BE13=0,10000,TA_ti!AU13*TA_ti!AU$48*TA_ti!$BE13)</f>
        <v>10000</v>
      </c>
      <c r="AV13" s="4">
        <f>+IF(TA_ti!AV13*TA_ti!AV$48*TA_ti!$BE13=0,10000,TA_ti!AV13*TA_ti!AV$48*TA_ti!$BE13)</f>
        <v>10000</v>
      </c>
      <c r="AW13" s="4">
        <f>+IF(TA_ti!AW13*TA_ti!AW$48*TA_ti!$BE13=0,10000,TA_ti!AW13*TA_ti!AW$48*TA_ti!$BE13)</f>
        <v>10000</v>
      </c>
      <c r="AX13" s="4">
        <f>+IF(TA_ti!AX13*TA_ti!AX$48*TA_ti!$BE13=0,10000,TA_ti!AX13*TA_ti!AX$48*TA_ti!$BE13)</f>
        <v>10000</v>
      </c>
      <c r="AY13" s="4">
        <f>+IF(TA_ti!AY13*TA_ti!AY$48*TA_ti!$BE13=0,10000,TA_ti!AY13*TA_ti!AY$48*TA_ti!$BE13)</f>
        <v>10000</v>
      </c>
      <c r="AZ13" s="4">
        <f>+IF(TA_ti!AZ13*TA_ti!AZ$48*TA_ti!$BE13=0,10000,TA_ti!AZ13*TA_ti!AZ$48*TA_ti!$BE13)</f>
        <v>10000</v>
      </c>
      <c r="BA13" s="4">
        <f>+IF(TA_ti!BA13*TA_ti!BA$48*TA_ti!$BE13=0,10000,TA_ti!BA13*TA_ti!BA$48*TA_ti!$BE13)</f>
        <v>10000</v>
      </c>
      <c r="BB13" s="4">
        <f>+IF(TA_ti!BB13*TA_ti!BB$48*TA_ti!$BE13=0,10000,TA_ti!BB13*TA_ti!BB$48*TA_ti!$BE13)</f>
        <v>10000</v>
      </c>
      <c r="BC13" s="4">
        <f>+IF(TA_ti!BC13*TA_ti!BC$48*TA_ti!$BE13=0,10000,TA_ti!BC13*TA_ti!BC$48*TA_ti!$BE13)</f>
        <v>10000</v>
      </c>
    </row>
    <row r="14" spans="1:55" ht="18.75" customHeight="1" x14ac:dyDescent="0.25">
      <c r="A14" s="5" t="s">
        <v>65</v>
      </c>
      <c r="B14" s="4">
        <f>+IF(TA_ti!B14*TA_ti!B$48*TA_ti!$BE14=0,10000,TA_ti!B14*TA_ti!B$48*TA_ti!$BE14)</f>
        <v>10000</v>
      </c>
      <c r="C14" s="4">
        <f>+IF(TA_ti!C14*TA_ti!C$48*TA_ti!$BE14=0,10000,TA_ti!C14*TA_ti!C$48*TA_ti!$BE14)</f>
        <v>10000</v>
      </c>
      <c r="D14" s="4">
        <f>+IF(TA_ti!D14*TA_ti!D$48*TA_ti!$BE14=0,10000,TA_ti!D14*TA_ti!D$48*TA_ti!$BE14)</f>
        <v>10000</v>
      </c>
      <c r="E14" s="4">
        <f>+IF(TA_ti!E14*TA_ti!E$48*TA_ti!$BE14=0,10000,TA_ti!E14*TA_ti!E$48*TA_ti!$BE14)</f>
        <v>10000</v>
      </c>
      <c r="F14" s="4">
        <f>+IF(TA_ti!F14*TA_ti!F$48*TA_ti!$BE14=0,10000,TA_ti!F14*TA_ti!F$48*TA_ti!$BE14)</f>
        <v>10000</v>
      </c>
      <c r="G14" s="4">
        <f>+IF(TA_ti!G14*TA_ti!G$48*TA_ti!$BE14=0,10000,TA_ti!G14*TA_ti!G$48*TA_ti!$BE14)</f>
        <v>10000</v>
      </c>
      <c r="H14" s="4">
        <f>+IF(TA_ti!H14*TA_ti!H$48*TA_ti!$BE14=0,10000,TA_ti!H14*TA_ti!H$48*TA_ti!$BE14)</f>
        <v>10000</v>
      </c>
      <c r="I14" s="4">
        <f>+IF(TA_ti!I14*TA_ti!I$48*TA_ti!$BE14=0,10000,TA_ti!I14*TA_ti!I$48*TA_ti!$BE14)</f>
        <v>10000</v>
      </c>
      <c r="J14" s="4">
        <f>+IF(TA_ti!J14*TA_ti!J$48*TA_ti!$BE14=0,10000,TA_ti!J14*TA_ti!J$48*TA_ti!$BE14)</f>
        <v>10000</v>
      </c>
      <c r="K14" s="4">
        <f>+IF(TA_ti!K14*TA_ti!K$48*TA_ti!$BE14=0,10000,TA_ti!K14*TA_ti!K$48*TA_ti!$BE14)</f>
        <v>10000</v>
      </c>
      <c r="L14" s="4">
        <f>+IF(TA_ti!L14*TA_ti!L$48*TA_ti!$BE14=0,10000,TA_ti!L14*TA_ti!L$48*TA_ti!$BE14)</f>
        <v>10000</v>
      </c>
      <c r="M14" s="4">
        <f>+IF(TA_ti!M14*TA_ti!M$48*TA_ti!$BE14=0,10000,TA_ti!M14*TA_ti!M$48*TA_ti!$BE14)</f>
        <v>10000</v>
      </c>
      <c r="N14" s="4">
        <f>+IF(TA_ti!N14*TA_ti!N$48*TA_ti!$BE14=0,10000,TA_ti!N14*TA_ti!N$48*TA_ti!$BE14)</f>
        <v>10000</v>
      </c>
      <c r="O14" s="4">
        <f>+IF(TA_ti!O14*TA_ti!O$48*TA_ti!$BE14=0,10000,TA_ti!O14*TA_ti!O$48*TA_ti!$BE14)</f>
        <v>10000</v>
      </c>
      <c r="P14" s="4">
        <f>+IF(TA_ti!P14*TA_ti!P$48*TA_ti!$BE14=0,10000,TA_ti!P14*TA_ti!P$48*TA_ti!$BE14)</f>
        <v>10000</v>
      </c>
      <c r="Q14" s="4">
        <f>+IF(TA_ti!Q14*TA_ti!Q$48*TA_ti!$BE14=0,10000,TA_ti!Q14*TA_ti!Q$48*TA_ti!$BE14)</f>
        <v>10000</v>
      </c>
      <c r="R14" s="4">
        <f>+IF(TA_ti!R14*TA_ti!R$48*TA_ti!$BE14=0,10000,TA_ti!R14*TA_ti!R$48*TA_ti!$BE14)</f>
        <v>10000</v>
      </c>
      <c r="S14" s="4">
        <f>+IF(TA_ti!S14*TA_ti!S$48*TA_ti!$BE14=0,10000,TA_ti!S14*TA_ti!S$48*TA_ti!$BE14)</f>
        <v>10000</v>
      </c>
      <c r="T14" s="4">
        <f>+IF(TA_ti!T14*TA_ti!T$48*TA_ti!$BE14=0,10000,TA_ti!T14*TA_ti!T$48*TA_ti!$BE14)</f>
        <v>10000</v>
      </c>
      <c r="U14" s="4">
        <f>+IF(TA_ti!U14*TA_ti!U$48*TA_ti!$BE14=0,10000,TA_ti!U14*TA_ti!U$48*TA_ti!$BE14)</f>
        <v>10000</v>
      </c>
      <c r="V14" s="4">
        <f>+IF(TA_ti!V14*TA_ti!V$48*TA_ti!$BE14=0,10000,TA_ti!V14*TA_ti!V$48*TA_ti!$BE14)</f>
        <v>10000</v>
      </c>
      <c r="W14" s="4">
        <f>+IF(TA_ti!W14*TA_ti!W$48*TA_ti!$BE14=0,10000,TA_ti!W14*TA_ti!W$48*TA_ti!$BE14)</f>
        <v>10000</v>
      </c>
      <c r="X14" s="4">
        <f>+IF(TA_ti!X14*TA_ti!X$48*TA_ti!$BE14=0,10000,TA_ti!X14*TA_ti!X$48*TA_ti!$BE14)</f>
        <v>10000</v>
      </c>
      <c r="Y14" s="4">
        <f>+IF(TA_ti!Y14*TA_ti!Y$48*TA_ti!$BE14=0,10000,TA_ti!Y14*TA_ti!Y$48*TA_ti!$BE14)</f>
        <v>10000</v>
      </c>
      <c r="Z14" s="4">
        <f>+IF(TA_ti!Z14*TA_ti!Z$48*TA_ti!$BE14=0,10000,TA_ti!Z14*TA_ti!Z$48*TA_ti!$BE14)</f>
        <v>10000</v>
      </c>
      <c r="AA14" s="4">
        <f>+IF(TA_ti!AA14*TA_ti!AA$48*TA_ti!$BE14=0,10000,TA_ti!AA14*TA_ti!AA$48*TA_ti!$BE14)</f>
        <v>10000</v>
      </c>
      <c r="AB14" s="4">
        <f>+IF(TA_ti!AB14*TA_ti!AB$48*TA_ti!$BE14=0,10000,TA_ti!AB14*TA_ti!AB$48*TA_ti!$BE14)</f>
        <v>10000</v>
      </c>
      <c r="AC14" s="4">
        <f>+IF(TA_ti!AC14*TA_ti!AC$48*TA_ti!$BE14=0,10000,TA_ti!AC14*TA_ti!AC$48*TA_ti!$BE14)</f>
        <v>10000</v>
      </c>
      <c r="AD14" s="4">
        <f>+IF(TA_ti!AD14*TA_ti!AD$48*TA_ti!$BE14=0,10000,TA_ti!AD14*TA_ti!AD$48*TA_ti!$BE14)</f>
        <v>10000</v>
      </c>
      <c r="AE14" s="4">
        <f>+IF(TA_ti!AE14*TA_ti!AE$48*TA_ti!$BE14=0,10000,TA_ti!AE14*TA_ti!AE$48*TA_ti!$BE14)</f>
        <v>10000</v>
      </c>
      <c r="AF14" s="4">
        <f>+IF(TA_ti!AF14*TA_ti!AF$48*TA_ti!$BE14=0,10000,TA_ti!AF14*TA_ti!AF$48*TA_ti!$BE14)</f>
        <v>10000</v>
      </c>
      <c r="AG14" s="4">
        <f>+IF(TA_ti!AG14*TA_ti!AG$48*TA_ti!$BE14=0,10000,TA_ti!AG14*TA_ti!AG$48*TA_ti!$BE14)</f>
        <v>10000</v>
      </c>
      <c r="AH14" s="4">
        <f>+IF(TA_ti!AH14*TA_ti!AH$48*TA_ti!$BE14=0,10000,TA_ti!AH14*TA_ti!AH$48*TA_ti!$BE14)</f>
        <v>10000</v>
      </c>
      <c r="AI14" s="4">
        <f>+IF(TA_ti!AI14*TA_ti!AI$48*TA_ti!$BE14=0,10000,TA_ti!AI14*TA_ti!AI$48*TA_ti!$BE14)</f>
        <v>10000</v>
      </c>
      <c r="AJ14" s="4">
        <f>+IF(TA_ti!AJ14*TA_ti!AJ$48*TA_ti!$BE14=0,10000,TA_ti!AJ14*TA_ti!AJ$48*TA_ti!$BE14)</f>
        <v>10000</v>
      </c>
      <c r="AK14" s="4">
        <f>+IF(TA_ti!AK14*TA_ti!AK$48*TA_ti!$BE14=0,10000,TA_ti!AK14*TA_ti!AK$48*TA_ti!$BE14)</f>
        <v>10000</v>
      </c>
      <c r="AL14" s="4">
        <f>+IF(TA_ti!AL14*TA_ti!AL$48*TA_ti!$BE14=0,10000,TA_ti!AL14*TA_ti!AL$48*TA_ti!$BE14)</f>
        <v>10000</v>
      </c>
      <c r="AM14" s="4">
        <f>+IF(TA_ti!AM14*TA_ti!AM$48*TA_ti!$BE14=0,10000,TA_ti!AM14*TA_ti!AM$48*TA_ti!$BE14)</f>
        <v>10000</v>
      </c>
      <c r="AN14" s="4">
        <f>+IF(TA_ti!AN14*TA_ti!AN$48*TA_ti!$BE14=0,10000,TA_ti!AN14*TA_ti!AN$48*TA_ti!$BE14)</f>
        <v>10000</v>
      </c>
      <c r="AO14" s="4">
        <f>+IF(TA_ti!AO14*TA_ti!AO$48*TA_ti!$BE14=0,10000,TA_ti!AO14*TA_ti!AO$48*TA_ti!$BE14)</f>
        <v>10000</v>
      </c>
      <c r="AP14" s="4">
        <f>+IF(TA_ti!AP14*TA_ti!AP$48*TA_ti!$BE14=0,10000,TA_ti!AP14*TA_ti!AP$48*TA_ti!$BE14)</f>
        <v>10000</v>
      </c>
      <c r="AQ14" s="4">
        <f>+IF(TA_ti!AQ14*TA_ti!AQ$48*TA_ti!$BE14=0,10000,TA_ti!AQ14*TA_ti!AQ$48*TA_ti!$BE14)</f>
        <v>10000</v>
      </c>
      <c r="AR14" s="4">
        <f>+IF(TA_ti!AR14*TA_ti!AR$48*TA_ti!$BE14=0,10000,TA_ti!AR14*TA_ti!AR$48*TA_ti!$BE14)</f>
        <v>10000</v>
      </c>
      <c r="AS14" s="4">
        <f>+IF(TA_ti!AS14*TA_ti!AS$48*TA_ti!$BE14=0,10000,TA_ti!AS14*TA_ti!AS$48*TA_ti!$BE14)</f>
        <v>10000</v>
      </c>
      <c r="AT14" s="4">
        <f>+IF(TA_ti!AT14*TA_ti!AT$48*TA_ti!$BE14=0,10000,TA_ti!AT14*TA_ti!AT$48*TA_ti!$BE14)</f>
        <v>10000</v>
      </c>
      <c r="AU14" s="4">
        <f>+IF(TA_ti!AU14*TA_ti!AU$48*TA_ti!$BE14=0,10000,TA_ti!AU14*TA_ti!AU$48*TA_ti!$BE14)</f>
        <v>10000</v>
      </c>
      <c r="AV14" s="4">
        <f>+IF(TA_ti!AV14*TA_ti!AV$48*TA_ti!$BE14=0,10000,TA_ti!AV14*TA_ti!AV$48*TA_ti!$BE14)</f>
        <v>10000</v>
      </c>
      <c r="AW14" s="4">
        <f>+IF(TA_ti!AW14*TA_ti!AW$48*TA_ti!$BE14=0,10000,TA_ti!AW14*TA_ti!AW$48*TA_ti!$BE14)</f>
        <v>10000</v>
      </c>
      <c r="AX14" s="4">
        <f>+IF(TA_ti!AX14*TA_ti!AX$48*TA_ti!$BE14=0,10000,TA_ti!AX14*TA_ti!AX$48*TA_ti!$BE14)</f>
        <v>10000</v>
      </c>
      <c r="AY14" s="4">
        <f>+IF(TA_ti!AY14*TA_ti!AY$48*TA_ti!$BE14=0,10000,TA_ti!AY14*TA_ti!AY$48*TA_ti!$BE14)</f>
        <v>10000</v>
      </c>
      <c r="AZ14" s="4">
        <f>+IF(TA_ti!AZ14*TA_ti!AZ$48*TA_ti!$BE14=0,10000,TA_ti!AZ14*TA_ti!AZ$48*TA_ti!$BE14)</f>
        <v>10000</v>
      </c>
      <c r="BA14" s="4">
        <f>+IF(TA_ti!BA14*TA_ti!BA$48*TA_ti!$BE14=0,10000,TA_ti!BA14*TA_ti!BA$48*TA_ti!$BE14)</f>
        <v>10000</v>
      </c>
      <c r="BB14" s="4">
        <f>+IF(TA_ti!BB14*TA_ti!BB$48*TA_ti!$BE14=0,10000,TA_ti!BB14*TA_ti!BB$48*TA_ti!$BE14)</f>
        <v>10000</v>
      </c>
      <c r="BC14" s="4">
        <f>+IF(TA_ti!BC14*TA_ti!BC$48*TA_ti!$BE14=0,10000,TA_ti!BC14*TA_ti!BC$48*TA_ti!$BE14)</f>
        <v>10000</v>
      </c>
    </row>
    <row r="15" spans="1:55" ht="18.75" customHeight="1" x14ac:dyDescent="0.25">
      <c r="A15" s="5" t="s">
        <v>66</v>
      </c>
      <c r="B15" s="4">
        <f>+IF(TA_ti!B15*TA_ti!B$48*TA_ti!$BE15=0,10000,TA_ti!B15*TA_ti!B$48*TA_ti!$BE15)</f>
        <v>10000</v>
      </c>
      <c r="C15" s="4">
        <f>+IF(TA_ti!C15*TA_ti!C$48*TA_ti!$BE15=0,10000,TA_ti!C15*TA_ti!C$48*TA_ti!$BE15)</f>
        <v>10000</v>
      </c>
      <c r="D15" s="4">
        <f>+IF(TA_ti!D15*TA_ti!D$48*TA_ti!$BE15=0,10000,TA_ti!D15*TA_ti!D$48*TA_ti!$BE15)</f>
        <v>10000</v>
      </c>
      <c r="E15" s="4">
        <f>+IF(TA_ti!E15*TA_ti!E$48*TA_ti!$BE15=0,10000,TA_ti!E15*TA_ti!E$48*TA_ti!$BE15)</f>
        <v>10000</v>
      </c>
      <c r="F15" s="4">
        <f>+IF(TA_ti!F15*TA_ti!F$48*TA_ti!$BE15=0,10000,TA_ti!F15*TA_ti!F$48*TA_ti!$BE15)</f>
        <v>10000</v>
      </c>
      <c r="G15" s="4">
        <f>+IF(TA_ti!G15*TA_ti!G$48*TA_ti!$BE15=0,10000,TA_ti!G15*TA_ti!G$48*TA_ti!$BE15)</f>
        <v>10000</v>
      </c>
      <c r="H15" s="4">
        <f>+IF(TA_ti!H15*TA_ti!H$48*TA_ti!$BE15=0,10000,TA_ti!H15*TA_ti!H$48*TA_ti!$BE15)</f>
        <v>10000</v>
      </c>
      <c r="I15" s="4">
        <f>+IF(TA_ti!I15*TA_ti!I$48*TA_ti!$BE15=0,10000,TA_ti!I15*TA_ti!I$48*TA_ti!$BE15)</f>
        <v>10000</v>
      </c>
      <c r="J15" s="4">
        <f>+IF(TA_ti!J15*TA_ti!J$48*TA_ti!$BE15=0,10000,TA_ti!J15*TA_ti!J$48*TA_ti!$BE15)</f>
        <v>10000</v>
      </c>
      <c r="K15" s="4">
        <f>+IF(TA_ti!K15*TA_ti!K$48*TA_ti!$BE15=0,10000,TA_ti!K15*TA_ti!K$48*TA_ti!$BE15)</f>
        <v>10000</v>
      </c>
      <c r="L15" s="4">
        <f>+IF(TA_ti!L15*TA_ti!L$48*TA_ti!$BE15=0,10000,TA_ti!L15*TA_ti!L$48*TA_ti!$BE15)</f>
        <v>10000</v>
      </c>
      <c r="M15" s="4">
        <f>+IF(TA_ti!M15*TA_ti!M$48*TA_ti!$BE15=0,10000,TA_ti!M15*TA_ti!M$48*TA_ti!$BE15)</f>
        <v>10000</v>
      </c>
      <c r="N15" s="4">
        <f>+IF(TA_ti!N15*TA_ti!N$48*TA_ti!$BE15=0,10000,TA_ti!N15*TA_ti!N$48*TA_ti!$BE15)</f>
        <v>10000</v>
      </c>
      <c r="O15" s="4">
        <f>+IF(TA_ti!O15*TA_ti!O$48*TA_ti!$BE15=0,10000,TA_ti!O15*TA_ti!O$48*TA_ti!$BE15)</f>
        <v>10000</v>
      </c>
      <c r="P15" s="4">
        <f>+IF(TA_ti!P15*TA_ti!P$48*TA_ti!$BE15=0,10000,TA_ti!P15*TA_ti!P$48*TA_ti!$BE15)</f>
        <v>10000</v>
      </c>
      <c r="Q15" s="4">
        <f>+IF(TA_ti!Q15*TA_ti!Q$48*TA_ti!$BE15=0,10000,TA_ti!Q15*TA_ti!Q$48*TA_ti!$BE15)</f>
        <v>10000</v>
      </c>
      <c r="R15" s="4">
        <f>+IF(TA_ti!R15*TA_ti!R$48*TA_ti!$BE15=0,10000,TA_ti!R15*TA_ti!R$48*TA_ti!$BE15)</f>
        <v>10000</v>
      </c>
      <c r="S15" s="4">
        <f>+IF(TA_ti!S15*TA_ti!S$48*TA_ti!$BE15=0,10000,TA_ti!S15*TA_ti!S$48*TA_ti!$BE15)</f>
        <v>10000</v>
      </c>
      <c r="T15" s="4">
        <f>+IF(TA_ti!T15*TA_ti!T$48*TA_ti!$BE15=0,10000,TA_ti!T15*TA_ti!T$48*TA_ti!$BE15)</f>
        <v>10000</v>
      </c>
      <c r="U15" s="4">
        <f>+IF(TA_ti!U15*TA_ti!U$48*TA_ti!$BE15=0,10000,TA_ti!U15*TA_ti!U$48*TA_ti!$BE15)</f>
        <v>10000</v>
      </c>
      <c r="V15" s="4">
        <f>+IF(TA_ti!V15*TA_ti!V$48*TA_ti!$BE15=0,10000,TA_ti!V15*TA_ti!V$48*TA_ti!$BE15)</f>
        <v>10000</v>
      </c>
      <c r="W15" s="4">
        <f>+IF(TA_ti!W15*TA_ti!W$48*TA_ti!$BE15=0,10000,TA_ti!W15*TA_ti!W$48*TA_ti!$BE15)</f>
        <v>10000</v>
      </c>
      <c r="X15" s="4">
        <f>+IF(TA_ti!X15*TA_ti!X$48*TA_ti!$BE15=0,10000,TA_ti!X15*TA_ti!X$48*TA_ti!$BE15)</f>
        <v>10000</v>
      </c>
      <c r="Y15" s="4">
        <f>+IF(TA_ti!Y15*TA_ti!Y$48*TA_ti!$BE15=0,10000,TA_ti!Y15*TA_ti!Y$48*TA_ti!$BE15)</f>
        <v>10000</v>
      </c>
      <c r="Z15" s="4">
        <f>+IF(TA_ti!Z15*TA_ti!Z$48*TA_ti!$BE15=0,10000,TA_ti!Z15*TA_ti!Z$48*TA_ti!$BE15)</f>
        <v>10000</v>
      </c>
      <c r="AA15" s="4">
        <f>+IF(TA_ti!AA15*TA_ti!AA$48*TA_ti!$BE15=0,10000,TA_ti!AA15*TA_ti!AA$48*TA_ti!$BE15)</f>
        <v>10000</v>
      </c>
      <c r="AB15" s="4">
        <f>+IF(TA_ti!AB15*TA_ti!AB$48*TA_ti!$BE15=0,10000,TA_ti!AB15*TA_ti!AB$48*TA_ti!$BE15)</f>
        <v>10000</v>
      </c>
      <c r="AC15" s="4">
        <f>+IF(TA_ti!AC15*TA_ti!AC$48*TA_ti!$BE15=0,10000,TA_ti!AC15*TA_ti!AC$48*TA_ti!$BE15)</f>
        <v>10000</v>
      </c>
      <c r="AD15" s="4">
        <f>+IF(TA_ti!AD15*TA_ti!AD$48*TA_ti!$BE15=0,10000,TA_ti!AD15*TA_ti!AD$48*TA_ti!$BE15)</f>
        <v>10000</v>
      </c>
      <c r="AE15" s="4">
        <f>+IF(TA_ti!AE15*TA_ti!AE$48*TA_ti!$BE15=0,10000,TA_ti!AE15*TA_ti!AE$48*TA_ti!$BE15)</f>
        <v>10000</v>
      </c>
      <c r="AF15" s="4">
        <f>+IF(TA_ti!AF15*TA_ti!AF$48*TA_ti!$BE15=0,10000,TA_ti!AF15*TA_ti!AF$48*TA_ti!$BE15)</f>
        <v>10000</v>
      </c>
      <c r="AG15" s="4">
        <f>+IF(TA_ti!AG15*TA_ti!AG$48*TA_ti!$BE15=0,10000,TA_ti!AG15*TA_ti!AG$48*TA_ti!$BE15)</f>
        <v>10000</v>
      </c>
      <c r="AH15" s="4">
        <f>+IF(TA_ti!AH15*TA_ti!AH$48*TA_ti!$BE15=0,10000,TA_ti!AH15*TA_ti!AH$48*TA_ti!$BE15)</f>
        <v>10000</v>
      </c>
      <c r="AI15" s="4">
        <f>+IF(TA_ti!AI15*TA_ti!AI$48*TA_ti!$BE15=0,10000,TA_ti!AI15*TA_ti!AI$48*TA_ti!$BE15)</f>
        <v>10000</v>
      </c>
      <c r="AJ15" s="4">
        <f>+IF(TA_ti!AJ15*TA_ti!AJ$48*TA_ti!$BE15=0,10000,TA_ti!AJ15*TA_ti!AJ$48*TA_ti!$BE15)</f>
        <v>10000</v>
      </c>
      <c r="AK15" s="4">
        <f>+IF(TA_ti!AK15*TA_ti!AK$48*TA_ti!$BE15=0,10000,TA_ti!AK15*TA_ti!AK$48*TA_ti!$BE15)</f>
        <v>10000</v>
      </c>
      <c r="AL15" s="4">
        <f>+IF(TA_ti!AL15*TA_ti!AL$48*TA_ti!$BE15=0,10000,TA_ti!AL15*TA_ti!AL$48*TA_ti!$BE15)</f>
        <v>10000</v>
      </c>
      <c r="AM15" s="4">
        <f>+IF(TA_ti!AM15*TA_ti!AM$48*TA_ti!$BE15=0,10000,TA_ti!AM15*TA_ti!AM$48*TA_ti!$BE15)</f>
        <v>10000</v>
      </c>
      <c r="AN15" s="4">
        <f>+IF(TA_ti!AN15*TA_ti!AN$48*TA_ti!$BE15=0,10000,TA_ti!AN15*TA_ti!AN$48*TA_ti!$BE15)</f>
        <v>10000</v>
      </c>
      <c r="AO15" s="4">
        <f>+IF(TA_ti!AO15*TA_ti!AO$48*TA_ti!$BE15=0,10000,TA_ti!AO15*TA_ti!AO$48*TA_ti!$BE15)</f>
        <v>10000</v>
      </c>
      <c r="AP15" s="4">
        <f>+IF(TA_ti!AP15*TA_ti!AP$48*TA_ti!$BE15=0,10000,TA_ti!AP15*TA_ti!AP$48*TA_ti!$BE15)</f>
        <v>10000</v>
      </c>
      <c r="AQ15" s="4">
        <f>+IF(TA_ti!AQ15*TA_ti!AQ$48*TA_ti!$BE15=0,10000,TA_ti!AQ15*TA_ti!AQ$48*TA_ti!$BE15)</f>
        <v>10000</v>
      </c>
      <c r="AR15" s="4">
        <f>+IF(TA_ti!AR15*TA_ti!AR$48*TA_ti!$BE15=0,10000,TA_ti!AR15*TA_ti!AR$48*TA_ti!$BE15)</f>
        <v>10000</v>
      </c>
      <c r="AS15" s="4">
        <f>+IF(TA_ti!AS15*TA_ti!AS$48*TA_ti!$BE15=0,10000,TA_ti!AS15*TA_ti!AS$48*TA_ti!$BE15)</f>
        <v>10000</v>
      </c>
      <c r="AT15" s="4">
        <f>+IF(TA_ti!AT15*TA_ti!AT$48*TA_ti!$BE15=0,10000,TA_ti!AT15*TA_ti!AT$48*TA_ti!$BE15)</f>
        <v>10000</v>
      </c>
      <c r="AU15" s="4">
        <f>+IF(TA_ti!AU15*TA_ti!AU$48*TA_ti!$BE15=0,10000,TA_ti!AU15*TA_ti!AU$48*TA_ti!$BE15)</f>
        <v>10000</v>
      </c>
      <c r="AV15" s="4">
        <f>+IF(TA_ti!AV15*TA_ti!AV$48*TA_ti!$BE15=0,10000,TA_ti!AV15*TA_ti!AV$48*TA_ti!$BE15)</f>
        <v>10000</v>
      </c>
      <c r="AW15" s="4">
        <f>+IF(TA_ti!AW15*TA_ti!AW$48*TA_ti!$BE15=0,10000,TA_ti!AW15*TA_ti!AW$48*TA_ti!$BE15)</f>
        <v>10000</v>
      </c>
      <c r="AX15" s="4">
        <f>+IF(TA_ti!AX15*TA_ti!AX$48*TA_ti!$BE15=0,10000,TA_ti!AX15*TA_ti!AX$48*TA_ti!$BE15)</f>
        <v>10000</v>
      </c>
      <c r="AY15" s="4">
        <f>+IF(TA_ti!AY15*TA_ti!AY$48*TA_ti!$BE15=0,10000,TA_ti!AY15*TA_ti!AY$48*TA_ti!$BE15)</f>
        <v>10000</v>
      </c>
      <c r="AZ15" s="4">
        <f>+IF(TA_ti!AZ15*TA_ti!AZ$48*TA_ti!$BE15=0,10000,TA_ti!AZ15*TA_ti!AZ$48*TA_ti!$BE15)</f>
        <v>10000</v>
      </c>
      <c r="BA15" s="4">
        <f>+IF(TA_ti!BA15*TA_ti!BA$48*TA_ti!$BE15=0,10000,TA_ti!BA15*TA_ti!BA$48*TA_ti!$BE15)</f>
        <v>10000</v>
      </c>
      <c r="BB15" s="4">
        <f>+IF(TA_ti!BB15*TA_ti!BB$48*TA_ti!$BE15=0,10000,TA_ti!BB15*TA_ti!BB$48*TA_ti!$BE15)</f>
        <v>10000</v>
      </c>
      <c r="BC15" s="4">
        <f>+IF(TA_ti!BC15*TA_ti!BC$48*TA_ti!$BE15=0,10000,TA_ti!BC15*TA_ti!BC$48*TA_ti!$BE15)</f>
        <v>10000</v>
      </c>
    </row>
    <row r="16" spans="1:55" ht="18.75" customHeight="1" x14ac:dyDescent="0.25">
      <c r="A16" s="5" t="s">
        <v>67</v>
      </c>
      <c r="B16" s="4">
        <f>+IF(TA_ti!B16*TA_ti!B$48*TA_ti!$BE16=0,10000,TA_ti!B16*TA_ti!B$48*TA_ti!$BE16)</f>
        <v>10000</v>
      </c>
      <c r="C16" s="4">
        <f>+IF(TA_ti!C16*TA_ti!C$48*TA_ti!$BE16=0,10000,TA_ti!C16*TA_ti!C$48*TA_ti!$BE16)</f>
        <v>10000</v>
      </c>
      <c r="D16" s="4">
        <f>+IF(TA_ti!D16*TA_ti!D$48*TA_ti!$BE16=0,10000,TA_ti!D16*TA_ti!D$48*TA_ti!$BE16)</f>
        <v>10000</v>
      </c>
      <c r="E16" s="4">
        <f>+IF(TA_ti!E16*TA_ti!E$48*TA_ti!$BE16=0,10000,TA_ti!E16*TA_ti!E$48*TA_ti!$BE16)</f>
        <v>10000</v>
      </c>
      <c r="F16" s="4">
        <f>+IF(TA_ti!F16*TA_ti!F$48*TA_ti!$BE16=0,10000,TA_ti!F16*TA_ti!F$48*TA_ti!$BE16)</f>
        <v>10000</v>
      </c>
      <c r="G16" s="4">
        <f>+IF(TA_ti!G16*TA_ti!G$48*TA_ti!$BE16=0,10000,TA_ti!G16*TA_ti!G$48*TA_ti!$BE16)</f>
        <v>12</v>
      </c>
      <c r="H16" s="4">
        <f>+IF(TA_ti!H16*TA_ti!H$48*TA_ti!$BE16=0,10000,TA_ti!H16*TA_ti!H$48*TA_ti!$BE16)</f>
        <v>10000</v>
      </c>
      <c r="I16" s="4">
        <f>+IF(TA_ti!I16*TA_ti!I$48*TA_ti!$BE16=0,10000,TA_ti!I16*TA_ti!I$48*TA_ti!$BE16)</f>
        <v>10000</v>
      </c>
      <c r="J16" s="4">
        <f>+IF(TA_ti!J16*TA_ti!J$48*TA_ti!$BE16=0,10000,TA_ti!J16*TA_ti!J$48*TA_ti!$BE16)</f>
        <v>10000</v>
      </c>
      <c r="K16" s="4">
        <f>+IF(TA_ti!K16*TA_ti!K$48*TA_ti!$BE16=0,10000,TA_ti!K16*TA_ti!K$48*TA_ti!$BE16)</f>
        <v>10000</v>
      </c>
      <c r="L16" s="4">
        <f>+IF(TA_ti!L16*TA_ti!L$48*TA_ti!$BE16=0,10000,TA_ti!L16*TA_ti!L$48*TA_ti!$BE16)</f>
        <v>10000</v>
      </c>
      <c r="M16" s="4">
        <f>+IF(TA_ti!M16*TA_ti!M$48*TA_ti!$BE16=0,10000,TA_ti!M16*TA_ti!M$48*TA_ti!$BE16)</f>
        <v>12</v>
      </c>
      <c r="N16" s="4">
        <f>+IF(TA_ti!N16*TA_ti!N$48*TA_ti!$BE16=0,10000,TA_ti!N16*TA_ti!N$48*TA_ti!$BE16)</f>
        <v>10000</v>
      </c>
      <c r="O16" s="4">
        <f>+IF(TA_ti!O16*TA_ti!O$48*TA_ti!$BE16=0,10000,TA_ti!O16*TA_ti!O$48*TA_ti!$BE16)</f>
        <v>10000</v>
      </c>
      <c r="P16" s="4">
        <f>+IF(TA_ti!P16*TA_ti!P$48*TA_ti!$BE16=0,10000,TA_ti!P16*TA_ti!P$48*TA_ti!$BE16)</f>
        <v>10000</v>
      </c>
      <c r="Q16" s="4">
        <f>+IF(TA_ti!Q16*TA_ti!Q$48*TA_ti!$BE16=0,10000,TA_ti!Q16*TA_ti!Q$48*TA_ti!$BE16)</f>
        <v>5</v>
      </c>
      <c r="R16" s="4">
        <f>+IF(TA_ti!R16*TA_ti!R$48*TA_ti!$BE16=0,10000,TA_ti!R16*TA_ti!R$48*TA_ti!$BE16)</f>
        <v>10000</v>
      </c>
      <c r="S16" s="4">
        <f>+IF(TA_ti!S16*TA_ti!S$48*TA_ti!$BE16=0,10000,TA_ti!S16*TA_ti!S$48*TA_ti!$BE16)</f>
        <v>10000</v>
      </c>
      <c r="T16" s="4">
        <f>+IF(TA_ti!T16*TA_ti!T$48*TA_ti!$BE16=0,10000,TA_ti!T16*TA_ti!T$48*TA_ti!$BE16)</f>
        <v>10000</v>
      </c>
      <c r="U16" s="4">
        <f>+IF(TA_ti!U16*TA_ti!U$48*TA_ti!$BE16=0,10000,TA_ti!U16*TA_ti!U$48*TA_ti!$BE16)</f>
        <v>10000</v>
      </c>
      <c r="V16" s="4">
        <f>+IF(TA_ti!V16*TA_ti!V$48*TA_ti!$BE16=0,10000,TA_ti!V16*TA_ti!V$48*TA_ti!$BE16)</f>
        <v>10000</v>
      </c>
      <c r="W16" s="4">
        <f>+IF(TA_ti!W16*TA_ti!W$48*TA_ti!$BE16=0,10000,TA_ti!W16*TA_ti!W$48*TA_ti!$BE16)</f>
        <v>10000</v>
      </c>
      <c r="X16" s="4">
        <f>+IF(TA_ti!X16*TA_ti!X$48*TA_ti!$BE16=0,10000,TA_ti!X16*TA_ti!X$48*TA_ti!$BE16)</f>
        <v>10000</v>
      </c>
      <c r="Y16" s="4">
        <f>+IF(TA_ti!Y16*TA_ti!Y$48*TA_ti!$BE16=0,10000,TA_ti!Y16*TA_ti!Y$48*TA_ti!$BE16)</f>
        <v>10000</v>
      </c>
      <c r="Z16" s="4">
        <f>+IF(TA_ti!Z16*TA_ti!Z$48*TA_ti!$BE16=0,10000,TA_ti!Z16*TA_ti!Z$48*TA_ti!$BE16)</f>
        <v>10000</v>
      </c>
      <c r="AA16" s="4">
        <f>+IF(TA_ti!AA16*TA_ti!AA$48*TA_ti!$BE16=0,10000,TA_ti!AA16*TA_ti!AA$48*TA_ti!$BE16)</f>
        <v>10000</v>
      </c>
      <c r="AB16" s="4">
        <f>+IF(TA_ti!AB16*TA_ti!AB$48*TA_ti!$BE16=0,10000,TA_ti!AB16*TA_ti!AB$48*TA_ti!$BE16)</f>
        <v>10000</v>
      </c>
      <c r="AC16" s="4">
        <f>+IF(TA_ti!AC16*TA_ti!AC$48*TA_ti!$BE16=0,10000,TA_ti!AC16*TA_ti!AC$48*TA_ti!$BE16)</f>
        <v>10000</v>
      </c>
      <c r="AD16" s="4">
        <f>+IF(TA_ti!AD16*TA_ti!AD$48*TA_ti!$BE16=0,10000,TA_ti!AD16*TA_ti!AD$48*TA_ti!$BE16)</f>
        <v>10000</v>
      </c>
      <c r="AE16" s="4">
        <f>+IF(TA_ti!AE16*TA_ti!AE$48*TA_ti!$BE16=0,10000,TA_ti!AE16*TA_ti!AE$48*TA_ti!$BE16)</f>
        <v>10000</v>
      </c>
      <c r="AF16" s="4">
        <f>+IF(TA_ti!AF16*TA_ti!AF$48*TA_ti!$BE16=0,10000,TA_ti!AF16*TA_ti!AF$48*TA_ti!$BE16)</f>
        <v>10000</v>
      </c>
      <c r="AG16" s="4">
        <f>+IF(TA_ti!AG16*TA_ti!AG$48*TA_ti!$BE16=0,10000,TA_ti!AG16*TA_ti!AG$48*TA_ti!$BE16)</f>
        <v>10000</v>
      </c>
      <c r="AH16" s="4">
        <f>+IF(TA_ti!AH16*TA_ti!AH$48*TA_ti!$BE16=0,10000,TA_ti!AH16*TA_ti!AH$48*TA_ti!$BE16)</f>
        <v>10000</v>
      </c>
      <c r="AI16" s="4">
        <f>+IF(TA_ti!AI16*TA_ti!AI$48*TA_ti!$BE16=0,10000,TA_ti!AI16*TA_ti!AI$48*TA_ti!$BE16)</f>
        <v>10000</v>
      </c>
      <c r="AJ16" s="4">
        <f>+IF(TA_ti!AJ16*TA_ti!AJ$48*TA_ti!$BE16=0,10000,TA_ti!AJ16*TA_ti!AJ$48*TA_ti!$BE16)</f>
        <v>10000</v>
      </c>
      <c r="AK16" s="4">
        <f>+IF(TA_ti!AK16*TA_ti!AK$48*TA_ti!$BE16=0,10000,TA_ti!AK16*TA_ti!AK$48*TA_ti!$BE16)</f>
        <v>10000</v>
      </c>
      <c r="AL16" s="4">
        <f>+IF(TA_ti!AL16*TA_ti!AL$48*TA_ti!$BE16=0,10000,TA_ti!AL16*TA_ti!AL$48*TA_ti!$BE16)</f>
        <v>10000</v>
      </c>
      <c r="AM16" s="4">
        <f>+IF(TA_ti!AM16*TA_ti!AM$48*TA_ti!$BE16=0,10000,TA_ti!AM16*TA_ti!AM$48*TA_ti!$BE16)</f>
        <v>10000</v>
      </c>
      <c r="AN16" s="4">
        <f>+IF(TA_ti!AN16*TA_ti!AN$48*TA_ti!$BE16=0,10000,TA_ti!AN16*TA_ti!AN$48*TA_ti!$BE16)</f>
        <v>10000</v>
      </c>
      <c r="AO16" s="4">
        <f>+IF(TA_ti!AO16*TA_ti!AO$48*TA_ti!$BE16=0,10000,TA_ti!AO16*TA_ti!AO$48*TA_ti!$BE16)</f>
        <v>10000</v>
      </c>
      <c r="AP16" s="4">
        <f>+IF(TA_ti!AP16*TA_ti!AP$48*TA_ti!$BE16=0,10000,TA_ti!AP16*TA_ti!AP$48*TA_ti!$BE16)</f>
        <v>10000</v>
      </c>
      <c r="AQ16" s="4">
        <f>+IF(TA_ti!AQ16*TA_ti!AQ$48*TA_ti!$BE16=0,10000,TA_ti!AQ16*TA_ti!AQ$48*TA_ti!$BE16)</f>
        <v>10000</v>
      </c>
      <c r="AR16" s="4">
        <f>+IF(TA_ti!AR16*TA_ti!AR$48*TA_ti!$BE16=0,10000,TA_ti!AR16*TA_ti!AR$48*TA_ti!$BE16)</f>
        <v>10000</v>
      </c>
      <c r="AS16" s="4">
        <f>+IF(TA_ti!AS16*TA_ti!AS$48*TA_ti!$BE16=0,10000,TA_ti!AS16*TA_ti!AS$48*TA_ti!$BE16)</f>
        <v>10000</v>
      </c>
      <c r="AT16" s="4">
        <f>+IF(TA_ti!AT16*TA_ti!AT$48*TA_ti!$BE16=0,10000,TA_ti!AT16*TA_ti!AT$48*TA_ti!$BE16)</f>
        <v>10000</v>
      </c>
      <c r="AU16" s="4">
        <f>+IF(TA_ti!AU16*TA_ti!AU$48*TA_ti!$BE16=0,10000,TA_ti!AU16*TA_ti!AU$48*TA_ti!$BE16)</f>
        <v>10000</v>
      </c>
      <c r="AV16" s="4">
        <f>+IF(TA_ti!AV16*TA_ti!AV$48*TA_ti!$BE16=0,10000,TA_ti!AV16*TA_ti!AV$48*TA_ti!$BE16)</f>
        <v>10000</v>
      </c>
      <c r="AW16" s="4">
        <f>+IF(TA_ti!AW16*TA_ti!AW$48*TA_ti!$BE16=0,10000,TA_ti!AW16*TA_ti!AW$48*TA_ti!$BE16)</f>
        <v>10000</v>
      </c>
      <c r="AX16" s="4">
        <f>+IF(TA_ti!AX16*TA_ti!AX$48*TA_ti!$BE16=0,10000,TA_ti!AX16*TA_ti!AX$48*TA_ti!$BE16)</f>
        <v>10000</v>
      </c>
      <c r="AY16" s="4">
        <f>+IF(TA_ti!AY16*TA_ti!AY$48*TA_ti!$BE16=0,10000,TA_ti!AY16*TA_ti!AY$48*TA_ti!$BE16)</f>
        <v>10000</v>
      </c>
      <c r="AZ16" s="4">
        <f>+IF(TA_ti!AZ16*TA_ti!AZ$48*TA_ti!$BE16=0,10000,TA_ti!AZ16*TA_ti!AZ$48*TA_ti!$BE16)</f>
        <v>10000</v>
      </c>
      <c r="BA16" s="4">
        <f>+IF(TA_ti!BA16*TA_ti!BA$48*TA_ti!$BE16=0,10000,TA_ti!BA16*TA_ti!BA$48*TA_ti!$BE16)</f>
        <v>10000</v>
      </c>
      <c r="BB16" s="4">
        <f>+IF(TA_ti!BB16*TA_ti!BB$48*TA_ti!$BE16=0,10000,TA_ti!BB16*TA_ti!BB$48*TA_ti!$BE16)</f>
        <v>10000</v>
      </c>
      <c r="BC16" s="4">
        <f>+IF(TA_ti!BC16*TA_ti!BC$48*TA_ti!$BE16=0,10000,TA_ti!BC16*TA_ti!BC$48*TA_ti!$BE16)</f>
        <v>10000</v>
      </c>
    </row>
    <row r="17" spans="1:55" ht="18.75" customHeight="1" x14ac:dyDescent="0.25">
      <c r="A17" s="5" t="s">
        <v>68</v>
      </c>
      <c r="B17" s="4">
        <f>+IF(TA_ti!B17*TA_ti!B$48*TA_ti!$BE17=0,10000,TA_ti!B17*TA_ti!B$48*TA_ti!$BE17)</f>
        <v>10000</v>
      </c>
      <c r="C17" s="4">
        <f>+IF(TA_ti!C17*TA_ti!C$48*TA_ti!$BE17=0,10000,TA_ti!C17*TA_ti!C$48*TA_ti!$BE17)</f>
        <v>10000</v>
      </c>
      <c r="D17" s="4">
        <f>+IF(TA_ti!D17*TA_ti!D$48*TA_ti!$BE17=0,10000,TA_ti!D17*TA_ti!D$48*TA_ti!$BE17)</f>
        <v>10000</v>
      </c>
      <c r="E17" s="4">
        <f>+IF(TA_ti!E17*TA_ti!E$48*TA_ti!$BE17=0,10000,TA_ti!E17*TA_ti!E$48*TA_ti!$BE17)</f>
        <v>10000</v>
      </c>
      <c r="F17" s="4">
        <f>+IF(TA_ti!F17*TA_ti!F$48*TA_ti!$BE17=0,10000,TA_ti!F17*TA_ti!F$48*TA_ti!$BE17)</f>
        <v>10000</v>
      </c>
      <c r="G17" s="4">
        <f>+IF(TA_ti!G17*TA_ti!G$48*TA_ti!$BE17=0,10000,TA_ti!G17*TA_ti!G$48*TA_ti!$BE17)</f>
        <v>10000</v>
      </c>
      <c r="H17" s="4">
        <f>+IF(TA_ti!H17*TA_ti!H$48*TA_ti!$BE17=0,10000,TA_ti!H17*TA_ti!H$48*TA_ti!$BE17)</f>
        <v>10000</v>
      </c>
      <c r="I17" s="4">
        <f>+IF(TA_ti!I17*TA_ti!I$48*TA_ti!$BE17=0,10000,TA_ti!I17*TA_ti!I$48*TA_ti!$BE17)</f>
        <v>10000</v>
      </c>
      <c r="J17" s="4">
        <f>+IF(TA_ti!J17*TA_ti!J$48*TA_ti!$BE17=0,10000,TA_ti!J17*TA_ti!J$48*TA_ti!$BE17)</f>
        <v>10000</v>
      </c>
      <c r="K17" s="4">
        <f>+IF(TA_ti!K17*TA_ti!K$48*TA_ti!$BE17=0,10000,TA_ti!K17*TA_ti!K$48*TA_ti!$BE17)</f>
        <v>10000</v>
      </c>
      <c r="L17" s="4">
        <f>+IF(TA_ti!L17*TA_ti!L$48*TA_ti!$BE17=0,10000,TA_ti!L17*TA_ti!L$48*TA_ti!$BE17)</f>
        <v>10000</v>
      </c>
      <c r="M17" s="4">
        <f>+IF(TA_ti!M17*TA_ti!M$48*TA_ti!$BE17=0,10000,TA_ti!M17*TA_ti!M$48*TA_ti!$BE17)</f>
        <v>10000</v>
      </c>
      <c r="N17" s="4">
        <f>+IF(TA_ti!N17*TA_ti!N$48*TA_ti!$BE17=0,10000,TA_ti!N17*TA_ti!N$48*TA_ti!$BE17)</f>
        <v>10000</v>
      </c>
      <c r="O17" s="4">
        <f>+IF(TA_ti!O17*TA_ti!O$48*TA_ti!$BE17=0,10000,TA_ti!O17*TA_ti!O$48*TA_ti!$BE17)</f>
        <v>10000</v>
      </c>
      <c r="P17" s="4">
        <f>+IF(TA_ti!P17*TA_ti!P$48*TA_ti!$BE17=0,10000,TA_ti!P17*TA_ti!P$48*TA_ti!$BE17)</f>
        <v>10000</v>
      </c>
      <c r="Q17" s="4">
        <f>+IF(TA_ti!Q17*TA_ti!Q$48*TA_ti!$BE17=0,10000,TA_ti!Q17*TA_ti!Q$48*TA_ti!$BE17)</f>
        <v>10000</v>
      </c>
      <c r="R17" s="4">
        <f>+IF(TA_ti!R17*TA_ti!R$48*TA_ti!$BE17=0,10000,TA_ti!R17*TA_ti!R$48*TA_ti!$BE17)</f>
        <v>10000</v>
      </c>
      <c r="S17" s="4">
        <f>+IF(TA_ti!S17*TA_ti!S$48*TA_ti!$BE17=0,10000,TA_ti!S17*TA_ti!S$48*TA_ti!$BE17)</f>
        <v>10000</v>
      </c>
      <c r="T17" s="4">
        <f>+IF(TA_ti!T17*TA_ti!T$48*TA_ti!$BE17=0,10000,TA_ti!T17*TA_ti!T$48*TA_ti!$BE17)</f>
        <v>10000</v>
      </c>
      <c r="U17" s="4">
        <f>+IF(TA_ti!U17*TA_ti!U$48*TA_ti!$BE17=0,10000,TA_ti!U17*TA_ti!U$48*TA_ti!$BE17)</f>
        <v>10000</v>
      </c>
      <c r="V17" s="4">
        <f>+IF(TA_ti!V17*TA_ti!V$48*TA_ti!$BE17=0,10000,TA_ti!V17*TA_ti!V$48*TA_ti!$BE17)</f>
        <v>10000</v>
      </c>
      <c r="W17" s="4">
        <f>+IF(TA_ti!W17*TA_ti!W$48*TA_ti!$BE17=0,10000,TA_ti!W17*TA_ti!W$48*TA_ti!$BE17)</f>
        <v>10000</v>
      </c>
      <c r="X17" s="4">
        <f>+IF(TA_ti!X17*TA_ti!X$48*TA_ti!$BE17=0,10000,TA_ti!X17*TA_ti!X$48*TA_ti!$BE17)</f>
        <v>10000</v>
      </c>
      <c r="Y17" s="4">
        <f>+IF(TA_ti!Y17*TA_ti!Y$48*TA_ti!$BE17=0,10000,TA_ti!Y17*TA_ti!Y$48*TA_ti!$BE17)</f>
        <v>10000</v>
      </c>
      <c r="Z17" s="4">
        <f>+IF(TA_ti!Z17*TA_ti!Z$48*TA_ti!$BE17=0,10000,TA_ti!Z17*TA_ti!Z$48*TA_ti!$BE17)</f>
        <v>10000</v>
      </c>
      <c r="AA17" s="4">
        <f>+IF(TA_ti!AA17*TA_ti!AA$48*TA_ti!$BE17=0,10000,TA_ti!AA17*TA_ti!AA$48*TA_ti!$BE17)</f>
        <v>10000</v>
      </c>
      <c r="AB17" s="4">
        <f>+IF(TA_ti!AB17*TA_ti!AB$48*TA_ti!$BE17=0,10000,TA_ti!AB17*TA_ti!AB$48*TA_ti!$BE17)</f>
        <v>10000</v>
      </c>
      <c r="AC17" s="4">
        <f>+IF(TA_ti!AC17*TA_ti!AC$48*TA_ti!$BE17=0,10000,TA_ti!AC17*TA_ti!AC$48*TA_ti!$BE17)</f>
        <v>10000</v>
      </c>
      <c r="AD17" s="4">
        <f>+IF(TA_ti!AD17*TA_ti!AD$48*TA_ti!$BE17=0,10000,TA_ti!AD17*TA_ti!AD$48*TA_ti!$BE17)</f>
        <v>10000</v>
      </c>
      <c r="AE17" s="4">
        <f>+IF(TA_ti!AE17*TA_ti!AE$48*TA_ti!$BE17=0,10000,TA_ti!AE17*TA_ti!AE$48*TA_ti!$BE17)</f>
        <v>10000</v>
      </c>
      <c r="AF17" s="4">
        <f>+IF(TA_ti!AF17*TA_ti!AF$48*TA_ti!$BE17=0,10000,TA_ti!AF17*TA_ti!AF$48*TA_ti!$BE17)</f>
        <v>10000</v>
      </c>
      <c r="AG17" s="4">
        <f>+IF(TA_ti!AG17*TA_ti!AG$48*TA_ti!$BE17=0,10000,TA_ti!AG17*TA_ti!AG$48*TA_ti!$BE17)</f>
        <v>10000</v>
      </c>
      <c r="AH17" s="4">
        <f>+IF(TA_ti!AH17*TA_ti!AH$48*TA_ti!$BE17=0,10000,TA_ti!AH17*TA_ti!AH$48*TA_ti!$BE17)</f>
        <v>10000</v>
      </c>
      <c r="AI17" s="4">
        <f>+IF(TA_ti!AI17*TA_ti!AI$48*TA_ti!$BE17=0,10000,TA_ti!AI17*TA_ti!AI$48*TA_ti!$BE17)</f>
        <v>10000</v>
      </c>
      <c r="AJ17" s="4">
        <f>+IF(TA_ti!AJ17*TA_ti!AJ$48*TA_ti!$BE17=0,10000,TA_ti!AJ17*TA_ti!AJ$48*TA_ti!$BE17)</f>
        <v>10000</v>
      </c>
      <c r="AK17" s="4">
        <f>+IF(TA_ti!AK17*TA_ti!AK$48*TA_ti!$BE17=0,10000,TA_ti!AK17*TA_ti!AK$48*TA_ti!$BE17)</f>
        <v>10000</v>
      </c>
      <c r="AL17" s="4">
        <f>+IF(TA_ti!AL17*TA_ti!AL$48*TA_ti!$BE17=0,10000,TA_ti!AL17*TA_ti!AL$48*TA_ti!$BE17)</f>
        <v>10000</v>
      </c>
      <c r="AM17" s="4">
        <f>+IF(TA_ti!AM17*TA_ti!AM$48*TA_ti!$BE17=0,10000,TA_ti!AM17*TA_ti!AM$48*TA_ti!$BE17)</f>
        <v>10000</v>
      </c>
      <c r="AN17" s="4">
        <f>+IF(TA_ti!AN17*TA_ti!AN$48*TA_ti!$BE17=0,10000,TA_ti!AN17*TA_ti!AN$48*TA_ti!$BE17)</f>
        <v>10000</v>
      </c>
      <c r="AO17" s="4">
        <f>+IF(TA_ti!AO17*TA_ti!AO$48*TA_ti!$BE17=0,10000,TA_ti!AO17*TA_ti!AO$48*TA_ti!$BE17)</f>
        <v>10000</v>
      </c>
      <c r="AP17" s="4">
        <f>+IF(TA_ti!AP17*TA_ti!AP$48*TA_ti!$BE17=0,10000,TA_ti!AP17*TA_ti!AP$48*TA_ti!$BE17)</f>
        <v>10000</v>
      </c>
      <c r="AQ17" s="4">
        <f>+IF(TA_ti!AQ17*TA_ti!AQ$48*TA_ti!$BE17=0,10000,TA_ti!AQ17*TA_ti!AQ$48*TA_ti!$BE17)</f>
        <v>10000</v>
      </c>
      <c r="AR17" s="4">
        <f>+IF(TA_ti!AR17*TA_ti!AR$48*TA_ti!$BE17=0,10000,TA_ti!AR17*TA_ti!AR$48*TA_ti!$BE17)</f>
        <v>10000</v>
      </c>
      <c r="AS17" s="4">
        <f>+IF(TA_ti!AS17*TA_ti!AS$48*TA_ti!$BE17=0,10000,TA_ti!AS17*TA_ti!AS$48*TA_ti!$BE17)</f>
        <v>10000</v>
      </c>
      <c r="AT17" s="4">
        <f>+IF(TA_ti!AT17*TA_ti!AT$48*TA_ti!$BE17=0,10000,TA_ti!AT17*TA_ti!AT$48*TA_ti!$BE17)</f>
        <v>10000</v>
      </c>
      <c r="AU17" s="4">
        <f>+IF(TA_ti!AU17*TA_ti!AU$48*TA_ti!$BE17=0,10000,TA_ti!AU17*TA_ti!AU$48*TA_ti!$BE17)</f>
        <v>10000</v>
      </c>
      <c r="AV17" s="4">
        <f>+IF(TA_ti!AV17*TA_ti!AV$48*TA_ti!$BE17=0,10000,TA_ti!AV17*TA_ti!AV$48*TA_ti!$BE17)</f>
        <v>10000</v>
      </c>
      <c r="AW17" s="4">
        <f>+IF(TA_ti!AW17*TA_ti!AW$48*TA_ti!$BE17=0,10000,TA_ti!AW17*TA_ti!AW$48*TA_ti!$BE17)</f>
        <v>10000</v>
      </c>
      <c r="AX17" s="4">
        <f>+IF(TA_ti!AX17*TA_ti!AX$48*TA_ti!$BE17=0,10000,TA_ti!AX17*TA_ti!AX$48*TA_ti!$BE17)</f>
        <v>10000</v>
      </c>
      <c r="AY17" s="4">
        <f>+IF(TA_ti!AY17*TA_ti!AY$48*TA_ti!$BE17=0,10000,TA_ti!AY17*TA_ti!AY$48*TA_ti!$BE17)</f>
        <v>10000</v>
      </c>
      <c r="AZ17" s="4">
        <f>+IF(TA_ti!AZ17*TA_ti!AZ$48*TA_ti!$BE17=0,10000,TA_ti!AZ17*TA_ti!AZ$48*TA_ti!$BE17)</f>
        <v>10000</v>
      </c>
      <c r="BA17" s="4">
        <f>+IF(TA_ti!BA17*TA_ti!BA$48*TA_ti!$BE17=0,10000,TA_ti!BA17*TA_ti!BA$48*TA_ti!$BE17)</f>
        <v>10000</v>
      </c>
      <c r="BB17" s="4">
        <f>+IF(TA_ti!BB17*TA_ti!BB$48*TA_ti!$BE17=0,10000,TA_ti!BB17*TA_ti!BB$48*TA_ti!$BE17)</f>
        <v>10000</v>
      </c>
      <c r="BC17" s="4">
        <f>+IF(TA_ti!BC17*TA_ti!BC$48*TA_ti!$BE17=0,10000,TA_ti!BC17*TA_ti!BC$48*TA_ti!$BE17)</f>
        <v>10000</v>
      </c>
    </row>
    <row r="18" spans="1:55" ht="18.75" customHeight="1" x14ac:dyDescent="0.25">
      <c r="A18" s="5" t="s">
        <v>69</v>
      </c>
      <c r="B18" s="4">
        <f>+IF(TA_ti!B18*TA_ti!B$48*TA_ti!$BE18=0,10000,TA_ti!B18*TA_ti!B$48*TA_ti!$BE18)</f>
        <v>10000</v>
      </c>
      <c r="C18" s="4">
        <f>+IF(TA_ti!C18*TA_ti!C$48*TA_ti!$BE18=0,10000,TA_ti!C18*TA_ti!C$48*TA_ti!$BE18)</f>
        <v>10000</v>
      </c>
      <c r="D18" s="4">
        <f>+IF(TA_ti!D18*TA_ti!D$48*TA_ti!$BE18=0,10000,TA_ti!D18*TA_ti!D$48*TA_ti!$BE18)</f>
        <v>10000</v>
      </c>
      <c r="E18" s="4">
        <f>+IF(TA_ti!E18*TA_ti!E$48*TA_ti!$BE18=0,10000,TA_ti!E18*TA_ti!E$48*TA_ti!$BE18)</f>
        <v>10000</v>
      </c>
      <c r="F18" s="4">
        <f>+IF(TA_ti!F18*TA_ti!F$48*TA_ti!$BE18=0,10000,TA_ti!F18*TA_ti!F$48*TA_ti!$BE18)</f>
        <v>10000</v>
      </c>
      <c r="G18" s="4">
        <f>+IF(TA_ti!G18*TA_ti!G$48*TA_ti!$BE18=0,10000,TA_ti!G18*TA_ti!G$48*TA_ti!$BE18)</f>
        <v>10000</v>
      </c>
      <c r="H18" s="4">
        <f>+IF(TA_ti!H18*TA_ti!H$48*TA_ti!$BE18=0,10000,TA_ti!H18*TA_ti!H$48*TA_ti!$BE18)</f>
        <v>10000</v>
      </c>
      <c r="I18" s="4">
        <f>+IF(TA_ti!I18*TA_ti!I$48*TA_ti!$BE18=0,10000,TA_ti!I18*TA_ti!I$48*TA_ti!$BE18)</f>
        <v>10000</v>
      </c>
      <c r="J18" s="4">
        <f>+IF(TA_ti!J18*TA_ti!J$48*TA_ti!$BE18=0,10000,TA_ti!J18*TA_ti!J$48*TA_ti!$BE18)</f>
        <v>10000</v>
      </c>
      <c r="K18" s="4">
        <f>+IF(TA_ti!K18*TA_ti!K$48*TA_ti!$BE18=0,10000,TA_ti!K18*TA_ti!K$48*TA_ti!$BE18)</f>
        <v>10000</v>
      </c>
      <c r="L18" s="4">
        <f>+IF(TA_ti!L18*TA_ti!L$48*TA_ti!$BE18=0,10000,TA_ti!L18*TA_ti!L$48*TA_ti!$BE18)</f>
        <v>10000</v>
      </c>
      <c r="M18" s="4">
        <f>+IF(TA_ti!M18*TA_ti!M$48*TA_ti!$BE18=0,10000,TA_ti!M18*TA_ti!M$48*TA_ti!$BE18)</f>
        <v>10000</v>
      </c>
      <c r="N18" s="4">
        <f>+IF(TA_ti!N18*TA_ti!N$48*TA_ti!$BE18=0,10000,TA_ti!N18*TA_ti!N$48*TA_ti!$BE18)</f>
        <v>10000</v>
      </c>
      <c r="O18" s="4">
        <f>+IF(TA_ti!O18*TA_ti!O$48*TA_ti!$BE18=0,10000,TA_ti!O18*TA_ti!O$48*TA_ti!$BE18)</f>
        <v>10000</v>
      </c>
      <c r="P18" s="4">
        <f>+IF(TA_ti!P18*TA_ti!P$48*TA_ti!$BE18=0,10000,TA_ti!P18*TA_ti!P$48*TA_ti!$BE18)</f>
        <v>10000</v>
      </c>
      <c r="Q18" s="4">
        <f>+IF(TA_ti!Q18*TA_ti!Q$48*TA_ti!$BE18=0,10000,TA_ti!Q18*TA_ti!Q$48*TA_ti!$BE18)</f>
        <v>10000</v>
      </c>
      <c r="R18" s="4">
        <f>+IF(TA_ti!R18*TA_ti!R$48*TA_ti!$BE18=0,10000,TA_ti!R18*TA_ti!R$48*TA_ti!$BE18)</f>
        <v>10000</v>
      </c>
      <c r="S18" s="4">
        <f>+IF(TA_ti!S18*TA_ti!S$48*TA_ti!$BE18=0,10000,TA_ti!S18*TA_ti!S$48*TA_ti!$BE18)</f>
        <v>10000</v>
      </c>
      <c r="T18" s="4">
        <f>+IF(TA_ti!T18*TA_ti!T$48*TA_ti!$BE18=0,10000,TA_ti!T18*TA_ti!T$48*TA_ti!$BE18)</f>
        <v>10000</v>
      </c>
      <c r="U18" s="4">
        <f>+IF(TA_ti!U18*TA_ti!U$48*TA_ti!$BE18=0,10000,TA_ti!U18*TA_ti!U$48*TA_ti!$BE18)</f>
        <v>10000</v>
      </c>
      <c r="V18" s="4">
        <f>+IF(TA_ti!V18*TA_ti!V$48*TA_ti!$BE18=0,10000,TA_ti!V18*TA_ti!V$48*TA_ti!$BE18)</f>
        <v>10000</v>
      </c>
      <c r="W18" s="4">
        <f>+IF(TA_ti!W18*TA_ti!W$48*TA_ti!$BE18=0,10000,TA_ti!W18*TA_ti!W$48*TA_ti!$BE18)</f>
        <v>10000</v>
      </c>
      <c r="X18" s="4">
        <f>+IF(TA_ti!X18*TA_ti!X$48*TA_ti!$BE18=0,10000,TA_ti!X18*TA_ti!X$48*TA_ti!$BE18)</f>
        <v>10000</v>
      </c>
      <c r="Y18" s="4">
        <f>+IF(TA_ti!Y18*TA_ti!Y$48*TA_ti!$BE18=0,10000,TA_ti!Y18*TA_ti!Y$48*TA_ti!$BE18)</f>
        <v>10000</v>
      </c>
      <c r="Z18" s="4">
        <f>+IF(TA_ti!Z18*TA_ti!Z$48*TA_ti!$BE18=0,10000,TA_ti!Z18*TA_ti!Z$48*TA_ti!$BE18)</f>
        <v>10000</v>
      </c>
      <c r="AA18" s="4">
        <f>+IF(TA_ti!AA18*TA_ti!AA$48*TA_ti!$BE18=0,10000,TA_ti!AA18*TA_ti!AA$48*TA_ti!$BE18)</f>
        <v>10000</v>
      </c>
      <c r="AB18" s="4">
        <f>+IF(TA_ti!AB18*TA_ti!AB$48*TA_ti!$BE18=0,10000,TA_ti!AB18*TA_ti!AB$48*TA_ti!$BE18)</f>
        <v>10000</v>
      </c>
      <c r="AC18" s="4">
        <f>+IF(TA_ti!AC18*TA_ti!AC$48*TA_ti!$BE18=0,10000,TA_ti!AC18*TA_ti!AC$48*TA_ti!$BE18)</f>
        <v>10000</v>
      </c>
      <c r="AD18" s="4">
        <f>+IF(TA_ti!AD18*TA_ti!AD$48*TA_ti!$BE18=0,10000,TA_ti!AD18*TA_ti!AD$48*TA_ti!$BE18)</f>
        <v>10000</v>
      </c>
      <c r="AE18" s="4">
        <f>+IF(TA_ti!AE18*TA_ti!AE$48*TA_ti!$BE18=0,10000,TA_ti!AE18*TA_ti!AE$48*TA_ti!$BE18)</f>
        <v>10000</v>
      </c>
      <c r="AF18" s="4">
        <f>+IF(TA_ti!AF18*TA_ti!AF$48*TA_ti!$BE18=0,10000,TA_ti!AF18*TA_ti!AF$48*TA_ti!$BE18)</f>
        <v>10000</v>
      </c>
      <c r="AG18" s="4">
        <f>+IF(TA_ti!AG18*TA_ti!AG$48*TA_ti!$BE18=0,10000,TA_ti!AG18*TA_ti!AG$48*TA_ti!$BE18)</f>
        <v>10000</v>
      </c>
      <c r="AH18" s="4">
        <f>+IF(TA_ti!AH18*TA_ti!AH$48*TA_ti!$BE18=0,10000,TA_ti!AH18*TA_ti!AH$48*TA_ti!$BE18)</f>
        <v>10000</v>
      </c>
      <c r="AI18" s="4">
        <f>+IF(TA_ti!AI18*TA_ti!AI$48*TA_ti!$BE18=0,10000,TA_ti!AI18*TA_ti!AI$48*TA_ti!$BE18)</f>
        <v>10000</v>
      </c>
      <c r="AJ18" s="4">
        <f>+IF(TA_ti!AJ18*TA_ti!AJ$48*TA_ti!$BE18=0,10000,TA_ti!AJ18*TA_ti!AJ$48*TA_ti!$BE18)</f>
        <v>10000</v>
      </c>
      <c r="AK18" s="4">
        <f>+IF(TA_ti!AK18*TA_ti!AK$48*TA_ti!$BE18=0,10000,TA_ti!AK18*TA_ti!AK$48*TA_ti!$BE18)</f>
        <v>10000</v>
      </c>
      <c r="AL18" s="4">
        <f>+IF(TA_ti!AL18*TA_ti!AL$48*TA_ti!$BE18=0,10000,TA_ti!AL18*TA_ti!AL$48*TA_ti!$BE18)</f>
        <v>10000</v>
      </c>
      <c r="AM18" s="4">
        <f>+IF(TA_ti!AM18*TA_ti!AM$48*TA_ti!$BE18=0,10000,TA_ti!AM18*TA_ti!AM$48*TA_ti!$BE18)</f>
        <v>10000</v>
      </c>
      <c r="AN18" s="4">
        <f>+IF(TA_ti!AN18*TA_ti!AN$48*TA_ti!$BE18=0,10000,TA_ti!AN18*TA_ti!AN$48*TA_ti!$BE18)</f>
        <v>10000</v>
      </c>
      <c r="AO18" s="4">
        <f>+IF(TA_ti!AO18*TA_ti!AO$48*TA_ti!$BE18=0,10000,TA_ti!AO18*TA_ti!AO$48*TA_ti!$BE18)</f>
        <v>10000</v>
      </c>
      <c r="AP18" s="4">
        <f>+IF(TA_ti!AP18*TA_ti!AP$48*TA_ti!$BE18=0,10000,TA_ti!AP18*TA_ti!AP$48*TA_ti!$BE18)</f>
        <v>10000</v>
      </c>
      <c r="AQ18" s="4">
        <f>+IF(TA_ti!AQ18*TA_ti!AQ$48*TA_ti!$BE18=0,10000,TA_ti!AQ18*TA_ti!AQ$48*TA_ti!$BE18)</f>
        <v>10000</v>
      </c>
      <c r="AR18" s="4">
        <f>+IF(TA_ti!AR18*TA_ti!AR$48*TA_ti!$BE18=0,10000,TA_ti!AR18*TA_ti!AR$48*TA_ti!$BE18)</f>
        <v>10000</v>
      </c>
      <c r="AS18" s="4">
        <f>+IF(TA_ti!AS18*TA_ti!AS$48*TA_ti!$BE18=0,10000,TA_ti!AS18*TA_ti!AS$48*TA_ti!$BE18)</f>
        <v>10000</v>
      </c>
      <c r="AT18" s="4">
        <f>+IF(TA_ti!AT18*TA_ti!AT$48*TA_ti!$BE18=0,10000,TA_ti!AT18*TA_ti!AT$48*TA_ti!$BE18)</f>
        <v>10000</v>
      </c>
      <c r="AU18" s="4">
        <f>+IF(TA_ti!AU18*TA_ti!AU$48*TA_ti!$BE18=0,10000,TA_ti!AU18*TA_ti!AU$48*TA_ti!$BE18)</f>
        <v>10000</v>
      </c>
      <c r="AV18" s="4">
        <f>+IF(TA_ti!AV18*TA_ti!AV$48*TA_ti!$BE18=0,10000,TA_ti!AV18*TA_ti!AV$48*TA_ti!$BE18)</f>
        <v>10000</v>
      </c>
      <c r="AW18" s="4">
        <f>+IF(TA_ti!AW18*TA_ti!AW$48*TA_ti!$BE18=0,10000,TA_ti!AW18*TA_ti!AW$48*TA_ti!$BE18)</f>
        <v>10000</v>
      </c>
      <c r="AX18" s="4">
        <f>+IF(TA_ti!AX18*TA_ti!AX$48*TA_ti!$BE18=0,10000,TA_ti!AX18*TA_ti!AX$48*TA_ti!$BE18)</f>
        <v>10000</v>
      </c>
      <c r="AY18" s="4">
        <f>+IF(TA_ti!AY18*TA_ti!AY$48*TA_ti!$BE18=0,10000,TA_ti!AY18*TA_ti!AY$48*TA_ti!$BE18)</f>
        <v>10000</v>
      </c>
      <c r="AZ18" s="4">
        <f>+IF(TA_ti!AZ18*TA_ti!AZ$48*TA_ti!$BE18=0,10000,TA_ti!AZ18*TA_ti!AZ$48*TA_ti!$BE18)</f>
        <v>10000</v>
      </c>
      <c r="BA18" s="4">
        <f>+IF(TA_ti!BA18*TA_ti!BA$48*TA_ti!$BE18=0,10000,TA_ti!BA18*TA_ti!BA$48*TA_ti!$BE18)</f>
        <v>10000</v>
      </c>
      <c r="BB18" s="4">
        <f>+IF(TA_ti!BB18*TA_ti!BB$48*TA_ti!$BE18=0,10000,TA_ti!BB18*TA_ti!BB$48*TA_ti!$BE18)</f>
        <v>10000</v>
      </c>
      <c r="BC18" s="4">
        <f>+IF(TA_ti!BC18*TA_ti!BC$48*TA_ti!$BE18=0,10000,TA_ti!BC18*TA_ti!BC$48*TA_ti!$BE18)</f>
        <v>10000</v>
      </c>
    </row>
    <row r="19" spans="1:55" ht="18.75" customHeight="1" x14ac:dyDescent="0.25">
      <c r="A19" s="5" t="s">
        <v>70</v>
      </c>
      <c r="B19" s="4">
        <f>+IF(TA_ti!B19*TA_ti!B$48*TA_ti!$BE19=0,10000,TA_ti!B19*TA_ti!B$48*TA_ti!$BE19)</f>
        <v>10000</v>
      </c>
      <c r="C19" s="4">
        <f>+IF(TA_ti!C19*TA_ti!C$48*TA_ti!$BE19=0,10000,TA_ti!C19*TA_ti!C$48*TA_ti!$BE19)</f>
        <v>10000</v>
      </c>
      <c r="D19" s="4">
        <f>+IF(TA_ti!D19*TA_ti!D$48*TA_ti!$BE19=0,10000,TA_ti!D19*TA_ti!D$48*TA_ti!$BE19)</f>
        <v>10000</v>
      </c>
      <c r="E19" s="4">
        <f>+IF(TA_ti!E19*TA_ti!E$48*TA_ti!$BE19=0,10000,TA_ti!E19*TA_ti!E$48*TA_ti!$BE19)</f>
        <v>10000</v>
      </c>
      <c r="F19" s="4">
        <f>+IF(TA_ti!F19*TA_ti!F$48*TA_ti!$BE19=0,10000,TA_ti!F19*TA_ti!F$48*TA_ti!$BE19)</f>
        <v>10000</v>
      </c>
      <c r="G19" s="4">
        <f>+IF(TA_ti!G19*TA_ti!G$48*TA_ti!$BE19=0,10000,TA_ti!G19*TA_ti!G$48*TA_ti!$BE19)</f>
        <v>10000</v>
      </c>
      <c r="H19" s="4">
        <f>+IF(TA_ti!H19*TA_ti!H$48*TA_ti!$BE19=0,10000,TA_ti!H19*TA_ti!H$48*TA_ti!$BE19)</f>
        <v>10000</v>
      </c>
      <c r="I19" s="4">
        <f>+IF(TA_ti!I19*TA_ti!I$48*TA_ti!$BE19=0,10000,TA_ti!I19*TA_ti!I$48*TA_ti!$BE19)</f>
        <v>10000</v>
      </c>
      <c r="J19" s="4">
        <f>+IF(TA_ti!J19*TA_ti!J$48*TA_ti!$BE19=0,10000,TA_ti!J19*TA_ti!J$48*TA_ti!$BE19)</f>
        <v>10000</v>
      </c>
      <c r="K19" s="4">
        <f>+IF(TA_ti!K19*TA_ti!K$48*TA_ti!$BE19=0,10000,TA_ti!K19*TA_ti!K$48*TA_ti!$BE19)</f>
        <v>10000</v>
      </c>
      <c r="L19" s="4">
        <f>+IF(TA_ti!L19*TA_ti!L$48*TA_ti!$BE19=0,10000,TA_ti!L19*TA_ti!L$48*TA_ti!$BE19)</f>
        <v>10000</v>
      </c>
      <c r="M19" s="4">
        <f>+IF(TA_ti!M19*TA_ti!M$48*TA_ti!$BE19=0,10000,TA_ti!M19*TA_ti!M$48*TA_ti!$BE19)</f>
        <v>10000</v>
      </c>
      <c r="N19" s="4">
        <f>+IF(TA_ti!N19*TA_ti!N$48*TA_ti!$BE19=0,10000,TA_ti!N19*TA_ti!N$48*TA_ti!$BE19)</f>
        <v>10000</v>
      </c>
      <c r="O19" s="4">
        <f>+IF(TA_ti!O19*TA_ti!O$48*TA_ti!$BE19=0,10000,TA_ti!O19*TA_ti!O$48*TA_ti!$BE19)</f>
        <v>10000</v>
      </c>
      <c r="P19" s="4">
        <f>+IF(TA_ti!P19*TA_ti!P$48*TA_ti!$BE19=0,10000,TA_ti!P19*TA_ti!P$48*TA_ti!$BE19)</f>
        <v>10000</v>
      </c>
      <c r="Q19" s="4">
        <f>+IF(TA_ti!Q19*TA_ti!Q$48*TA_ti!$BE19=0,10000,TA_ti!Q19*TA_ti!Q$48*TA_ti!$BE19)</f>
        <v>10000</v>
      </c>
      <c r="R19" s="4">
        <f>+IF(TA_ti!R19*TA_ti!R$48*TA_ti!$BE19=0,10000,TA_ti!R19*TA_ti!R$48*TA_ti!$BE19)</f>
        <v>10000</v>
      </c>
      <c r="S19" s="4">
        <f>+IF(TA_ti!S19*TA_ti!S$48*TA_ti!$BE19=0,10000,TA_ti!S19*TA_ti!S$48*TA_ti!$BE19)</f>
        <v>10000</v>
      </c>
      <c r="T19" s="4">
        <f>+IF(TA_ti!T19*TA_ti!T$48*TA_ti!$BE19=0,10000,TA_ti!T19*TA_ti!T$48*TA_ti!$BE19)</f>
        <v>10000</v>
      </c>
      <c r="U19" s="4">
        <f>+IF(TA_ti!U19*TA_ti!U$48*TA_ti!$BE19=0,10000,TA_ti!U19*TA_ti!U$48*TA_ti!$BE19)</f>
        <v>10000</v>
      </c>
      <c r="V19" s="4">
        <f>+IF(TA_ti!V19*TA_ti!V$48*TA_ti!$BE19=0,10000,TA_ti!V19*TA_ti!V$48*TA_ti!$BE19)</f>
        <v>10000</v>
      </c>
      <c r="W19" s="4">
        <f>+IF(TA_ti!W19*TA_ti!W$48*TA_ti!$BE19=0,10000,TA_ti!W19*TA_ti!W$48*TA_ti!$BE19)</f>
        <v>10000</v>
      </c>
      <c r="X19" s="4">
        <f>+IF(TA_ti!X19*TA_ti!X$48*TA_ti!$BE19=0,10000,TA_ti!X19*TA_ti!X$48*TA_ti!$BE19)</f>
        <v>10000</v>
      </c>
      <c r="Y19" s="4">
        <f>+IF(TA_ti!Y19*TA_ti!Y$48*TA_ti!$BE19=0,10000,TA_ti!Y19*TA_ti!Y$48*TA_ti!$BE19)</f>
        <v>10000</v>
      </c>
      <c r="Z19" s="4">
        <f>+IF(TA_ti!Z19*TA_ti!Z$48*TA_ti!$BE19=0,10000,TA_ti!Z19*TA_ti!Z$48*TA_ti!$BE19)</f>
        <v>10000</v>
      </c>
      <c r="AA19" s="4">
        <f>+IF(TA_ti!AA19*TA_ti!AA$48*TA_ti!$BE19=0,10000,TA_ti!AA19*TA_ti!AA$48*TA_ti!$BE19)</f>
        <v>10000</v>
      </c>
      <c r="AB19" s="4">
        <f>+IF(TA_ti!AB19*TA_ti!AB$48*TA_ti!$BE19=0,10000,TA_ti!AB19*TA_ti!AB$48*TA_ti!$BE19)</f>
        <v>10000</v>
      </c>
      <c r="AC19" s="4">
        <f>+IF(TA_ti!AC19*TA_ti!AC$48*TA_ti!$BE19=0,10000,TA_ti!AC19*TA_ti!AC$48*TA_ti!$BE19)</f>
        <v>10000</v>
      </c>
      <c r="AD19" s="4">
        <f>+IF(TA_ti!AD19*TA_ti!AD$48*TA_ti!$BE19=0,10000,TA_ti!AD19*TA_ti!AD$48*TA_ti!$BE19)</f>
        <v>10000</v>
      </c>
      <c r="AE19" s="4">
        <f>+IF(TA_ti!AE19*TA_ti!AE$48*TA_ti!$BE19=0,10000,TA_ti!AE19*TA_ti!AE$48*TA_ti!$BE19)</f>
        <v>10000</v>
      </c>
      <c r="AF19" s="4">
        <f>+IF(TA_ti!AF19*TA_ti!AF$48*TA_ti!$BE19=0,10000,TA_ti!AF19*TA_ti!AF$48*TA_ti!$BE19)</f>
        <v>10000</v>
      </c>
      <c r="AG19" s="4">
        <f>+IF(TA_ti!AG19*TA_ti!AG$48*TA_ti!$BE19=0,10000,TA_ti!AG19*TA_ti!AG$48*TA_ti!$BE19)</f>
        <v>10000</v>
      </c>
      <c r="AH19" s="4">
        <f>+IF(TA_ti!AH19*TA_ti!AH$48*TA_ti!$BE19=0,10000,TA_ti!AH19*TA_ti!AH$48*TA_ti!$BE19)</f>
        <v>10000</v>
      </c>
      <c r="AI19" s="4">
        <f>+IF(TA_ti!AI19*TA_ti!AI$48*TA_ti!$BE19=0,10000,TA_ti!AI19*TA_ti!AI$48*TA_ti!$BE19)</f>
        <v>10000</v>
      </c>
      <c r="AJ19" s="4">
        <f>+IF(TA_ti!AJ19*TA_ti!AJ$48*TA_ti!$BE19=0,10000,TA_ti!AJ19*TA_ti!AJ$48*TA_ti!$BE19)</f>
        <v>10000</v>
      </c>
      <c r="AK19" s="4">
        <f>+IF(TA_ti!AK19*TA_ti!AK$48*TA_ti!$BE19=0,10000,TA_ti!AK19*TA_ti!AK$48*TA_ti!$BE19)</f>
        <v>10000</v>
      </c>
      <c r="AL19" s="4">
        <f>+IF(TA_ti!AL19*TA_ti!AL$48*TA_ti!$BE19=0,10000,TA_ti!AL19*TA_ti!AL$48*TA_ti!$BE19)</f>
        <v>10000</v>
      </c>
      <c r="AM19" s="4">
        <f>+IF(TA_ti!AM19*TA_ti!AM$48*TA_ti!$BE19=0,10000,TA_ti!AM19*TA_ti!AM$48*TA_ti!$BE19)</f>
        <v>10000</v>
      </c>
      <c r="AN19" s="4">
        <f>+IF(TA_ti!AN19*TA_ti!AN$48*TA_ti!$BE19=0,10000,TA_ti!AN19*TA_ti!AN$48*TA_ti!$BE19)</f>
        <v>10000</v>
      </c>
      <c r="AO19" s="4">
        <f>+IF(TA_ti!AO19*TA_ti!AO$48*TA_ti!$BE19=0,10000,TA_ti!AO19*TA_ti!AO$48*TA_ti!$BE19)</f>
        <v>10000</v>
      </c>
      <c r="AP19" s="4">
        <f>+IF(TA_ti!AP19*TA_ti!AP$48*TA_ti!$BE19=0,10000,TA_ti!AP19*TA_ti!AP$48*TA_ti!$BE19)</f>
        <v>10000</v>
      </c>
      <c r="AQ19" s="4">
        <f>+IF(TA_ti!AQ19*TA_ti!AQ$48*TA_ti!$BE19=0,10000,TA_ti!AQ19*TA_ti!AQ$48*TA_ti!$BE19)</f>
        <v>10000</v>
      </c>
      <c r="AR19" s="4">
        <f>+IF(TA_ti!AR19*TA_ti!AR$48*TA_ti!$BE19=0,10000,TA_ti!AR19*TA_ti!AR$48*TA_ti!$BE19)</f>
        <v>10000</v>
      </c>
      <c r="AS19" s="4">
        <f>+IF(TA_ti!AS19*TA_ti!AS$48*TA_ti!$BE19=0,10000,TA_ti!AS19*TA_ti!AS$48*TA_ti!$BE19)</f>
        <v>10000</v>
      </c>
      <c r="AT19" s="4">
        <f>+IF(TA_ti!AT19*TA_ti!AT$48*TA_ti!$BE19=0,10000,TA_ti!AT19*TA_ti!AT$48*TA_ti!$BE19)</f>
        <v>10000</v>
      </c>
      <c r="AU19" s="4">
        <f>+IF(TA_ti!AU19*TA_ti!AU$48*TA_ti!$BE19=0,10000,TA_ti!AU19*TA_ti!AU$48*TA_ti!$BE19)</f>
        <v>10000</v>
      </c>
      <c r="AV19" s="4">
        <f>+IF(TA_ti!AV19*TA_ti!AV$48*TA_ti!$BE19=0,10000,TA_ti!AV19*TA_ti!AV$48*TA_ti!$BE19)</f>
        <v>10000</v>
      </c>
      <c r="AW19" s="4">
        <f>+IF(TA_ti!AW19*TA_ti!AW$48*TA_ti!$BE19=0,10000,TA_ti!AW19*TA_ti!AW$48*TA_ti!$BE19)</f>
        <v>10000</v>
      </c>
      <c r="AX19" s="4">
        <f>+IF(TA_ti!AX19*TA_ti!AX$48*TA_ti!$BE19=0,10000,TA_ti!AX19*TA_ti!AX$48*TA_ti!$BE19)</f>
        <v>10000</v>
      </c>
      <c r="AY19" s="4">
        <f>+IF(TA_ti!AY19*TA_ti!AY$48*TA_ti!$BE19=0,10000,TA_ti!AY19*TA_ti!AY$48*TA_ti!$BE19)</f>
        <v>10000</v>
      </c>
      <c r="AZ19" s="4">
        <f>+IF(TA_ti!AZ19*TA_ti!AZ$48*TA_ti!$BE19=0,10000,TA_ti!AZ19*TA_ti!AZ$48*TA_ti!$BE19)</f>
        <v>10000</v>
      </c>
      <c r="BA19" s="4">
        <f>+IF(TA_ti!BA19*TA_ti!BA$48*TA_ti!$BE19=0,10000,TA_ti!BA19*TA_ti!BA$48*TA_ti!$BE19)</f>
        <v>10000</v>
      </c>
      <c r="BB19" s="4">
        <f>+IF(TA_ti!BB19*TA_ti!BB$48*TA_ti!$BE19=0,10000,TA_ti!BB19*TA_ti!BB$48*TA_ti!$BE19)</f>
        <v>10000</v>
      </c>
      <c r="BC19" s="4">
        <f>+IF(TA_ti!BC19*TA_ti!BC$48*TA_ti!$BE19=0,10000,TA_ti!BC19*TA_ti!BC$48*TA_ti!$BE19)</f>
        <v>10000</v>
      </c>
    </row>
    <row r="20" spans="1:55" ht="18.75" customHeight="1" x14ac:dyDescent="0.25">
      <c r="A20" s="5" t="s">
        <v>71</v>
      </c>
      <c r="B20" s="4">
        <f>+IF(TA_ti!B20*TA_ti!B$48*TA_ti!$BE20=0,10000,TA_ti!B20*TA_ti!B$48*TA_ti!$BE20)</f>
        <v>10000</v>
      </c>
      <c r="C20" s="4">
        <f>+IF(TA_ti!C20*TA_ti!C$48*TA_ti!$BE20=0,10000,TA_ti!C20*TA_ti!C$48*TA_ti!$BE20)</f>
        <v>10000</v>
      </c>
      <c r="D20" s="4">
        <f>+IF(TA_ti!D20*TA_ti!D$48*TA_ti!$BE20=0,10000,TA_ti!D20*TA_ti!D$48*TA_ti!$BE20)</f>
        <v>10000</v>
      </c>
      <c r="E20" s="4">
        <f>+IF(TA_ti!E20*TA_ti!E$48*TA_ti!$BE20=0,10000,TA_ti!E20*TA_ti!E$48*TA_ti!$BE20)</f>
        <v>10000</v>
      </c>
      <c r="F20" s="4">
        <f>+IF(TA_ti!F20*TA_ti!F$48*TA_ti!$BE20=0,10000,TA_ti!F20*TA_ti!F$48*TA_ti!$BE20)</f>
        <v>10000</v>
      </c>
      <c r="G20" s="4">
        <f>+IF(TA_ti!G20*TA_ti!G$48*TA_ti!$BE20=0,10000,TA_ti!G20*TA_ti!G$48*TA_ti!$BE20)</f>
        <v>10000</v>
      </c>
      <c r="H20" s="4">
        <f>+IF(TA_ti!H20*TA_ti!H$48*TA_ti!$BE20=0,10000,TA_ti!H20*TA_ti!H$48*TA_ti!$BE20)</f>
        <v>10000</v>
      </c>
      <c r="I20" s="4">
        <f>+IF(TA_ti!I20*TA_ti!I$48*TA_ti!$BE20=0,10000,TA_ti!I20*TA_ti!I$48*TA_ti!$BE20)</f>
        <v>10000</v>
      </c>
      <c r="J20" s="4">
        <f>+IF(TA_ti!J20*TA_ti!J$48*TA_ti!$BE20=0,10000,TA_ti!J20*TA_ti!J$48*TA_ti!$BE20)</f>
        <v>10000</v>
      </c>
      <c r="K20" s="4">
        <f>+IF(TA_ti!K20*TA_ti!K$48*TA_ti!$BE20=0,10000,TA_ti!K20*TA_ti!K$48*TA_ti!$BE20)</f>
        <v>10000</v>
      </c>
      <c r="L20" s="4">
        <f>+IF(TA_ti!L20*TA_ti!L$48*TA_ti!$BE20=0,10000,TA_ti!L20*TA_ti!L$48*TA_ti!$BE20)</f>
        <v>10000</v>
      </c>
      <c r="M20" s="4">
        <f>+IF(TA_ti!M20*TA_ti!M$48*TA_ti!$BE20=0,10000,TA_ti!M20*TA_ti!M$48*TA_ti!$BE20)</f>
        <v>10000</v>
      </c>
      <c r="N20" s="4">
        <f>+IF(TA_ti!N20*TA_ti!N$48*TA_ti!$BE20=0,10000,TA_ti!N20*TA_ti!N$48*TA_ti!$BE20)</f>
        <v>10000</v>
      </c>
      <c r="O20" s="4">
        <f>+IF(TA_ti!O20*TA_ti!O$48*TA_ti!$BE20=0,10000,TA_ti!O20*TA_ti!O$48*TA_ti!$BE20)</f>
        <v>10000</v>
      </c>
      <c r="P20" s="4">
        <f>+IF(TA_ti!P20*TA_ti!P$48*TA_ti!$BE20=0,10000,TA_ti!P20*TA_ti!P$48*TA_ti!$BE20)</f>
        <v>10000</v>
      </c>
      <c r="Q20" s="4">
        <f>+IF(TA_ti!Q20*TA_ti!Q$48*TA_ti!$BE20=0,10000,TA_ti!Q20*TA_ti!Q$48*TA_ti!$BE20)</f>
        <v>10000</v>
      </c>
      <c r="R20" s="4">
        <f>+IF(TA_ti!R20*TA_ti!R$48*TA_ti!$BE20=0,10000,TA_ti!R20*TA_ti!R$48*TA_ti!$BE20)</f>
        <v>10000</v>
      </c>
      <c r="S20" s="4">
        <f>+IF(TA_ti!S20*TA_ti!S$48*TA_ti!$BE20=0,10000,TA_ti!S20*TA_ti!S$48*TA_ti!$BE20)</f>
        <v>10000</v>
      </c>
      <c r="T20" s="4">
        <f>+IF(TA_ti!T20*TA_ti!T$48*TA_ti!$BE20=0,10000,TA_ti!T20*TA_ti!T$48*TA_ti!$BE20)</f>
        <v>10000</v>
      </c>
      <c r="U20" s="4">
        <f>+IF(TA_ti!U20*TA_ti!U$48*TA_ti!$BE20=0,10000,TA_ti!U20*TA_ti!U$48*TA_ti!$BE20)</f>
        <v>10000</v>
      </c>
      <c r="V20" s="4">
        <f>+IF(TA_ti!V20*TA_ti!V$48*TA_ti!$BE20=0,10000,TA_ti!V20*TA_ti!V$48*TA_ti!$BE20)</f>
        <v>10000</v>
      </c>
      <c r="W20" s="4">
        <f>+IF(TA_ti!W20*TA_ti!W$48*TA_ti!$BE20=0,10000,TA_ti!W20*TA_ti!W$48*TA_ti!$BE20)</f>
        <v>10000</v>
      </c>
      <c r="X20" s="4">
        <f>+IF(TA_ti!X20*TA_ti!X$48*TA_ti!$BE20=0,10000,TA_ti!X20*TA_ti!X$48*TA_ti!$BE20)</f>
        <v>10000</v>
      </c>
      <c r="Y20" s="4">
        <f>+IF(TA_ti!Y20*TA_ti!Y$48*TA_ti!$BE20=0,10000,TA_ti!Y20*TA_ti!Y$48*TA_ti!$BE20)</f>
        <v>10000</v>
      </c>
      <c r="Z20" s="4">
        <f>+IF(TA_ti!Z20*TA_ti!Z$48*TA_ti!$BE20=0,10000,TA_ti!Z20*TA_ti!Z$48*TA_ti!$BE20)</f>
        <v>10000</v>
      </c>
      <c r="AA20" s="4">
        <f>+IF(TA_ti!AA20*TA_ti!AA$48*TA_ti!$BE20=0,10000,TA_ti!AA20*TA_ti!AA$48*TA_ti!$BE20)</f>
        <v>10000</v>
      </c>
      <c r="AB20" s="4">
        <f>+IF(TA_ti!AB20*TA_ti!AB$48*TA_ti!$BE20=0,10000,TA_ti!AB20*TA_ti!AB$48*TA_ti!$BE20)</f>
        <v>10000</v>
      </c>
      <c r="AC20" s="4">
        <f>+IF(TA_ti!AC20*TA_ti!AC$48*TA_ti!$BE20=0,10000,TA_ti!AC20*TA_ti!AC$48*TA_ti!$BE20)</f>
        <v>10000</v>
      </c>
      <c r="AD20" s="4">
        <f>+IF(TA_ti!AD20*TA_ti!AD$48*TA_ti!$BE20=0,10000,TA_ti!AD20*TA_ti!AD$48*TA_ti!$BE20)</f>
        <v>10000</v>
      </c>
      <c r="AE20" s="4">
        <f>+IF(TA_ti!AE20*TA_ti!AE$48*TA_ti!$BE20=0,10000,TA_ti!AE20*TA_ti!AE$48*TA_ti!$BE20)</f>
        <v>10000</v>
      </c>
      <c r="AF20" s="4">
        <f>+IF(TA_ti!AF20*TA_ti!AF$48*TA_ti!$BE20=0,10000,TA_ti!AF20*TA_ti!AF$48*TA_ti!$BE20)</f>
        <v>10000</v>
      </c>
      <c r="AG20" s="4">
        <f>+IF(TA_ti!AG20*TA_ti!AG$48*TA_ti!$BE20=0,10000,TA_ti!AG20*TA_ti!AG$48*TA_ti!$BE20)</f>
        <v>10000</v>
      </c>
      <c r="AH20" s="4">
        <f>+IF(TA_ti!AH20*TA_ti!AH$48*TA_ti!$BE20=0,10000,TA_ti!AH20*TA_ti!AH$48*TA_ti!$BE20)</f>
        <v>10000</v>
      </c>
      <c r="AI20" s="4">
        <f>+IF(TA_ti!AI20*TA_ti!AI$48*TA_ti!$BE20=0,10000,TA_ti!AI20*TA_ti!AI$48*TA_ti!$BE20)</f>
        <v>10000</v>
      </c>
      <c r="AJ20" s="4">
        <f>+IF(TA_ti!AJ20*TA_ti!AJ$48*TA_ti!$BE20=0,10000,TA_ti!AJ20*TA_ti!AJ$48*TA_ti!$BE20)</f>
        <v>10000</v>
      </c>
      <c r="AK20" s="4">
        <f>+IF(TA_ti!AK20*TA_ti!AK$48*TA_ti!$BE20=0,10000,TA_ti!AK20*TA_ti!AK$48*TA_ti!$BE20)</f>
        <v>10000</v>
      </c>
      <c r="AL20" s="4">
        <f>+IF(TA_ti!AL20*TA_ti!AL$48*TA_ti!$BE20=0,10000,TA_ti!AL20*TA_ti!AL$48*TA_ti!$BE20)</f>
        <v>10000</v>
      </c>
      <c r="AM20" s="4">
        <f>+IF(TA_ti!AM20*TA_ti!AM$48*TA_ti!$BE20=0,10000,TA_ti!AM20*TA_ti!AM$48*TA_ti!$BE20)</f>
        <v>10000</v>
      </c>
      <c r="AN20" s="4">
        <f>+IF(TA_ti!AN20*TA_ti!AN$48*TA_ti!$BE20=0,10000,TA_ti!AN20*TA_ti!AN$48*TA_ti!$BE20)</f>
        <v>10000</v>
      </c>
      <c r="AO20" s="4">
        <f>+IF(TA_ti!AO20*TA_ti!AO$48*TA_ti!$BE20=0,10000,TA_ti!AO20*TA_ti!AO$48*TA_ti!$BE20)</f>
        <v>10000</v>
      </c>
      <c r="AP20" s="4">
        <f>+IF(TA_ti!AP20*TA_ti!AP$48*TA_ti!$BE20=0,10000,TA_ti!AP20*TA_ti!AP$48*TA_ti!$BE20)</f>
        <v>10000</v>
      </c>
      <c r="AQ20" s="4">
        <f>+IF(TA_ti!AQ20*TA_ti!AQ$48*TA_ti!$BE20=0,10000,TA_ti!AQ20*TA_ti!AQ$48*TA_ti!$BE20)</f>
        <v>10000</v>
      </c>
      <c r="AR20" s="4">
        <f>+IF(TA_ti!AR20*TA_ti!AR$48*TA_ti!$BE20=0,10000,TA_ti!AR20*TA_ti!AR$48*TA_ti!$BE20)</f>
        <v>10000</v>
      </c>
      <c r="AS20" s="4">
        <f>+IF(TA_ti!AS20*TA_ti!AS$48*TA_ti!$BE20=0,10000,TA_ti!AS20*TA_ti!AS$48*TA_ti!$BE20)</f>
        <v>10000</v>
      </c>
      <c r="AT20" s="4">
        <f>+IF(TA_ti!AT20*TA_ti!AT$48*TA_ti!$BE20=0,10000,TA_ti!AT20*TA_ti!AT$48*TA_ti!$BE20)</f>
        <v>10000</v>
      </c>
      <c r="AU20" s="4">
        <f>+IF(TA_ti!AU20*TA_ti!AU$48*TA_ti!$BE20=0,10000,TA_ti!AU20*TA_ti!AU$48*TA_ti!$BE20)</f>
        <v>10000</v>
      </c>
      <c r="AV20" s="4">
        <f>+IF(TA_ti!AV20*TA_ti!AV$48*TA_ti!$BE20=0,10000,TA_ti!AV20*TA_ti!AV$48*TA_ti!$BE20)</f>
        <v>10000</v>
      </c>
      <c r="AW20" s="4">
        <f>+IF(TA_ti!AW20*TA_ti!AW$48*TA_ti!$BE20=0,10000,TA_ti!AW20*TA_ti!AW$48*TA_ti!$BE20)</f>
        <v>10000</v>
      </c>
      <c r="AX20" s="4">
        <f>+IF(TA_ti!AX20*TA_ti!AX$48*TA_ti!$BE20=0,10000,TA_ti!AX20*TA_ti!AX$48*TA_ti!$BE20)</f>
        <v>10000</v>
      </c>
      <c r="AY20" s="4">
        <f>+IF(TA_ti!AY20*TA_ti!AY$48*TA_ti!$BE20=0,10000,TA_ti!AY20*TA_ti!AY$48*TA_ti!$BE20)</f>
        <v>10000</v>
      </c>
      <c r="AZ20" s="4">
        <f>+IF(TA_ti!AZ20*TA_ti!AZ$48*TA_ti!$BE20=0,10000,TA_ti!AZ20*TA_ti!AZ$48*TA_ti!$BE20)</f>
        <v>10000</v>
      </c>
      <c r="BA20" s="4">
        <f>+IF(TA_ti!BA20*TA_ti!BA$48*TA_ti!$BE20=0,10000,TA_ti!BA20*TA_ti!BA$48*TA_ti!$BE20)</f>
        <v>10000</v>
      </c>
      <c r="BB20" s="4">
        <f>+IF(TA_ti!BB20*TA_ti!BB$48*TA_ti!$BE20=0,10000,TA_ti!BB20*TA_ti!BB$48*TA_ti!$BE20)</f>
        <v>10000</v>
      </c>
      <c r="BC20" s="4">
        <f>+IF(TA_ti!BC20*TA_ti!BC$48*TA_ti!$BE20=0,10000,TA_ti!BC20*TA_ti!BC$48*TA_ti!$BE20)</f>
        <v>10000</v>
      </c>
    </row>
    <row r="21" spans="1:55" ht="18.75" customHeight="1" x14ac:dyDescent="0.25">
      <c r="A21" s="5" t="s">
        <v>72</v>
      </c>
      <c r="B21" s="4">
        <f>+IF(TA_ti!B21*TA_ti!B$48*TA_ti!$BE21=0,10000,TA_ti!B21*TA_ti!B$48*TA_ti!$BE21)</f>
        <v>10000</v>
      </c>
      <c r="C21" s="4">
        <f>+IF(TA_ti!C21*TA_ti!C$48*TA_ti!$BE21=0,10000,TA_ti!C21*TA_ti!C$48*TA_ti!$BE21)</f>
        <v>10000</v>
      </c>
      <c r="D21" s="4">
        <f>+IF(TA_ti!D21*TA_ti!D$48*TA_ti!$BE21=0,10000,TA_ti!D21*TA_ti!D$48*TA_ti!$BE21)</f>
        <v>10000</v>
      </c>
      <c r="E21" s="4">
        <f>+IF(TA_ti!E21*TA_ti!E$48*TA_ti!$BE21=0,10000,TA_ti!E21*TA_ti!E$48*TA_ti!$BE21)</f>
        <v>10000</v>
      </c>
      <c r="F21" s="4">
        <f>+IF(TA_ti!F21*TA_ti!F$48*TA_ti!$BE21=0,10000,TA_ti!F21*TA_ti!F$48*TA_ti!$BE21)</f>
        <v>10000</v>
      </c>
      <c r="G21" s="4">
        <f>+IF(TA_ti!G21*TA_ti!G$48*TA_ti!$BE21=0,10000,TA_ti!G21*TA_ti!G$48*TA_ti!$BE21)</f>
        <v>10000</v>
      </c>
      <c r="H21" s="4">
        <f>+IF(TA_ti!H21*TA_ti!H$48*TA_ti!$BE21=0,10000,TA_ti!H21*TA_ti!H$48*TA_ti!$BE21)</f>
        <v>10000</v>
      </c>
      <c r="I21" s="4">
        <f>+IF(TA_ti!I21*TA_ti!I$48*TA_ti!$BE21=0,10000,TA_ti!I21*TA_ti!I$48*TA_ti!$BE21)</f>
        <v>10000</v>
      </c>
      <c r="J21" s="4">
        <f>+IF(TA_ti!J21*TA_ti!J$48*TA_ti!$BE21=0,10000,TA_ti!J21*TA_ti!J$48*TA_ti!$BE21)</f>
        <v>10000</v>
      </c>
      <c r="K21" s="4">
        <f>+IF(TA_ti!K21*TA_ti!K$48*TA_ti!$BE21=0,10000,TA_ti!K21*TA_ti!K$48*TA_ti!$BE21)</f>
        <v>10000</v>
      </c>
      <c r="L21" s="4">
        <f>+IF(TA_ti!L21*TA_ti!L$48*TA_ti!$BE21=0,10000,TA_ti!L21*TA_ti!L$48*TA_ti!$BE21)</f>
        <v>10000</v>
      </c>
      <c r="M21" s="4">
        <f>+IF(TA_ti!M21*TA_ti!M$48*TA_ti!$BE21=0,10000,TA_ti!M21*TA_ti!M$48*TA_ti!$BE21)</f>
        <v>10000</v>
      </c>
      <c r="N21" s="4">
        <f>+IF(TA_ti!N21*TA_ti!N$48*TA_ti!$BE21=0,10000,TA_ti!N21*TA_ti!N$48*TA_ti!$BE21)</f>
        <v>10000</v>
      </c>
      <c r="O21" s="4">
        <f>+IF(TA_ti!O21*TA_ti!O$48*TA_ti!$BE21=0,10000,TA_ti!O21*TA_ti!O$48*TA_ti!$BE21)</f>
        <v>10000</v>
      </c>
      <c r="P21" s="4">
        <f>+IF(TA_ti!P21*TA_ti!P$48*TA_ti!$BE21=0,10000,TA_ti!P21*TA_ti!P$48*TA_ti!$BE21)</f>
        <v>10000</v>
      </c>
      <c r="Q21" s="4">
        <f>+IF(TA_ti!Q21*TA_ti!Q$48*TA_ti!$BE21=0,10000,TA_ti!Q21*TA_ti!Q$48*TA_ti!$BE21)</f>
        <v>10000</v>
      </c>
      <c r="R21" s="4">
        <f>+IF(TA_ti!R21*TA_ti!R$48*TA_ti!$BE21=0,10000,TA_ti!R21*TA_ti!R$48*TA_ti!$BE21)</f>
        <v>10000</v>
      </c>
      <c r="S21" s="4">
        <f>+IF(TA_ti!S21*TA_ti!S$48*TA_ti!$BE21=0,10000,TA_ti!S21*TA_ti!S$48*TA_ti!$BE21)</f>
        <v>10000</v>
      </c>
      <c r="T21" s="4">
        <f>+IF(TA_ti!T21*TA_ti!T$48*TA_ti!$BE21=0,10000,TA_ti!T21*TA_ti!T$48*TA_ti!$BE21)</f>
        <v>15</v>
      </c>
      <c r="U21" s="4">
        <f>+IF(TA_ti!U21*TA_ti!U$48*TA_ti!$BE21=0,10000,TA_ti!U21*TA_ti!U$48*TA_ti!$BE21)</f>
        <v>15</v>
      </c>
      <c r="V21" s="4">
        <f>+IF(TA_ti!V21*TA_ti!V$48*TA_ti!$BE21=0,10000,TA_ti!V21*TA_ti!V$48*TA_ti!$BE21)</f>
        <v>10000</v>
      </c>
      <c r="W21" s="4">
        <f>+IF(TA_ti!W21*TA_ti!W$48*TA_ti!$BE21=0,10000,TA_ti!W21*TA_ti!W$48*TA_ti!$BE21)</f>
        <v>10000</v>
      </c>
      <c r="X21" s="4">
        <f>+IF(TA_ti!X21*TA_ti!X$48*TA_ti!$BE21=0,10000,TA_ti!X21*TA_ti!X$48*TA_ti!$BE21)</f>
        <v>20</v>
      </c>
      <c r="Y21" s="4">
        <f>+IF(TA_ti!Y21*TA_ti!Y$48*TA_ti!$BE21=0,10000,TA_ti!Y21*TA_ti!Y$48*TA_ti!$BE21)</f>
        <v>10000</v>
      </c>
      <c r="Z21" s="4">
        <f>+IF(TA_ti!Z21*TA_ti!Z$48*TA_ti!$BE21=0,10000,TA_ti!Z21*TA_ti!Z$48*TA_ti!$BE21)</f>
        <v>10000</v>
      </c>
      <c r="AA21" s="4">
        <f>+IF(TA_ti!AA21*TA_ti!AA$48*TA_ti!$BE21=0,10000,TA_ti!AA21*TA_ti!AA$48*TA_ti!$BE21)</f>
        <v>10000</v>
      </c>
      <c r="AB21" s="4">
        <f>+IF(TA_ti!AB21*TA_ti!AB$48*TA_ti!$BE21=0,10000,TA_ti!AB21*TA_ti!AB$48*TA_ti!$BE21)</f>
        <v>30</v>
      </c>
      <c r="AC21" s="4">
        <f>+IF(TA_ti!AC21*TA_ti!AC$48*TA_ti!$BE21=0,10000,TA_ti!AC21*TA_ti!AC$48*TA_ti!$BE21)</f>
        <v>10000</v>
      </c>
      <c r="AD21" s="4">
        <f>+IF(TA_ti!AD21*TA_ti!AD$48*TA_ti!$BE21=0,10000,TA_ti!AD21*TA_ti!AD$48*TA_ti!$BE21)</f>
        <v>10000</v>
      </c>
      <c r="AE21" s="4">
        <f>+IF(TA_ti!AE21*TA_ti!AE$48*TA_ti!$BE21=0,10000,TA_ti!AE21*TA_ti!AE$48*TA_ti!$BE21)</f>
        <v>10000</v>
      </c>
      <c r="AF21" s="4">
        <f>+IF(TA_ti!AF21*TA_ti!AF$48*TA_ti!$BE21=0,10000,TA_ti!AF21*TA_ti!AF$48*TA_ti!$BE21)</f>
        <v>10000</v>
      </c>
      <c r="AG21" s="4">
        <f>+IF(TA_ti!AG21*TA_ti!AG$48*TA_ti!$BE21=0,10000,TA_ti!AG21*TA_ti!AG$48*TA_ti!$BE21)</f>
        <v>10000</v>
      </c>
      <c r="AH21" s="4">
        <f>+IF(TA_ti!AH21*TA_ti!AH$48*TA_ti!$BE21=0,10000,TA_ti!AH21*TA_ti!AH$48*TA_ti!$BE21)</f>
        <v>10000</v>
      </c>
      <c r="AI21" s="4">
        <f>+IF(TA_ti!AI21*TA_ti!AI$48*TA_ti!$BE21=0,10000,TA_ti!AI21*TA_ti!AI$48*TA_ti!$BE21)</f>
        <v>10000</v>
      </c>
      <c r="AJ21" s="4">
        <f>+IF(TA_ti!AJ21*TA_ti!AJ$48*TA_ti!$BE21=0,10000,TA_ti!AJ21*TA_ti!AJ$48*TA_ti!$BE21)</f>
        <v>10000</v>
      </c>
      <c r="AK21" s="4">
        <f>+IF(TA_ti!AK21*TA_ti!AK$48*TA_ti!$BE21=0,10000,TA_ti!AK21*TA_ti!AK$48*TA_ti!$BE21)</f>
        <v>10000</v>
      </c>
      <c r="AL21" s="4">
        <f>+IF(TA_ti!AL21*TA_ti!AL$48*TA_ti!$BE21=0,10000,TA_ti!AL21*TA_ti!AL$48*TA_ti!$BE21)</f>
        <v>10000</v>
      </c>
      <c r="AM21" s="4">
        <f>+IF(TA_ti!AM21*TA_ti!AM$48*TA_ti!$BE21=0,10000,TA_ti!AM21*TA_ti!AM$48*TA_ti!$BE21)</f>
        <v>10000</v>
      </c>
      <c r="AN21" s="4">
        <f>+IF(TA_ti!AN21*TA_ti!AN$48*TA_ti!$BE21=0,10000,TA_ti!AN21*TA_ti!AN$48*TA_ti!$BE21)</f>
        <v>10000</v>
      </c>
      <c r="AO21" s="4">
        <f>+IF(TA_ti!AO21*TA_ti!AO$48*TA_ti!$BE21=0,10000,TA_ti!AO21*TA_ti!AO$48*TA_ti!$BE21)</f>
        <v>10000</v>
      </c>
      <c r="AP21" s="4">
        <f>+IF(TA_ti!AP21*TA_ti!AP$48*TA_ti!$BE21=0,10000,TA_ti!AP21*TA_ti!AP$48*TA_ti!$BE21)</f>
        <v>10000</v>
      </c>
      <c r="AQ21" s="4">
        <f>+IF(TA_ti!AQ21*TA_ti!AQ$48*TA_ti!$BE21=0,10000,TA_ti!AQ21*TA_ti!AQ$48*TA_ti!$BE21)</f>
        <v>10000</v>
      </c>
      <c r="AR21" s="4">
        <f>+IF(TA_ti!AR21*TA_ti!AR$48*TA_ti!$BE21=0,10000,TA_ti!AR21*TA_ti!AR$48*TA_ti!$BE21)</f>
        <v>10000</v>
      </c>
      <c r="AS21" s="4">
        <f>+IF(TA_ti!AS21*TA_ti!AS$48*TA_ti!$BE21=0,10000,TA_ti!AS21*TA_ti!AS$48*TA_ti!$BE21)</f>
        <v>10000</v>
      </c>
      <c r="AT21" s="4">
        <f>+IF(TA_ti!AT21*TA_ti!AT$48*TA_ti!$BE21=0,10000,TA_ti!AT21*TA_ti!AT$48*TA_ti!$BE21)</f>
        <v>10000</v>
      </c>
      <c r="AU21" s="4">
        <f>+IF(TA_ti!AU21*TA_ti!AU$48*TA_ti!$BE21=0,10000,TA_ti!AU21*TA_ti!AU$48*TA_ti!$BE21)</f>
        <v>10000</v>
      </c>
      <c r="AV21" s="4">
        <f>+IF(TA_ti!AV21*TA_ti!AV$48*TA_ti!$BE21=0,10000,TA_ti!AV21*TA_ti!AV$48*TA_ti!$BE21)</f>
        <v>10000</v>
      </c>
      <c r="AW21" s="4">
        <f>+IF(TA_ti!AW21*TA_ti!AW$48*TA_ti!$BE21=0,10000,TA_ti!AW21*TA_ti!AW$48*TA_ti!$BE21)</f>
        <v>10000</v>
      </c>
      <c r="AX21" s="4">
        <f>+IF(TA_ti!AX21*TA_ti!AX$48*TA_ti!$BE21=0,10000,TA_ti!AX21*TA_ti!AX$48*TA_ti!$BE21)</f>
        <v>10000</v>
      </c>
      <c r="AY21" s="4">
        <f>+IF(TA_ti!AY21*TA_ti!AY$48*TA_ti!$BE21=0,10000,TA_ti!AY21*TA_ti!AY$48*TA_ti!$BE21)</f>
        <v>10000</v>
      </c>
      <c r="AZ21" s="4">
        <f>+IF(TA_ti!AZ21*TA_ti!AZ$48*TA_ti!$BE21=0,10000,TA_ti!AZ21*TA_ti!AZ$48*TA_ti!$BE21)</f>
        <v>10000</v>
      </c>
      <c r="BA21" s="4">
        <f>+IF(TA_ti!BA21*TA_ti!BA$48*TA_ti!$BE21=0,10000,TA_ti!BA21*TA_ti!BA$48*TA_ti!$BE21)</f>
        <v>10000</v>
      </c>
      <c r="BB21" s="4">
        <f>+IF(TA_ti!BB21*TA_ti!BB$48*TA_ti!$BE21=0,10000,TA_ti!BB21*TA_ti!BB$48*TA_ti!$BE21)</f>
        <v>10000</v>
      </c>
      <c r="BC21" s="4">
        <f>+IF(TA_ti!BC21*TA_ti!BC$48*TA_ti!$BE21=0,10000,TA_ti!BC21*TA_ti!BC$48*TA_ti!$BE21)</f>
        <v>10000</v>
      </c>
    </row>
    <row r="22" spans="1:55" ht="18.75" customHeight="1" x14ac:dyDescent="0.25">
      <c r="A22" s="5" t="s">
        <v>73</v>
      </c>
      <c r="B22" s="4">
        <f>+IF(TA_ti!B22*TA_ti!B$48*TA_ti!$BE22=0,10000,TA_ti!B22*TA_ti!B$48*TA_ti!$BE22)</f>
        <v>10000</v>
      </c>
      <c r="C22" s="4">
        <f>+IF(TA_ti!C22*TA_ti!C$48*TA_ti!$BE22=0,10000,TA_ti!C22*TA_ti!C$48*TA_ti!$BE22)</f>
        <v>10000</v>
      </c>
      <c r="D22" s="4">
        <f>+IF(TA_ti!D22*TA_ti!D$48*TA_ti!$BE22=0,10000,TA_ti!D22*TA_ti!D$48*TA_ti!$BE22)</f>
        <v>10000</v>
      </c>
      <c r="E22" s="4">
        <f>+IF(TA_ti!E22*TA_ti!E$48*TA_ti!$BE22=0,10000,TA_ti!E22*TA_ti!E$48*TA_ti!$BE22)</f>
        <v>10000</v>
      </c>
      <c r="F22" s="4">
        <f>+IF(TA_ti!F22*TA_ti!F$48*TA_ti!$BE22=0,10000,TA_ti!F22*TA_ti!F$48*TA_ti!$BE22)</f>
        <v>10000</v>
      </c>
      <c r="G22" s="4">
        <f>+IF(TA_ti!G22*TA_ti!G$48*TA_ti!$BE22=0,10000,TA_ti!G22*TA_ti!G$48*TA_ti!$BE22)</f>
        <v>10000</v>
      </c>
      <c r="H22" s="4">
        <f>+IF(TA_ti!H22*TA_ti!H$48*TA_ti!$BE22=0,10000,TA_ti!H22*TA_ti!H$48*TA_ti!$BE22)</f>
        <v>10000</v>
      </c>
      <c r="I22" s="4">
        <f>+IF(TA_ti!I22*TA_ti!I$48*TA_ti!$BE22=0,10000,TA_ti!I22*TA_ti!I$48*TA_ti!$BE22)</f>
        <v>10000</v>
      </c>
      <c r="J22" s="4">
        <f>+IF(TA_ti!J22*TA_ti!J$48*TA_ti!$BE22=0,10000,TA_ti!J22*TA_ti!J$48*TA_ti!$BE22)</f>
        <v>10000</v>
      </c>
      <c r="K22" s="4">
        <f>+IF(TA_ti!K22*TA_ti!K$48*TA_ti!$BE22=0,10000,TA_ti!K22*TA_ti!K$48*TA_ti!$BE22)</f>
        <v>10000</v>
      </c>
      <c r="L22" s="4">
        <f>+IF(TA_ti!L22*TA_ti!L$48*TA_ti!$BE22=0,10000,TA_ti!L22*TA_ti!L$48*TA_ti!$BE22)</f>
        <v>10000</v>
      </c>
      <c r="M22" s="4">
        <f>+IF(TA_ti!M22*TA_ti!M$48*TA_ti!$BE22=0,10000,TA_ti!M22*TA_ti!M$48*TA_ti!$BE22)</f>
        <v>10000</v>
      </c>
      <c r="N22" s="4">
        <f>+IF(TA_ti!N22*TA_ti!N$48*TA_ti!$BE22=0,10000,TA_ti!N22*TA_ti!N$48*TA_ti!$BE22)</f>
        <v>10000</v>
      </c>
      <c r="O22" s="4">
        <f>+IF(TA_ti!O22*TA_ti!O$48*TA_ti!$BE22=0,10000,TA_ti!O22*TA_ti!O$48*TA_ti!$BE22)</f>
        <v>10000</v>
      </c>
      <c r="P22" s="4">
        <f>+IF(TA_ti!P22*TA_ti!P$48*TA_ti!$BE22=0,10000,TA_ti!P22*TA_ti!P$48*TA_ti!$BE22)</f>
        <v>10000</v>
      </c>
      <c r="Q22" s="4">
        <f>+IF(TA_ti!Q22*TA_ti!Q$48*TA_ti!$BE22=0,10000,TA_ti!Q22*TA_ti!Q$48*TA_ti!$BE22)</f>
        <v>10000</v>
      </c>
      <c r="R22" s="4">
        <f>+IF(TA_ti!R22*TA_ti!R$48*TA_ti!$BE22=0,10000,TA_ti!R22*TA_ti!R$48*TA_ti!$BE22)</f>
        <v>10000</v>
      </c>
      <c r="S22" s="4">
        <f>+IF(TA_ti!S22*TA_ti!S$48*TA_ti!$BE22=0,10000,TA_ti!S22*TA_ti!S$48*TA_ti!$BE22)</f>
        <v>10000</v>
      </c>
      <c r="T22" s="4">
        <f>+IF(TA_ti!T22*TA_ti!T$48*TA_ti!$BE22=0,10000,TA_ti!T22*TA_ti!T$48*TA_ti!$BE22)</f>
        <v>15</v>
      </c>
      <c r="U22" s="4">
        <f>+IF(TA_ti!U22*TA_ti!U$48*TA_ti!$BE22=0,10000,TA_ti!U22*TA_ti!U$48*TA_ti!$BE22)</f>
        <v>15</v>
      </c>
      <c r="V22" s="4">
        <f>+IF(TA_ti!V22*TA_ti!V$48*TA_ti!$BE22=0,10000,TA_ti!V22*TA_ti!V$48*TA_ti!$BE22)</f>
        <v>10000</v>
      </c>
      <c r="W22" s="4">
        <f>+IF(TA_ti!W22*TA_ti!W$48*TA_ti!$BE22=0,10000,TA_ti!W22*TA_ti!W$48*TA_ti!$BE22)</f>
        <v>10000</v>
      </c>
      <c r="X22" s="4">
        <f>+IF(TA_ti!X22*TA_ti!X$48*TA_ti!$BE22=0,10000,TA_ti!X22*TA_ti!X$48*TA_ti!$BE22)</f>
        <v>20</v>
      </c>
      <c r="Y22" s="4">
        <f>+IF(TA_ti!Y22*TA_ti!Y$48*TA_ti!$BE22=0,10000,TA_ti!Y22*TA_ti!Y$48*TA_ti!$BE22)</f>
        <v>10000</v>
      </c>
      <c r="Z22" s="4">
        <f>+IF(TA_ti!Z22*TA_ti!Z$48*TA_ti!$BE22=0,10000,TA_ti!Z22*TA_ti!Z$48*TA_ti!$BE22)</f>
        <v>10000</v>
      </c>
      <c r="AA22" s="4">
        <f>+IF(TA_ti!AA22*TA_ti!AA$48*TA_ti!$BE22=0,10000,TA_ti!AA22*TA_ti!AA$48*TA_ti!$BE22)</f>
        <v>10000</v>
      </c>
      <c r="AB22" s="4">
        <f>+IF(TA_ti!AB22*TA_ti!AB$48*TA_ti!$BE22=0,10000,TA_ti!AB22*TA_ti!AB$48*TA_ti!$BE22)</f>
        <v>30</v>
      </c>
      <c r="AC22" s="4">
        <f>+IF(TA_ti!AC22*TA_ti!AC$48*TA_ti!$BE22=0,10000,TA_ti!AC22*TA_ti!AC$48*TA_ti!$BE22)</f>
        <v>10000</v>
      </c>
      <c r="AD22" s="4">
        <f>+IF(TA_ti!AD22*TA_ti!AD$48*TA_ti!$BE22=0,10000,TA_ti!AD22*TA_ti!AD$48*TA_ti!$BE22)</f>
        <v>10000</v>
      </c>
      <c r="AE22" s="4">
        <f>+IF(TA_ti!AE22*TA_ti!AE$48*TA_ti!$BE22=0,10000,TA_ti!AE22*TA_ti!AE$48*TA_ti!$BE22)</f>
        <v>10000</v>
      </c>
      <c r="AF22" s="4">
        <f>+IF(TA_ti!AF22*TA_ti!AF$48*TA_ti!$BE22=0,10000,TA_ti!AF22*TA_ti!AF$48*TA_ti!$BE22)</f>
        <v>10000</v>
      </c>
      <c r="AG22" s="4">
        <f>+IF(TA_ti!AG22*TA_ti!AG$48*TA_ti!$BE22=0,10000,TA_ti!AG22*TA_ti!AG$48*TA_ti!$BE22)</f>
        <v>10000</v>
      </c>
      <c r="AH22" s="4">
        <f>+IF(TA_ti!AH22*TA_ti!AH$48*TA_ti!$BE22=0,10000,TA_ti!AH22*TA_ti!AH$48*TA_ti!$BE22)</f>
        <v>10000</v>
      </c>
      <c r="AI22" s="4">
        <f>+IF(TA_ti!AI22*TA_ti!AI$48*TA_ti!$BE22=0,10000,TA_ti!AI22*TA_ti!AI$48*TA_ti!$BE22)</f>
        <v>10000</v>
      </c>
      <c r="AJ22" s="4">
        <f>+IF(TA_ti!AJ22*TA_ti!AJ$48*TA_ti!$BE22=0,10000,TA_ti!AJ22*TA_ti!AJ$48*TA_ti!$BE22)</f>
        <v>10000</v>
      </c>
      <c r="AK22" s="4">
        <f>+IF(TA_ti!AK22*TA_ti!AK$48*TA_ti!$BE22=0,10000,TA_ti!AK22*TA_ti!AK$48*TA_ti!$BE22)</f>
        <v>10000</v>
      </c>
      <c r="AL22" s="4">
        <f>+IF(TA_ti!AL22*TA_ti!AL$48*TA_ti!$BE22=0,10000,TA_ti!AL22*TA_ti!AL$48*TA_ti!$BE22)</f>
        <v>10000</v>
      </c>
      <c r="AM22" s="4">
        <f>+IF(TA_ti!AM22*TA_ti!AM$48*TA_ti!$BE22=0,10000,TA_ti!AM22*TA_ti!AM$48*TA_ti!$BE22)</f>
        <v>10000</v>
      </c>
      <c r="AN22" s="4">
        <f>+IF(TA_ti!AN22*TA_ti!AN$48*TA_ti!$BE22=0,10000,TA_ti!AN22*TA_ti!AN$48*TA_ti!$BE22)</f>
        <v>10000</v>
      </c>
      <c r="AO22" s="4">
        <f>+IF(TA_ti!AO22*TA_ti!AO$48*TA_ti!$BE22=0,10000,TA_ti!AO22*TA_ti!AO$48*TA_ti!$BE22)</f>
        <v>10000</v>
      </c>
      <c r="AP22" s="4">
        <f>+IF(TA_ti!AP22*TA_ti!AP$48*TA_ti!$BE22=0,10000,TA_ti!AP22*TA_ti!AP$48*TA_ti!$BE22)</f>
        <v>10000</v>
      </c>
      <c r="AQ22" s="4">
        <f>+IF(TA_ti!AQ22*TA_ti!AQ$48*TA_ti!$BE22=0,10000,TA_ti!AQ22*TA_ti!AQ$48*TA_ti!$BE22)</f>
        <v>10000</v>
      </c>
      <c r="AR22" s="4">
        <f>+IF(TA_ti!AR22*TA_ti!AR$48*TA_ti!$BE22=0,10000,TA_ti!AR22*TA_ti!AR$48*TA_ti!$BE22)</f>
        <v>10000</v>
      </c>
      <c r="AS22" s="4">
        <f>+IF(TA_ti!AS22*TA_ti!AS$48*TA_ti!$BE22=0,10000,TA_ti!AS22*TA_ti!AS$48*TA_ti!$BE22)</f>
        <v>10000</v>
      </c>
      <c r="AT22" s="4">
        <f>+IF(TA_ti!AT22*TA_ti!AT$48*TA_ti!$BE22=0,10000,TA_ti!AT22*TA_ti!AT$48*TA_ti!$BE22)</f>
        <v>10000</v>
      </c>
      <c r="AU22" s="4">
        <f>+IF(TA_ti!AU22*TA_ti!AU$48*TA_ti!$BE22=0,10000,TA_ti!AU22*TA_ti!AU$48*TA_ti!$BE22)</f>
        <v>10000</v>
      </c>
      <c r="AV22" s="4">
        <f>+IF(TA_ti!AV22*TA_ti!AV$48*TA_ti!$BE22=0,10000,TA_ti!AV22*TA_ti!AV$48*TA_ti!$BE22)</f>
        <v>10000</v>
      </c>
      <c r="AW22" s="4">
        <f>+IF(TA_ti!AW22*TA_ti!AW$48*TA_ti!$BE22=0,10000,TA_ti!AW22*TA_ti!AW$48*TA_ti!$BE22)</f>
        <v>10000</v>
      </c>
      <c r="AX22" s="4">
        <f>+IF(TA_ti!AX22*TA_ti!AX$48*TA_ti!$BE22=0,10000,TA_ti!AX22*TA_ti!AX$48*TA_ti!$BE22)</f>
        <v>10000</v>
      </c>
      <c r="AY22" s="4">
        <f>+IF(TA_ti!AY22*TA_ti!AY$48*TA_ti!$BE22=0,10000,TA_ti!AY22*TA_ti!AY$48*TA_ti!$BE22)</f>
        <v>10000</v>
      </c>
      <c r="AZ22" s="4">
        <f>+IF(TA_ti!AZ22*TA_ti!AZ$48*TA_ti!$BE22=0,10000,TA_ti!AZ22*TA_ti!AZ$48*TA_ti!$BE22)</f>
        <v>10000</v>
      </c>
      <c r="BA22" s="4">
        <f>+IF(TA_ti!BA22*TA_ti!BA$48*TA_ti!$BE22=0,10000,TA_ti!BA22*TA_ti!BA$48*TA_ti!$BE22)</f>
        <v>10000</v>
      </c>
      <c r="BB22" s="4">
        <f>+IF(TA_ti!BB22*TA_ti!BB$48*TA_ti!$BE22=0,10000,TA_ti!BB22*TA_ti!BB$48*TA_ti!$BE22)</f>
        <v>10000</v>
      </c>
      <c r="BC22" s="4">
        <f>+IF(TA_ti!BC22*TA_ti!BC$48*TA_ti!$BE22=0,10000,TA_ti!BC22*TA_ti!BC$48*TA_ti!$BE22)</f>
        <v>10000</v>
      </c>
    </row>
    <row r="23" spans="1:55" ht="18.75" customHeight="1" x14ac:dyDescent="0.25">
      <c r="A23" s="5" t="s">
        <v>74</v>
      </c>
      <c r="B23" s="4">
        <f>+IF(TA_ti!B23*TA_ti!B$48*TA_ti!$BE23=0,10000,TA_ti!B23*TA_ti!B$48*TA_ti!$BE23)</f>
        <v>10000</v>
      </c>
      <c r="C23" s="4">
        <f>+IF(TA_ti!C23*TA_ti!C$48*TA_ti!$BE23=0,10000,TA_ti!C23*TA_ti!C$48*TA_ti!$BE23)</f>
        <v>10000</v>
      </c>
      <c r="D23" s="4">
        <f>+IF(TA_ti!D23*TA_ti!D$48*TA_ti!$BE23=0,10000,TA_ti!D23*TA_ti!D$48*TA_ti!$BE23)</f>
        <v>10000</v>
      </c>
      <c r="E23" s="4">
        <f>+IF(TA_ti!E23*TA_ti!E$48*TA_ti!$BE23=0,10000,TA_ti!E23*TA_ti!E$48*TA_ti!$BE23)</f>
        <v>10000</v>
      </c>
      <c r="F23" s="4">
        <f>+IF(TA_ti!F23*TA_ti!F$48*TA_ti!$BE23=0,10000,TA_ti!F23*TA_ti!F$48*TA_ti!$BE23)</f>
        <v>10000</v>
      </c>
      <c r="G23" s="4">
        <f>+IF(TA_ti!G23*TA_ti!G$48*TA_ti!$BE23=0,10000,TA_ti!G23*TA_ti!G$48*TA_ti!$BE23)</f>
        <v>10000</v>
      </c>
      <c r="H23" s="4">
        <f>+IF(TA_ti!H23*TA_ti!H$48*TA_ti!$BE23=0,10000,TA_ti!H23*TA_ti!H$48*TA_ti!$BE23)</f>
        <v>10000</v>
      </c>
      <c r="I23" s="4">
        <f>+IF(TA_ti!I23*TA_ti!I$48*TA_ti!$BE23=0,10000,TA_ti!I23*TA_ti!I$48*TA_ti!$BE23)</f>
        <v>10000</v>
      </c>
      <c r="J23" s="4">
        <f>+IF(TA_ti!J23*TA_ti!J$48*TA_ti!$BE23=0,10000,TA_ti!J23*TA_ti!J$48*TA_ti!$BE23)</f>
        <v>10000</v>
      </c>
      <c r="K23" s="4">
        <f>+IF(TA_ti!K23*TA_ti!K$48*TA_ti!$BE23=0,10000,TA_ti!K23*TA_ti!K$48*TA_ti!$BE23)</f>
        <v>10000</v>
      </c>
      <c r="L23" s="4">
        <f>+IF(TA_ti!L23*TA_ti!L$48*TA_ti!$BE23=0,10000,TA_ti!L23*TA_ti!L$48*TA_ti!$BE23)</f>
        <v>10000</v>
      </c>
      <c r="M23" s="4">
        <f>+IF(TA_ti!M23*TA_ti!M$48*TA_ti!$BE23=0,10000,TA_ti!M23*TA_ti!M$48*TA_ti!$BE23)</f>
        <v>10000</v>
      </c>
      <c r="N23" s="4">
        <f>+IF(TA_ti!N23*TA_ti!N$48*TA_ti!$BE23=0,10000,TA_ti!N23*TA_ti!N$48*TA_ti!$BE23)</f>
        <v>10000</v>
      </c>
      <c r="O23" s="4">
        <f>+IF(TA_ti!O23*TA_ti!O$48*TA_ti!$BE23=0,10000,TA_ti!O23*TA_ti!O$48*TA_ti!$BE23)</f>
        <v>10000</v>
      </c>
      <c r="P23" s="4">
        <f>+IF(TA_ti!P23*TA_ti!P$48*TA_ti!$BE23=0,10000,TA_ti!P23*TA_ti!P$48*TA_ti!$BE23)</f>
        <v>10000</v>
      </c>
      <c r="Q23" s="4">
        <f>+IF(TA_ti!Q23*TA_ti!Q$48*TA_ti!$BE23=0,10000,TA_ti!Q23*TA_ti!Q$48*TA_ti!$BE23)</f>
        <v>10000</v>
      </c>
      <c r="R23" s="4">
        <f>+IF(TA_ti!R23*TA_ti!R$48*TA_ti!$BE23=0,10000,TA_ti!R23*TA_ti!R$48*TA_ti!$BE23)</f>
        <v>10000</v>
      </c>
      <c r="S23" s="4">
        <f>+IF(TA_ti!S23*TA_ti!S$48*TA_ti!$BE23=0,10000,TA_ti!S23*TA_ti!S$48*TA_ti!$BE23)</f>
        <v>10000</v>
      </c>
      <c r="T23" s="4">
        <f>+IF(TA_ti!T23*TA_ti!T$48*TA_ti!$BE23=0,10000,TA_ti!T23*TA_ti!T$48*TA_ti!$BE23)</f>
        <v>15</v>
      </c>
      <c r="U23" s="4">
        <f>+IF(TA_ti!U23*TA_ti!U$48*TA_ti!$BE23=0,10000,TA_ti!U23*TA_ti!U$48*TA_ti!$BE23)</f>
        <v>15</v>
      </c>
      <c r="V23" s="4">
        <f>+IF(TA_ti!V23*TA_ti!V$48*TA_ti!$BE23=0,10000,TA_ti!V23*TA_ti!V$48*TA_ti!$BE23)</f>
        <v>15</v>
      </c>
      <c r="W23" s="4">
        <f>+IF(TA_ti!W23*TA_ti!W$48*TA_ti!$BE23=0,10000,TA_ti!W23*TA_ti!W$48*TA_ti!$BE23)</f>
        <v>10000</v>
      </c>
      <c r="X23" s="4">
        <f>+IF(TA_ti!X23*TA_ti!X$48*TA_ti!$BE23=0,10000,TA_ti!X23*TA_ti!X$48*TA_ti!$BE23)</f>
        <v>20</v>
      </c>
      <c r="Y23" s="4">
        <f>+IF(TA_ti!Y23*TA_ti!Y$48*TA_ti!$BE23=0,10000,TA_ti!Y23*TA_ti!Y$48*TA_ti!$BE23)</f>
        <v>10000</v>
      </c>
      <c r="Z23" s="4">
        <f>+IF(TA_ti!Z23*TA_ti!Z$48*TA_ti!$BE23=0,10000,TA_ti!Z23*TA_ti!Z$48*TA_ti!$BE23)</f>
        <v>10000</v>
      </c>
      <c r="AA23" s="4">
        <f>+IF(TA_ti!AA23*TA_ti!AA$48*TA_ti!$BE23=0,10000,TA_ti!AA23*TA_ti!AA$48*TA_ti!$BE23)</f>
        <v>10000</v>
      </c>
      <c r="AB23" s="4">
        <f>+IF(TA_ti!AB23*TA_ti!AB$48*TA_ti!$BE23=0,10000,TA_ti!AB23*TA_ti!AB$48*TA_ti!$BE23)</f>
        <v>30</v>
      </c>
      <c r="AC23" s="4">
        <f>+IF(TA_ti!AC23*TA_ti!AC$48*TA_ti!$BE23=0,10000,TA_ti!AC23*TA_ti!AC$48*TA_ti!$BE23)</f>
        <v>10000</v>
      </c>
      <c r="AD23" s="4">
        <f>+IF(TA_ti!AD23*TA_ti!AD$48*TA_ti!$BE23=0,10000,TA_ti!AD23*TA_ti!AD$48*TA_ti!$BE23)</f>
        <v>10000</v>
      </c>
      <c r="AE23" s="4">
        <f>+IF(TA_ti!AE23*TA_ti!AE$48*TA_ti!$BE23=0,10000,TA_ti!AE23*TA_ti!AE$48*TA_ti!$BE23)</f>
        <v>10000</v>
      </c>
      <c r="AF23" s="4">
        <f>+IF(TA_ti!AF23*TA_ti!AF$48*TA_ti!$BE23=0,10000,TA_ti!AF23*TA_ti!AF$48*TA_ti!$BE23)</f>
        <v>10000</v>
      </c>
      <c r="AG23" s="4">
        <f>+IF(TA_ti!AG23*TA_ti!AG$48*TA_ti!$BE23=0,10000,TA_ti!AG23*TA_ti!AG$48*TA_ti!$BE23)</f>
        <v>10000</v>
      </c>
      <c r="AH23" s="4">
        <f>+IF(TA_ti!AH23*TA_ti!AH$48*TA_ti!$BE23=0,10000,TA_ti!AH23*TA_ti!AH$48*TA_ti!$BE23)</f>
        <v>10000</v>
      </c>
      <c r="AI23" s="4">
        <f>+IF(TA_ti!AI23*TA_ti!AI$48*TA_ti!$BE23=0,10000,TA_ti!AI23*TA_ti!AI$48*TA_ti!$BE23)</f>
        <v>10000</v>
      </c>
      <c r="AJ23" s="4">
        <f>+IF(TA_ti!AJ23*TA_ti!AJ$48*TA_ti!$BE23=0,10000,TA_ti!AJ23*TA_ti!AJ$48*TA_ti!$BE23)</f>
        <v>10000</v>
      </c>
      <c r="AK23" s="4">
        <f>+IF(TA_ti!AK23*TA_ti!AK$48*TA_ti!$BE23=0,10000,TA_ti!AK23*TA_ti!AK$48*TA_ti!$BE23)</f>
        <v>10000</v>
      </c>
      <c r="AL23" s="4">
        <f>+IF(TA_ti!AL23*TA_ti!AL$48*TA_ti!$BE23=0,10000,TA_ti!AL23*TA_ti!AL$48*TA_ti!$BE23)</f>
        <v>10000</v>
      </c>
      <c r="AM23" s="4">
        <f>+IF(TA_ti!AM23*TA_ti!AM$48*TA_ti!$BE23=0,10000,TA_ti!AM23*TA_ti!AM$48*TA_ti!$BE23)</f>
        <v>10000</v>
      </c>
      <c r="AN23" s="4">
        <f>+IF(TA_ti!AN23*TA_ti!AN$48*TA_ti!$BE23=0,10000,TA_ti!AN23*TA_ti!AN$48*TA_ti!$BE23)</f>
        <v>10000</v>
      </c>
      <c r="AO23" s="4">
        <f>+IF(TA_ti!AO23*TA_ti!AO$48*TA_ti!$BE23=0,10000,TA_ti!AO23*TA_ti!AO$48*TA_ti!$BE23)</f>
        <v>10000</v>
      </c>
      <c r="AP23" s="4">
        <f>+IF(TA_ti!AP23*TA_ti!AP$48*TA_ti!$BE23=0,10000,TA_ti!AP23*TA_ti!AP$48*TA_ti!$BE23)</f>
        <v>10000</v>
      </c>
      <c r="AQ23" s="4">
        <f>+IF(TA_ti!AQ23*TA_ti!AQ$48*TA_ti!$BE23=0,10000,TA_ti!AQ23*TA_ti!AQ$48*TA_ti!$BE23)</f>
        <v>10000</v>
      </c>
      <c r="AR23" s="4">
        <f>+IF(TA_ti!AR23*TA_ti!AR$48*TA_ti!$BE23=0,10000,TA_ti!AR23*TA_ti!AR$48*TA_ti!$BE23)</f>
        <v>10000</v>
      </c>
      <c r="AS23" s="4">
        <f>+IF(TA_ti!AS23*TA_ti!AS$48*TA_ti!$BE23=0,10000,TA_ti!AS23*TA_ti!AS$48*TA_ti!$BE23)</f>
        <v>10000</v>
      </c>
      <c r="AT23" s="4">
        <f>+IF(TA_ti!AT23*TA_ti!AT$48*TA_ti!$BE23=0,10000,TA_ti!AT23*TA_ti!AT$48*TA_ti!$BE23)</f>
        <v>10000</v>
      </c>
      <c r="AU23" s="4">
        <f>+IF(TA_ti!AU23*TA_ti!AU$48*TA_ti!$BE23=0,10000,TA_ti!AU23*TA_ti!AU$48*TA_ti!$BE23)</f>
        <v>10000</v>
      </c>
      <c r="AV23" s="4">
        <f>+IF(TA_ti!AV23*TA_ti!AV$48*TA_ti!$BE23=0,10000,TA_ti!AV23*TA_ti!AV$48*TA_ti!$BE23)</f>
        <v>10000</v>
      </c>
      <c r="AW23" s="4">
        <f>+IF(TA_ti!AW23*TA_ti!AW$48*TA_ti!$BE23=0,10000,TA_ti!AW23*TA_ti!AW$48*TA_ti!$BE23)</f>
        <v>10000</v>
      </c>
      <c r="AX23" s="4">
        <f>+IF(TA_ti!AX23*TA_ti!AX$48*TA_ti!$BE23=0,10000,TA_ti!AX23*TA_ti!AX$48*TA_ti!$BE23)</f>
        <v>10000</v>
      </c>
      <c r="AY23" s="4">
        <f>+IF(TA_ti!AY23*TA_ti!AY$48*TA_ti!$BE23=0,10000,TA_ti!AY23*TA_ti!AY$48*TA_ti!$BE23)</f>
        <v>10000</v>
      </c>
      <c r="AZ23" s="4">
        <f>+IF(TA_ti!AZ23*TA_ti!AZ$48*TA_ti!$BE23=0,10000,TA_ti!AZ23*TA_ti!AZ$48*TA_ti!$BE23)</f>
        <v>10000</v>
      </c>
      <c r="BA23" s="4">
        <f>+IF(TA_ti!BA23*TA_ti!BA$48*TA_ti!$BE23=0,10000,TA_ti!BA23*TA_ti!BA$48*TA_ti!$BE23)</f>
        <v>10000</v>
      </c>
      <c r="BB23" s="4">
        <f>+IF(TA_ti!BB23*TA_ti!BB$48*TA_ti!$BE23=0,10000,TA_ti!BB23*TA_ti!BB$48*TA_ti!$BE23)</f>
        <v>10000</v>
      </c>
      <c r="BC23" s="4">
        <f>+IF(TA_ti!BC23*TA_ti!BC$48*TA_ti!$BE23=0,10000,TA_ti!BC23*TA_ti!BC$48*TA_ti!$BE23)</f>
        <v>10000</v>
      </c>
    </row>
    <row r="24" spans="1:55" ht="18.75" customHeight="1" x14ac:dyDescent="0.25">
      <c r="A24" s="5" t="s">
        <v>75</v>
      </c>
      <c r="B24" s="4">
        <f>+IF(TA_ti!B24*TA_ti!B$48*TA_ti!$BE24=0,10000,TA_ti!B24*TA_ti!B$48*TA_ti!$BE24)</f>
        <v>10000</v>
      </c>
      <c r="C24" s="4">
        <f>+IF(TA_ti!C24*TA_ti!C$48*TA_ti!$BE24=0,10000,TA_ti!C24*TA_ti!C$48*TA_ti!$BE24)</f>
        <v>10000</v>
      </c>
      <c r="D24" s="4">
        <f>+IF(TA_ti!D24*TA_ti!D$48*TA_ti!$BE24=0,10000,TA_ti!D24*TA_ti!D$48*TA_ti!$BE24)</f>
        <v>10000</v>
      </c>
      <c r="E24" s="4">
        <f>+IF(TA_ti!E24*TA_ti!E$48*TA_ti!$BE24=0,10000,TA_ti!E24*TA_ti!E$48*TA_ti!$BE24)</f>
        <v>10000</v>
      </c>
      <c r="F24" s="4">
        <f>+IF(TA_ti!F24*TA_ti!F$48*TA_ti!$BE24=0,10000,TA_ti!F24*TA_ti!F$48*TA_ti!$BE24)</f>
        <v>10000</v>
      </c>
      <c r="G24" s="4">
        <f>+IF(TA_ti!G24*TA_ti!G$48*TA_ti!$BE24=0,10000,TA_ti!G24*TA_ti!G$48*TA_ti!$BE24)</f>
        <v>10000</v>
      </c>
      <c r="H24" s="4">
        <f>+IF(TA_ti!H24*TA_ti!H$48*TA_ti!$BE24=0,10000,TA_ti!H24*TA_ti!H$48*TA_ti!$BE24)</f>
        <v>10000</v>
      </c>
      <c r="I24" s="4">
        <f>+IF(TA_ti!I24*TA_ti!I$48*TA_ti!$BE24=0,10000,TA_ti!I24*TA_ti!I$48*TA_ti!$BE24)</f>
        <v>10000</v>
      </c>
      <c r="J24" s="4">
        <f>+IF(TA_ti!J24*TA_ti!J$48*TA_ti!$BE24=0,10000,TA_ti!J24*TA_ti!J$48*TA_ti!$BE24)</f>
        <v>10000</v>
      </c>
      <c r="K24" s="4">
        <f>+IF(TA_ti!K24*TA_ti!K$48*TA_ti!$BE24=0,10000,TA_ti!K24*TA_ti!K$48*TA_ti!$BE24)</f>
        <v>10000</v>
      </c>
      <c r="L24" s="4">
        <f>+IF(TA_ti!L24*TA_ti!L$48*TA_ti!$BE24=0,10000,TA_ti!L24*TA_ti!L$48*TA_ti!$BE24)</f>
        <v>10000</v>
      </c>
      <c r="M24" s="4">
        <f>+IF(TA_ti!M24*TA_ti!M$48*TA_ti!$BE24=0,10000,TA_ti!M24*TA_ti!M$48*TA_ti!$BE24)</f>
        <v>10000</v>
      </c>
      <c r="N24" s="4">
        <f>+IF(TA_ti!N24*TA_ti!N$48*TA_ti!$BE24=0,10000,TA_ti!N24*TA_ti!N$48*TA_ti!$BE24)</f>
        <v>10000</v>
      </c>
      <c r="O24" s="4">
        <f>+IF(TA_ti!O24*TA_ti!O$48*TA_ti!$BE24=0,10000,TA_ti!O24*TA_ti!O$48*TA_ti!$BE24)</f>
        <v>10000</v>
      </c>
      <c r="P24" s="4">
        <f>+IF(TA_ti!P24*TA_ti!P$48*TA_ti!$BE24=0,10000,TA_ti!P24*TA_ti!P$48*TA_ti!$BE24)</f>
        <v>10000</v>
      </c>
      <c r="Q24" s="4">
        <f>+IF(TA_ti!Q24*TA_ti!Q$48*TA_ti!$BE24=0,10000,TA_ti!Q24*TA_ti!Q$48*TA_ti!$BE24)</f>
        <v>10000</v>
      </c>
      <c r="R24" s="4">
        <f>+IF(TA_ti!R24*TA_ti!R$48*TA_ti!$BE24=0,10000,TA_ti!R24*TA_ti!R$48*TA_ti!$BE24)</f>
        <v>10000</v>
      </c>
      <c r="S24" s="4">
        <f>+IF(TA_ti!S24*TA_ti!S$48*TA_ti!$BE24=0,10000,TA_ti!S24*TA_ti!S$48*TA_ti!$BE24)</f>
        <v>10000</v>
      </c>
      <c r="T24" s="4">
        <f>+IF(TA_ti!T24*TA_ti!T$48*TA_ti!$BE24=0,10000,TA_ti!T24*TA_ti!T$48*TA_ti!$BE24)</f>
        <v>15</v>
      </c>
      <c r="U24" s="4">
        <f>+IF(TA_ti!U24*TA_ti!U$48*TA_ti!$BE24=0,10000,TA_ti!U24*TA_ti!U$48*TA_ti!$BE24)</f>
        <v>15</v>
      </c>
      <c r="V24" s="4">
        <f>+IF(TA_ti!V24*TA_ti!V$48*TA_ti!$BE24=0,10000,TA_ti!V24*TA_ti!V$48*TA_ti!$BE24)</f>
        <v>10000</v>
      </c>
      <c r="W24" s="4">
        <f>+IF(TA_ti!W24*TA_ti!W$48*TA_ti!$BE24=0,10000,TA_ti!W24*TA_ti!W$48*TA_ti!$BE24)</f>
        <v>10000</v>
      </c>
      <c r="X24" s="4">
        <f>+IF(TA_ti!X24*TA_ti!X$48*TA_ti!$BE24=0,10000,TA_ti!X24*TA_ti!X$48*TA_ti!$BE24)</f>
        <v>10000</v>
      </c>
      <c r="Y24" s="4">
        <f>+IF(TA_ti!Y24*TA_ti!Y$48*TA_ti!$BE24=0,10000,TA_ti!Y24*TA_ti!Y$48*TA_ti!$BE24)</f>
        <v>10000</v>
      </c>
      <c r="Z24" s="4">
        <f>+IF(TA_ti!Z24*TA_ti!Z$48*TA_ti!$BE24=0,10000,TA_ti!Z24*TA_ti!Z$48*TA_ti!$BE24)</f>
        <v>10000</v>
      </c>
      <c r="AA24" s="4">
        <f>+IF(TA_ti!AA24*TA_ti!AA$48*TA_ti!$BE24=0,10000,TA_ti!AA24*TA_ti!AA$48*TA_ti!$BE24)</f>
        <v>10000</v>
      </c>
      <c r="AB24" s="4">
        <f>+IF(TA_ti!AB24*TA_ti!AB$48*TA_ti!$BE24=0,10000,TA_ti!AB24*TA_ti!AB$48*TA_ti!$BE24)</f>
        <v>30</v>
      </c>
      <c r="AC24" s="4">
        <f>+IF(TA_ti!AC24*TA_ti!AC$48*TA_ti!$BE24=0,10000,TA_ti!AC24*TA_ti!AC$48*TA_ti!$BE24)</f>
        <v>10000</v>
      </c>
      <c r="AD24" s="4">
        <f>+IF(TA_ti!AD24*TA_ti!AD$48*TA_ti!$BE24=0,10000,TA_ti!AD24*TA_ti!AD$48*TA_ti!$BE24)</f>
        <v>10000</v>
      </c>
      <c r="AE24" s="4">
        <f>+IF(TA_ti!AE24*TA_ti!AE$48*TA_ti!$BE24=0,10000,TA_ti!AE24*TA_ti!AE$48*TA_ti!$BE24)</f>
        <v>10000</v>
      </c>
      <c r="AF24" s="4">
        <f>+IF(TA_ti!AF24*TA_ti!AF$48*TA_ti!$BE24=0,10000,TA_ti!AF24*TA_ti!AF$48*TA_ti!$BE24)</f>
        <v>10000</v>
      </c>
      <c r="AG24" s="4">
        <f>+IF(TA_ti!AG24*TA_ti!AG$48*TA_ti!$BE24=0,10000,TA_ti!AG24*TA_ti!AG$48*TA_ti!$BE24)</f>
        <v>10000</v>
      </c>
      <c r="AH24" s="4">
        <f>+IF(TA_ti!AH24*TA_ti!AH$48*TA_ti!$BE24=0,10000,TA_ti!AH24*TA_ti!AH$48*TA_ti!$BE24)</f>
        <v>10000</v>
      </c>
      <c r="AI24" s="4">
        <f>+IF(TA_ti!AI24*TA_ti!AI$48*TA_ti!$BE24=0,10000,TA_ti!AI24*TA_ti!AI$48*TA_ti!$BE24)</f>
        <v>10000</v>
      </c>
      <c r="AJ24" s="4">
        <f>+IF(TA_ti!AJ24*TA_ti!AJ$48*TA_ti!$BE24=0,10000,TA_ti!AJ24*TA_ti!AJ$48*TA_ti!$BE24)</f>
        <v>10000</v>
      </c>
      <c r="AK24" s="4">
        <f>+IF(TA_ti!AK24*TA_ti!AK$48*TA_ti!$BE24=0,10000,TA_ti!AK24*TA_ti!AK$48*TA_ti!$BE24)</f>
        <v>10000</v>
      </c>
      <c r="AL24" s="4">
        <f>+IF(TA_ti!AL24*TA_ti!AL$48*TA_ti!$BE24=0,10000,TA_ti!AL24*TA_ti!AL$48*TA_ti!$BE24)</f>
        <v>10000</v>
      </c>
      <c r="AM24" s="4">
        <f>+IF(TA_ti!AM24*TA_ti!AM$48*TA_ti!$BE24=0,10000,TA_ti!AM24*TA_ti!AM$48*TA_ti!$BE24)</f>
        <v>10000</v>
      </c>
      <c r="AN24" s="4">
        <f>+IF(TA_ti!AN24*TA_ti!AN$48*TA_ti!$BE24=0,10000,TA_ti!AN24*TA_ti!AN$48*TA_ti!$BE24)</f>
        <v>10000</v>
      </c>
      <c r="AO24" s="4">
        <f>+IF(TA_ti!AO24*TA_ti!AO$48*TA_ti!$BE24=0,10000,TA_ti!AO24*TA_ti!AO$48*TA_ti!$BE24)</f>
        <v>10000</v>
      </c>
      <c r="AP24" s="4">
        <f>+IF(TA_ti!AP24*TA_ti!AP$48*TA_ti!$BE24=0,10000,TA_ti!AP24*TA_ti!AP$48*TA_ti!$BE24)</f>
        <v>10000</v>
      </c>
      <c r="AQ24" s="4">
        <f>+IF(TA_ti!AQ24*TA_ti!AQ$48*TA_ti!$BE24=0,10000,TA_ti!AQ24*TA_ti!AQ$48*TA_ti!$BE24)</f>
        <v>10000</v>
      </c>
      <c r="AR24" s="4">
        <f>+IF(TA_ti!AR24*TA_ti!AR$48*TA_ti!$BE24=0,10000,TA_ti!AR24*TA_ti!AR$48*TA_ti!$BE24)</f>
        <v>10000</v>
      </c>
      <c r="AS24" s="4">
        <f>+IF(TA_ti!AS24*TA_ti!AS$48*TA_ti!$BE24=0,10000,TA_ti!AS24*TA_ti!AS$48*TA_ti!$BE24)</f>
        <v>10000</v>
      </c>
      <c r="AT24" s="4">
        <f>+IF(TA_ti!AT24*TA_ti!AT$48*TA_ti!$BE24=0,10000,TA_ti!AT24*TA_ti!AT$48*TA_ti!$BE24)</f>
        <v>10000</v>
      </c>
      <c r="AU24" s="4">
        <f>+IF(TA_ti!AU24*TA_ti!AU$48*TA_ti!$BE24=0,10000,TA_ti!AU24*TA_ti!AU$48*TA_ti!$BE24)</f>
        <v>10000</v>
      </c>
      <c r="AV24" s="4">
        <f>+IF(TA_ti!AV24*TA_ti!AV$48*TA_ti!$BE24=0,10000,TA_ti!AV24*TA_ti!AV$48*TA_ti!$BE24)</f>
        <v>10000</v>
      </c>
      <c r="AW24" s="4">
        <f>+IF(TA_ti!AW24*TA_ti!AW$48*TA_ti!$BE24=0,10000,TA_ti!AW24*TA_ti!AW$48*TA_ti!$BE24)</f>
        <v>10000</v>
      </c>
      <c r="AX24" s="4">
        <f>+IF(TA_ti!AX24*TA_ti!AX$48*TA_ti!$BE24=0,10000,TA_ti!AX24*TA_ti!AX$48*TA_ti!$BE24)</f>
        <v>10000</v>
      </c>
      <c r="AY24" s="4">
        <f>+IF(TA_ti!AY24*TA_ti!AY$48*TA_ti!$BE24=0,10000,TA_ti!AY24*TA_ti!AY$48*TA_ti!$BE24)</f>
        <v>10000</v>
      </c>
      <c r="AZ24" s="4">
        <f>+IF(TA_ti!AZ24*TA_ti!AZ$48*TA_ti!$BE24=0,10000,TA_ti!AZ24*TA_ti!AZ$48*TA_ti!$BE24)</f>
        <v>10000</v>
      </c>
      <c r="BA24" s="4">
        <f>+IF(TA_ti!BA24*TA_ti!BA$48*TA_ti!$BE24=0,10000,TA_ti!BA24*TA_ti!BA$48*TA_ti!$BE24)</f>
        <v>10000</v>
      </c>
      <c r="BB24" s="4">
        <f>+IF(TA_ti!BB24*TA_ti!BB$48*TA_ti!$BE24=0,10000,TA_ti!BB24*TA_ti!BB$48*TA_ti!$BE24)</f>
        <v>10000</v>
      </c>
      <c r="BC24" s="4">
        <f>+IF(TA_ti!BC24*TA_ti!BC$48*TA_ti!$BE24=0,10000,TA_ti!BC24*TA_ti!BC$48*TA_ti!$BE24)</f>
        <v>10000</v>
      </c>
    </row>
    <row r="25" spans="1:55" ht="18.75" customHeight="1" x14ac:dyDescent="0.25">
      <c r="A25" s="5" t="s">
        <v>76</v>
      </c>
      <c r="B25" s="4">
        <f>+IF(TA_ti!B25*TA_ti!B$48*TA_ti!$BE25=0,10000,TA_ti!B25*TA_ti!B$48*TA_ti!$BE25)</f>
        <v>10000</v>
      </c>
      <c r="C25" s="4">
        <f>+IF(TA_ti!C25*TA_ti!C$48*TA_ti!$BE25=0,10000,TA_ti!C25*TA_ti!C$48*TA_ti!$BE25)</f>
        <v>10000</v>
      </c>
      <c r="D25" s="4">
        <f>+IF(TA_ti!D25*TA_ti!D$48*TA_ti!$BE25=0,10000,TA_ti!D25*TA_ti!D$48*TA_ti!$BE25)</f>
        <v>10000</v>
      </c>
      <c r="E25" s="4">
        <f>+IF(TA_ti!E25*TA_ti!E$48*TA_ti!$BE25=0,10000,TA_ti!E25*TA_ti!E$48*TA_ti!$BE25)</f>
        <v>10000</v>
      </c>
      <c r="F25" s="4">
        <f>+IF(TA_ti!F25*TA_ti!F$48*TA_ti!$BE25=0,10000,TA_ti!F25*TA_ti!F$48*TA_ti!$BE25)</f>
        <v>10000</v>
      </c>
      <c r="G25" s="4">
        <f>+IF(TA_ti!G25*TA_ti!G$48*TA_ti!$BE25=0,10000,TA_ti!G25*TA_ti!G$48*TA_ti!$BE25)</f>
        <v>10000</v>
      </c>
      <c r="H25" s="4">
        <f>+IF(TA_ti!H25*TA_ti!H$48*TA_ti!$BE25=0,10000,TA_ti!H25*TA_ti!H$48*TA_ti!$BE25)</f>
        <v>10000</v>
      </c>
      <c r="I25" s="4">
        <f>+IF(TA_ti!I25*TA_ti!I$48*TA_ti!$BE25=0,10000,TA_ti!I25*TA_ti!I$48*TA_ti!$BE25)</f>
        <v>10000</v>
      </c>
      <c r="J25" s="4">
        <f>+IF(TA_ti!J25*TA_ti!J$48*TA_ti!$BE25=0,10000,TA_ti!J25*TA_ti!J$48*TA_ti!$BE25)</f>
        <v>10000</v>
      </c>
      <c r="K25" s="4">
        <f>+IF(TA_ti!K25*TA_ti!K$48*TA_ti!$BE25=0,10000,TA_ti!K25*TA_ti!K$48*TA_ti!$BE25)</f>
        <v>10000</v>
      </c>
      <c r="L25" s="4">
        <f>+IF(TA_ti!L25*TA_ti!L$48*TA_ti!$BE25=0,10000,TA_ti!L25*TA_ti!L$48*TA_ti!$BE25)</f>
        <v>10000</v>
      </c>
      <c r="M25" s="4">
        <f>+IF(TA_ti!M25*TA_ti!M$48*TA_ti!$BE25=0,10000,TA_ti!M25*TA_ti!M$48*TA_ti!$BE25)</f>
        <v>10000</v>
      </c>
      <c r="N25" s="4">
        <f>+IF(TA_ti!N25*TA_ti!N$48*TA_ti!$BE25=0,10000,TA_ti!N25*TA_ti!N$48*TA_ti!$BE25)</f>
        <v>10000</v>
      </c>
      <c r="O25" s="4">
        <f>+IF(TA_ti!O25*TA_ti!O$48*TA_ti!$BE25=0,10000,TA_ti!O25*TA_ti!O$48*TA_ti!$BE25)</f>
        <v>10000</v>
      </c>
      <c r="P25" s="4">
        <f>+IF(TA_ti!P25*TA_ti!P$48*TA_ti!$BE25=0,10000,TA_ti!P25*TA_ti!P$48*TA_ti!$BE25)</f>
        <v>10000</v>
      </c>
      <c r="Q25" s="4">
        <f>+IF(TA_ti!Q25*TA_ti!Q$48*TA_ti!$BE25=0,10000,TA_ti!Q25*TA_ti!Q$48*TA_ti!$BE25)</f>
        <v>10000</v>
      </c>
      <c r="R25" s="4">
        <f>+IF(TA_ti!R25*TA_ti!R$48*TA_ti!$BE25=0,10000,TA_ti!R25*TA_ti!R$48*TA_ti!$BE25)</f>
        <v>10000</v>
      </c>
      <c r="S25" s="4">
        <f>+IF(TA_ti!S25*TA_ti!S$48*TA_ti!$BE25=0,10000,TA_ti!S25*TA_ti!S$48*TA_ti!$BE25)</f>
        <v>10000</v>
      </c>
      <c r="T25" s="4">
        <f>+IF(TA_ti!T25*TA_ti!T$48*TA_ti!$BE25=0,10000,TA_ti!T25*TA_ti!T$48*TA_ti!$BE25)</f>
        <v>15</v>
      </c>
      <c r="U25" s="4">
        <f>+IF(TA_ti!U25*TA_ti!U$48*TA_ti!$BE25=0,10000,TA_ti!U25*TA_ti!U$48*TA_ti!$BE25)</f>
        <v>15</v>
      </c>
      <c r="V25" s="4">
        <f>+IF(TA_ti!V25*TA_ti!V$48*TA_ti!$BE25=0,10000,TA_ti!V25*TA_ti!V$48*TA_ti!$BE25)</f>
        <v>10000</v>
      </c>
      <c r="W25" s="4">
        <f>+IF(TA_ti!W25*TA_ti!W$48*TA_ti!$BE25=0,10000,TA_ti!W25*TA_ti!W$48*TA_ti!$BE25)</f>
        <v>10000</v>
      </c>
      <c r="X25" s="4">
        <f>+IF(TA_ti!X25*TA_ti!X$48*TA_ti!$BE25=0,10000,TA_ti!X25*TA_ti!X$48*TA_ti!$BE25)</f>
        <v>10000</v>
      </c>
      <c r="Y25" s="4">
        <f>+IF(TA_ti!Y25*TA_ti!Y$48*TA_ti!$BE25=0,10000,TA_ti!Y25*TA_ti!Y$48*TA_ti!$BE25)</f>
        <v>10000</v>
      </c>
      <c r="Z25" s="4">
        <f>+IF(TA_ti!Z25*TA_ti!Z$48*TA_ti!$BE25=0,10000,TA_ti!Z25*TA_ti!Z$48*TA_ti!$BE25)</f>
        <v>10000</v>
      </c>
      <c r="AA25" s="4">
        <f>+IF(TA_ti!AA25*TA_ti!AA$48*TA_ti!$BE25=0,10000,TA_ti!AA25*TA_ti!AA$48*TA_ti!$BE25)</f>
        <v>10000</v>
      </c>
      <c r="AB25" s="4">
        <f>+IF(TA_ti!AB25*TA_ti!AB$48*TA_ti!$BE25=0,10000,TA_ti!AB25*TA_ti!AB$48*TA_ti!$BE25)</f>
        <v>30</v>
      </c>
      <c r="AC25" s="4">
        <f>+IF(TA_ti!AC25*TA_ti!AC$48*TA_ti!$BE25=0,10000,TA_ti!AC25*TA_ti!AC$48*TA_ti!$BE25)</f>
        <v>10000</v>
      </c>
      <c r="AD25" s="4">
        <f>+IF(TA_ti!AD25*TA_ti!AD$48*TA_ti!$BE25=0,10000,TA_ti!AD25*TA_ti!AD$48*TA_ti!$BE25)</f>
        <v>10000</v>
      </c>
      <c r="AE25" s="4">
        <f>+IF(TA_ti!AE25*TA_ti!AE$48*TA_ti!$BE25=0,10000,TA_ti!AE25*TA_ti!AE$48*TA_ti!$BE25)</f>
        <v>10000</v>
      </c>
      <c r="AF25" s="4">
        <f>+IF(TA_ti!AF25*TA_ti!AF$48*TA_ti!$BE25=0,10000,TA_ti!AF25*TA_ti!AF$48*TA_ti!$BE25)</f>
        <v>10000</v>
      </c>
      <c r="AG25" s="4">
        <f>+IF(TA_ti!AG25*TA_ti!AG$48*TA_ti!$BE25=0,10000,TA_ti!AG25*TA_ti!AG$48*TA_ti!$BE25)</f>
        <v>10000</v>
      </c>
      <c r="AH25" s="4">
        <f>+IF(TA_ti!AH25*TA_ti!AH$48*TA_ti!$BE25=0,10000,TA_ti!AH25*TA_ti!AH$48*TA_ti!$BE25)</f>
        <v>10000</v>
      </c>
      <c r="AI25" s="4">
        <f>+IF(TA_ti!AI25*TA_ti!AI$48*TA_ti!$BE25=0,10000,TA_ti!AI25*TA_ti!AI$48*TA_ti!$BE25)</f>
        <v>10000</v>
      </c>
      <c r="AJ25" s="4">
        <f>+IF(TA_ti!AJ25*TA_ti!AJ$48*TA_ti!$BE25=0,10000,TA_ti!AJ25*TA_ti!AJ$48*TA_ti!$BE25)</f>
        <v>10000</v>
      </c>
      <c r="AK25" s="4">
        <f>+IF(TA_ti!AK25*TA_ti!AK$48*TA_ti!$BE25=0,10000,TA_ti!AK25*TA_ti!AK$48*TA_ti!$BE25)</f>
        <v>10000</v>
      </c>
      <c r="AL25" s="4">
        <f>+IF(TA_ti!AL25*TA_ti!AL$48*TA_ti!$BE25=0,10000,TA_ti!AL25*TA_ti!AL$48*TA_ti!$BE25)</f>
        <v>10000</v>
      </c>
      <c r="AM25" s="4">
        <f>+IF(TA_ti!AM25*TA_ti!AM$48*TA_ti!$BE25=0,10000,TA_ti!AM25*TA_ti!AM$48*TA_ti!$BE25)</f>
        <v>10000</v>
      </c>
      <c r="AN25" s="4">
        <f>+IF(TA_ti!AN25*TA_ti!AN$48*TA_ti!$BE25=0,10000,TA_ti!AN25*TA_ti!AN$48*TA_ti!$BE25)</f>
        <v>10000</v>
      </c>
      <c r="AO25" s="4">
        <f>+IF(TA_ti!AO25*TA_ti!AO$48*TA_ti!$BE25=0,10000,TA_ti!AO25*TA_ti!AO$48*TA_ti!$BE25)</f>
        <v>10000</v>
      </c>
      <c r="AP25" s="4">
        <f>+IF(TA_ti!AP25*TA_ti!AP$48*TA_ti!$BE25=0,10000,TA_ti!AP25*TA_ti!AP$48*TA_ti!$BE25)</f>
        <v>10000</v>
      </c>
      <c r="AQ25" s="4">
        <f>+IF(TA_ti!AQ25*TA_ti!AQ$48*TA_ti!$BE25=0,10000,TA_ti!AQ25*TA_ti!AQ$48*TA_ti!$BE25)</f>
        <v>10000</v>
      </c>
      <c r="AR25" s="4">
        <f>+IF(TA_ti!AR25*TA_ti!AR$48*TA_ti!$BE25=0,10000,TA_ti!AR25*TA_ti!AR$48*TA_ti!$BE25)</f>
        <v>10000</v>
      </c>
      <c r="AS25" s="4">
        <f>+IF(TA_ti!AS25*TA_ti!AS$48*TA_ti!$BE25=0,10000,TA_ti!AS25*TA_ti!AS$48*TA_ti!$BE25)</f>
        <v>10000</v>
      </c>
      <c r="AT25" s="4">
        <f>+IF(TA_ti!AT25*TA_ti!AT$48*TA_ti!$BE25=0,10000,TA_ti!AT25*TA_ti!AT$48*TA_ti!$BE25)</f>
        <v>10000</v>
      </c>
      <c r="AU25" s="4">
        <f>+IF(TA_ti!AU25*TA_ti!AU$48*TA_ti!$BE25=0,10000,TA_ti!AU25*TA_ti!AU$48*TA_ti!$BE25)</f>
        <v>10000</v>
      </c>
      <c r="AV25" s="4">
        <f>+IF(TA_ti!AV25*TA_ti!AV$48*TA_ti!$BE25=0,10000,TA_ti!AV25*TA_ti!AV$48*TA_ti!$BE25)</f>
        <v>10000</v>
      </c>
      <c r="AW25" s="4">
        <f>+IF(TA_ti!AW25*TA_ti!AW$48*TA_ti!$BE25=0,10000,TA_ti!AW25*TA_ti!AW$48*TA_ti!$BE25)</f>
        <v>10000</v>
      </c>
      <c r="AX25" s="4">
        <f>+IF(TA_ti!AX25*TA_ti!AX$48*TA_ti!$BE25=0,10000,TA_ti!AX25*TA_ti!AX$48*TA_ti!$BE25)</f>
        <v>10000</v>
      </c>
      <c r="AY25" s="4">
        <f>+IF(TA_ti!AY25*TA_ti!AY$48*TA_ti!$BE25=0,10000,TA_ti!AY25*TA_ti!AY$48*TA_ti!$BE25)</f>
        <v>10000</v>
      </c>
      <c r="AZ25" s="4">
        <f>+IF(TA_ti!AZ25*TA_ti!AZ$48*TA_ti!$BE25=0,10000,TA_ti!AZ25*TA_ti!AZ$48*TA_ti!$BE25)</f>
        <v>10000</v>
      </c>
      <c r="BA25" s="4">
        <f>+IF(TA_ti!BA25*TA_ti!BA$48*TA_ti!$BE25=0,10000,TA_ti!BA25*TA_ti!BA$48*TA_ti!$BE25)</f>
        <v>10000</v>
      </c>
      <c r="BB25" s="4">
        <f>+IF(TA_ti!BB25*TA_ti!BB$48*TA_ti!$BE25=0,10000,TA_ti!BB25*TA_ti!BB$48*TA_ti!$BE25)</f>
        <v>10000</v>
      </c>
      <c r="BC25" s="4">
        <f>+IF(TA_ti!BC25*TA_ti!BC$48*TA_ti!$BE25=0,10000,TA_ti!BC25*TA_ti!BC$48*TA_ti!$BE25)</f>
        <v>10000</v>
      </c>
    </row>
    <row r="26" spans="1:55" ht="18.75" customHeight="1" x14ac:dyDescent="0.25">
      <c r="A26" s="5" t="s">
        <v>77</v>
      </c>
      <c r="B26" s="4">
        <f>+IF(TA_ti!B26*TA_ti!B$48*TA_ti!$BE26=0,10000,TA_ti!B26*TA_ti!B$48*TA_ti!$BE26)</f>
        <v>10000</v>
      </c>
      <c r="C26" s="4">
        <f>+IF(TA_ti!C26*TA_ti!C$48*TA_ti!$BE26=0,10000,TA_ti!C26*TA_ti!C$48*TA_ti!$BE26)</f>
        <v>10000</v>
      </c>
      <c r="D26" s="4">
        <f>+IF(TA_ti!D26*TA_ti!D$48*TA_ti!$BE26=0,10000,TA_ti!D26*TA_ti!D$48*TA_ti!$BE26)</f>
        <v>10000</v>
      </c>
      <c r="E26" s="4">
        <f>+IF(TA_ti!E26*TA_ti!E$48*TA_ti!$BE26=0,10000,TA_ti!E26*TA_ti!E$48*TA_ti!$BE26)</f>
        <v>10000</v>
      </c>
      <c r="F26" s="4">
        <f>+IF(TA_ti!F26*TA_ti!F$48*TA_ti!$BE26=0,10000,TA_ti!F26*TA_ti!F$48*TA_ti!$BE26)</f>
        <v>10000</v>
      </c>
      <c r="G26" s="4">
        <f>+IF(TA_ti!G26*TA_ti!G$48*TA_ti!$BE26=0,10000,TA_ti!G26*TA_ti!G$48*TA_ti!$BE26)</f>
        <v>10000</v>
      </c>
      <c r="H26" s="4">
        <f>+IF(TA_ti!H26*TA_ti!H$48*TA_ti!$BE26=0,10000,TA_ti!H26*TA_ti!H$48*TA_ti!$BE26)</f>
        <v>10000</v>
      </c>
      <c r="I26" s="4">
        <f>+IF(TA_ti!I26*TA_ti!I$48*TA_ti!$BE26=0,10000,TA_ti!I26*TA_ti!I$48*TA_ti!$BE26)</f>
        <v>10000</v>
      </c>
      <c r="J26" s="4">
        <f>+IF(TA_ti!J26*TA_ti!J$48*TA_ti!$BE26=0,10000,TA_ti!J26*TA_ti!J$48*TA_ti!$BE26)</f>
        <v>10000</v>
      </c>
      <c r="K26" s="4">
        <f>+IF(TA_ti!K26*TA_ti!K$48*TA_ti!$BE26=0,10000,TA_ti!K26*TA_ti!K$48*TA_ti!$BE26)</f>
        <v>10000</v>
      </c>
      <c r="L26" s="4">
        <f>+IF(TA_ti!L26*TA_ti!L$48*TA_ti!$BE26=0,10000,TA_ti!L26*TA_ti!L$48*TA_ti!$BE26)</f>
        <v>10000</v>
      </c>
      <c r="M26" s="4">
        <f>+IF(TA_ti!M26*TA_ti!M$48*TA_ti!$BE26=0,10000,TA_ti!M26*TA_ti!M$48*TA_ti!$BE26)</f>
        <v>10000</v>
      </c>
      <c r="N26" s="4">
        <f>+IF(TA_ti!N26*TA_ti!N$48*TA_ti!$BE26=0,10000,TA_ti!N26*TA_ti!N$48*TA_ti!$BE26)</f>
        <v>10000</v>
      </c>
      <c r="O26" s="4">
        <f>+IF(TA_ti!O26*TA_ti!O$48*TA_ti!$BE26=0,10000,TA_ti!O26*TA_ti!O$48*TA_ti!$BE26)</f>
        <v>10000</v>
      </c>
      <c r="P26" s="4">
        <f>+IF(TA_ti!P26*TA_ti!P$48*TA_ti!$BE26=0,10000,TA_ti!P26*TA_ti!P$48*TA_ti!$BE26)</f>
        <v>10000</v>
      </c>
      <c r="Q26" s="4">
        <f>+IF(TA_ti!Q26*TA_ti!Q$48*TA_ti!$BE26=0,10000,TA_ti!Q26*TA_ti!Q$48*TA_ti!$BE26)</f>
        <v>10000</v>
      </c>
      <c r="R26" s="4">
        <f>+IF(TA_ti!R26*TA_ti!R$48*TA_ti!$BE26=0,10000,TA_ti!R26*TA_ti!R$48*TA_ti!$BE26)</f>
        <v>10000</v>
      </c>
      <c r="S26" s="4">
        <f>+IF(TA_ti!S26*TA_ti!S$48*TA_ti!$BE26=0,10000,TA_ti!S26*TA_ti!S$48*TA_ti!$BE26)</f>
        <v>10000</v>
      </c>
      <c r="T26" s="4">
        <f>+IF(TA_ti!T26*TA_ti!T$48*TA_ti!$BE26=0,10000,TA_ti!T26*TA_ti!T$48*TA_ti!$BE26)</f>
        <v>10000</v>
      </c>
      <c r="U26" s="4">
        <f>+IF(TA_ti!U26*TA_ti!U$48*TA_ti!$BE26=0,10000,TA_ti!U26*TA_ti!U$48*TA_ti!$BE26)</f>
        <v>15</v>
      </c>
      <c r="V26" s="4">
        <f>+IF(TA_ti!V26*TA_ti!V$48*TA_ti!$BE26=0,10000,TA_ti!V26*TA_ti!V$48*TA_ti!$BE26)</f>
        <v>10000</v>
      </c>
      <c r="W26" s="4">
        <f>+IF(TA_ti!W26*TA_ti!W$48*TA_ti!$BE26=0,10000,TA_ti!W26*TA_ti!W$48*TA_ti!$BE26)</f>
        <v>10000</v>
      </c>
      <c r="X26" s="4">
        <f>+IF(TA_ti!X26*TA_ti!X$48*TA_ti!$BE26=0,10000,TA_ti!X26*TA_ti!X$48*TA_ti!$BE26)</f>
        <v>10000</v>
      </c>
      <c r="Y26" s="4">
        <f>+IF(TA_ti!Y26*TA_ti!Y$48*TA_ti!$BE26=0,10000,TA_ti!Y26*TA_ti!Y$48*TA_ti!$BE26)</f>
        <v>10000</v>
      </c>
      <c r="Z26" s="4">
        <f>+IF(TA_ti!Z26*TA_ti!Z$48*TA_ti!$BE26=0,10000,TA_ti!Z26*TA_ti!Z$48*TA_ti!$BE26)</f>
        <v>10000</v>
      </c>
      <c r="AA26" s="4">
        <f>+IF(TA_ti!AA26*TA_ti!AA$48*TA_ti!$BE26=0,10000,TA_ti!AA26*TA_ti!AA$48*TA_ti!$BE26)</f>
        <v>10000</v>
      </c>
      <c r="AB26" s="4">
        <f>+IF(TA_ti!AB26*TA_ti!AB$48*TA_ti!$BE26=0,10000,TA_ti!AB26*TA_ti!AB$48*TA_ti!$BE26)</f>
        <v>10000</v>
      </c>
      <c r="AC26" s="4">
        <f>+IF(TA_ti!AC26*TA_ti!AC$48*TA_ti!$BE26=0,10000,TA_ti!AC26*TA_ti!AC$48*TA_ti!$BE26)</f>
        <v>10000</v>
      </c>
      <c r="AD26" s="4">
        <f>+IF(TA_ti!AD26*TA_ti!AD$48*TA_ti!$BE26=0,10000,TA_ti!AD26*TA_ti!AD$48*TA_ti!$BE26)</f>
        <v>10000</v>
      </c>
      <c r="AE26" s="4">
        <f>+IF(TA_ti!AE26*TA_ti!AE$48*TA_ti!$BE26=0,10000,TA_ti!AE26*TA_ti!AE$48*TA_ti!$BE26)</f>
        <v>10000</v>
      </c>
      <c r="AF26" s="4">
        <f>+IF(TA_ti!AF26*TA_ti!AF$48*TA_ti!$BE26=0,10000,TA_ti!AF26*TA_ti!AF$48*TA_ti!$BE26)</f>
        <v>10000</v>
      </c>
      <c r="AG26" s="4">
        <f>+IF(TA_ti!AG26*TA_ti!AG$48*TA_ti!$BE26=0,10000,TA_ti!AG26*TA_ti!AG$48*TA_ti!$BE26)</f>
        <v>10000</v>
      </c>
      <c r="AH26" s="4">
        <f>+IF(TA_ti!AH26*TA_ti!AH$48*TA_ti!$BE26=0,10000,TA_ti!AH26*TA_ti!AH$48*TA_ti!$BE26)</f>
        <v>10000</v>
      </c>
      <c r="AI26" s="4">
        <f>+IF(TA_ti!AI26*TA_ti!AI$48*TA_ti!$BE26=0,10000,TA_ti!AI26*TA_ti!AI$48*TA_ti!$BE26)</f>
        <v>10000</v>
      </c>
      <c r="AJ26" s="4">
        <f>+IF(TA_ti!AJ26*TA_ti!AJ$48*TA_ti!$BE26=0,10000,TA_ti!AJ26*TA_ti!AJ$48*TA_ti!$BE26)</f>
        <v>10000</v>
      </c>
      <c r="AK26" s="4">
        <f>+IF(TA_ti!AK26*TA_ti!AK$48*TA_ti!$BE26=0,10000,TA_ti!AK26*TA_ti!AK$48*TA_ti!$BE26)</f>
        <v>10000</v>
      </c>
      <c r="AL26" s="4">
        <f>+IF(TA_ti!AL26*TA_ti!AL$48*TA_ti!$BE26=0,10000,TA_ti!AL26*TA_ti!AL$48*TA_ti!$BE26)</f>
        <v>10000</v>
      </c>
      <c r="AM26" s="4">
        <f>+IF(TA_ti!AM26*TA_ti!AM$48*TA_ti!$BE26=0,10000,TA_ti!AM26*TA_ti!AM$48*TA_ti!$BE26)</f>
        <v>10000</v>
      </c>
      <c r="AN26" s="4">
        <f>+IF(TA_ti!AN26*TA_ti!AN$48*TA_ti!$BE26=0,10000,TA_ti!AN26*TA_ti!AN$48*TA_ti!$BE26)</f>
        <v>10000</v>
      </c>
      <c r="AO26" s="4">
        <f>+IF(TA_ti!AO26*TA_ti!AO$48*TA_ti!$BE26=0,10000,TA_ti!AO26*TA_ti!AO$48*TA_ti!$BE26)</f>
        <v>10000</v>
      </c>
      <c r="AP26" s="4">
        <f>+IF(TA_ti!AP26*TA_ti!AP$48*TA_ti!$BE26=0,10000,TA_ti!AP26*TA_ti!AP$48*TA_ti!$BE26)</f>
        <v>10000</v>
      </c>
      <c r="AQ26" s="4">
        <f>+IF(TA_ti!AQ26*TA_ti!AQ$48*TA_ti!$BE26=0,10000,TA_ti!AQ26*TA_ti!AQ$48*TA_ti!$BE26)</f>
        <v>10000</v>
      </c>
      <c r="AR26" s="4">
        <f>+IF(TA_ti!AR26*TA_ti!AR$48*TA_ti!$BE26=0,10000,TA_ti!AR26*TA_ti!AR$48*TA_ti!$BE26)</f>
        <v>10000</v>
      </c>
      <c r="AS26" s="4">
        <f>+IF(TA_ti!AS26*TA_ti!AS$48*TA_ti!$BE26=0,10000,TA_ti!AS26*TA_ti!AS$48*TA_ti!$BE26)</f>
        <v>10000</v>
      </c>
      <c r="AT26" s="4">
        <f>+IF(TA_ti!AT26*TA_ti!AT$48*TA_ti!$BE26=0,10000,TA_ti!AT26*TA_ti!AT$48*TA_ti!$BE26)</f>
        <v>10000</v>
      </c>
      <c r="AU26" s="4">
        <f>+IF(TA_ti!AU26*TA_ti!AU$48*TA_ti!$BE26=0,10000,TA_ti!AU26*TA_ti!AU$48*TA_ti!$BE26)</f>
        <v>10000</v>
      </c>
      <c r="AV26" s="4">
        <f>+IF(TA_ti!AV26*TA_ti!AV$48*TA_ti!$BE26=0,10000,TA_ti!AV26*TA_ti!AV$48*TA_ti!$BE26)</f>
        <v>10000</v>
      </c>
      <c r="AW26" s="4">
        <f>+IF(TA_ti!AW26*TA_ti!AW$48*TA_ti!$BE26=0,10000,TA_ti!AW26*TA_ti!AW$48*TA_ti!$BE26)</f>
        <v>10000</v>
      </c>
      <c r="AX26" s="4">
        <f>+IF(TA_ti!AX26*TA_ti!AX$48*TA_ti!$BE26=0,10000,TA_ti!AX26*TA_ti!AX$48*TA_ti!$BE26)</f>
        <v>10000</v>
      </c>
      <c r="AY26" s="4">
        <f>+IF(TA_ti!AY26*TA_ti!AY$48*TA_ti!$BE26=0,10000,TA_ti!AY26*TA_ti!AY$48*TA_ti!$BE26)</f>
        <v>10000</v>
      </c>
      <c r="AZ26" s="4">
        <f>+IF(TA_ti!AZ26*TA_ti!AZ$48*TA_ti!$BE26=0,10000,TA_ti!AZ26*TA_ti!AZ$48*TA_ti!$BE26)</f>
        <v>10000</v>
      </c>
      <c r="BA26" s="4">
        <f>+IF(TA_ti!BA26*TA_ti!BA$48*TA_ti!$BE26=0,10000,TA_ti!BA26*TA_ti!BA$48*TA_ti!$BE26)</f>
        <v>10000</v>
      </c>
      <c r="BB26" s="4">
        <f>+IF(TA_ti!BB26*TA_ti!BB$48*TA_ti!$BE26=0,10000,TA_ti!BB26*TA_ti!BB$48*TA_ti!$BE26)</f>
        <v>10000</v>
      </c>
      <c r="BC26" s="4">
        <f>+IF(TA_ti!BC26*TA_ti!BC$48*TA_ti!$BE26=0,10000,TA_ti!BC26*TA_ti!BC$48*TA_ti!$BE26)</f>
        <v>10000</v>
      </c>
    </row>
    <row r="27" spans="1:55" ht="18.75" customHeight="1" x14ac:dyDescent="0.25">
      <c r="A27" s="5" t="s">
        <v>78</v>
      </c>
      <c r="B27" s="4">
        <f>+IF(TA_ti!B27*TA_ti!B$48*TA_ti!$BE27=0,10000,TA_ti!B27*TA_ti!B$48*TA_ti!$BE27)</f>
        <v>10000</v>
      </c>
      <c r="C27" s="4">
        <f>+IF(TA_ti!C27*TA_ti!C$48*TA_ti!$BE27=0,10000,TA_ti!C27*TA_ti!C$48*TA_ti!$BE27)</f>
        <v>10000</v>
      </c>
      <c r="D27" s="4">
        <f>+IF(TA_ti!D27*TA_ti!D$48*TA_ti!$BE27=0,10000,TA_ti!D27*TA_ti!D$48*TA_ti!$BE27)</f>
        <v>10000</v>
      </c>
      <c r="E27" s="4">
        <f>+IF(TA_ti!E27*TA_ti!E$48*TA_ti!$BE27=0,10000,TA_ti!E27*TA_ti!E$48*TA_ti!$BE27)</f>
        <v>10000</v>
      </c>
      <c r="F27" s="4">
        <f>+IF(TA_ti!F27*TA_ti!F$48*TA_ti!$BE27=0,10000,TA_ti!F27*TA_ti!F$48*TA_ti!$BE27)</f>
        <v>10000</v>
      </c>
      <c r="G27" s="4">
        <f>+IF(TA_ti!G27*TA_ti!G$48*TA_ti!$BE27=0,10000,TA_ti!G27*TA_ti!G$48*TA_ti!$BE27)</f>
        <v>10000</v>
      </c>
      <c r="H27" s="4">
        <f>+IF(TA_ti!H27*TA_ti!H$48*TA_ti!$BE27=0,10000,TA_ti!H27*TA_ti!H$48*TA_ti!$BE27)</f>
        <v>10000</v>
      </c>
      <c r="I27" s="4">
        <f>+IF(TA_ti!I27*TA_ti!I$48*TA_ti!$BE27=0,10000,TA_ti!I27*TA_ti!I$48*TA_ti!$BE27)</f>
        <v>10000</v>
      </c>
      <c r="J27" s="4">
        <f>+IF(TA_ti!J27*TA_ti!J$48*TA_ti!$BE27=0,10000,TA_ti!J27*TA_ti!J$48*TA_ti!$BE27)</f>
        <v>10000</v>
      </c>
      <c r="K27" s="4">
        <f>+IF(TA_ti!K27*TA_ti!K$48*TA_ti!$BE27=0,10000,TA_ti!K27*TA_ti!K$48*TA_ti!$BE27)</f>
        <v>10000</v>
      </c>
      <c r="L27" s="4">
        <f>+IF(TA_ti!L27*TA_ti!L$48*TA_ti!$BE27=0,10000,TA_ti!L27*TA_ti!L$48*TA_ti!$BE27)</f>
        <v>10000</v>
      </c>
      <c r="M27" s="4">
        <f>+IF(TA_ti!M27*TA_ti!M$48*TA_ti!$BE27=0,10000,TA_ti!M27*TA_ti!M$48*TA_ti!$BE27)</f>
        <v>10000</v>
      </c>
      <c r="N27" s="4">
        <f>+IF(TA_ti!N27*TA_ti!N$48*TA_ti!$BE27=0,10000,TA_ti!N27*TA_ti!N$48*TA_ti!$BE27)</f>
        <v>10000</v>
      </c>
      <c r="O27" s="4">
        <f>+IF(TA_ti!O27*TA_ti!O$48*TA_ti!$BE27=0,10000,TA_ti!O27*TA_ti!O$48*TA_ti!$BE27)</f>
        <v>10000</v>
      </c>
      <c r="P27" s="4">
        <f>+IF(TA_ti!P27*TA_ti!P$48*TA_ti!$BE27=0,10000,TA_ti!P27*TA_ti!P$48*TA_ti!$BE27)</f>
        <v>10000</v>
      </c>
      <c r="Q27" s="4">
        <f>+IF(TA_ti!Q27*TA_ti!Q$48*TA_ti!$BE27=0,10000,TA_ti!Q27*TA_ti!Q$48*TA_ti!$BE27)</f>
        <v>10000</v>
      </c>
      <c r="R27" s="4">
        <f>+IF(TA_ti!R27*TA_ti!R$48*TA_ti!$BE27=0,10000,TA_ti!R27*TA_ti!R$48*TA_ti!$BE27)</f>
        <v>10000</v>
      </c>
      <c r="S27" s="4">
        <f>+IF(TA_ti!S27*TA_ti!S$48*TA_ti!$BE27=0,10000,TA_ti!S27*TA_ti!S$48*TA_ti!$BE27)</f>
        <v>10000</v>
      </c>
      <c r="T27" s="4">
        <f>+IF(TA_ti!T27*TA_ti!T$48*TA_ti!$BE27=0,10000,TA_ti!T27*TA_ti!T$48*TA_ti!$BE27)</f>
        <v>10000</v>
      </c>
      <c r="U27" s="4">
        <f>+IF(TA_ti!U27*TA_ti!U$48*TA_ti!$BE27=0,10000,TA_ti!U27*TA_ti!U$48*TA_ti!$BE27)</f>
        <v>15</v>
      </c>
      <c r="V27" s="4">
        <f>+IF(TA_ti!V27*TA_ti!V$48*TA_ti!$BE27=0,10000,TA_ti!V27*TA_ti!V$48*TA_ti!$BE27)</f>
        <v>10000</v>
      </c>
      <c r="W27" s="4">
        <f>+IF(TA_ti!W27*TA_ti!W$48*TA_ti!$BE27=0,10000,TA_ti!W27*TA_ti!W$48*TA_ti!$BE27)</f>
        <v>10000</v>
      </c>
      <c r="X27" s="4">
        <f>+IF(TA_ti!X27*TA_ti!X$48*TA_ti!$BE27=0,10000,TA_ti!X27*TA_ti!X$48*TA_ti!$BE27)</f>
        <v>10000</v>
      </c>
      <c r="Y27" s="4">
        <f>+IF(TA_ti!Y27*TA_ti!Y$48*TA_ti!$BE27=0,10000,TA_ti!Y27*TA_ti!Y$48*TA_ti!$BE27)</f>
        <v>10000</v>
      </c>
      <c r="Z27" s="4">
        <f>+IF(TA_ti!Z27*TA_ti!Z$48*TA_ti!$BE27=0,10000,TA_ti!Z27*TA_ti!Z$48*TA_ti!$BE27)</f>
        <v>10000</v>
      </c>
      <c r="AA27" s="4">
        <f>+IF(TA_ti!AA27*TA_ti!AA$48*TA_ti!$BE27=0,10000,TA_ti!AA27*TA_ti!AA$48*TA_ti!$BE27)</f>
        <v>10000</v>
      </c>
      <c r="AB27" s="4">
        <f>+IF(TA_ti!AB27*TA_ti!AB$48*TA_ti!$BE27=0,10000,TA_ti!AB27*TA_ti!AB$48*TA_ti!$BE27)</f>
        <v>30</v>
      </c>
      <c r="AC27" s="4">
        <f>+IF(TA_ti!AC27*TA_ti!AC$48*TA_ti!$BE27=0,10000,TA_ti!AC27*TA_ti!AC$48*TA_ti!$BE27)</f>
        <v>10000</v>
      </c>
      <c r="AD27" s="4">
        <f>+IF(TA_ti!AD27*TA_ti!AD$48*TA_ti!$BE27=0,10000,TA_ti!AD27*TA_ti!AD$48*TA_ti!$BE27)</f>
        <v>10000</v>
      </c>
      <c r="AE27" s="4">
        <f>+IF(TA_ti!AE27*TA_ti!AE$48*TA_ti!$BE27=0,10000,TA_ti!AE27*TA_ti!AE$48*TA_ti!$BE27)</f>
        <v>10000</v>
      </c>
      <c r="AF27" s="4">
        <f>+IF(TA_ti!AF27*TA_ti!AF$48*TA_ti!$BE27=0,10000,TA_ti!AF27*TA_ti!AF$48*TA_ti!$BE27)</f>
        <v>10000</v>
      </c>
      <c r="AG27" s="4">
        <f>+IF(TA_ti!AG27*TA_ti!AG$48*TA_ti!$BE27=0,10000,TA_ti!AG27*TA_ti!AG$48*TA_ti!$BE27)</f>
        <v>10000</v>
      </c>
      <c r="AH27" s="4">
        <f>+IF(TA_ti!AH27*TA_ti!AH$48*TA_ti!$BE27=0,10000,TA_ti!AH27*TA_ti!AH$48*TA_ti!$BE27)</f>
        <v>10000</v>
      </c>
      <c r="AI27" s="4">
        <f>+IF(TA_ti!AI27*TA_ti!AI$48*TA_ti!$BE27=0,10000,TA_ti!AI27*TA_ti!AI$48*TA_ti!$BE27)</f>
        <v>10000</v>
      </c>
      <c r="AJ27" s="4">
        <f>+IF(TA_ti!AJ27*TA_ti!AJ$48*TA_ti!$BE27=0,10000,TA_ti!AJ27*TA_ti!AJ$48*TA_ti!$BE27)</f>
        <v>10000</v>
      </c>
      <c r="AK27" s="4">
        <f>+IF(TA_ti!AK27*TA_ti!AK$48*TA_ti!$BE27=0,10000,TA_ti!AK27*TA_ti!AK$48*TA_ti!$BE27)</f>
        <v>10000</v>
      </c>
      <c r="AL27" s="4">
        <f>+IF(TA_ti!AL27*TA_ti!AL$48*TA_ti!$BE27=0,10000,TA_ti!AL27*TA_ti!AL$48*TA_ti!$BE27)</f>
        <v>10000</v>
      </c>
      <c r="AM27" s="4">
        <f>+IF(TA_ti!AM27*TA_ti!AM$48*TA_ti!$BE27=0,10000,TA_ti!AM27*TA_ti!AM$48*TA_ti!$BE27)</f>
        <v>10000</v>
      </c>
      <c r="AN27" s="4">
        <f>+IF(TA_ti!AN27*TA_ti!AN$48*TA_ti!$BE27=0,10000,TA_ti!AN27*TA_ti!AN$48*TA_ti!$BE27)</f>
        <v>10000</v>
      </c>
      <c r="AO27" s="4">
        <f>+IF(TA_ti!AO27*TA_ti!AO$48*TA_ti!$BE27=0,10000,TA_ti!AO27*TA_ti!AO$48*TA_ti!$BE27)</f>
        <v>10000</v>
      </c>
      <c r="AP27" s="4">
        <f>+IF(TA_ti!AP27*TA_ti!AP$48*TA_ti!$BE27=0,10000,TA_ti!AP27*TA_ti!AP$48*TA_ti!$BE27)</f>
        <v>10000</v>
      </c>
      <c r="AQ27" s="4">
        <f>+IF(TA_ti!AQ27*TA_ti!AQ$48*TA_ti!$BE27=0,10000,TA_ti!AQ27*TA_ti!AQ$48*TA_ti!$BE27)</f>
        <v>10000</v>
      </c>
      <c r="AR27" s="4">
        <f>+IF(TA_ti!AR27*TA_ti!AR$48*TA_ti!$BE27=0,10000,TA_ti!AR27*TA_ti!AR$48*TA_ti!$BE27)</f>
        <v>10000</v>
      </c>
      <c r="AS27" s="4">
        <f>+IF(TA_ti!AS27*TA_ti!AS$48*TA_ti!$BE27=0,10000,TA_ti!AS27*TA_ti!AS$48*TA_ti!$BE27)</f>
        <v>10000</v>
      </c>
      <c r="AT27" s="4">
        <f>+IF(TA_ti!AT27*TA_ti!AT$48*TA_ti!$BE27=0,10000,TA_ti!AT27*TA_ti!AT$48*TA_ti!$BE27)</f>
        <v>10000</v>
      </c>
      <c r="AU27" s="4">
        <f>+IF(TA_ti!AU27*TA_ti!AU$48*TA_ti!$BE27=0,10000,TA_ti!AU27*TA_ti!AU$48*TA_ti!$BE27)</f>
        <v>10000</v>
      </c>
      <c r="AV27" s="4">
        <f>+IF(TA_ti!AV27*TA_ti!AV$48*TA_ti!$BE27=0,10000,TA_ti!AV27*TA_ti!AV$48*TA_ti!$BE27)</f>
        <v>10000</v>
      </c>
      <c r="AW27" s="4">
        <f>+IF(TA_ti!AW27*TA_ti!AW$48*TA_ti!$BE27=0,10000,TA_ti!AW27*TA_ti!AW$48*TA_ti!$BE27)</f>
        <v>10000</v>
      </c>
      <c r="AX27" s="4">
        <f>+IF(TA_ti!AX27*TA_ti!AX$48*TA_ti!$BE27=0,10000,TA_ti!AX27*TA_ti!AX$48*TA_ti!$BE27)</f>
        <v>10000</v>
      </c>
      <c r="AY27" s="4">
        <f>+IF(TA_ti!AY27*TA_ti!AY$48*TA_ti!$BE27=0,10000,TA_ti!AY27*TA_ti!AY$48*TA_ti!$BE27)</f>
        <v>10000</v>
      </c>
      <c r="AZ27" s="4">
        <f>+IF(TA_ti!AZ27*TA_ti!AZ$48*TA_ti!$BE27=0,10000,TA_ti!AZ27*TA_ti!AZ$48*TA_ti!$BE27)</f>
        <v>10000</v>
      </c>
      <c r="BA27" s="4">
        <f>+IF(TA_ti!BA27*TA_ti!BA$48*TA_ti!$BE27=0,10000,TA_ti!BA27*TA_ti!BA$48*TA_ti!$BE27)</f>
        <v>10000</v>
      </c>
      <c r="BB27" s="4">
        <f>+IF(TA_ti!BB27*TA_ti!BB$48*TA_ti!$BE27=0,10000,TA_ti!BB27*TA_ti!BB$48*TA_ti!$BE27)</f>
        <v>10000</v>
      </c>
      <c r="BC27" s="4">
        <f>+IF(TA_ti!BC27*TA_ti!BC$48*TA_ti!$BE27=0,10000,TA_ti!BC27*TA_ti!BC$48*TA_ti!$BE27)</f>
        <v>10000</v>
      </c>
    </row>
    <row r="28" spans="1:55" ht="18.75" customHeight="1" x14ac:dyDescent="0.25">
      <c r="A28" s="5" t="s">
        <v>79</v>
      </c>
      <c r="B28" s="4">
        <f>+IF(TA_ti!B28*TA_ti!B$48*TA_ti!$BE28=0,10000,TA_ti!B28*TA_ti!B$48*TA_ti!$BE28)</f>
        <v>10000</v>
      </c>
      <c r="C28" s="4">
        <f>+IF(TA_ti!C28*TA_ti!C$48*TA_ti!$BE28=0,10000,TA_ti!C28*TA_ti!C$48*TA_ti!$BE28)</f>
        <v>10000</v>
      </c>
      <c r="D28" s="4">
        <f>+IF(TA_ti!D28*TA_ti!D$48*TA_ti!$BE28=0,10000,TA_ti!D28*TA_ti!D$48*TA_ti!$BE28)</f>
        <v>10000</v>
      </c>
      <c r="E28" s="4">
        <f>+IF(TA_ti!E28*TA_ti!E$48*TA_ti!$BE28=0,10000,TA_ti!E28*TA_ti!E$48*TA_ti!$BE28)</f>
        <v>10000</v>
      </c>
      <c r="F28" s="4">
        <f>+IF(TA_ti!F28*TA_ti!F$48*TA_ti!$BE28=0,10000,TA_ti!F28*TA_ti!F$48*TA_ti!$BE28)</f>
        <v>10000</v>
      </c>
      <c r="G28" s="4">
        <f>+IF(TA_ti!G28*TA_ti!G$48*TA_ti!$BE28=0,10000,TA_ti!G28*TA_ti!G$48*TA_ti!$BE28)</f>
        <v>10000</v>
      </c>
      <c r="H28" s="4">
        <f>+IF(TA_ti!H28*TA_ti!H$48*TA_ti!$BE28=0,10000,TA_ti!H28*TA_ti!H$48*TA_ti!$BE28)</f>
        <v>10000</v>
      </c>
      <c r="I28" s="4">
        <f>+IF(TA_ti!I28*TA_ti!I$48*TA_ti!$BE28=0,10000,TA_ti!I28*TA_ti!I$48*TA_ti!$BE28)</f>
        <v>10000</v>
      </c>
      <c r="J28" s="4">
        <f>+IF(TA_ti!J28*TA_ti!J$48*TA_ti!$BE28=0,10000,TA_ti!J28*TA_ti!J$48*TA_ti!$BE28)</f>
        <v>10000</v>
      </c>
      <c r="K28" s="4">
        <f>+IF(TA_ti!K28*TA_ti!K$48*TA_ti!$BE28=0,10000,TA_ti!K28*TA_ti!K$48*TA_ti!$BE28)</f>
        <v>10000</v>
      </c>
      <c r="L28" s="4">
        <f>+IF(TA_ti!L28*TA_ti!L$48*TA_ti!$BE28=0,10000,TA_ti!L28*TA_ti!L$48*TA_ti!$BE28)</f>
        <v>10000</v>
      </c>
      <c r="M28" s="4">
        <f>+IF(TA_ti!M28*TA_ti!M$48*TA_ti!$BE28=0,10000,TA_ti!M28*TA_ti!M$48*TA_ti!$BE28)</f>
        <v>12</v>
      </c>
      <c r="N28" s="4">
        <f>+IF(TA_ti!N28*TA_ti!N$48*TA_ti!$BE28=0,10000,TA_ti!N28*TA_ti!N$48*TA_ti!$BE28)</f>
        <v>10000</v>
      </c>
      <c r="O28" s="4">
        <f>+IF(TA_ti!O28*TA_ti!O$48*TA_ti!$BE28=0,10000,TA_ti!O28*TA_ti!O$48*TA_ti!$BE28)</f>
        <v>10000</v>
      </c>
      <c r="P28" s="4">
        <f>+IF(TA_ti!P28*TA_ti!P$48*TA_ti!$BE28=0,10000,TA_ti!P28*TA_ti!P$48*TA_ti!$BE28)</f>
        <v>10000</v>
      </c>
      <c r="Q28" s="4">
        <f>+IF(TA_ti!Q28*TA_ti!Q$48*TA_ti!$BE28=0,10000,TA_ti!Q28*TA_ti!Q$48*TA_ti!$BE28)</f>
        <v>10000</v>
      </c>
      <c r="R28" s="4">
        <f>+IF(TA_ti!R28*TA_ti!R$48*TA_ti!$BE28=0,10000,TA_ti!R28*TA_ti!R$48*TA_ti!$BE28)</f>
        <v>10000</v>
      </c>
      <c r="S28" s="4">
        <f>+IF(TA_ti!S28*TA_ti!S$48*TA_ti!$BE28=0,10000,TA_ti!S28*TA_ti!S$48*TA_ti!$BE28)</f>
        <v>10000</v>
      </c>
      <c r="T28" s="4">
        <f>+IF(TA_ti!T28*TA_ti!T$48*TA_ti!$BE28=0,10000,TA_ti!T28*TA_ti!T$48*TA_ti!$BE28)</f>
        <v>15</v>
      </c>
      <c r="U28" s="4">
        <f>+IF(TA_ti!U28*TA_ti!U$48*TA_ti!$BE28=0,10000,TA_ti!U28*TA_ti!U$48*TA_ti!$BE28)</f>
        <v>15</v>
      </c>
      <c r="V28" s="4">
        <f>+IF(TA_ti!V28*TA_ti!V$48*TA_ti!$BE28=0,10000,TA_ti!V28*TA_ti!V$48*TA_ti!$BE28)</f>
        <v>10000</v>
      </c>
      <c r="W28" s="4">
        <f>+IF(TA_ti!W28*TA_ti!W$48*TA_ti!$BE28=0,10000,TA_ti!W28*TA_ti!W$48*TA_ti!$BE28)</f>
        <v>10000</v>
      </c>
      <c r="X28" s="4">
        <f>+IF(TA_ti!X28*TA_ti!X$48*TA_ti!$BE28=0,10000,TA_ti!X28*TA_ti!X$48*TA_ti!$BE28)</f>
        <v>20</v>
      </c>
      <c r="Y28" s="4">
        <f>+IF(TA_ti!Y28*TA_ti!Y$48*TA_ti!$BE28=0,10000,TA_ti!Y28*TA_ti!Y$48*TA_ti!$BE28)</f>
        <v>10000</v>
      </c>
      <c r="Z28" s="4">
        <f>+IF(TA_ti!Z28*TA_ti!Z$48*TA_ti!$BE28=0,10000,TA_ti!Z28*TA_ti!Z$48*TA_ti!$BE28)</f>
        <v>10000</v>
      </c>
      <c r="AA28" s="4">
        <f>+IF(TA_ti!AA28*TA_ti!AA$48*TA_ti!$BE28=0,10000,TA_ti!AA28*TA_ti!AA$48*TA_ti!$BE28)</f>
        <v>10000</v>
      </c>
      <c r="AB28" s="4">
        <f>+IF(TA_ti!AB28*TA_ti!AB$48*TA_ti!$BE28=0,10000,TA_ti!AB28*TA_ti!AB$48*TA_ti!$BE28)</f>
        <v>30</v>
      </c>
      <c r="AC28" s="4">
        <f>+IF(TA_ti!AC28*TA_ti!AC$48*TA_ti!$BE28=0,10000,TA_ti!AC28*TA_ti!AC$48*TA_ti!$BE28)</f>
        <v>10000</v>
      </c>
      <c r="AD28" s="4">
        <f>+IF(TA_ti!AD28*TA_ti!AD$48*TA_ti!$BE28=0,10000,TA_ti!AD28*TA_ti!AD$48*TA_ti!$BE28)</f>
        <v>10000</v>
      </c>
      <c r="AE28" s="4">
        <f>+IF(TA_ti!AE28*TA_ti!AE$48*TA_ti!$BE28=0,10000,TA_ti!AE28*TA_ti!AE$48*TA_ti!$BE28)</f>
        <v>10000</v>
      </c>
      <c r="AF28" s="4">
        <f>+IF(TA_ti!AF28*TA_ti!AF$48*TA_ti!$BE28=0,10000,TA_ti!AF28*TA_ti!AF$48*TA_ti!$BE28)</f>
        <v>10000</v>
      </c>
      <c r="AG28" s="4">
        <f>+IF(TA_ti!AG28*TA_ti!AG$48*TA_ti!$BE28=0,10000,TA_ti!AG28*TA_ti!AG$48*TA_ti!$BE28)</f>
        <v>10000</v>
      </c>
      <c r="AH28" s="4">
        <f>+IF(TA_ti!AH28*TA_ti!AH$48*TA_ti!$BE28=0,10000,TA_ti!AH28*TA_ti!AH$48*TA_ti!$BE28)</f>
        <v>10000</v>
      </c>
      <c r="AI28" s="4">
        <f>+IF(TA_ti!AI28*TA_ti!AI$48*TA_ti!$BE28=0,10000,TA_ti!AI28*TA_ti!AI$48*TA_ti!$BE28)</f>
        <v>10000</v>
      </c>
      <c r="AJ28" s="4">
        <f>+IF(TA_ti!AJ28*TA_ti!AJ$48*TA_ti!$BE28=0,10000,TA_ti!AJ28*TA_ti!AJ$48*TA_ti!$BE28)</f>
        <v>10000</v>
      </c>
      <c r="AK28" s="4">
        <f>+IF(TA_ti!AK28*TA_ti!AK$48*TA_ti!$BE28=0,10000,TA_ti!AK28*TA_ti!AK$48*TA_ti!$BE28)</f>
        <v>10000</v>
      </c>
      <c r="AL28" s="4">
        <f>+IF(TA_ti!AL28*TA_ti!AL$48*TA_ti!$BE28=0,10000,TA_ti!AL28*TA_ti!AL$48*TA_ti!$BE28)</f>
        <v>10000</v>
      </c>
      <c r="AM28" s="4">
        <f>+IF(TA_ti!AM28*TA_ti!AM$48*TA_ti!$BE28=0,10000,TA_ti!AM28*TA_ti!AM$48*TA_ti!$BE28)</f>
        <v>10000</v>
      </c>
      <c r="AN28" s="4">
        <f>+IF(TA_ti!AN28*TA_ti!AN$48*TA_ti!$BE28=0,10000,TA_ti!AN28*TA_ti!AN$48*TA_ti!$BE28)</f>
        <v>10000</v>
      </c>
      <c r="AO28" s="4">
        <f>+IF(TA_ti!AO28*TA_ti!AO$48*TA_ti!$BE28=0,10000,TA_ti!AO28*TA_ti!AO$48*TA_ti!$BE28)</f>
        <v>10000</v>
      </c>
      <c r="AP28" s="4">
        <f>+IF(TA_ti!AP28*TA_ti!AP$48*TA_ti!$BE28=0,10000,TA_ti!AP28*TA_ti!AP$48*TA_ti!$BE28)</f>
        <v>10000</v>
      </c>
      <c r="AQ28" s="4">
        <f>+IF(TA_ti!AQ28*TA_ti!AQ$48*TA_ti!$BE28=0,10000,TA_ti!AQ28*TA_ti!AQ$48*TA_ti!$BE28)</f>
        <v>10000</v>
      </c>
      <c r="AR28" s="4">
        <f>+IF(TA_ti!AR28*TA_ti!AR$48*TA_ti!$BE28=0,10000,TA_ti!AR28*TA_ti!AR$48*TA_ti!$BE28)</f>
        <v>10000</v>
      </c>
      <c r="AS28" s="4">
        <f>+IF(TA_ti!AS28*TA_ti!AS$48*TA_ti!$BE28=0,10000,TA_ti!AS28*TA_ti!AS$48*TA_ti!$BE28)</f>
        <v>10000</v>
      </c>
      <c r="AT28" s="4">
        <f>+IF(TA_ti!AT28*TA_ti!AT$48*TA_ti!$BE28=0,10000,TA_ti!AT28*TA_ti!AT$48*TA_ti!$BE28)</f>
        <v>10000</v>
      </c>
      <c r="AU28" s="4">
        <f>+IF(TA_ti!AU28*TA_ti!AU$48*TA_ti!$BE28=0,10000,TA_ti!AU28*TA_ti!AU$48*TA_ti!$BE28)</f>
        <v>10000</v>
      </c>
      <c r="AV28" s="4">
        <f>+IF(TA_ti!AV28*TA_ti!AV$48*TA_ti!$BE28=0,10000,TA_ti!AV28*TA_ti!AV$48*TA_ti!$BE28)</f>
        <v>10000</v>
      </c>
      <c r="AW28" s="4">
        <f>+IF(TA_ti!AW28*TA_ti!AW$48*TA_ti!$BE28=0,10000,TA_ti!AW28*TA_ti!AW$48*TA_ti!$BE28)</f>
        <v>10000</v>
      </c>
      <c r="AX28" s="4">
        <f>+IF(TA_ti!AX28*TA_ti!AX$48*TA_ti!$BE28=0,10000,TA_ti!AX28*TA_ti!AX$48*TA_ti!$BE28)</f>
        <v>10000</v>
      </c>
      <c r="AY28" s="4">
        <f>+IF(TA_ti!AY28*TA_ti!AY$48*TA_ti!$BE28=0,10000,TA_ti!AY28*TA_ti!AY$48*TA_ti!$BE28)</f>
        <v>10000</v>
      </c>
      <c r="AZ28" s="4">
        <f>+IF(TA_ti!AZ28*TA_ti!AZ$48*TA_ti!$BE28=0,10000,TA_ti!AZ28*TA_ti!AZ$48*TA_ti!$BE28)</f>
        <v>10000</v>
      </c>
      <c r="BA28" s="4">
        <f>+IF(TA_ti!BA28*TA_ti!BA$48*TA_ti!$BE28=0,10000,TA_ti!BA28*TA_ti!BA$48*TA_ti!$BE28)</f>
        <v>10000</v>
      </c>
      <c r="BB28" s="4">
        <f>+IF(TA_ti!BB28*TA_ti!BB$48*TA_ti!$BE28=0,10000,TA_ti!BB28*TA_ti!BB$48*TA_ti!$BE28)</f>
        <v>10000</v>
      </c>
      <c r="BC28" s="4">
        <f>+IF(TA_ti!BC28*TA_ti!BC$48*TA_ti!$BE28=0,10000,TA_ti!BC28*TA_ti!BC$48*TA_ti!$BE28)</f>
        <v>10000</v>
      </c>
    </row>
    <row r="29" spans="1:55" ht="18.75" customHeight="1" x14ac:dyDescent="0.25">
      <c r="A29" s="5" t="s">
        <v>80</v>
      </c>
      <c r="B29" s="4">
        <f>+IF(TA_ti!B29*TA_ti!B$48*TA_ti!$BE29=0,10000,TA_ti!B29*TA_ti!B$48*TA_ti!$BE29)</f>
        <v>10000</v>
      </c>
      <c r="C29" s="4">
        <f>+IF(TA_ti!C29*TA_ti!C$48*TA_ti!$BE29=0,10000,TA_ti!C29*TA_ti!C$48*TA_ti!$BE29)</f>
        <v>10000</v>
      </c>
      <c r="D29" s="4">
        <f>+IF(TA_ti!D29*TA_ti!D$48*TA_ti!$BE29=0,10000,TA_ti!D29*TA_ti!D$48*TA_ti!$BE29)</f>
        <v>10000</v>
      </c>
      <c r="E29" s="4">
        <f>+IF(TA_ti!E29*TA_ti!E$48*TA_ti!$BE29=0,10000,TA_ti!E29*TA_ti!E$48*TA_ti!$BE29)</f>
        <v>10000</v>
      </c>
      <c r="F29" s="4">
        <f>+IF(TA_ti!F29*TA_ti!F$48*TA_ti!$BE29=0,10000,TA_ti!F29*TA_ti!F$48*TA_ti!$BE29)</f>
        <v>10000</v>
      </c>
      <c r="G29" s="4">
        <f>+IF(TA_ti!G29*TA_ti!G$48*TA_ti!$BE29=0,10000,TA_ti!G29*TA_ti!G$48*TA_ti!$BE29)</f>
        <v>10000</v>
      </c>
      <c r="H29" s="4">
        <f>+IF(TA_ti!H29*TA_ti!H$48*TA_ti!$BE29=0,10000,TA_ti!H29*TA_ti!H$48*TA_ti!$BE29)</f>
        <v>10000</v>
      </c>
      <c r="I29" s="4">
        <f>+IF(TA_ti!I29*TA_ti!I$48*TA_ti!$BE29=0,10000,TA_ti!I29*TA_ti!I$48*TA_ti!$BE29)</f>
        <v>10000</v>
      </c>
      <c r="J29" s="4">
        <f>+IF(TA_ti!J29*TA_ti!J$48*TA_ti!$BE29=0,10000,TA_ti!J29*TA_ti!J$48*TA_ti!$BE29)</f>
        <v>10000</v>
      </c>
      <c r="K29" s="4">
        <f>+IF(TA_ti!K29*TA_ti!K$48*TA_ti!$BE29=0,10000,TA_ti!K29*TA_ti!K$48*TA_ti!$BE29)</f>
        <v>10000</v>
      </c>
      <c r="L29" s="4">
        <f>+IF(TA_ti!L29*TA_ti!L$48*TA_ti!$BE29=0,10000,TA_ti!L29*TA_ti!L$48*TA_ti!$BE29)</f>
        <v>10000</v>
      </c>
      <c r="M29" s="4">
        <f>+IF(TA_ti!M29*TA_ti!M$48*TA_ti!$BE29=0,10000,TA_ti!M29*TA_ti!M$48*TA_ti!$BE29)</f>
        <v>10000</v>
      </c>
      <c r="N29" s="4">
        <f>+IF(TA_ti!N29*TA_ti!N$48*TA_ti!$BE29=0,10000,TA_ti!N29*TA_ti!N$48*TA_ti!$BE29)</f>
        <v>10000</v>
      </c>
      <c r="O29" s="4">
        <f>+IF(TA_ti!O29*TA_ti!O$48*TA_ti!$BE29=0,10000,TA_ti!O29*TA_ti!O$48*TA_ti!$BE29)</f>
        <v>10000</v>
      </c>
      <c r="P29" s="4">
        <f>+IF(TA_ti!P29*TA_ti!P$48*TA_ti!$BE29=0,10000,TA_ti!P29*TA_ti!P$48*TA_ti!$BE29)</f>
        <v>10000</v>
      </c>
      <c r="Q29" s="4">
        <f>+IF(TA_ti!Q29*TA_ti!Q$48*TA_ti!$BE29=0,10000,TA_ti!Q29*TA_ti!Q$48*TA_ti!$BE29)</f>
        <v>10000</v>
      </c>
      <c r="R29" s="4">
        <f>+IF(TA_ti!R29*TA_ti!R$48*TA_ti!$BE29=0,10000,TA_ti!R29*TA_ti!R$48*TA_ti!$BE29)</f>
        <v>10000</v>
      </c>
      <c r="S29" s="4">
        <f>+IF(TA_ti!S29*TA_ti!S$48*TA_ti!$BE29=0,10000,TA_ti!S29*TA_ti!S$48*TA_ti!$BE29)</f>
        <v>10000</v>
      </c>
      <c r="T29" s="4">
        <f>+IF(TA_ti!T29*TA_ti!T$48*TA_ti!$BE29=0,10000,TA_ti!T29*TA_ti!T$48*TA_ti!$BE29)</f>
        <v>10000</v>
      </c>
      <c r="U29" s="4">
        <f>+IF(TA_ti!U29*TA_ti!U$48*TA_ti!$BE29=0,10000,TA_ti!U29*TA_ti!U$48*TA_ti!$BE29)</f>
        <v>10000</v>
      </c>
      <c r="V29" s="4">
        <f>+IF(TA_ti!V29*TA_ti!V$48*TA_ti!$BE29=0,10000,TA_ti!V29*TA_ti!V$48*TA_ti!$BE29)</f>
        <v>10000</v>
      </c>
      <c r="W29" s="4">
        <f>+IF(TA_ti!W29*TA_ti!W$48*TA_ti!$BE29=0,10000,TA_ti!W29*TA_ti!W$48*TA_ti!$BE29)</f>
        <v>10000</v>
      </c>
      <c r="X29" s="4">
        <f>+IF(TA_ti!X29*TA_ti!X$48*TA_ti!$BE29=0,10000,TA_ti!X29*TA_ti!X$48*TA_ti!$BE29)</f>
        <v>10000</v>
      </c>
      <c r="Y29" s="4">
        <f>+IF(TA_ti!Y29*TA_ti!Y$48*TA_ti!$BE29=0,10000,TA_ti!Y29*TA_ti!Y$48*TA_ti!$BE29)</f>
        <v>10000</v>
      </c>
      <c r="Z29" s="4">
        <f>+IF(TA_ti!Z29*TA_ti!Z$48*TA_ti!$BE29=0,10000,TA_ti!Z29*TA_ti!Z$48*TA_ti!$BE29)</f>
        <v>10000</v>
      </c>
      <c r="AA29" s="4">
        <f>+IF(TA_ti!AA29*TA_ti!AA$48*TA_ti!$BE29=0,10000,TA_ti!AA29*TA_ti!AA$48*TA_ti!$BE29)</f>
        <v>10000</v>
      </c>
      <c r="AB29" s="4">
        <f>+IF(TA_ti!AB29*TA_ti!AB$48*TA_ti!$BE29=0,10000,TA_ti!AB29*TA_ti!AB$48*TA_ti!$BE29)</f>
        <v>10000</v>
      </c>
      <c r="AC29" s="4">
        <f>+IF(TA_ti!AC29*TA_ti!AC$48*TA_ti!$BE29=0,10000,TA_ti!AC29*TA_ti!AC$48*TA_ti!$BE29)</f>
        <v>10000</v>
      </c>
      <c r="AD29" s="4">
        <f>+IF(TA_ti!AD29*TA_ti!AD$48*TA_ti!$BE29=0,10000,TA_ti!AD29*TA_ti!AD$48*TA_ti!$BE29)</f>
        <v>10000</v>
      </c>
      <c r="AE29" s="4">
        <f>+IF(TA_ti!AE29*TA_ti!AE$48*TA_ti!$BE29=0,10000,TA_ti!AE29*TA_ti!AE$48*TA_ti!$BE29)</f>
        <v>10000</v>
      </c>
      <c r="AF29" s="4">
        <f>+IF(TA_ti!AF29*TA_ti!AF$48*TA_ti!$BE29=0,10000,TA_ti!AF29*TA_ti!AF$48*TA_ti!$BE29)</f>
        <v>10000</v>
      </c>
      <c r="AG29" s="4">
        <f>+IF(TA_ti!AG29*TA_ti!AG$48*TA_ti!$BE29=0,10000,TA_ti!AG29*TA_ti!AG$48*TA_ti!$BE29)</f>
        <v>10000</v>
      </c>
      <c r="AH29" s="4">
        <f>+IF(TA_ti!AH29*TA_ti!AH$48*TA_ti!$BE29=0,10000,TA_ti!AH29*TA_ti!AH$48*TA_ti!$BE29)</f>
        <v>10000</v>
      </c>
      <c r="AI29" s="4">
        <f>+IF(TA_ti!AI29*TA_ti!AI$48*TA_ti!$BE29=0,10000,TA_ti!AI29*TA_ti!AI$48*TA_ti!$BE29)</f>
        <v>10000</v>
      </c>
      <c r="AJ29" s="4">
        <f>+IF(TA_ti!AJ29*TA_ti!AJ$48*TA_ti!$BE29=0,10000,TA_ti!AJ29*TA_ti!AJ$48*TA_ti!$BE29)</f>
        <v>10000</v>
      </c>
      <c r="AK29" s="4">
        <f>+IF(TA_ti!AK29*TA_ti!AK$48*TA_ti!$BE29=0,10000,TA_ti!AK29*TA_ti!AK$48*TA_ti!$BE29)</f>
        <v>10000</v>
      </c>
      <c r="AL29" s="4">
        <f>+IF(TA_ti!AL29*TA_ti!AL$48*TA_ti!$BE29=0,10000,TA_ti!AL29*TA_ti!AL$48*TA_ti!$BE29)</f>
        <v>10000</v>
      </c>
      <c r="AM29" s="4">
        <f>+IF(TA_ti!AM29*TA_ti!AM$48*TA_ti!$BE29=0,10000,TA_ti!AM29*TA_ti!AM$48*TA_ti!$BE29)</f>
        <v>10000</v>
      </c>
      <c r="AN29" s="4">
        <f>+IF(TA_ti!AN29*TA_ti!AN$48*TA_ti!$BE29=0,10000,TA_ti!AN29*TA_ti!AN$48*TA_ti!$BE29)</f>
        <v>10000</v>
      </c>
      <c r="AO29" s="4">
        <f>+IF(TA_ti!AO29*TA_ti!AO$48*TA_ti!$BE29=0,10000,TA_ti!AO29*TA_ti!AO$48*TA_ti!$BE29)</f>
        <v>10000</v>
      </c>
      <c r="AP29" s="4">
        <f>+IF(TA_ti!AP29*TA_ti!AP$48*TA_ti!$BE29=0,10000,TA_ti!AP29*TA_ti!AP$48*TA_ti!$BE29)</f>
        <v>10000</v>
      </c>
      <c r="AQ29" s="4">
        <f>+IF(TA_ti!AQ29*TA_ti!AQ$48*TA_ti!$BE29=0,10000,TA_ti!AQ29*TA_ti!AQ$48*TA_ti!$BE29)</f>
        <v>10000</v>
      </c>
      <c r="AR29" s="4">
        <f>+IF(TA_ti!AR29*TA_ti!AR$48*TA_ti!$BE29=0,10000,TA_ti!AR29*TA_ti!AR$48*TA_ti!$BE29)</f>
        <v>10000</v>
      </c>
      <c r="AS29" s="4">
        <f>+IF(TA_ti!AS29*TA_ti!AS$48*TA_ti!$BE29=0,10000,TA_ti!AS29*TA_ti!AS$48*TA_ti!$BE29)</f>
        <v>10000</v>
      </c>
      <c r="AT29" s="4">
        <f>+IF(TA_ti!AT29*TA_ti!AT$48*TA_ti!$BE29=0,10000,TA_ti!AT29*TA_ti!AT$48*TA_ti!$BE29)</f>
        <v>10000</v>
      </c>
      <c r="AU29" s="4">
        <f>+IF(TA_ti!AU29*TA_ti!AU$48*TA_ti!$BE29=0,10000,TA_ti!AU29*TA_ti!AU$48*TA_ti!$BE29)</f>
        <v>10000</v>
      </c>
      <c r="AV29" s="4">
        <f>+IF(TA_ti!AV29*TA_ti!AV$48*TA_ti!$BE29=0,10000,TA_ti!AV29*TA_ti!AV$48*TA_ti!$BE29)</f>
        <v>10000</v>
      </c>
      <c r="AW29" s="4">
        <f>+IF(TA_ti!AW29*TA_ti!AW$48*TA_ti!$BE29=0,10000,TA_ti!AW29*TA_ti!AW$48*TA_ti!$BE29)</f>
        <v>10000</v>
      </c>
      <c r="AX29" s="4">
        <f>+IF(TA_ti!AX29*TA_ti!AX$48*TA_ti!$BE29=0,10000,TA_ti!AX29*TA_ti!AX$48*TA_ti!$BE29)</f>
        <v>10000</v>
      </c>
      <c r="AY29" s="4">
        <f>+IF(TA_ti!AY29*TA_ti!AY$48*TA_ti!$BE29=0,10000,TA_ti!AY29*TA_ti!AY$48*TA_ti!$BE29)</f>
        <v>10000</v>
      </c>
      <c r="AZ29" s="4">
        <f>+IF(TA_ti!AZ29*TA_ti!AZ$48*TA_ti!$BE29=0,10000,TA_ti!AZ29*TA_ti!AZ$48*TA_ti!$BE29)</f>
        <v>10000</v>
      </c>
      <c r="BA29" s="4">
        <f>+IF(TA_ti!BA29*TA_ti!BA$48*TA_ti!$BE29=0,10000,TA_ti!BA29*TA_ti!BA$48*TA_ti!$BE29)</f>
        <v>10000</v>
      </c>
      <c r="BB29" s="4">
        <f>+IF(TA_ti!BB29*TA_ti!BB$48*TA_ti!$BE29=0,10000,TA_ti!BB29*TA_ti!BB$48*TA_ti!$BE29)</f>
        <v>10000</v>
      </c>
      <c r="BC29" s="4">
        <f>+IF(TA_ti!BC29*TA_ti!BC$48*TA_ti!$BE29=0,10000,TA_ti!BC29*TA_ti!BC$48*TA_ti!$BE29)</f>
        <v>10000</v>
      </c>
    </row>
    <row r="30" spans="1:55" ht="18.75" customHeight="1" x14ac:dyDescent="0.25">
      <c r="A30" s="5" t="s">
        <v>81</v>
      </c>
      <c r="B30" s="4">
        <f>+IF(TA_ti!B30*TA_ti!B$48*TA_ti!$BE30=0,10000,TA_ti!B30*TA_ti!B$48*TA_ti!$BE30)</f>
        <v>10000</v>
      </c>
      <c r="C30" s="4">
        <f>+IF(TA_ti!C30*TA_ti!C$48*TA_ti!$BE30=0,10000,TA_ti!C30*TA_ti!C$48*TA_ti!$BE30)</f>
        <v>10000</v>
      </c>
      <c r="D30" s="4">
        <f>+IF(TA_ti!D30*TA_ti!D$48*TA_ti!$BE30=0,10000,TA_ti!D30*TA_ti!D$48*TA_ti!$BE30)</f>
        <v>10000</v>
      </c>
      <c r="E30" s="4">
        <f>+IF(TA_ti!E30*TA_ti!E$48*TA_ti!$BE30=0,10000,TA_ti!E30*TA_ti!E$48*TA_ti!$BE30)</f>
        <v>10000</v>
      </c>
      <c r="F30" s="4">
        <f>+IF(TA_ti!F30*TA_ti!F$48*TA_ti!$BE30=0,10000,TA_ti!F30*TA_ti!F$48*TA_ti!$BE30)</f>
        <v>10000</v>
      </c>
      <c r="G30" s="4">
        <f>+IF(TA_ti!G30*TA_ti!G$48*TA_ti!$BE30=0,10000,TA_ti!G30*TA_ti!G$48*TA_ti!$BE30)</f>
        <v>10000</v>
      </c>
      <c r="H30" s="4">
        <f>+IF(TA_ti!H30*TA_ti!H$48*TA_ti!$BE30=0,10000,TA_ti!H30*TA_ti!H$48*TA_ti!$BE30)</f>
        <v>10000</v>
      </c>
      <c r="I30" s="4">
        <f>+IF(TA_ti!I30*TA_ti!I$48*TA_ti!$BE30=0,10000,TA_ti!I30*TA_ti!I$48*TA_ti!$BE30)</f>
        <v>10000</v>
      </c>
      <c r="J30" s="4">
        <f>+IF(TA_ti!J30*TA_ti!J$48*TA_ti!$BE30=0,10000,TA_ti!J30*TA_ti!J$48*TA_ti!$BE30)</f>
        <v>10000</v>
      </c>
      <c r="K30" s="4">
        <f>+IF(TA_ti!K30*TA_ti!K$48*TA_ti!$BE30=0,10000,TA_ti!K30*TA_ti!K$48*TA_ti!$BE30)</f>
        <v>10000</v>
      </c>
      <c r="L30" s="4">
        <f>+IF(TA_ti!L30*TA_ti!L$48*TA_ti!$BE30=0,10000,TA_ti!L30*TA_ti!L$48*TA_ti!$BE30)</f>
        <v>10000</v>
      </c>
      <c r="M30" s="4">
        <f>+IF(TA_ti!M30*TA_ti!M$48*TA_ti!$BE30=0,10000,TA_ti!M30*TA_ti!M$48*TA_ti!$BE30)</f>
        <v>10000</v>
      </c>
      <c r="N30" s="4">
        <f>+IF(TA_ti!N30*TA_ti!N$48*TA_ti!$BE30=0,10000,TA_ti!N30*TA_ti!N$48*TA_ti!$BE30)</f>
        <v>10000</v>
      </c>
      <c r="O30" s="4">
        <f>+IF(TA_ti!O30*TA_ti!O$48*TA_ti!$BE30=0,10000,TA_ti!O30*TA_ti!O$48*TA_ti!$BE30)</f>
        <v>10000</v>
      </c>
      <c r="P30" s="4">
        <f>+IF(TA_ti!P30*TA_ti!P$48*TA_ti!$BE30=0,10000,TA_ti!P30*TA_ti!P$48*TA_ti!$BE30)</f>
        <v>10000</v>
      </c>
      <c r="Q30" s="4">
        <f>+IF(TA_ti!Q30*TA_ti!Q$48*TA_ti!$BE30=0,10000,TA_ti!Q30*TA_ti!Q$48*TA_ti!$BE30)</f>
        <v>10000</v>
      </c>
      <c r="R30" s="4">
        <f>+IF(TA_ti!R30*TA_ti!R$48*TA_ti!$BE30=0,10000,TA_ti!R30*TA_ti!R$48*TA_ti!$BE30)</f>
        <v>10000</v>
      </c>
      <c r="S30" s="4">
        <f>+IF(TA_ti!S30*TA_ti!S$48*TA_ti!$BE30=0,10000,TA_ti!S30*TA_ti!S$48*TA_ti!$BE30)</f>
        <v>10000</v>
      </c>
      <c r="T30" s="4">
        <f>+IF(TA_ti!T30*TA_ti!T$48*TA_ti!$BE30=0,10000,TA_ti!T30*TA_ti!T$48*TA_ti!$BE30)</f>
        <v>10000</v>
      </c>
      <c r="U30" s="4">
        <f>+IF(TA_ti!U30*TA_ti!U$48*TA_ti!$BE30=0,10000,TA_ti!U30*TA_ti!U$48*TA_ti!$BE30)</f>
        <v>10000</v>
      </c>
      <c r="V30" s="4">
        <f>+IF(TA_ti!V30*TA_ti!V$48*TA_ti!$BE30=0,10000,TA_ti!V30*TA_ti!V$48*TA_ti!$BE30)</f>
        <v>10000</v>
      </c>
      <c r="W30" s="4">
        <f>+IF(TA_ti!W30*TA_ti!W$48*TA_ti!$BE30=0,10000,TA_ti!W30*TA_ti!W$48*TA_ti!$BE30)</f>
        <v>10000</v>
      </c>
      <c r="X30" s="4">
        <f>+IF(TA_ti!X30*TA_ti!X$48*TA_ti!$BE30=0,10000,TA_ti!X30*TA_ti!X$48*TA_ti!$BE30)</f>
        <v>10000</v>
      </c>
      <c r="Y30" s="4">
        <f>+IF(TA_ti!Y30*TA_ti!Y$48*TA_ti!$BE30=0,10000,TA_ti!Y30*TA_ti!Y$48*TA_ti!$BE30)</f>
        <v>10000</v>
      </c>
      <c r="Z30" s="4">
        <f>+IF(TA_ti!Z30*TA_ti!Z$48*TA_ti!$BE30=0,10000,TA_ti!Z30*TA_ti!Z$48*TA_ti!$BE30)</f>
        <v>10000</v>
      </c>
      <c r="AA30" s="4">
        <f>+IF(TA_ti!AA30*TA_ti!AA$48*TA_ti!$BE30=0,10000,TA_ti!AA30*TA_ti!AA$48*TA_ti!$BE30)</f>
        <v>10000</v>
      </c>
      <c r="AB30" s="4">
        <f>+IF(TA_ti!AB30*TA_ti!AB$48*TA_ti!$BE30=0,10000,TA_ti!AB30*TA_ti!AB$48*TA_ti!$BE30)</f>
        <v>10000</v>
      </c>
      <c r="AC30" s="4">
        <f>+IF(TA_ti!AC30*TA_ti!AC$48*TA_ti!$BE30=0,10000,TA_ti!AC30*TA_ti!AC$48*TA_ti!$BE30)</f>
        <v>10000</v>
      </c>
      <c r="AD30" s="4">
        <f>+IF(TA_ti!AD30*TA_ti!AD$48*TA_ti!$BE30=0,10000,TA_ti!AD30*TA_ti!AD$48*TA_ti!$BE30)</f>
        <v>10000</v>
      </c>
      <c r="AE30" s="4">
        <f>+IF(TA_ti!AE30*TA_ti!AE$48*TA_ti!$BE30=0,10000,TA_ti!AE30*TA_ti!AE$48*TA_ti!$BE30)</f>
        <v>10000</v>
      </c>
      <c r="AF30" s="4">
        <f>+IF(TA_ti!AF30*TA_ti!AF$48*TA_ti!$BE30=0,10000,TA_ti!AF30*TA_ti!AF$48*TA_ti!$BE30)</f>
        <v>10000</v>
      </c>
      <c r="AG30" s="4">
        <f>+IF(TA_ti!AG30*TA_ti!AG$48*TA_ti!$BE30=0,10000,TA_ti!AG30*TA_ti!AG$48*TA_ti!$BE30)</f>
        <v>10000</v>
      </c>
      <c r="AH30" s="4">
        <f>+IF(TA_ti!AH30*TA_ti!AH$48*TA_ti!$BE30=0,10000,TA_ti!AH30*TA_ti!AH$48*TA_ti!$BE30)</f>
        <v>10000</v>
      </c>
      <c r="AI30" s="4">
        <f>+IF(TA_ti!AI30*TA_ti!AI$48*TA_ti!$BE30=0,10000,TA_ti!AI30*TA_ti!AI$48*TA_ti!$BE30)</f>
        <v>10000</v>
      </c>
      <c r="AJ30" s="4">
        <f>+IF(TA_ti!AJ30*TA_ti!AJ$48*TA_ti!$BE30=0,10000,TA_ti!AJ30*TA_ti!AJ$48*TA_ti!$BE30)</f>
        <v>10000</v>
      </c>
      <c r="AK30" s="4">
        <f>+IF(TA_ti!AK30*TA_ti!AK$48*TA_ti!$BE30=0,10000,TA_ti!AK30*TA_ti!AK$48*TA_ti!$BE30)</f>
        <v>10000</v>
      </c>
      <c r="AL30" s="4">
        <f>+IF(TA_ti!AL30*TA_ti!AL$48*TA_ti!$BE30=0,10000,TA_ti!AL30*TA_ti!AL$48*TA_ti!$BE30)</f>
        <v>10000</v>
      </c>
      <c r="AM30" s="4">
        <f>+IF(TA_ti!AM30*TA_ti!AM$48*TA_ti!$BE30=0,10000,TA_ti!AM30*TA_ti!AM$48*TA_ti!$BE30)</f>
        <v>10000</v>
      </c>
      <c r="AN30" s="4">
        <f>+IF(TA_ti!AN30*TA_ti!AN$48*TA_ti!$BE30=0,10000,TA_ti!AN30*TA_ti!AN$48*TA_ti!$BE30)</f>
        <v>10000</v>
      </c>
      <c r="AO30" s="4">
        <f>+IF(TA_ti!AO30*TA_ti!AO$48*TA_ti!$BE30=0,10000,TA_ti!AO30*TA_ti!AO$48*TA_ti!$BE30)</f>
        <v>10000</v>
      </c>
      <c r="AP30" s="4">
        <f>+IF(TA_ti!AP30*TA_ti!AP$48*TA_ti!$BE30=0,10000,TA_ti!AP30*TA_ti!AP$48*TA_ti!$BE30)</f>
        <v>10000</v>
      </c>
      <c r="AQ30" s="4">
        <f>+IF(TA_ti!AQ30*TA_ti!AQ$48*TA_ti!$BE30=0,10000,TA_ti!AQ30*TA_ti!AQ$48*TA_ti!$BE30)</f>
        <v>10000</v>
      </c>
      <c r="AR30" s="4">
        <f>+IF(TA_ti!AR30*TA_ti!AR$48*TA_ti!$BE30=0,10000,TA_ti!AR30*TA_ti!AR$48*TA_ti!$BE30)</f>
        <v>10000</v>
      </c>
      <c r="AS30" s="4">
        <f>+IF(TA_ti!AS30*TA_ti!AS$48*TA_ti!$BE30=0,10000,TA_ti!AS30*TA_ti!AS$48*TA_ti!$BE30)</f>
        <v>10000</v>
      </c>
      <c r="AT30" s="4">
        <f>+IF(TA_ti!AT30*TA_ti!AT$48*TA_ti!$BE30=0,10000,TA_ti!AT30*TA_ti!AT$48*TA_ti!$BE30)</f>
        <v>10000</v>
      </c>
      <c r="AU30" s="4">
        <f>+IF(TA_ti!AU30*TA_ti!AU$48*TA_ti!$BE30=0,10000,TA_ti!AU30*TA_ti!AU$48*TA_ti!$BE30)</f>
        <v>10000</v>
      </c>
      <c r="AV30" s="4">
        <f>+IF(TA_ti!AV30*TA_ti!AV$48*TA_ti!$BE30=0,10000,TA_ti!AV30*TA_ti!AV$48*TA_ti!$BE30)</f>
        <v>10000</v>
      </c>
      <c r="AW30" s="4">
        <f>+IF(TA_ti!AW30*TA_ti!AW$48*TA_ti!$BE30=0,10000,TA_ti!AW30*TA_ti!AW$48*TA_ti!$BE30)</f>
        <v>10000</v>
      </c>
      <c r="AX30" s="4">
        <f>+IF(TA_ti!AX30*TA_ti!AX$48*TA_ti!$BE30=0,10000,TA_ti!AX30*TA_ti!AX$48*TA_ti!$BE30)</f>
        <v>10000</v>
      </c>
      <c r="AY30" s="4">
        <f>+IF(TA_ti!AY30*TA_ti!AY$48*TA_ti!$BE30=0,10000,TA_ti!AY30*TA_ti!AY$48*TA_ti!$BE30)</f>
        <v>10000</v>
      </c>
      <c r="AZ30" s="4">
        <f>+IF(TA_ti!AZ30*TA_ti!AZ$48*TA_ti!$BE30=0,10000,TA_ti!AZ30*TA_ti!AZ$48*TA_ti!$BE30)</f>
        <v>10000</v>
      </c>
      <c r="BA30" s="4">
        <f>+IF(TA_ti!BA30*TA_ti!BA$48*TA_ti!$BE30=0,10000,TA_ti!BA30*TA_ti!BA$48*TA_ti!$BE30)</f>
        <v>10000</v>
      </c>
      <c r="BB30" s="4">
        <f>+IF(TA_ti!BB30*TA_ti!BB$48*TA_ti!$BE30=0,10000,TA_ti!BB30*TA_ti!BB$48*TA_ti!$BE30)</f>
        <v>10000</v>
      </c>
      <c r="BC30" s="4">
        <f>+IF(TA_ti!BC30*TA_ti!BC$48*TA_ti!$BE30=0,10000,TA_ti!BC30*TA_ti!BC$48*TA_ti!$BE30)</f>
        <v>10000</v>
      </c>
    </row>
    <row r="31" spans="1:55" ht="18.75" customHeight="1" x14ac:dyDescent="0.25">
      <c r="A31" s="5" t="s">
        <v>82</v>
      </c>
      <c r="B31" s="4">
        <f>+IF(TA_ti!B31*TA_ti!B$48*TA_ti!$BE31=0,10000,TA_ti!B31*TA_ti!B$48*TA_ti!$BE31)</f>
        <v>10000</v>
      </c>
      <c r="C31" s="4">
        <f>+IF(TA_ti!C31*TA_ti!C$48*TA_ti!$BE31=0,10000,TA_ti!C31*TA_ti!C$48*TA_ti!$BE31)</f>
        <v>10000</v>
      </c>
      <c r="D31" s="4">
        <f>+IF(TA_ti!D31*TA_ti!D$48*TA_ti!$BE31=0,10000,TA_ti!D31*TA_ti!D$48*TA_ti!$BE31)</f>
        <v>10000</v>
      </c>
      <c r="E31" s="4">
        <f>+IF(TA_ti!E31*TA_ti!E$48*TA_ti!$BE31=0,10000,TA_ti!E31*TA_ti!E$48*TA_ti!$BE31)</f>
        <v>10000</v>
      </c>
      <c r="F31" s="4">
        <f>+IF(TA_ti!F31*TA_ti!F$48*TA_ti!$BE31=0,10000,TA_ti!F31*TA_ti!F$48*TA_ti!$BE31)</f>
        <v>10000</v>
      </c>
      <c r="G31" s="4">
        <f>+IF(TA_ti!G31*TA_ti!G$48*TA_ti!$BE31=0,10000,TA_ti!G31*TA_ti!G$48*TA_ti!$BE31)</f>
        <v>10000</v>
      </c>
      <c r="H31" s="4">
        <f>+IF(TA_ti!H31*TA_ti!H$48*TA_ti!$BE31=0,10000,TA_ti!H31*TA_ti!H$48*TA_ti!$BE31)</f>
        <v>10000</v>
      </c>
      <c r="I31" s="4">
        <f>+IF(TA_ti!I31*TA_ti!I$48*TA_ti!$BE31=0,10000,TA_ti!I31*TA_ti!I$48*TA_ti!$BE31)</f>
        <v>10000</v>
      </c>
      <c r="J31" s="4">
        <f>+IF(TA_ti!J31*TA_ti!J$48*TA_ti!$BE31=0,10000,TA_ti!J31*TA_ti!J$48*TA_ti!$BE31)</f>
        <v>10000</v>
      </c>
      <c r="K31" s="4">
        <f>+IF(TA_ti!K31*TA_ti!K$48*TA_ti!$BE31=0,10000,TA_ti!K31*TA_ti!K$48*TA_ti!$BE31)</f>
        <v>10000</v>
      </c>
      <c r="L31" s="4">
        <f>+IF(TA_ti!L31*TA_ti!L$48*TA_ti!$BE31=0,10000,TA_ti!L31*TA_ti!L$48*TA_ti!$BE31)</f>
        <v>10000</v>
      </c>
      <c r="M31" s="4">
        <f>+IF(TA_ti!M31*TA_ti!M$48*TA_ti!$BE31=0,10000,TA_ti!M31*TA_ti!M$48*TA_ti!$BE31)</f>
        <v>10000</v>
      </c>
      <c r="N31" s="4">
        <f>+IF(TA_ti!N31*TA_ti!N$48*TA_ti!$BE31=0,10000,TA_ti!N31*TA_ti!N$48*TA_ti!$BE31)</f>
        <v>10000</v>
      </c>
      <c r="O31" s="4">
        <f>+IF(TA_ti!O31*TA_ti!O$48*TA_ti!$BE31=0,10000,TA_ti!O31*TA_ti!O$48*TA_ti!$BE31)</f>
        <v>10000</v>
      </c>
      <c r="P31" s="4">
        <f>+IF(TA_ti!P31*TA_ti!P$48*TA_ti!$BE31=0,10000,TA_ti!P31*TA_ti!P$48*TA_ti!$BE31)</f>
        <v>10000</v>
      </c>
      <c r="Q31" s="4">
        <f>+IF(TA_ti!Q31*TA_ti!Q$48*TA_ti!$BE31=0,10000,TA_ti!Q31*TA_ti!Q$48*TA_ti!$BE31)</f>
        <v>10000</v>
      </c>
      <c r="R31" s="4">
        <f>+IF(TA_ti!R31*TA_ti!R$48*TA_ti!$BE31=0,10000,TA_ti!R31*TA_ti!R$48*TA_ti!$BE31)</f>
        <v>10000</v>
      </c>
      <c r="S31" s="4">
        <f>+IF(TA_ti!S31*TA_ti!S$48*TA_ti!$BE31=0,10000,TA_ti!S31*TA_ti!S$48*TA_ti!$BE31)</f>
        <v>10000</v>
      </c>
      <c r="T31" s="4">
        <f>+IF(TA_ti!T31*TA_ti!T$48*TA_ti!$BE31=0,10000,TA_ti!T31*TA_ti!T$48*TA_ti!$BE31)</f>
        <v>10000</v>
      </c>
      <c r="U31" s="4">
        <f>+IF(TA_ti!U31*TA_ti!U$48*TA_ti!$BE31=0,10000,TA_ti!U31*TA_ti!U$48*TA_ti!$BE31)</f>
        <v>10000</v>
      </c>
      <c r="V31" s="4">
        <f>+IF(TA_ti!V31*TA_ti!V$48*TA_ti!$BE31=0,10000,TA_ti!V31*TA_ti!V$48*TA_ti!$BE31)</f>
        <v>10000</v>
      </c>
      <c r="W31" s="4">
        <f>+IF(TA_ti!W31*TA_ti!W$48*TA_ti!$BE31=0,10000,TA_ti!W31*TA_ti!W$48*TA_ti!$BE31)</f>
        <v>10000</v>
      </c>
      <c r="X31" s="4">
        <f>+IF(TA_ti!X31*TA_ti!X$48*TA_ti!$BE31=0,10000,TA_ti!X31*TA_ti!X$48*TA_ti!$BE31)</f>
        <v>10000</v>
      </c>
      <c r="Y31" s="4">
        <f>+IF(TA_ti!Y31*TA_ti!Y$48*TA_ti!$BE31=0,10000,TA_ti!Y31*TA_ti!Y$48*TA_ti!$BE31)</f>
        <v>10000</v>
      </c>
      <c r="Z31" s="4">
        <f>+IF(TA_ti!Z31*TA_ti!Z$48*TA_ti!$BE31=0,10000,TA_ti!Z31*TA_ti!Z$48*TA_ti!$BE31)</f>
        <v>10000</v>
      </c>
      <c r="AA31" s="4">
        <f>+IF(TA_ti!AA31*TA_ti!AA$48*TA_ti!$BE31=0,10000,TA_ti!AA31*TA_ti!AA$48*TA_ti!$BE31)</f>
        <v>10000</v>
      </c>
      <c r="AB31" s="4">
        <f>+IF(TA_ti!AB31*TA_ti!AB$48*TA_ti!$BE31=0,10000,TA_ti!AB31*TA_ti!AB$48*TA_ti!$BE31)</f>
        <v>10000</v>
      </c>
      <c r="AC31" s="4">
        <f>+IF(TA_ti!AC31*TA_ti!AC$48*TA_ti!$BE31=0,10000,TA_ti!AC31*TA_ti!AC$48*TA_ti!$BE31)</f>
        <v>10000</v>
      </c>
      <c r="AD31" s="4">
        <f>+IF(TA_ti!AD31*TA_ti!AD$48*TA_ti!$BE31=0,10000,TA_ti!AD31*TA_ti!AD$48*TA_ti!$BE31)</f>
        <v>10000</v>
      </c>
      <c r="AE31" s="4">
        <f>+IF(TA_ti!AE31*TA_ti!AE$48*TA_ti!$BE31=0,10000,TA_ti!AE31*TA_ti!AE$48*TA_ti!$BE31)</f>
        <v>10000</v>
      </c>
      <c r="AF31" s="4">
        <f>+IF(TA_ti!AF31*TA_ti!AF$48*TA_ti!$BE31=0,10000,TA_ti!AF31*TA_ti!AF$48*TA_ti!$BE31)</f>
        <v>10000</v>
      </c>
      <c r="AG31" s="4">
        <f>+IF(TA_ti!AG31*TA_ti!AG$48*TA_ti!$BE31=0,10000,TA_ti!AG31*TA_ti!AG$48*TA_ti!$BE31)</f>
        <v>10000</v>
      </c>
      <c r="AH31" s="4">
        <f>+IF(TA_ti!AH31*TA_ti!AH$48*TA_ti!$BE31=0,10000,TA_ti!AH31*TA_ti!AH$48*TA_ti!$BE31)</f>
        <v>10000</v>
      </c>
      <c r="AI31" s="4">
        <f>+IF(TA_ti!AI31*TA_ti!AI$48*TA_ti!$BE31=0,10000,TA_ti!AI31*TA_ti!AI$48*TA_ti!$BE31)</f>
        <v>10000</v>
      </c>
      <c r="AJ31" s="4">
        <f>+IF(TA_ti!AJ31*TA_ti!AJ$48*TA_ti!$BE31=0,10000,TA_ti!AJ31*TA_ti!AJ$48*TA_ti!$BE31)</f>
        <v>10000</v>
      </c>
      <c r="AK31" s="4">
        <f>+IF(TA_ti!AK31*TA_ti!AK$48*TA_ti!$BE31=0,10000,TA_ti!AK31*TA_ti!AK$48*TA_ti!$BE31)</f>
        <v>10000</v>
      </c>
      <c r="AL31" s="4">
        <f>+IF(TA_ti!AL31*TA_ti!AL$48*TA_ti!$BE31=0,10000,TA_ti!AL31*TA_ti!AL$48*TA_ti!$BE31)</f>
        <v>10000</v>
      </c>
      <c r="AM31" s="4">
        <f>+IF(TA_ti!AM31*TA_ti!AM$48*TA_ti!$BE31=0,10000,TA_ti!AM31*TA_ti!AM$48*TA_ti!$BE31)</f>
        <v>10000</v>
      </c>
      <c r="AN31" s="4">
        <f>+IF(TA_ti!AN31*TA_ti!AN$48*TA_ti!$BE31=0,10000,TA_ti!AN31*TA_ti!AN$48*TA_ti!$BE31)</f>
        <v>10000</v>
      </c>
      <c r="AO31" s="4">
        <f>+IF(TA_ti!AO31*TA_ti!AO$48*TA_ti!$BE31=0,10000,TA_ti!AO31*TA_ti!AO$48*TA_ti!$BE31)</f>
        <v>10000</v>
      </c>
      <c r="AP31" s="4">
        <f>+IF(TA_ti!AP31*TA_ti!AP$48*TA_ti!$BE31=0,10000,TA_ti!AP31*TA_ti!AP$48*TA_ti!$BE31)</f>
        <v>10000</v>
      </c>
      <c r="AQ31" s="4">
        <f>+IF(TA_ti!AQ31*TA_ti!AQ$48*TA_ti!$BE31=0,10000,TA_ti!AQ31*TA_ti!AQ$48*TA_ti!$BE31)</f>
        <v>10000</v>
      </c>
      <c r="AR31" s="4">
        <f>+IF(TA_ti!AR31*TA_ti!AR$48*TA_ti!$BE31=0,10000,TA_ti!AR31*TA_ti!AR$48*TA_ti!$BE31)</f>
        <v>10000</v>
      </c>
      <c r="AS31" s="4">
        <f>+IF(TA_ti!AS31*TA_ti!AS$48*TA_ti!$BE31=0,10000,TA_ti!AS31*TA_ti!AS$48*TA_ti!$BE31)</f>
        <v>10000</v>
      </c>
      <c r="AT31" s="4">
        <f>+IF(TA_ti!AT31*TA_ti!AT$48*TA_ti!$BE31=0,10000,TA_ti!AT31*TA_ti!AT$48*TA_ti!$BE31)</f>
        <v>10000</v>
      </c>
      <c r="AU31" s="4">
        <f>+IF(TA_ti!AU31*TA_ti!AU$48*TA_ti!$BE31=0,10000,TA_ti!AU31*TA_ti!AU$48*TA_ti!$BE31)</f>
        <v>10000</v>
      </c>
      <c r="AV31" s="4">
        <f>+IF(TA_ti!AV31*TA_ti!AV$48*TA_ti!$BE31=0,10000,TA_ti!AV31*TA_ti!AV$48*TA_ti!$BE31)</f>
        <v>10000</v>
      </c>
      <c r="AW31" s="4">
        <f>+IF(TA_ti!AW31*TA_ti!AW$48*TA_ti!$BE31=0,10000,TA_ti!AW31*TA_ti!AW$48*TA_ti!$BE31)</f>
        <v>10000</v>
      </c>
      <c r="AX31" s="4">
        <f>+IF(TA_ti!AX31*TA_ti!AX$48*TA_ti!$BE31=0,10000,TA_ti!AX31*TA_ti!AX$48*TA_ti!$BE31)</f>
        <v>10000</v>
      </c>
      <c r="AY31" s="4">
        <f>+IF(TA_ti!AY31*TA_ti!AY$48*TA_ti!$BE31=0,10000,TA_ti!AY31*TA_ti!AY$48*TA_ti!$BE31)</f>
        <v>10000</v>
      </c>
      <c r="AZ31" s="4">
        <f>+IF(TA_ti!AZ31*TA_ti!AZ$48*TA_ti!$BE31=0,10000,TA_ti!AZ31*TA_ti!AZ$48*TA_ti!$BE31)</f>
        <v>10000</v>
      </c>
      <c r="BA31" s="4">
        <f>+IF(TA_ti!BA31*TA_ti!BA$48*TA_ti!$BE31=0,10000,TA_ti!BA31*TA_ti!BA$48*TA_ti!$BE31)</f>
        <v>10000</v>
      </c>
      <c r="BB31" s="4">
        <f>+IF(TA_ti!BB31*TA_ti!BB$48*TA_ti!$BE31=0,10000,TA_ti!BB31*TA_ti!BB$48*TA_ti!$BE31)</f>
        <v>10000</v>
      </c>
      <c r="BC31" s="4">
        <f>+IF(TA_ti!BC31*TA_ti!BC$48*TA_ti!$BE31=0,10000,TA_ti!BC31*TA_ti!BC$48*TA_ti!$BE31)</f>
        <v>10000</v>
      </c>
    </row>
    <row r="32" spans="1:55" ht="18.75" customHeight="1" x14ac:dyDescent="0.25">
      <c r="A32" s="5" t="s">
        <v>83</v>
      </c>
      <c r="B32" s="4">
        <f>+IF(TA_ti!B32*TA_ti!B$48*TA_ti!$BE32=0,10000,TA_ti!B32*TA_ti!B$48*TA_ti!$BE32)</f>
        <v>10000</v>
      </c>
      <c r="C32" s="4">
        <f>+IF(TA_ti!C32*TA_ti!C$48*TA_ti!$BE32=0,10000,TA_ti!C32*TA_ti!C$48*TA_ti!$BE32)</f>
        <v>10000</v>
      </c>
      <c r="D32" s="4">
        <f>+IF(TA_ti!D32*TA_ti!D$48*TA_ti!$BE32=0,10000,TA_ti!D32*TA_ti!D$48*TA_ti!$BE32)</f>
        <v>10000</v>
      </c>
      <c r="E32" s="4">
        <f>+IF(TA_ti!E32*TA_ti!E$48*TA_ti!$BE32=0,10000,TA_ti!E32*TA_ti!E$48*TA_ti!$BE32)</f>
        <v>10000</v>
      </c>
      <c r="F32" s="4">
        <f>+IF(TA_ti!F32*TA_ti!F$48*TA_ti!$BE32=0,10000,TA_ti!F32*TA_ti!F$48*TA_ti!$BE32)</f>
        <v>10000</v>
      </c>
      <c r="G32" s="4">
        <f>+IF(TA_ti!G32*TA_ti!G$48*TA_ti!$BE32=0,10000,TA_ti!G32*TA_ti!G$48*TA_ti!$BE32)</f>
        <v>10000</v>
      </c>
      <c r="H32" s="4">
        <f>+IF(TA_ti!H32*TA_ti!H$48*TA_ti!$BE32=0,10000,TA_ti!H32*TA_ti!H$48*TA_ti!$BE32)</f>
        <v>10000</v>
      </c>
      <c r="I32" s="4">
        <f>+IF(TA_ti!I32*TA_ti!I$48*TA_ti!$BE32=0,10000,TA_ti!I32*TA_ti!I$48*TA_ti!$BE32)</f>
        <v>10000</v>
      </c>
      <c r="J32" s="4">
        <f>+IF(TA_ti!J32*TA_ti!J$48*TA_ti!$BE32=0,10000,TA_ti!J32*TA_ti!J$48*TA_ti!$BE32)</f>
        <v>10000</v>
      </c>
      <c r="K32" s="4">
        <f>+IF(TA_ti!K32*TA_ti!K$48*TA_ti!$BE32=0,10000,TA_ti!K32*TA_ti!K$48*TA_ti!$BE32)</f>
        <v>10000</v>
      </c>
      <c r="L32" s="4">
        <f>+IF(TA_ti!L32*TA_ti!L$48*TA_ti!$BE32=0,10000,TA_ti!L32*TA_ti!L$48*TA_ti!$BE32)</f>
        <v>10000</v>
      </c>
      <c r="M32" s="4">
        <f>+IF(TA_ti!M32*TA_ti!M$48*TA_ti!$BE32=0,10000,TA_ti!M32*TA_ti!M$48*TA_ti!$BE32)</f>
        <v>10000</v>
      </c>
      <c r="N32" s="4">
        <f>+IF(TA_ti!N32*TA_ti!N$48*TA_ti!$BE32=0,10000,TA_ti!N32*TA_ti!N$48*TA_ti!$BE32)</f>
        <v>10000</v>
      </c>
      <c r="O32" s="4">
        <f>+IF(TA_ti!O32*TA_ti!O$48*TA_ti!$BE32=0,10000,TA_ti!O32*TA_ti!O$48*TA_ti!$BE32)</f>
        <v>10000</v>
      </c>
      <c r="P32" s="4">
        <f>+IF(TA_ti!P32*TA_ti!P$48*TA_ti!$BE32=0,10000,TA_ti!P32*TA_ti!P$48*TA_ti!$BE32)</f>
        <v>10000</v>
      </c>
      <c r="Q32" s="4">
        <f>+IF(TA_ti!Q32*TA_ti!Q$48*TA_ti!$BE32=0,10000,TA_ti!Q32*TA_ti!Q$48*TA_ti!$BE32)</f>
        <v>10000</v>
      </c>
      <c r="R32" s="4">
        <f>+IF(TA_ti!R32*TA_ti!R$48*TA_ti!$BE32=0,10000,TA_ti!R32*TA_ti!R$48*TA_ti!$BE32)</f>
        <v>10000</v>
      </c>
      <c r="S32" s="4">
        <f>+IF(TA_ti!S32*TA_ti!S$48*TA_ti!$BE32=0,10000,TA_ti!S32*TA_ti!S$48*TA_ti!$BE32)</f>
        <v>10000</v>
      </c>
      <c r="T32" s="4">
        <f>+IF(TA_ti!T32*TA_ti!T$48*TA_ti!$BE32=0,10000,TA_ti!T32*TA_ti!T$48*TA_ti!$BE32)</f>
        <v>10000</v>
      </c>
      <c r="U32" s="4">
        <f>+IF(TA_ti!U32*TA_ti!U$48*TA_ti!$BE32=0,10000,TA_ti!U32*TA_ti!U$48*TA_ti!$BE32)</f>
        <v>10000</v>
      </c>
      <c r="V32" s="4">
        <f>+IF(TA_ti!V32*TA_ti!V$48*TA_ti!$BE32=0,10000,TA_ti!V32*TA_ti!V$48*TA_ti!$BE32)</f>
        <v>10000</v>
      </c>
      <c r="W32" s="4">
        <f>+IF(TA_ti!W32*TA_ti!W$48*TA_ti!$BE32=0,10000,TA_ti!W32*TA_ti!W$48*TA_ti!$BE32)</f>
        <v>10000</v>
      </c>
      <c r="X32" s="4">
        <f>+IF(TA_ti!X32*TA_ti!X$48*TA_ti!$BE32=0,10000,TA_ti!X32*TA_ti!X$48*TA_ti!$BE32)</f>
        <v>10000</v>
      </c>
      <c r="Y32" s="4">
        <f>+IF(TA_ti!Y32*TA_ti!Y$48*TA_ti!$BE32=0,10000,TA_ti!Y32*TA_ti!Y$48*TA_ti!$BE32)</f>
        <v>10000</v>
      </c>
      <c r="Z32" s="4">
        <f>+IF(TA_ti!Z32*TA_ti!Z$48*TA_ti!$BE32=0,10000,TA_ti!Z32*TA_ti!Z$48*TA_ti!$BE32)</f>
        <v>10000</v>
      </c>
      <c r="AA32" s="4">
        <f>+IF(TA_ti!AA32*TA_ti!AA$48*TA_ti!$BE32=0,10000,TA_ti!AA32*TA_ti!AA$48*TA_ti!$BE32)</f>
        <v>10000</v>
      </c>
      <c r="AB32" s="4">
        <f>+IF(TA_ti!AB32*TA_ti!AB$48*TA_ti!$BE32=0,10000,TA_ti!AB32*TA_ti!AB$48*TA_ti!$BE32)</f>
        <v>10000</v>
      </c>
      <c r="AC32" s="4">
        <f>+IF(TA_ti!AC32*TA_ti!AC$48*TA_ti!$BE32=0,10000,TA_ti!AC32*TA_ti!AC$48*TA_ti!$BE32)</f>
        <v>10000</v>
      </c>
      <c r="AD32" s="4">
        <f>+IF(TA_ti!AD32*TA_ti!AD$48*TA_ti!$BE32=0,10000,TA_ti!AD32*TA_ti!AD$48*TA_ti!$BE32)</f>
        <v>10000</v>
      </c>
      <c r="AE32" s="4">
        <f>+IF(TA_ti!AE32*TA_ti!AE$48*TA_ti!$BE32=0,10000,TA_ti!AE32*TA_ti!AE$48*TA_ti!$BE32)</f>
        <v>10000</v>
      </c>
      <c r="AF32" s="4">
        <f>+IF(TA_ti!AF32*TA_ti!AF$48*TA_ti!$BE32=0,10000,TA_ti!AF32*TA_ti!AF$48*TA_ti!$BE32)</f>
        <v>10000</v>
      </c>
      <c r="AG32" s="4">
        <f>+IF(TA_ti!AG32*TA_ti!AG$48*TA_ti!$BE32=0,10000,TA_ti!AG32*TA_ti!AG$48*TA_ti!$BE32)</f>
        <v>10000</v>
      </c>
      <c r="AH32" s="4">
        <f>+IF(TA_ti!AH32*TA_ti!AH$48*TA_ti!$BE32=0,10000,TA_ti!AH32*TA_ti!AH$48*TA_ti!$BE32)</f>
        <v>10000</v>
      </c>
      <c r="AI32" s="4">
        <f>+IF(TA_ti!AI32*TA_ti!AI$48*TA_ti!$BE32=0,10000,TA_ti!AI32*TA_ti!AI$48*TA_ti!$BE32)</f>
        <v>10000</v>
      </c>
      <c r="AJ32" s="4">
        <f>+IF(TA_ti!AJ32*TA_ti!AJ$48*TA_ti!$BE32=0,10000,TA_ti!AJ32*TA_ti!AJ$48*TA_ti!$BE32)</f>
        <v>10000</v>
      </c>
      <c r="AK32" s="4">
        <f>+IF(TA_ti!AK32*TA_ti!AK$48*TA_ti!$BE32=0,10000,TA_ti!AK32*TA_ti!AK$48*TA_ti!$BE32)</f>
        <v>10000</v>
      </c>
      <c r="AL32" s="4">
        <f>+IF(TA_ti!AL32*TA_ti!AL$48*TA_ti!$BE32=0,10000,TA_ti!AL32*TA_ti!AL$48*TA_ti!$BE32)</f>
        <v>10000</v>
      </c>
      <c r="AM32" s="4">
        <f>+IF(TA_ti!AM32*TA_ti!AM$48*TA_ti!$BE32=0,10000,TA_ti!AM32*TA_ti!AM$48*TA_ti!$BE32)</f>
        <v>10000</v>
      </c>
      <c r="AN32" s="4">
        <f>+IF(TA_ti!AN32*TA_ti!AN$48*TA_ti!$BE32=0,10000,TA_ti!AN32*TA_ti!AN$48*TA_ti!$BE32)</f>
        <v>10000</v>
      </c>
      <c r="AO32" s="4">
        <f>+IF(TA_ti!AO32*TA_ti!AO$48*TA_ti!$BE32=0,10000,TA_ti!AO32*TA_ti!AO$48*TA_ti!$BE32)</f>
        <v>10000</v>
      </c>
      <c r="AP32" s="4">
        <f>+IF(TA_ti!AP32*TA_ti!AP$48*TA_ti!$BE32=0,10000,TA_ti!AP32*TA_ti!AP$48*TA_ti!$BE32)</f>
        <v>10000</v>
      </c>
      <c r="AQ32" s="4">
        <f>+IF(TA_ti!AQ32*TA_ti!AQ$48*TA_ti!$BE32=0,10000,TA_ti!AQ32*TA_ti!AQ$48*TA_ti!$BE32)</f>
        <v>10000</v>
      </c>
      <c r="AR32" s="4">
        <f>+IF(TA_ti!AR32*TA_ti!AR$48*TA_ti!$BE32=0,10000,TA_ti!AR32*TA_ti!AR$48*TA_ti!$BE32)</f>
        <v>10000</v>
      </c>
      <c r="AS32" s="4">
        <f>+IF(TA_ti!AS32*TA_ti!AS$48*TA_ti!$BE32=0,10000,TA_ti!AS32*TA_ti!AS$48*TA_ti!$BE32)</f>
        <v>10000</v>
      </c>
      <c r="AT32" s="4">
        <f>+IF(TA_ti!AT32*TA_ti!AT$48*TA_ti!$BE32=0,10000,TA_ti!AT32*TA_ti!AT$48*TA_ti!$BE32)</f>
        <v>10000</v>
      </c>
      <c r="AU32" s="4">
        <f>+IF(TA_ti!AU32*TA_ti!AU$48*TA_ti!$BE32=0,10000,TA_ti!AU32*TA_ti!AU$48*TA_ti!$BE32)</f>
        <v>10000</v>
      </c>
      <c r="AV32" s="4">
        <f>+IF(TA_ti!AV32*TA_ti!AV$48*TA_ti!$BE32=0,10000,TA_ti!AV32*TA_ti!AV$48*TA_ti!$BE32)</f>
        <v>10000</v>
      </c>
      <c r="AW32" s="4">
        <f>+IF(TA_ti!AW32*TA_ti!AW$48*TA_ti!$BE32=0,10000,TA_ti!AW32*TA_ti!AW$48*TA_ti!$BE32)</f>
        <v>10000</v>
      </c>
      <c r="AX32" s="4">
        <f>+IF(TA_ti!AX32*TA_ti!AX$48*TA_ti!$BE32=0,10000,TA_ti!AX32*TA_ti!AX$48*TA_ti!$BE32)</f>
        <v>10000</v>
      </c>
      <c r="AY32" s="4">
        <f>+IF(TA_ti!AY32*TA_ti!AY$48*TA_ti!$BE32=0,10000,TA_ti!AY32*TA_ti!AY$48*TA_ti!$BE32)</f>
        <v>10000</v>
      </c>
      <c r="AZ32" s="4">
        <f>+IF(TA_ti!AZ32*TA_ti!AZ$48*TA_ti!$BE32=0,10000,TA_ti!AZ32*TA_ti!AZ$48*TA_ti!$BE32)</f>
        <v>10000</v>
      </c>
      <c r="BA32" s="4">
        <f>+IF(TA_ti!BA32*TA_ti!BA$48*TA_ti!$BE32=0,10000,TA_ti!BA32*TA_ti!BA$48*TA_ti!$BE32)</f>
        <v>10000</v>
      </c>
      <c r="BB32" s="4">
        <f>+IF(TA_ti!BB32*TA_ti!BB$48*TA_ti!$BE32=0,10000,TA_ti!BB32*TA_ti!BB$48*TA_ti!$BE32)</f>
        <v>10000</v>
      </c>
      <c r="BC32" s="4">
        <f>+IF(TA_ti!BC32*TA_ti!BC$48*TA_ti!$BE32=0,10000,TA_ti!BC32*TA_ti!BC$48*TA_ti!$BE32)</f>
        <v>10000</v>
      </c>
    </row>
    <row r="33" spans="1:55" ht="18.75" customHeight="1" x14ac:dyDescent="0.25">
      <c r="A33" s="5" t="s">
        <v>84</v>
      </c>
      <c r="B33" s="4">
        <f>+IF(TA_ti!B33*TA_ti!B$48*TA_ti!$BE33=0,10000,TA_ti!B33*TA_ti!B$48*TA_ti!$BE33)</f>
        <v>10000</v>
      </c>
      <c r="C33" s="4">
        <f>+IF(TA_ti!C33*TA_ti!C$48*TA_ti!$BE33=0,10000,TA_ti!C33*TA_ti!C$48*TA_ti!$BE33)</f>
        <v>10000</v>
      </c>
      <c r="D33" s="4">
        <f>+IF(TA_ti!D33*TA_ti!D$48*TA_ti!$BE33=0,10000,TA_ti!D33*TA_ti!D$48*TA_ti!$BE33)</f>
        <v>10000</v>
      </c>
      <c r="E33" s="4">
        <f>+IF(TA_ti!E33*TA_ti!E$48*TA_ti!$BE33=0,10000,TA_ti!E33*TA_ti!E$48*TA_ti!$BE33)</f>
        <v>10000</v>
      </c>
      <c r="F33" s="4">
        <f>+IF(TA_ti!F33*TA_ti!F$48*TA_ti!$BE33=0,10000,TA_ti!F33*TA_ti!F$48*TA_ti!$BE33)</f>
        <v>10000</v>
      </c>
      <c r="G33" s="4">
        <f>+IF(TA_ti!G33*TA_ti!G$48*TA_ti!$BE33=0,10000,TA_ti!G33*TA_ti!G$48*TA_ti!$BE33)</f>
        <v>10000</v>
      </c>
      <c r="H33" s="4">
        <f>+IF(TA_ti!H33*TA_ti!H$48*TA_ti!$BE33=0,10000,TA_ti!H33*TA_ti!H$48*TA_ti!$BE33)</f>
        <v>10000</v>
      </c>
      <c r="I33" s="4">
        <f>+IF(TA_ti!I33*TA_ti!I$48*TA_ti!$BE33=0,10000,TA_ti!I33*TA_ti!I$48*TA_ti!$BE33)</f>
        <v>10000</v>
      </c>
      <c r="J33" s="4">
        <f>+IF(TA_ti!J33*TA_ti!J$48*TA_ti!$BE33=0,10000,TA_ti!J33*TA_ti!J$48*TA_ti!$BE33)</f>
        <v>10000</v>
      </c>
      <c r="K33" s="4">
        <f>+IF(TA_ti!K33*TA_ti!K$48*TA_ti!$BE33=0,10000,TA_ti!K33*TA_ti!K$48*TA_ti!$BE33)</f>
        <v>10000</v>
      </c>
      <c r="L33" s="4">
        <f>+IF(TA_ti!L33*TA_ti!L$48*TA_ti!$BE33=0,10000,TA_ti!L33*TA_ti!L$48*TA_ti!$BE33)</f>
        <v>10000</v>
      </c>
      <c r="M33" s="4">
        <f>+IF(TA_ti!M33*TA_ti!M$48*TA_ti!$BE33=0,10000,TA_ti!M33*TA_ti!M$48*TA_ti!$BE33)</f>
        <v>10000</v>
      </c>
      <c r="N33" s="4">
        <f>+IF(TA_ti!N33*TA_ti!N$48*TA_ti!$BE33=0,10000,TA_ti!N33*TA_ti!N$48*TA_ti!$BE33)</f>
        <v>10000</v>
      </c>
      <c r="O33" s="4">
        <f>+IF(TA_ti!O33*TA_ti!O$48*TA_ti!$BE33=0,10000,TA_ti!O33*TA_ti!O$48*TA_ti!$BE33)</f>
        <v>10000</v>
      </c>
      <c r="P33" s="4">
        <f>+IF(TA_ti!P33*TA_ti!P$48*TA_ti!$BE33=0,10000,TA_ti!P33*TA_ti!P$48*TA_ti!$BE33)</f>
        <v>10000</v>
      </c>
      <c r="Q33" s="4">
        <f>+IF(TA_ti!Q33*TA_ti!Q$48*TA_ti!$BE33=0,10000,TA_ti!Q33*TA_ti!Q$48*TA_ti!$BE33)</f>
        <v>10000</v>
      </c>
      <c r="R33" s="4">
        <f>+IF(TA_ti!R33*TA_ti!R$48*TA_ti!$BE33=0,10000,TA_ti!R33*TA_ti!R$48*TA_ti!$BE33)</f>
        <v>10000</v>
      </c>
      <c r="S33" s="4">
        <f>+IF(TA_ti!S33*TA_ti!S$48*TA_ti!$BE33=0,10000,TA_ti!S33*TA_ti!S$48*TA_ti!$BE33)</f>
        <v>10000</v>
      </c>
      <c r="T33" s="4">
        <f>+IF(TA_ti!T33*TA_ti!T$48*TA_ti!$BE33=0,10000,TA_ti!T33*TA_ti!T$48*TA_ti!$BE33)</f>
        <v>10000</v>
      </c>
      <c r="U33" s="4">
        <f>+IF(TA_ti!U33*TA_ti!U$48*TA_ti!$BE33=0,10000,TA_ti!U33*TA_ti!U$48*TA_ti!$BE33)</f>
        <v>10000</v>
      </c>
      <c r="V33" s="4">
        <f>+IF(TA_ti!V33*TA_ti!V$48*TA_ti!$BE33=0,10000,TA_ti!V33*TA_ti!V$48*TA_ti!$BE33)</f>
        <v>10000</v>
      </c>
      <c r="W33" s="4">
        <f>+IF(TA_ti!W33*TA_ti!W$48*TA_ti!$BE33=0,10000,TA_ti!W33*TA_ti!W$48*TA_ti!$BE33)</f>
        <v>10000</v>
      </c>
      <c r="X33" s="4">
        <f>+IF(TA_ti!X33*TA_ti!X$48*TA_ti!$BE33=0,10000,TA_ti!X33*TA_ti!X$48*TA_ti!$BE33)</f>
        <v>10000</v>
      </c>
      <c r="Y33" s="4">
        <f>+IF(TA_ti!Y33*TA_ti!Y$48*TA_ti!$BE33=0,10000,TA_ti!Y33*TA_ti!Y$48*TA_ti!$BE33)</f>
        <v>10000</v>
      </c>
      <c r="Z33" s="4">
        <f>+IF(TA_ti!Z33*TA_ti!Z$48*TA_ti!$BE33=0,10000,TA_ti!Z33*TA_ti!Z$48*TA_ti!$BE33)</f>
        <v>10000</v>
      </c>
      <c r="AA33" s="4">
        <f>+IF(TA_ti!AA33*TA_ti!AA$48*TA_ti!$BE33=0,10000,TA_ti!AA33*TA_ti!AA$48*TA_ti!$BE33)</f>
        <v>10000</v>
      </c>
      <c r="AB33" s="4">
        <f>+IF(TA_ti!AB33*TA_ti!AB$48*TA_ti!$BE33=0,10000,TA_ti!AB33*TA_ti!AB$48*TA_ti!$BE33)</f>
        <v>10000</v>
      </c>
      <c r="AC33" s="4">
        <f>+IF(TA_ti!AC33*TA_ti!AC$48*TA_ti!$BE33=0,10000,TA_ti!AC33*TA_ti!AC$48*TA_ti!$BE33)</f>
        <v>10000</v>
      </c>
      <c r="AD33" s="4">
        <f>+IF(TA_ti!AD33*TA_ti!AD$48*TA_ti!$BE33=0,10000,TA_ti!AD33*TA_ti!AD$48*TA_ti!$BE33)</f>
        <v>10000</v>
      </c>
      <c r="AE33" s="4">
        <f>+IF(TA_ti!AE33*TA_ti!AE$48*TA_ti!$BE33=0,10000,TA_ti!AE33*TA_ti!AE$48*TA_ti!$BE33)</f>
        <v>10000</v>
      </c>
      <c r="AF33" s="4">
        <f>+IF(TA_ti!AF33*TA_ti!AF$48*TA_ti!$BE33=0,10000,TA_ti!AF33*TA_ti!AF$48*TA_ti!$BE33)</f>
        <v>10000</v>
      </c>
      <c r="AG33" s="4">
        <f>+IF(TA_ti!AG33*TA_ti!AG$48*TA_ti!$BE33=0,10000,TA_ti!AG33*TA_ti!AG$48*TA_ti!$BE33)</f>
        <v>10000</v>
      </c>
      <c r="AH33" s="4">
        <f>+IF(TA_ti!AH33*TA_ti!AH$48*TA_ti!$BE33=0,10000,TA_ti!AH33*TA_ti!AH$48*TA_ti!$BE33)</f>
        <v>10000</v>
      </c>
      <c r="AI33" s="4">
        <f>+IF(TA_ti!AI33*TA_ti!AI$48*TA_ti!$BE33=0,10000,TA_ti!AI33*TA_ti!AI$48*TA_ti!$BE33)</f>
        <v>10000</v>
      </c>
      <c r="AJ33" s="4">
        <f>+IF(TA_ti!AJ33*TA_ti!AJ$48*TA_ti!$BE33=0,10000,TA_ti!AJ33*TA_ti!AJ$48*TA_ti!$BE33)</f>
        <v>10000</v>
      </c>
      <c r="AK33" s="4">
        <f>+IF(TA_ti!AK33*TA_ti!AK$48*TA_ti!$BE33=0,10000,TA_ti!AK33*TA_ti!AK$48*TA_ti!$BE33)</f>
        <v>10000</v>
      </c>
      <c r="AL33" s="4">
        <f>+IF(TA_ti!AL33*TA_ti!AL$48*TA_ti!$BE33=0,10000,TA_ti!AL33*TA_ti!AL$48*TA_ti!$BE33)</f>
        <v>10000</v>
      </c>
      <c r="AM33" s="4">
        <f>+IF(TA_ti!AM33*TA_ti!AM$48*TA_ti!$BE33=0,10000,TA_ti!AM33*TA_ti!AM$48*TA_ti!$BE33)</f>
        <v>10000</v>
      </c>
      <c r="AN33" s="4">
        <f>+IF(TA_ti!AN33*TA_ti!AN$48*TA_ti!$BE33=0,10000,TA_ti!AN33*TA_ti!AN$48*TA_ti!$BE33)</f>
        <v>10000</v>
      </c>
      <c r="AO33" s="4">
        <f>+IF(TA_ti!AO33*TA_ti!AO$48*TA_ti!$BE33=0,10000,TA_ti!AO33*TA_ti!AO$48*TA_ti!$BE33)</f>
        <v>10000</v>
      </c>
      <c r="AP33" s="4">
        <f>+IF(TA_ti!AP33*TA_ti!AP$48*TA_ti!$BE33=0,10000,TA_ti!AP33*TA_ti!AP$48*TA_ti!$BE33)</f>
        <v>10000</v>
      </c>
      <c r="AQ33" s="4">
        <f>+IF(TA_ti!AQ33*TA_ti!AQ$48*TA_ti!$BE33=0,10000,TA_ti!AQ33*TA_ti!AQ$48*TA_ti!$BE33)</f>
        <v>10000</v>
      </c>
      <c r="AR33" s="4">
        <f>+IF(TA_ti!AR33*TA_ti!AR$48*TA_ti!$BE33=0,10000,TA_ti!AR33*TA_ti!AR$48*TA_ti!$BE33)</f>
        <v>10000</v>
      </c>
      <c r="AS33" s="4">
        <f>+IF(TA_ti!AS33*TA_ti!AS$48*TA_ti!$BE33=0,10000,TA_ti!AS33*TA_ti!AS$48*TA_ti!$BE33)</f>
        <v>10000</v>
      </c>
      <c r="AT33" s="4">
        <f>+IF(TA_ti!AT33*TA_ti!AT$48*TA_ti!$BE33=0,10000,TA_ti!AT33*TA_ti!AT$48*TA_ti!$BE33)</f>
        <v>10000</v>
      </c>
      <c r="AU33" s="4">
        <f>+IF(TA_ti!AU33*TA_ti!AU$48*TA_ti!$BE33=0,10000,TA_ti!AU33*TA_ti!AU$48*TA_ti!$BE33)</f>
        <v>10000</v>
      </c>
      <c r="AV33" s="4">
        <f>+IF(TA_ti!AV33*TA_ti!AV$48*TA_ti!$BE33=0,10000,TA_ti!AV33*TA_ti!AV$48*TA_ti!$BE33)</f>
        <v>10000</v>
      </c>
      <c r="AW33" s="4">
        <f>+IF(TA_ti!AW33*TA_ti!AW$48*TA_ti!$BE33=0,10000,TA_ti!AW33*TA_ti!AW$48*TA_ti!$BE33)</f>
        <v>10000</v>
      </c>
      <c r="AX33" s="4">
        <f>+IF(TA_ti!AX33*TA_ti!AX$48*TA_ti!$BE33=0,10000,TA_ti!AX33*TA_ti!AX$48*TA_ti!$BE33)</f>
        <v>10000</v>
      </c>
      <c r="AY33" s="4">
        <f>+IF(TA_ti!AY33*TA_ti!AY$48*TA_ti!$BE33=0,10000,TA_ti!AY33*TA_ti!AY$48*TA_ti!$BE33)</f>
        <v>10000</v>
      </c>
      <c r="AZ33" s="4">
        <f>+IF(TA_ti!AZ33*TA_ti!AZ$48*TA_ti!$BE33=0,10000,TA_ti!AZ33*TA_ti!AZ$48*TA_ti!$BE33)</f>
        <v>10000</v>
      </c>
      <c r="BA33" s="4">
        <f>+IF(TA_ti!BA33*TA_ti!BA$48*TA_ti!$BE33=0,10000,TA_ti!BA33*TA_ti!BA$48*TA_ti!$BE33)</f>
        <v>10000</v>
      </c>
      <c r="BB33" s="4">
        <f>+IF(TA_ti!BB33*TA_ti!BB$48*TA_ti!$BE33=0,10000,TA_ti!BB33*TA_ti!BB$48*TA_ti!$BE33)</f>
        <v>10000</v>
      </c>
      <c r="BC33" s="4">
        <f>+IF(TA_ti!BC33*TA_ti!BC$48*TA_ti!$BE33=0,10000,TA_ti!BC33*TA_ti!BC$48*TA_ti!$BE33)</f>
        <v>10000</v>
      </c>
    </row>
    <row r="34" spans="1:55" ht="18.75" customHeight="1" x14ac:dyDescent="0.25">
      <c r="A34" s="5" t="s">
        <v>85</v>
      </c>
      <c r="B34" s="4">
        <f>+IF(TA_ti!B34*TA_ti!B$48*TA_ti!$BE34=0,10000,TA_ti!B34*TA_ti!B$48*TA_ti!$BE34)</f>
        <v>10000</v>
      </c>
      <c r="C34" s="4">
        <f>+IF(TA_ti!C34*TA_ti!C$48*TA_ti!$BE34=0,10000,TA_ti!C34*TA_ti!C$48*TA_ti!$BE34)</f>
        <v>10000</v>
      </c>
      <c r="D34" s="4">
        <f>+IF(TA_ti!D34*TA_ti!D$48*TA_ti!$BE34=0,10000,TA_ti!D34*TA_ti!D$48*TA_ti!$BE34)</f>
        <v>10000</v>
      </c>
      <c r="E34" s="4">
        <f>+IF(TA_ti!E34*TA_ti!E$48*TA_ti!$BE34=0,10000,TA_ti!E34*TA_ti!E$48*TA_ti!$BE34)</f>
        <v>10000</v>
      </c>
      <c r="F34" s="4">
        <f>+IF(TA_ti!F34*TA_ti!F$48*TA_ti!$BE34=0,10000,TA_ti!F34*TA_ti!F$48*TA_ti!$BE34)</f>
        <v>10000</v>
      </c>
      <c r="G34" s="4">
        <f>+IF(TA_ti!G34*TA_ti!G$48*TA_ti!$BE34=0,10000,TA_ti!G34*TA_ti!G$48*TA_ti!$BE34)</f>
        <v>10000</v>
      </c>
      <c r="H34" s="4">
        <f>+IF(TA_ti!H34*TA_ti!H$48*TA_ti!$BE34=0,10000,TA_ti!H34*TA_ti!H$48*TA_ti!$BE34)</f>
        <v>10000</v>
      </c>
      <c r="I34" s="4">
        <f>+IF(TA_ti!I34*TA_ti!I$48*TA_ti!$BE34=0,10000,TA_ti!I34*TA_ti!I$48*TA_ti!$BE34)</f>
        <v>10000</v>
      </c>
      <c r="J34" s="4">
        <f>+IF(TA_ti!J34*TA_ti!J$48*TA_ti!$BE34=0,10000,TA_ti!J34*TA_ti!J$48*TA_ti!$BE34)</f>
        <v>10000</v>
      </c>
      <c r="K34" s="4">
        <f>+IF(TA_ti!K34*TA_ti!K$48*TA_ti!$BE34=0,10000,TA_ti!K34*TA_ti!K$48*TA_ti!$BE34)</f>
        <v>10000</v>
      </c>
      <c r="L34" s="4">
        <f>+IF(TA_ti!L34*TA_ti!L$48*TA_ti!$BE34=0,10000,TA_ti!L34*TA_ti!L$48*TA_ti!$BE34)</f>
        <v>10000</v>
      </c>
      <c r="M34" s="4">
        <f>+IF(TA_ti!M34*TA_ti!M$48*TA_ti!$BE34=0,10000,TA_ti!M34*TA_ti!M$48*TA_ti!$BE34)</f>
        <v>10000</v>
      </c>
      <c r="N34" s="4">
        <f>+IF(TA_ti!N34*TA_ti!N$48*TA_ti!$BE34=0,10000,TA_ti!N34*TA_ti!N$48*TA_ti!$BE34)</f>
        <v>10000</v>
      </c>
      <c r="O34" s="4">
        <f>+IF(TA_ti!O34*TA_ti!O$48*TA_ti!$BE34=0,10000,TA_ti!O34*TA_ti!O$48*TA_ti!$BE34)</f>
        <v>10000</v>
      </c>
      <c r="P34" s="4">
        <f>+IF(TA_ti!P34*TA_ti!P$48*TA_ti!$BE34=0,10000,TA_ti!P34*TA_ti!P$48*TA_ti!$BE34)</f>
        <v>10000</v>
      </c>
      <c r="Q34" s="4">
        <f>+IF(TA_ti!Q34*TA_ti!Q$48*TA_ti!$BE34=0,10000,TA_ti!Q34*TA_ti!Q$48*TA_ti!$BE34)</f>
        <v>10000</v>
      </c>
      <c r="R34" s="4">
        <f>+IF(TA_ti!R34*TA_ti!R$48*TA_ti!$BE34=0,10000,TA_ti!R34*TA_ti!R$48*TA_ti!$BE34)</f>
        <v>10000</v>
      </c>
      <c r="S34" s="4">
        <f>+IF(TA_ti!S34*TA_ti!S$48*TA_ti!$BE34=0,10000,TA_ti!S34*TA_ti!S$48*TA_ti!$BE34)</f>
        <v>10000</v>
      </c>
      <c r="T34" s="4">
        <f>+IF(TA_ti!T34*TA_ti!T$48*TA_ti!$BE34=0,10000,TA_ti!T34*TA_ti!T$48*TA_ti!$BE34)</f>
        <v>10000</v>
      </c>
      <c r="U34" s="4">
        <f>+IF(TA_ti!U34*TA_ti!U$48*TA_ti!$BE34=0,10000,TA_ti!U34*TA_ti!U$48*TA_ti!$BE34)</f>
        <v>10000</v>
      </c>
      <c r="V34" s="4">
        <f>+IF(TA_ti!V34*TA_ti!V$48*TA_ti!$BE34=0,10000,TA_ti!V34*TA_ti!V$48*TA_ti!$BE34)</f>
        <v>10000</v>
      </c>
      <c r="W34" s="4">
        <f>+IF(TA_ti!W34*TA_ti!W$48*TA_ti!$BE34=0,10000,TA_ti!W34*TA_ti!W$48*TA_ti!$BE34)</f>
        <v>10000</v>
      </c>
      <c r="X34" s="4">
        <f>+IF(TA_ti!X34*TA_ti!X$48*TA_ti!$BE34=0,10000,TA_ti!X34*TA_ti!X$48*TA_ti!$BE34)</f>
        <v>10000</v>
      </c>
      <c r="Y34" s="4">
        <f>+IF(TA_ti!Y34*TA_ti!Y$48*TA_ti!$BE34=0,10000,TA_ti!Y34*TA_ti!Y$48*TA_ti!$BE34)</f>
        <v>10000</v>
      </c>
      <c r="Z34" s="4">
        <f>+IF(TA_ti!Z34*TA_ti!Z$48*TA_ti!$BE34=0,10000,TA_ti!Z34*TA_ti!Z$48*TA_ti!$BE34)</f>
        <v>10000</v>
      </c>
      <c r="AA34" s="4">
        <f>+IF(TA_ti!AA34*TA_ti!AA$48*TA_ti!$BE34=0,10000,TA_ti!AA34*TA_ti!AA$48*TA_ti!$BE34)</f>
        <v>10000</v>
      </c>
      <c r="AB34" s="4">
        <f>+IF(TA_ti!AB34*TA_ti!AB$48*TA_ti!$BE34=0,10000,TA_ti!AB34*TA_ti!AB$48*TA_ti!$BE34)</f>
        <v>10000</v>
      </c>
      <c r="AC34" s="4">
        <f>+IF(TA_ti!AC34*TA_ti!AC$48*TA_ti!$BE34=0,10000,TA_ti!AC34*TA_ti!AC$48*TA_ti!$BE34)</f>
        <v>10000</v>
      </c>
      <c r="AD34" s="4">
        <f>+IF(TA_ti!AD34*TA_ti!AD$48*TA_ti!$BE34=0,10000,TA_ti!AD34*TA_ti!AD$48*TA_ti!$BE34)</f>
        <v>10000</v>
      </c>
      <c r="AE34" s="4">
        <f>+IF(TA_ti!AE34*TA_ti!AE$48*TA_ti!$BE34=0,10000,TA_ti!AE34*TA_ti!AE$48*TA_ti!$BE34)</f>
        <v>10000</v>
      </c>
      <c r="AF34" s="4">
        <f>+IF(TA_ti!AF34*TA_ti!AF$48*TA_ti!$BE34=0,10000,TA_ti!AF34*TA_ti!AF$48*TA_ti!$BE34)</f>
        <v>10000</v>
      </c>
      <c r="AG34" s="4">
        <f>+IF(TA_ti!AG34*TA_ti!AG$48*TA_ti!$BE34=0,10000,TA_ti!AG34*TA_ti!AG$48*TA_ti!$BE34)</f>
        <v>10000</v>
      </c>
      <c r="AH34" s="4">
        <f>+IF(TA_ti!AH34*TA_ti!AH$48*TA_ti!$BE34=0,10000,TA_ti!AH34*TA_ti!AH$48*TA_ti!$BE34)</f>
        <v>10000</v>
      </c>
      <c r="AI34" s="4">
        <f>+IF(TA_ti!AI34*TA_ti!AI$48*TA_ti!$BE34=0,10000,TA_ti!AI34*TA_ti!AI$48*TA_ti!$BE34)</f>
        <v>10000</v>
      </c>
      <c r="AJ34" s="4">
        <f>+IF(TA_ti!AJ34*TA_ti!AJ$48*TA_ti!$BE34=0,10000,TA_ti!AJ34*TA_ti!AJ$48*TA_ti!$BE34)</f>
        <v>10000</v>
      </c>
      <c r="AK34" s="4">
        <f>+IF(TA_ti!AK34*TA_ti!AK$48*TA_ti!$BE34=0,10000,TA_ti!AK34*TA_ti!AK$48*TA_ti!$BE34)</f>
        <v>10000</v>
      </c>
      <c r="AL34" s="4">
        <f>+IF(TA_ti!AL34*TA_ti!AL$48*TA_ti!$BE34=0,10000,TA_ti!AL34*TA_ti!AL$48*TA_ti!$BE34)</f>
        <v>10000</v>
      </c>
      <c r="AM34" s="4">
        <f>+IF(TA_ti!AM34*TA_ti!AM$48*TA_ti!$BE34=0,10000,TA_ti!AM34*TA_ti!AM$48*TA_ti!$BE34)</f>
        <v>10000</v>
      </c>
      <c r="AN34" s="4">
        <f>+IF(TA_ti!AN34*TA_ti!AN$48*TA_ti!$BE34=0,10000,TA_ti!AN34*TA_ti!AN$48*TA_ti!$BE34)</f>
        <v>10000</v>
      </c>
      <c r="AO34" s="4">
        <f>+IF(TA_ti!AO34*TA_ti!AO$48*TA_ti!$BE34=0,10000,TA_ti!AO34*TA_ti!AO$48*TA_ti!$BE34)</f>
        <v>10000</v>
      </c>
      <c r="AP34" s="4">
        <f>+IF(TA_ti!AP34*TA_ti!AP$48*TA_ti!$BE34=0,10000,TA_ti!AP34*TA_ti!AP$48*TA_ti!$BE34)</f>
        <v>10000</v>
      </c>
      <c r="AQ34" s="4">
        <f>+IF(TA_ti!AQ34*TA_ti!AQ$48*TA_ti!$BE34=0,10000,TA_ti!AQ34*TA_ti!AQ$48*TA_ti!$BE34)</f>
        <v>10000</v>
      </c>
      <c r="AR34" s="4">
        <f>+IF(TA_ti!AR34*TA_ti!AR$48*TA_ti!$BE34=0,10000,TA_ti!AR34*TA_ti!AR$48*TA_ti!$BE34)</f>
        <v>10000</v>
      </c>
      <c r="AS34" s="4">
        <f>+IF(TA_ti!AS34*TA_ti!AS$48*TA_ti!$BE34=0,10000,TA_ti!AS34*TA_ti!AS$48*TA_ti!$BE34)</f>
        <v>10000</v>
      </c>
      <c r="AT34" s="4">
        <f>+IF(TA_ti!AT34*TA_ti!AT$48*TA_ti!$BE34=0,10000,TA_ti!AT34*TA_ti!AT$48*TA_ti!$BE34)</f>
        <v>10000</v>
      </c>
      <c r="AU34" s="4">
        <f>+IF(TA_ti!AU34*TA_ti!AU$48*TA_ti!$BE34=0,10000,TA_ti!AU34*TA_ti!AU$48*TA_ti!$BE34)</f>
        <v>10000</v>
      </c>
      <c r="AV34" s="4">
        <f>+IF(TA_ti!AV34*TA_ti!AV$48*TA_ti!$BE34=0,10000,TA_ti!AV34*TA_ti!AV$48*TA_ti!$BE34)</f>
        <v>10000</v>
      </c>
      <c r="AW34" s="4">
        <f>+IF(TA_ti!AW34*TA_ti!AW$48*TA_ti!$BE34=0,10000,TA_ti!AW34*TA_ti!AW$48*TA_ti!$BE34)</f>
        <v>10000</v>
      </c>
      <c r="AX34" s="4">
        <f>+IF(TA_ti!AX34*TA_ti!AX$48*TA_ti!$BE34=0,10000,TA_ti!AX34*TA_ti!AX$48*TA_ti!$BE34)</f>
        <v>10000</v>
      </c>
      <c r="AY34" s="4">
        <f>+IF(TA_ti!AY34*TA_ti!AY$48*TA_ti!$BE34=0,10000,TA_ti!AY34*TA_ti!AY$48*TA_ti!$BE34)</f>
        <v>10000</v>
      </c>
      <c r="AZ34" s="4">
        <f>+IF(TA_ti!AZ34*TA_ti!AZ$48*TA_ti!$BE34=0,10000,TA_ti!AZ34*TA_ti!AZ$48*TA_ti!$BE34)</f>
        <v>10000</v>
      </c>
      <c r="BA34" s="4">
        <f>+IF(TA_ti!BA34*TA_ti!BA$48*TA_ti!$BE34=0,10000,TA_ti!BA34*TA_ti!BA$48*TA_ti!$BE34)</f>
        <v>10000</v>
      </c>
      <c r="BB34" s="4">
        <f>+IF(TA_ti!BB34*TA_ti!BB$48*TA_ti!$BE34=0,10000,TA_ti!BB34*TA_ti!BB$48*TA_ti!$BE34)</f>
        <v>10000</v>
      </c>
      <c r="BC34" s="4">
        <f>+IF(TA_ti!BC34*TA_ti!BC$48*TA_ti!$BE34=0,10000,TA_ti!BC34*TA_ti!BC$48*TA_ti!$BE34)</f>
        <v>10000</v>
      </c>
    </row>
    <row r="35" spans="1:55" ht="18.75" customHeight="1" x14ac:dyDescent="0.25">
      <c r="A35" s="5" t="s">
        <v>86</v>
      </c>
      <c r="B35" s="4">
        <f>+IF(TA_ti!B35*TA_ti!B$48*TA_ti!$BE35=0,10000,TA_ti!B35*TA_ti!B$48*TA_ti!$BE35)</f>
        <v>10000</v>
      </c>
      <c r="C35" s="4">
        <f>+IF(TA_ti!C35*TA_ti!C$48*TA_ti!$BE35=0,10000,TA_ti!C35*TA_ti!C$48*TA_ti!$BE35)</f>
        <v>10000</v>
      </c>
      <c r="D35" s="4">
        <f>+IF(TA_ti!D35*TA_ti!D$48*TA_ti!$BE35=0,10000,TA_ti!D35*TA_ti!D$48*TA_ti!$BE35)</f>
        <v>10000</v>
      </c>
      <c r="E35" s="4">
        <f>+IF(TA_ti!E35*TA_ti!E$48*TA_ti!$BE35=0,10000,TA_ti!E35*TA_ti!E$48*TA_ti!$BE35)</f>
        <v>10000</v>
      </c>
      <c r="F35" s="4">
        <f>+IF(TA_ti!F35*TA_ti!F$48*TA_ti!$BE35=0,10000,TA_ti!F35*TA_ti!F$48*TA_ti!$BE35)</f>
        <v>10000</v>
      </c>
      <c r="G35" s="4">
        <f>+IF(TA_ti!G35*TA_ti!G$48*TA_ti!$BE35=0,10000,TA_ti!G35*TA_ti!G$48*TA_ti!$BE35)</f>
        <v>10000</v>
      </c>
      <c r="H35" s="4">
        <f>+IF(TA_ti!H35*TA_ti!H$48*TA_ti!$BE35=0,10000,TA_ti!H35*TA_ti!H$48*TA_ti!$BE35)</f>
        <v>10000</v>
      </c>
      <c r="I35" s="4">
        <f>+IF(TA_ti!I35*TA_ti!I$48*TA_ti!$BE35=0,10000,TA_ti!I35*TA_ti!I$48*TA_ti!$BE35)</f>
        <v>10000</v>
      </c>
      <c r="J35" s="4">
        <f>+IF(TA_ti!J35*TA_ti!J$48*TA_ti!$BE35=0,10000,TA_ti!J35*TA_ti!J$48*TA_ti!$BE35)</f>
        <v>10000</v>
      </c>
      <c r="K35" s="4">
        <f>+IF(TA_ti!K35*TA_ti!K$48*TA_ti!$BE35=0,10000,TA_ti!K35*TA_ti!K$48*TA_ti!$BE35)</f>
        <v>12</v>
      </c>
      <c r="L35" s="4">
        <f>+IF(TA_ti!L35*TA_ti!L$48*TA_ti!$BE35=0,10000,TA_ti!L35*TA_ti!L$48*TA_ti!$BE35)</f>
        <v>10000</v>
      </c>
      <c r="M35" s="4">
        <f>+IF(TA_ti!M35*TA_ti!M$48*TA_ti!$BE35=0,10000,TA_ti!M35*TA_ti!M$48*TA_ti!$BE35)</f>
        <v>10000</v>
      </c>
      <c r="N35" s="4">
        <f>+IF(TA_ti!N35*TA_ti!N$48*TA_ti!$BE35=0,10000,TA_ti!N35*TA_ti!N$48*TA_ti!$BE35)</f>
        <v>10000</v>
      </c>
      <c r="O35" s="4">
        <f>+IF(TA_ti!O35*TA_ti!O$48*TA_ti!$BE35=0,10000,TA_ti!O35*TA_ti!O$48*TA_ti!$BE35)</f>
        <v>10000</v>
      </c>
      <c r="P35" s="4">
        <f>+IF(TA_ti!P35*TA_ti!P$48*TA_ti!$BE35=0,10000,TA_ti!P35*TA_ti!P$48*TA_ti!$BE35)</f>
        <v>10000</v>
      </c>
      <c r="Q35" s="4">
        <f>+IF(TA_ti!Q35*TA_ti!Q$48*TA_ti!$BE35=0,10000,TA_ti!Q35*TA_ti!Q$48*TA_ti!$BE35)</f>
        <v>10000</v>
      </c>
      <c r="R35" s="4">
        <f>+IF(TA_ti!R35*TA_ti!R$48*TA_ti!$BE35=0,10000,TA_ti!R35*TA_ti!R$48*TA_ti!$BE35)</f>
        <v>10000</v>
      </c>
      <c r="S35" s="4">
        <f>+IF(TA_ti!S35*TA_ti!S$48*TA_ti!$BE35=0,10000,TA_ti!S35*TA_ti!S$48*TA_ti!$BE35)</f>
        <v>10000</v>
      </c>
      <c r="T35" s="4">
        <f>+IF(TA_ti!T35*TA_ti!T$48*TA_ti!$BE35=0,10000,TA_ti!T35*TA_ti!T$48*TA_ti!$BE35)</f>
        <v>10000</v>
      </c>
      <c r="U35" s="4">
        <f>+IF(TA_ti!U35*TA_ti!U$48*TA_ti!$BE35=0,10000,TA_ti!U35*TA_ti!U$48*TA_ti!$BE35)</f>
        <v>10000</v>
      </c>
      <c r="V35" s="4">
        <f>+IF(TA_ti!V35*TA_ti!V$48*TA_ti!$BE35=0,10000,TA_ti!V35*TA_ti!V$48*TA_ti!$BE35)</f>
        <v>10000</v>
      </c>
      <c r="W35" s="4">
        <f>+IF(TA_ti!W35*TA_ti!W$48*TA_ti!$BE35=0,10000,TA_ti!W35*TA_ti!W$48*TA_ti!$BE35)</f>
        <v>10000</v>
      </c>
      <c r="X35" s="4">
        <f>+IF(TA_ti!X35*TA_ti!X$48*TA_ti!$BE35=0,10000,TA_ti!X35*TA_ti!X$48*TA_ti!$BE35)</f>
        <v>10000</v>
      </c>
      <c r="Y35" s="4">
        <f>+IF(TA_ti!Y35*TA_ti!Y$48*TA_ti!$BE35=0,10000,TA_ti!Y35*TA_ti!Y$48*TA_ti!$BE35)</f>
        <v>10000</v>
      </c>
      <c r="Z35" s="4">
        <f>+IF(TA_ti!Z35*TA_ti!Z$48*TA_ti!$BE35=0,10000,TA_ti!Z35*TA_ti!Z$48*TA_ti!$BE35)</f>
        <v>10000</v>
      </c>
      <c r="AA35" s="4">
        <f>+IF(TA_ti!AA35*TA_ti!AA$48*TA_ti!$BE35=0,10000,TA_ti!AA35*TA_ti!AA$48*TA_ti!$BE35)</f>
        <v>10000</v>
      </c>
      <c r="AB35" s="4">
        <f>+IF(TA_ti!AB35*TA_ti!AB$48*TA_ti!$BE35=0,10000,TA_ti!AB35*TA_ti!AB$48*TA_ti!$BE35)</f>
        <v>10000</v>
      </c>
      <c r="AC35" s="4">
        <f>+IF(TA_ti!AC35*TA_ti!AC$48*TA_ti!$BE35=0,10000,TA_ti!AC35*TA_ti!AC$48*TA_ti!$BE35)</f>
        <v>10000</v>
      </c>
      <c r="AD35" s="4">
        <f>+IF(TA_ti!AD35*TA_ti!AD$48*TA_ti!$BE35=0,10000,TA_ti!AD35*TA_ti!AD$48*TA_ti!$BE35)</f>
        <v>10000</v>
      </c>
      <c r="AE35" s="4">
        <f>+IF(TA_ti!AE35*TA_ti!AE$48*TA_ti!$BE35=0,10000,TA_ti!AE35*TA_ti!AE$48*TA_ti!$BE35)</f>
        <v>10000</v>
      </c>
      <c r="AF35" s="4">
        <f>+IF(TA_ti!AF35*TA_ti!AF$48*TA_ti!$BE35=0,10000,TA_ti!AF35*TA_ti!AF$48*TA_ti!$BE35)</f>
        <v>10000</v>
      </c>
      <c r="AG35" s="4">
        <f>+IF(TA_ti!AG35*TA_ti!AG$48*TA_ti!$BE35=0,10000,TA_ti!AG35*TA_ti!AG$48*TA_ti!$BE35)</f>
        <v>10000</v>
      </c>
      <c r="AH35" s="4">
        <f>+IF(TA_ti!AH35*TA_ti!AH$48*TA_ti!$BE35=0,10000,TA_ti!AH35*TA_ti!AH$48*TA_ti!$BE35)</f>
        <v>10000</v>
      </c>
      <c r="AI35" s="4">
        <f>+IF(TA_ti!AI35*TA_ti!AI$48*TA_ti!$BE35=0,10000,TA_ti!AI35*TA_ti!AI$48*TA_ti!$BE35)</f>
        <v>10000</v>
      </c>
      <c r="AJ35" s="4">
        <f>+IF(TA_ti!AJ35*TA_ti!AJ$48*TA_ti!$BE35=0,10000,TA_ti!AJ35*TA_ti!AJ$48*TA_ti!$BE35)</f>
        <v>10000</v>
      </c>
      <c r="AK35" s="4">
        <f>+IF(TA_ti!AK35*TA_ti!AK$48*TA_ti!$BE35=0,10000,TA_ti!AK35*TA_ti!AK$48*TA_ti!$BE35)</f>
        <v>10000</v>
      </c>
      <c r="AL35" s="4">
        <f>+IF(TA_ti!AL35*TA_ti!AL$48*TA_ti!$BE35=0,10000,TA_ti!AL35*TA_ti!AL$48*TA_ti!$BE35)</f>
        <v>10000</v>
      </c>
      <c r="AM35" s="4">
        <f>+IF(TA_ti!AM35*TA_ti!AM$48*TA_ti!$BE35=0,10000,TA_ti!AM35*TA_ti!AM$48*TA_ti!$BE35)</f>
        <v>10000</v>
      </c>
      <c r="AN35" s="4">
        <f>+IF(TA_ti!AN35*TA_ti!AN$48*TA_ti!$BE35=0,10000,TA_ti!AN35*TA_ti!AN$48*TA_ti!$BE35)</f>
        <v>10000</v>
      </c>
      <c r="AO35" s="4">
        <f>+IF(TA_ti!AO35*TA_ti!AO$48*TA_ti!$BE35=0,10000,TA_ti!AO35*TA_ti!AO$48*TA_ti!$BE35)</f>
        <v>10000</v>
      </c>
      <c r="AP35" s="4">
        <f>+IF(TA_ti!AP35*TA_ti!AP$48*TA_ti!$BE35=0,10000,TA_ti!AP35*TA_ti!AP$48*TA_ti!$BE35)</f>
        <v>10000</v>
      </c>
      <c r="AQ35" s="4">
        <f>+IF(TA_ti!AQ35*TA_ti!AQ$48*TA_ti!$BE35=0,10000,TA_ti!AQ35*TA_ti!AQ$48*TA_ti!$BE35)</f>
        <v>10000</v>
      </c>
      <c r="AR35" s="4">
        <f>+IF(TA_ti!AR35*TA_ti!AR$48*TA_ti!$BE35=0,10000,TA_ti!AR35*TA_ti!AR$48*TA_ti!$BE35)</f>
        <v>10000</v>
      </c>
      <c r="AS35" s="4">
        <f>+IF(TA_ti!AS35*TA_ti!AS$48*TA_ti!$BE35=0,10000,TA_ti!AS35*TA_ti!AS$48*TA_ti!$BE35)</f>
        <v>10000</v>
      </c>
      <c r="AT35" s="4">
        <f>+IF(TA_ti!AT35*TA_ti!AT$48*TA_ti!$BE35=0,10000,TA_ti!AT35*TA_ti!AT$48*TA_ti!$BE35)</f>
        <v>10000</v>
      </c>
      <c r="AU35" s="4">
        <f>+IF(TA_ti!AU35*TA_ti!AU$48*TA_ti!$BE35=0,10000,TA_ti!AU35*TA_ti!AU$48*TA_ti!$BE35)</f>
        <v>10000</v>
      </c>
      <c r="AV35" s="4">
        <f>+IF(TA_ti!AV35*TA_ti!AV$48*TA_ti!$BE35=0,10000,TA_ti!AV35*TA_ti!AV$48*TA_ti!$BE35)</f>
        <v>10000</v>
      </c>
      <c r="AW35" s="4">
        <f>+IF(TA_ti!AW35*TA_ti!AW$48*TA_ti!$BE35=0,10000,TA_ti!AW35*TA_ti!AW$48*TA_ti!$BE35)</f>
        <v>10000</v>
      </c>
      <c r="AX35" s="4">
        <f>+IF(TA_ti!AX35*TA_ti!AX$48*TA_ti!$BE35=0,10000,TA_ti!AX35*TA_ti!AX$48*TA_ti!$BE35)</f>
        <v>10000</v>
      </c>
      <c r="AY35" s="4">
        <f>+IF(TA_ti!AY35*TA_ti!AY$48*TA_ti!$BE35=0,10000,TA_ti!AY35*TA_ti!AY$48*TA_ti!$BE35)</f>
        <v>10000</v>
      </c>
      <c r="AZ35" s="4">
        <f>+IF(TA_ti!AZ35*TA_ti!AZ$48*TA_ti!$BE35=0,10000,TA_ti!AZ35*TA_ti!AZ$48*TA_ti!$BE35)</f>
        <v>10000</v>
      </c>
      <c r="BA35" s="4">
        <f>+IF(TA_ti!BA35*TA_ti!BA$48*TA_ti!$BE35=0,10000,TA_ti!BA35*TA_ti!BA$48*TA_ti!$BE35)</f>
        <v>10000</v>
      </c>
      <c r="BB35" s="4">
        <f>+IF(TA_ti!BB35*TA_ti!BB$48*TA_ti!$BE35=0,10000,TA_ti!BB35*TA_ti!BB$48*TA_ti!$BE35)</f>
        <v>10000</v>
      </c>
      <c r="BC35" s="4">
        <f>+IF(TA_ti!BC35*TA_ti!BC$48*TA_ti!$BE35=0,10000,TA_ti!BC35*TA_ti!BC$48*TA_ti!$BE35)</f>
        <v>10000</v>
      </c>
    </row>
    <row r="36" spans="1:55" ht="18.75" customHeight="1" x14ac:dyDescent="0.25">
      <c r="A36" s="5" t="s">
        <v>87</v>
      </c>
      <c r="B36" s="4">
        <f>+IF(TA_ti!B36*TA_ti!B$48*TA_ti!$BE36=0,10000,TA_ti!B36*TA_ti!B$48*TA_ti!$BE36)</f>
        <v>10000</v>
      </c>
      <c r="C36" s="4">
        <f>+IF(TA_ti!C36*TA_ti!C$48*TA_ti!$BE36=0,10000,TA_ti!C36*TA_ti!C$48*TA_ti!$BE36)</f>
        <v>10000</v>
      </c>
      <c r="D36" s="4">
        <f>+IF(TA_ti!D36*TA_ti!D$48*TA_ti!$BE36=0,10000,TA_ti!D36*TA_ti!D$48*TA_ti!$BE36)</f>
        <v>10000</v>
      </c>
      <c r="E36" s="4">
        <f>+IF(TA_ti!E36*TA_ti!E$48*TA_ti!$BE36=0,10000,TA_ti!E36*TA_ti!E$48*TA_ti!$BE36)</f>
        <v>10000</v>
      </c>
      <c r="F36" s="4">
        <f>+IF(TA_ti!F36*TA_ti!F$48*TA_ti!$BE36=0,10000,TA_ti!F36*TA_ti!F$48*TA_ti!$BE36)</f>
        <v>10000</v>
      </c>
      <c r="G36" s="4">
        <f>+IF(TA_ti!G36*TA_ti!G$48*TA_ti!$BE36=0,10000,TA_ti!G36*TA_ti!G$48*TA_ti!$BE36)</f>
        <v>10000</v>
      </c>
      <c r="H36" s="4">
        <f>+IF(TA_ti!H36*TA_ti!H$48*TA_ti!$BE36=0,10000,TA_ti!H36*TA_ti!H$48*TA_ti!$BE36)</f>
        <v>10000</v>
      </c>
      <c r="I36" s="4">
        <f>+IF(TA_ti!I36*TA_ti!I$48*TA_ti!$BE36=0,10000,TA_ti!I36*TA_ti!I$48*TA_ti!$BE36)</f>
        <v>10000</v>
      </c>
      <c r="J36" s="4">
        <f>+IF(TA_ti!J36*TA_ti!J$48*TA_ti!$BE36=0,10000,TA_ti!J36*TA_ti!J$48*TA_ti!$BE36)</f>
        <v>10000</v>
      </c>
      <c r="K36" s="4">
        <f>+IF(TA_ti!K36*TA_ti!K$48*TA_ti!$BE36=0,10000,TA_ti!K36*TA_ti!K$48*TA_ti!$BE36)</f>
        <v>10000</v>
      </c>
      <c r="L36" s="4">
        <f>+IF(TA_ti!L36*TA_ti!L$48*TA_ti!$BE36=0,10000,TA_ti!L36*TA_ti!L$48*TA_ti!$BE36)</f>
        <v>10000</v>
      </c>
      <c r="M36" s="4">
        <f>+IF(TA_ti!M36*TA_ti!M$48*TA_ti!$BE36=0,10000,TA_ti!M36*TA_ti!M$48*TA_ti!$BE36)</f>
        <v>10000</v>
      </c>
      <c r="N36" s="4">
        <f>+IF(TA_ti!N36*TA_ti!N$48*TA_ti!$BE36=0,10000,TA_ti!N36*TA_ti!N$48*TA_ti!$BE36)</f>
        <v>10000</v>
      </c>
      <c r="O36" s="4">
        <f>+IF(TA_ti!O36*TA_ti!O$48*TA_ti!$BE36=0,10000,TA_ti!O36*TA_ti!O$48*TA_ti!$BE36)</f>
        <v>10000</v>
      </c>
      <c r="P36" s="4">
        <f>+IF(TA_ti!P36*TA_ti!P$48*TA_ti!$BE36=0,10000,TA_ti!P36*TA_ti!P$48*TA_ti!$BE36)</f>
        <v>10000</v>
      </c>
      <c r="Q36" s="4">
        <f>+IF(TA_ti!Q36*TA_ti!Q$48*TA_ti!$BE36=0,10000,TA_ti!Q36*TA_ti!Q$48*TA_ti!$BE36)</f>
        <v>10000</v>
      </c>
      <c r="R36" s="4">
        <f>+IF(TA_ti!R36*TA_ti!R$48*TA_ti!$BE36=0,10000,TA_ti!R36*TA_ti!R$48*TA_ti!$BE36)</f>
        <v>10000</v>
      </c>
      <c r="S36" s="4">
        <f>+IF(TA_ti!S36*TA_ti!S$48*TA_ti!$BE36=0,10000,TA_ti!S36*TA_ti!S$48*TA_ti!$BE36)</f>
        <v>10000</v>
      </c>
      <c r="T36" s="4">
        <f>+IF(TA_ti!T36*TA_ti!T$48*TA_ti!$BE36=0,10000,TA_ti!T36*TA_ti!T$48*TA_ti!$BE36)</f>
        <v>10000</v>
      </c>
      <c r="U36" s="4">
        <f>+IF(TA_ti!U36*TA_ti!U$48*TA_ti!$BE36=0,10000,TA_ti!U36*TA_ti!U$48*TA_ti!$BE36)</f>
        <v>10000</v>
      </c>
      <c r="V36" s="4">
        <f>+IF(TA_ti!V36*TA_ti!V$48*TA_ti!$BE36=0,10000,TA_ti!V36*TA_ti!V$48*TA_ti!$BE36)</f>
        <v>10000</v>
      </c>
      <c r="W36" s="4">
        <f>+IF(TA_ti!W36*TA_ti!W$48*TA_ti!$BE36=0,10000,TA_ti!W36*TA_ti!W$48*TA_ti!$BE36)</f>
        <v>10000</v>
      </c>
      <c r="X36" s="4">
        <f>+IF(TA_ti!X36*TA_ti!X$48*TA_ti!$BE36=0,10000,TA_ti!X36*TA_ti!X$48*TA_ti!$BE36)</f>
        <v>10000</v>
      </c>
      <c r="Y36" s="4">
        <f>+IF(TA_ti!Y36*TA_ti!Y$48*TA_ti!$BE36=0,10000,TA_ti!Y36*TA_ti!Y$48*TA_ti!$BE36)</f>
        <v>10000</v>
      </c>
      <c r="Z36" s="4">
        <f>+IF(TA_ti!Z36*TA_ti!Z$48*TA_ti!$BE36=0,10000,TA_ti!Z36*TA_ti!Z$48*TA_ti!$BE36)</f>
        <v>10000</v>
      </c>
      <c r="AA36" s="4">
        <f>+IF(TA_ti!AA36*TA_ti!AA$48*TA_ti!$BE36=0,10000,TA_ti!AA36*TA_ti!AA$48*TA_ti!$BE36)</f>
        <v>10000</v>
      </c>
      <c r="AB36" s="4">
        <f>+IF(TA_ti!AB36*TA_ti!AB$48*TA_ti!$BE36=0,10000,TA_ti!AB36*TA_ti!AB$48*TA_ti!$BE36)</f>
        <v>10000</v>
      </c>
      <c r="AC36" s="4">
        <f>+IF(TA_ti!AC36*TA_ti!AC$48*TA_ti!$BE36=0,10000,TA_ti!AC36*TA_ti!AC$48*TA_ti!$BE36)</f>
        <v>10000</v>
      </c>
      <c r="AD36" s="4">
        <f>+IF(TA_ti!AD36*TA_ti!AD$48*TA_ti!$BE36=0,10000,TA_ti!AD36*TA_ti!AD$48*TA_ti!$BE36)</f>
        <v>10000</v>
      </c>
      <c r="AE36" s="4">
        <f>+IF(TA_ti!AE36*TA_ti!AE$48*TA_ti!$BE36=0,10000,TA_ti!AE36*TA_ti!AE$48*TA_ti!$BE36)</f>
        <v>10000</v>
      </c>
      <c r="AF36" s="4">
        <f>+IF(TA_ti!AF36*TA_ti!AF$48*TA_ti!$BE36=0,10000,TA_ti!AF36*TA_ti!AF$48*TA_ti!$BE36)</f>
        <v>10000</v>
      </c>
      <c r="AG36" s="4">
        <f>+IF(TA_ti!AG36*TA_ti!AG$48*TA_ti!$BE36=0,10000,TA_ti!AG36*TA_ti!AG$48*TA_ti!$BE36)</f>
        <v>10000</v>
      </c>
      <c r="AH36" s="4">
        <f>+IF(TA_ti!AH36*TA_ti!AH$48*TA_ti!$BE36=0,10000,TA_ti!AH36*TA_ti!AH$48*TA_ti!$BE36)</f>
        <v>10000</v>
      </c>
      <c r="AI36" s="4">
        <f>+IF(TA_ti!AI36*TA_ti!AI$48*TA_ti!$BE36=0,10000,TA_ti!AI36*TA_ti!AI$48*TA_ti!$BE36)</f>
        <v>10000</v>
      </c>
      <c r="AJ36" s="4">
        <f>+IF(TA_ti!AJ36*TA_ti!AJ$48*TA_ti!$BE36=0,10000,TA_ti!AJ36*TA_ti!AJ$48*TA_ti!$BE36)</f>
        <v>10000</v>
      </c>
      <c r="AK36" s="4">
        <f>+IF(TA_ti!AK36*TA_ti!AK$48*TA_ti!$BE36=0,10000,TA_ti!AK36*TA_ti!AK$48*TA_ti!$BE36)</f>
        <v>10000</v>
      </c>
      <c r="AL36" s="4">
        <f>+IF(TA_ti!AL36*TA_ti!AL$48*TA_ti!$BE36=0,10000,TA_ti!AL36*TA_ti!AL$48*TA_ti!$BE36)</f>
        <v>10000</v>
      </c>
      <c r="AM36" s="4">
        <f>+IF(TA_ti!AM36*TA_ti!AM$48*TA_ti!$BE36=0,10000,TA_ti!AM36*TA_ti!AM$48*TA_ti!$BE36)</f>
        <v>10000</v>
      </c>
      <c r="AN36" s="4">
        <f>+IF(TA_ti!AN36*TA_ti!AN$48*TA_ti!$BE36=0,10000,TA_ti!AN36*TA_ti!AN$48*TA_ti!$BE36)</f>
        <v>10000</v>
      </c>
      <c r="AO36" s="4">
        <f>+IF(TA_ti!AO36*TA_ti!AO$48*TA_ti!$BE36=0,10000,TA_ti!AO36*TA_ti!AO$48*TA_ti!$BE36)</f>
        <v>10000</v>
      </c>
      <c r="AP36" s="4">
        <f>+IF(TA_ti!AP36*TA_ti!AP$48*TA_ti!$BE36=0,10000,TA_ti!AP36*TA_ti!AP$48*TA_ti!$BE36)</f>
        <v>10000</v>
      </c>
      <c r="AQ36" s="4">
        <f>+IF(TA_ti!AQ36*TA_ti!AQ$48*TA_ti!$BE36=0,10000,TA_ti!AQ36*TA_ti!AQ$48*TA_ti!$BE36)</f>
        <v>10000</v>
      </c>
      <c r="AR36" s="4">
        <f>+IF(TA_ti!AR36*TA_ti!AR$48*TA_ti!$BE36=0,10000,TA_ti!AR36*TA_ti!AR$48*TA_ti!$BE36)</f>
        <v>10000</v>
      </c>
      <c r="AS36" s="4">
        <f>+IF(TA_ti!AS36*TA_ti!AS$48*TA_ti!$BE36=0,10000,TA_ti!AS36*TA_ti!AS$48*TA_ti!$BE36)</f>
        <v>10000</v>
      </c>
      <c r="AT36" s="4">
        <f>+IF(TA_ti!AT36*TA_ti!AT$48*TA_ti!$BE36=0,10000,TA_ti!AT36*TA_ti!AT$48*TA_ti!$BE36)</f>
        <v>10000</v>
      </c>
      <c r="AU36" s="4">
        <f>+IF(TA_ti!AU36*TA_ti!AU$48*TA_ti!$BE36=0,10000,TA_ti!AU36*TA_ti!AU$48*TA_ti!$BE36)</f>
        <v>10000</v>
      </c>
      <c r="AV36" s="4">
        <f>+IF(TA_ti!AV36*TA_ti!AV$48*TA_ti!$BE36=0,10000,TA_ti!AV36*TA_ti!AV$48*TA_ti!$BE36)</f>
        <v>10000</v>
      </c>
      <c r="AW36" s="4">
        <f>+IF(TA_ti!AW36*TA_ti!AW$48*TA_ti!$BE36=0,10000,TA_ti!AW36*TA_ti!AW$48*TA_ti!$BE36)</f>
        <v>10000</v>
      </c>
      <c r="AX36" s="4">
        <f>+IF(TA_ti!AX36*TA_ti!AX$48*TA_ti!$BE36=0,10000,TA_ti!AX36*TA_ti!AX$48*TA_ti!$BE36)</f>
        <v>10000</v>
      </c>
      <c r="AY36" s="4">
        <f>+IF(TA_ti!AY36*TA_ti!AY$48*TA_ti!$BE36=0,10000,TA_ti!AY36*TA_ti!AY$48*TA_ti!$BE36)</f>
        <v>10000</v>
      </c>
      <c r="AZ36" s="4">
        <f>+IF(TA_ti!AZ36*TA_ti!AZ$48*TA_ti!$BE36=0,10000,TA_ti!AZ36*TA_ti!AZ$48*TA_ti!$BE36)</f>
        <v>10000</v>
      </c>
      <c r="BA36" s="4">
        <f>+IF(TA_ti!BA36*TA_ti!BA$48*TA_ti!$BE36=0,10000,TA_ti!BA36*TA_ti!BA$48*TA_ti!$BE36)</f>
        <v>10000</v>
      </c>
      <c r="BB36" s="4">
        <f>+IF(TA_ti!BB36*TA_ti!BB$48*TA_ti!$BE36=0,10000,TA_ti!BB36*TA_ti!BB$48*TA_ti!$BE36)</f>
        <v>10000</v>
      </c>
      <c r="BC36" s="4">
        <f>+IF(TA_ti!BC36*TA_ti!BC$48*TA_ti!$BE36=0,10000,TA_ti!BC36*TA_ti!BC$48*TA_ti!$BE36)</f>
        <v>10000</v>
      </c>
    </row>
    <row r="37" spans="1:55" ht="18.75" customHeight="1" x14ac:dyDescent="0.25">
      <c r="A37" s="5" t="s">
        <v>88</v>
      </c>
      <c r="B37" s="4">
        <f>+IF(TA_ti!B37*TA_ti!B$48*TA_ti!$BE37=0,10000,TA_ti!B37*TA_ti!B$48*TA_ti!$BE37)</f>
        <v>10000</v>
      </c>
      <c r="C37" s="4">
        <f>+IF(TA_ti!C37*TA_ti!C$48*TA_ti!$BE37=0,10000,TA_ti!C37*TA_ti!C$48*TA_ti!$BE37)</f>
        <v>10000</v>
      </c>
      <c r="D37" s="4">
        <f>+IF(TA_ti!D37*TA_ti!D$48*TA_ti!$BE37=0,10000,TA_ti!D37*TA_ti!D$48*TA_ti!$BE37)</f>
        <v>10000</v>
      </c>
      <c r="E37" s="4">
        <f>+IF(TA_ti!E37*TA_ti!E$48*TA_ti!$BE37=0,10000,TA_ti!E37*TA_ti!E$48*TA_ti!$BE37)</f>
        <v>10000</v>
      </c>
      <c r="F37" s="4">
        <f>+IF(TA_ti!F37*TA_ti!F$48*TA_ti!$BE37=0,10000,TA_ti!F37*TA_ti!F$48*TA_ti!$BE37)</f>
        <v>10000</v>
      </c>
      <c r="G37" s="4">
        <f>+IF(TA_ti!G37*TA_ti!G$48*TA_ti!$BE37=0,10000,TA_ti!G37*TA_ti!G$48*TA_ti!$BE37)</f>
        <v>10000</v>
      </c>
      <c r="H37" s="4">
        <f>+IF(TA_ti!H37*TA_ti!H$48*TA_ti!$BE37=0,10000,TA_ti!H37*TA_ti!H$48*TA_ti!$BE37)</f>
        <v>10000</v>
      </c>
      <c r="I37" s="4">
        <f>+IF(TA_ti!I37*TA_ti!I$48*TA_ti!$BE37=0,10000,TA_ti!I37*TA_ti!I$48*TA_ti!$BE37)</f>
        <v>10000</v>
      </c>
      <c r="J37" s="4">
        <f>+IF(TA_ti!J37*TA_ti!J$48*TA_ti!$BE37=0,10000,TA_ti!J37*TA_ti!J$48*TA_ti!$BE37)</f>
        <v>10000</v>
      </c>
      <c r="K37" s="4">
        <f>+IF(TA_ti!K37*TA_ti!K$48*TA_ti!$BE37=0,10000,TA_ti!K37*TA_ti!K$48*TA_ti!$BE37)</f>
        <v>10000</v>
      </c>
      <c r="L37" s="4">
        <f>+IF(TA_ti!L37*TA_ti!L$48*TA_ti!$BE37=0,10000,TA_ti!L37*TA_ti!L$48*TA_ti!$BE37)</f>
        <v>10000</v>
      </c>
      <c r="M37" s="4">
        <f>+IF(TA_ti!M37*TA_ti!M$48*TA_ti!$BE37=0,10000,TA_ti!M37*TA_ti!M$48*TA_ti!$BE37)</f>
        <v>12</v>
      </c>
      <c r="N37" s="4">
        <f>+IF(TA_ti!N37*TA_ti!N$48*TA_ti!$BE37=0,10000,TA_ti!N37*TA_ti!N$48*TA_ti!$BE37)</f>
        <v>10000</v>
      </c>
      <c r="O37" s="4">
        <f>+IF(TA_ti!O37*TA_ti!O$48*TA_ti!$BE37=0,10000,TA_ti!O37*TA_ti!O$48*TA_ti!$BE37)</f>
        <v>10000</v>
      </c>
      <c r="P37" s="4">
        <f>+IF(TA_ti!P37*TA_ti!P$48*TA_ti!$BE37=0,10000,TA_ti!P37*TA_ti!P$48*TA_ti!$BE37)</f>
        <v>10000</v>
      </c>
      <c r="Q37" s="4">
        <f>+IF(TA_ti!Q37*TA_ti!Q$48*TA_ti!$BE37=0,10000,TA_ti!Q37*TA_ti!Q$48*TA_ti!$BE37)</f>
        <v>10000</v>
      </c>
      <c r="R37" s="4">
        <f>+IF(TA_ti!R37*TA_ti!R$48*TA_ti!$BE37=0,10000,TA_ti!R37*TA_ti!R$48*TA_ti!$BE37)</f>
        <v>10000</v>
      </c>
      <c r="S37" s="4">
        <f>+IF(TA_ti!S37*TA_ti!S$48*TA_ti!$BE37=0,10000,TA_ti!S37*TA_ti!S$48*TA_ti!$BE37)</f>
        <v>10000</v>
      </c>
      <c r="T37" s="4">
        <f>+IF(TA_ti!T37*TA_ti!T$48*TA_ti!$BE37=0,10000,TA_ti!T37*TA_ti!T$48*TA_ti!$BE37)</f>
        <v>10000</v>
      </c>
      <c r="U37" s="4">
        <f>+IF(TA_ti!U37*TA_ti!U$48*TA_ti!$BE37=0,10000,TA_ti!U37*TA_ti!U$48*TA_ti!$BE37)</f>
        <v>10000</v>
      </c>
      <c r="V37" s="4">
        <f>+IF(TA_ti!V37*TA_ti!V$48*TA_ti!$BE37=0,10000,TA_ti!V37*TA_ti!V$48*TA_ti!$BE37)</f>
        <v>10000</v>
      </c>
      <c r="W37" s="4">
        <f>+IF(TA_ti!W37*TA_ti!W$48*TA_ti!$BE37=0,10000,TA_ti!W37*TA_ti!W$48*TA_ti!$BE37)</f>
        <v>10000</v>
      </c>
      <c r="X37" s="4">
        <f>+IF(TA_ti!X37*TA_ti!X$48*TA_ti!$BE37=0,10000,TA_ti!X37*TA_ti!X$48*TA_ti!$BE37)</f>
        <v>10000</v>
      </c>
      <c r="Y37" s="4">
        <f>+IF(TA_ti!Y37*TA_ti!Y$48*TA_ti!$BE37=0,10000,TA_ti!Y37*TA_ti!Y$48*TA_ti!$BE37)</f>
        <v>10000</v>
      </c>
      <c r="Z37" s="4">
        <f>+IF(TA_ti!Z37*TA_ti!Z$48*TA_ti!$BE37=0,10000,TA_ti!Z37*TA_ti!Z$48*TA_ti!$BE37)</f>
        <v>10000</v>
      </c>
      <c r="AA37" s="4">
        <f>+IF(TA_ti!AA37*TA_ti!AA$48*TA_ti!$BE37=0,10000,TA_ti!AA37*TA_ti!AA$48*TA_ti!$BE37)</f>
        <v>10000</v>
      </c>
      <c r="AB37" s="4">
        <f>+IF(TA_ti!AB37*TA_ti!AB$48*TA_ti!$BE37=0,10000,TA_ti!AB37*TA_ti!AB$48*TA_ti!$BE37)</f>
        <v>10000</v>
      </c>
      <c r="AC37" s="4">
        <f>+IF(TA_ti!AC37*TA_ti!AC$48*TA_ti!$BE37=0,10000,TA_ti!AC37*TA_ti!AC$48*TA_ti!$BE37)</f>
        <v>10000</v>
      </c>
      <c r="AD37" s="4">
        <f>+IF(TA_ti!AD37*TA_ti!AD$48*TA_ti!$BE37=0,10000,TA_ti!AD37*TA_ti!AD$48*TA_ti!$BE37)</f>
        <v>10000</v>
      </c>
      <c r="AE37" s="4">
        <f>+IF(TA_ti!AE37*TA_ti!AE$48*TA_ti!$BE37=0,10000,TA_ti!AE37*TA_ti!AE$48*TA_ti!$BE37)</f>
        <v>10000</v>
      </c>
      <c r="AF37" s="4">
        <f>+IF(TA_ti!AF37*TA_ti!AF$48*TA_ti!$BE37=0,10000,TA_ti!AF37*TA_ti!AF$48*TA_ti!$BE37)</f>
        <v>10000</v>
      </c>
      <c r="AG37" s="4">
        <f>+IF(TA_ti!AG37*TA_ti!AG$48*TA_ti!$BE37=0,10000,TA_ti!AG37*TA_ti!AG$48*TA_ti!$BE37)</f>
        <v>10000</v>
      </c>
      <c r="AH37" s="4">
        <f>+IF(TA_ti!AH37*TA_ti!AH$48*TA_ti!$BE37=0,10000,TA_ti!AH37*TA_ti!AH$48*TA_ti!$BE37)</f>
        <v>10000</v>
      </c>
      <c r="AI37" s="4">
        <f>+IF(TA_ti!AI37*TA_ti!AI$48*TA_ti!$BE37=0,10000,TA_ti!AI37*TA_ti!AI$48*TA_ti!$BE37)</f>
        <v>10000</v>
      </c>
      <c r="AJ37" s="4">
        <f>+IF(TA_ti!AJ37*TA_ti!AJ$48*TA_ti!$BE37=0,10000,TA_ti!AJ37*TA_ti!AJ$48*TA_ti!$BE37)</f>
        <v>10000</v>
      </c>
      <c r="AK37" s="4">
        <f>+IF(TA_ti!AK37*TA_ti!AK$48*TA_ti!$BE37=0,10000,TA_ti!AK37*TA_ti!AK$48*TA_ti!$BE37)</f>
        <v>10000</v>
      </c>
      <c r="AL37" s="4">
        <f>+IF(TA_ti!AL37*TA_ti!AL$48*TA_ti!$BE37=0,10000,TA_ti!AL37*TA_ti!AL$48*TA_ti!$BE37)</f>
        <v>10000</v>
      </c>
      <c r="AM37" s="4">
        <f>+IF(TA_ti!AM37*TA_ti!AM$48*TA_ti!$BE37=0,10000,TA_ti!AM37*TA_ti!AM$48*TA_ti!$BE37)</f>
        <v>10000</v>
      </c>
      <c r="AN37" s="4">
        <f>+IF(TA_ti!AN37*TA_ti!AN$48*TA_ti!$BE37=0,10000,TA_ti!AN37*TA_ti!AN$48*TA_ti!$BE37)</f>
        <v>10000</v>
      </c>
      <c r="AO37" s="4">
        <f>+IF(TA_ti!AO37*TA_ti!AO$48*TA_ti!$BE37=0,10000,TA_ti!AO37*TA_ti!AO$48*TA_ti!$BE37)</f>
        <v>10000</v>
      </c>
      <c r="AP37" s="4">
        <f>+IF(TA_ti!AP37*TA_ti!AP$48*TA_ti!$BE37=0,10000,TA_ti!AP37*TA_ti!AP$48*TA_ti!$BE37)</f>
        <v>10000</v>
      </c>
      <c r="AQ37" s="4">
        <f>+IF(TA_ti!AQ37*TA_ti!AQ$48*TA_ti!$BE37=0,10000,TA_ti!AQ37*TA_ti!AQ$48*TA_ti!$BE37)</f>
        <v>10000</v>
      </c>
      <c r="AR37" s="4">
        <f>+IF(TA_ti!AR37*TA_ti!AR$48*TA_ti!$BE37=0,10000,TA_ti!AR37*TA_ti!AR$48*TA_ti!$BE37)</f>
        <v>10000</v>
      </c>
      <c r="AS37" s="4">
        <f>+IF(TA_ti!AS37*TA_ti!AS$48*TA_ti!$BE37=0,10000,TA_ti!AS37*TA_ti!AS$48*TA_ti!$BE37)</f>
        <v>10000</v>
      </c>
      <c r="AT37" s="4">
        <f>+IF(TA_ti!AT37*TA_ti!AT$48*TA_ti!$BE37=0,10000,TA_ti!AT37*TA_ti!AT$48*TA_ti!$BE37)</f>
        <v>10000</v>
      </c>
      <c r="AU37" s="4">
        <f>+IF(TA_ti!AU37*TA_ti!AU$48*TA_ti!$BE37=0,10000,TA_ti!AU37*TA_ti!AU$48*TA_ti!$BE37)</f>
        <v>10000</v>
      </c>
      <c r="AV37" s="4">
        <f>+IF(TA_ti!AV37*TA_ti!AV$48*TA_ti!$BE37=0,10000,TA_ti!AV37*TA_ti!AV$48*TA_ti!$BE37)</f>
        <v>10000</v>
      </c>
      <c r="AW37" s="4">
        <f>+IF(TA_ti!AW37*TA_ti!AW$48*TA_ti!$BE37=0,10000,TA_ti!AW37*TA_ti!AW$48*TA_ti!$BE37)</f>
        <v>10000</v>
      </c>
      <c r="AX37" s="4">
        <f>+IF(TA_ti!AX37*TA_ti!AX$48*TA_ti!$BE37=0,10000,TA_ti!AX37*TA_ti!AX$48*TA_ti!$BE37)</f>
        <v>10000</v>
      </c>
      <c r="AY37" s="4">
        <f>+IF(TA_ti!AY37*TA_ti!AY$48*TA_ti!$BE37=0,10000,TA_ti!AY37*TA_ti!AY$48*TA_ti!$BE37)</f>
        <v>10000</v>
      </c>
      <c r="AZ37" s="4">
        <f>+IF(TA_ti!AZ37*TA_ti!AZ$48*TA_ti!$BE37=0,10000,TA_ti!AZ37*TA_ti!AZ$48*TA_ti!$BE37)</f>
        <v>10000</v>
      </c>
      <c r="BA37" s="4">
        <f>+IF(TA_ti!BA37*TA_ti!BA$48*TA_ti!$BE37=0,10000,TA_ti!BA37*TA_ti!BA$48*TA_ti!$BE37)</f>
        <v>10000</v>
      </c>
      <c r="BB37" s="4">
        <f>+IF(TA_ti!BB37*TA_ti!BB$48*TA_ti!$BE37=0,10000,TA_ti!BB37*TA_ti!BB$48*TA_ti!$BE37)</f>
        <v>10000</v>
      </c>
      <c r="BC37" s="4">
        <f>+IF(TA_ti!BC37*TA_ti!BC$48*TA_ti!$BE37=0,10000,TA_ti!BC37*TA_ti!BC$48*TA_ti!$BE37)</f>
        <v>10000</v>
      </c>
    </row>
    <row r="38" spans="1:55" ht="18.75" customHeight="1" x14ac:dyDescent="0.25">
      <c r="A38" s="5" t="s">
        <v>89</v>
      </c>
      <c r="B38" s="4">
        <f>+IF(TA_ti!B38*TA_ti!B$48*TA_ti!$BE38=0,10000,TA_ti!B38*TA_ti!B$48*TA_ti!$BE38)</f>
        <v>10000</v>
      </c>
      <c r="C38" s="4">
        <f>+IF(TA_ti!C38*TA_ti!C$48*TA_ti!$BE38=0,10000,TA_ti!C38*TA_ti!C$48*TA_ti!$BE38)</f>
        <v>10000</v>
      </c>
      <c r="D38" s="4">
        <f>+IF(TA_ti!D38*TA_ti!D$48*TA_ti!$BE38=0,10000,TA_ti!D38*TA_ti!D$48*TA_ti!$BE38)</f>
        <v>10000</v>
      </c>
      <c r="E38" s="4">
        <f>+IF(TA_ti!E38*TA_ti!E$48*TA_ti!$BE38=0,10000,TA_ti!E38*TA_ti!E$48*TA_ti!$BE38)</f>
        <v>10000</v>
      </c>
      <c r="F38" s="4">
        <f>+IF(TA_ti!F38*TA_ti!F$48*TA_ti!$BE38=0,10000,TA_ti!F38*TA_ti!F$48*TA_ti!$BE38)</f>
        <v>10000</v>
      </c>
      <c r="G38" s="4">
        <f>+IF(TA_ti!G38*TA_ti!G$48*TA_ti!$BE38=0,10000,TA_ti!G38*TA_ti!G$48*TA_ti!$BE38)</f>
        <v>10000</v>
      </c>
      <c r="H38" s="4">
        <f>+IF(TA_ti!H38*TA_ti!H$48*TA_ti!$BE38=0,10000,TA_ti!H38*TA_ti!H$48*TA_ti!$BE38)</f>
        <v>10000</v>
      </c>
      <c r="I38" s="4">
        <f>+IF(TA_ti!I38*TA_ti!I$48*TA_ti!$BE38=0,10000,TA_ti!I38*TA_ti!I$48*TA_ti!$BE38)</f>
        <v>10000</v>
      </c>
      <c r="J38" s="4">
        <f>+IF(TA_ti!J38*TA_ti!J$48*TA_ti!$BE38=0,10000,TA_ti!J38*TA_ti!J$48*TA_ti!$BE38)</f>
        <v>10000</v>
      </c>
      <c r="K38" s="4">
        <f>+IF(TA_ti!K38*TA_ti!K$48*TA_ti!$BE38=0,10000,TA_ti!K38*TA_ti!K$48*TA_ti!$BE38)</f>
        <v>10000</v>
      </c>
      <c r="L38" s="4">
        <f>+IF(TA_ti!L38*TA_ti!L$48*TA_ti!$BE38=0,10000,TA_ti!L38*TA_ti!L$48*TA_ti!$BE38)</f>
        <v>10000</v>
      </c>
      <c r="M38" s="4">
        <f>+IF(TA_ti!M38*TA_ti!M$48*TA_ti!$BE38=0,10000,TA_ti!M38*TA_ti!M$48*TA_ti!$BE38)</f>
        <v>10000</v>
      </c>
      <c r="N38" s="4">
        <f>+IF(TA_ti!N38*TA_ti!N$48*TA_ti!$BE38=0,10000,TA_ti!N38*TA_ti!N$48*TA_ti!$BE38)</f>
        <v>10000</v>
      </c>
      <c r="O38" s="4">
        <f>+IF(TA_ti!O38*TA_ti!O$48*TA_ti!$BE38=0,10000,TA_ti!O38*TA_ti!O$48*TA_ti!$BE38)</f>
        <v>10000</v>
      </c>
      <c r="P38" s="4">
        <f>+IF(TA_ti!P38*TA_ti!P$48*TA_ti!$BE38=0,10000,TA_ti!P38*TA_ti!P$48*TA_ti!$BE38)</f>
        <v>10000</v>
      </c>
      <c r="Q38" s="4">
        <f>+IF(TA_ti!Q38*TA_ti!Q$48*TA_ti!$BE38=0,10000,TA_ti!Q38*TA_ti!Q$48*TA_ti!$BE38)</f>
        <v>10000</v>
      </c>
      <c r="R38" s="4">
        <f>+IF(TA_ti!R38*TA_ti!R$48*TA_ti!$BE38=0,10000,TA_ti!R38*TA_ti!R$48*TA_ti!$BE38)</f>
        <v>10000</v>
      </c>
      <c r="S38" s="4">
        <f>+IF(TA_ti!S38*TA_ti!S$48*TA_ti!$BE38=0,10000,TA_ti!S38*TA_ti!S$48*TA_ti!$BE38)</f>
        <v>10000</v>
      </c>
      <c r="T38" s="4">
        <f>+IF(TA_ti!T38*TA_ti!T$48*TA_ti!$BE38=0,10000,TA_ti!T38*TA_ti!T$48*TA_ti!$BE38)</f>
        <v>10000</v>
      </c>
      <c r="U38" s="4">
        <f>+IF(TA_ti!U38*TA_ti!U$48*TA_ti!$BE38=0,10000,TA_ti!U38*TA_ti!U$48*TA_ti!$BE38)</f>
        <v>10000</v>
      </c>
      <c r="V38" s="4">
        <f>+IF(TA_ti!V38*TA_ti!V$48*TA_ti!$BE38=0,10000,TA_ti!V38*TA_ti!V$48*TA_ti!$BE38)</f>
        <v>10000</v>
      </c>
      <c r="W38" s="4">
        <f>+IF(TA_ti!W38*TA_ti!W$48*TA_ti!$BE38=0,10000,TA_ti!W38*TA_ti!W$48*TA_ti!$BE38)</f>
        <v>10000</v>
      </c>
      <c r="X38" s="4">
        <f>+IF(TA_ti!X38*TA_ti!X$48*TA_ti!$BE38=0,10000,TA_ti!X38*TA_ti!X$48*TA_ti!$BE38)</f>
        <v>10000</v>
      </c>
      <c r="Y38" s="4">
        <f>+IF(TA_ti!Y38*TA_ti!Y$48*TA_ti!$BE38=0,10000,TA_ti!Y38*TA_ti!Y$48*TA_ti!$BE38)</f>
        <v>10000</v>
      </c>
      <c r="Z38" s="4">
        <f>+IF(TA_ti!Z38*TA_ti!Z$48*TA_ti!$BE38=0,10000,TA_ti!Z38*TA_ti!Z$48*TA_ti!$BE38)</f>
        <v>10000</v>
      </c>
      <c r="AA38" s="4">
        <f>+IF(TA_ti!AA38*TA_ti!AA$48*TA_ti!$BE38=0,10000,TA_ti!AA38*TA_ti!AA$48*TA_ti!$BE38)</f>
        <v>10000</v>
      </c>
      <c r="AB38" s="4">
        <f>+IF(TA_ti!AB38*TA_ti!AB$48*TA_ti!$BE38=0,10000,TA_ti!AB38*TA_ti!AB$48*TA_ti!$BE38)</f>
        <v>10000</v>
      </c>
      <c r="AC38" s="4">
        <f>+IF(TA_ti!AC38*TA_ti!AC$48*TA_ti!$BE38=0,10000,TA_ti!AC38*TA_ti!AC$48*TA_ti!$BE38)</f>
        <v>10000</v>
      </c>
      <c r="AD38" s="4">
        <f>+IF(TA_ti!AD38*TA_ti!AD$48*TA_ti!$BE38=0,10000,TA_ti!AD38*TA_ti!AD$48*TA_ti!$BE38)</f>
        <v>10000</v>
      </c>
      <c r="AE38" s="4">
        <f>+IF(TA_ti!AE38*TA_ti!AE$48*TA_ti!$BE38=0,10000,TA_ti!AE38*TA_ti!AE$48*TA_ti!$BE38)</f>
        <v>10000</v>
      </c>
      <c r="AF38" s="4">
        <f>+IF(TA_ti!AF38*TA_ti!AF$48*TA_ti!$BE38=0,10000,TA_ti!AF38*TA_ti!AF$48*TA_ti!$BE38)</f>
        <v>10000</v>
      </c>
      <c r="AG38" s="4">
        <f>+IF(TA_ti!AG38*TA_ti!AG$48*TA_ti!$BE38=0,10000,TA_ti!AG38*TA_ti!AG$48*TA_ti!$BE38)</f>
        <v>10000</v>
      </c>
      <c r="AH38" s="4">
        <f>+IF(TA_ti!AH38*TA_ti!AH$48*TA_ti!$BE38=0,10000,TA_ti!AH38*TA_ti!AH$48*TA_ti!$BE38)</f>
        <v>10000</v>
      </c>
      <c r="AI38" s="4">
        <f>+IF(TA_ti!AI38*TA_ti!AI$48*TA_ti!$BE38=0,10000,TA_ti!AI38*TA_ti!AI$48*TA_ti!$BE38)</f>
        <v>10000</v>
      </c>
      <c r="AJ38" s="4">
        <f>+IF(TA_ti!AJ38*TA_ti!AJ$48*TA_ti!$BE38=0,10000,TA_ti!AJ38*TA_ti!AJ$48*TA_ti!$BE38)</f>
        <v>10000</v>
      </c>
      <c r="AK38" s="4">
        <f>+IF(TA_ti!AK38*TA_ti!AK$48*TA_ti!$BE38=0,10000,TA_ti!AK38*TA_ti!AK$48*TA_ti!$BE38)</f>
        <v>10000</v>
      </c>
      <c r="AL38" s="4">
        <f>+IF(TA_ti!AL38*TA_ti!AL$48*TA_ti!$BE38=0,10000,TA_ti!AL38*TA_ti!AL$48*TA_ti!$BE38)</f>
        <v>10000</v>
      </c>
      <c r="AM38" s="4">
        <f>+IF(TA_ti!AM38*TA_ti!AM$48*TA_ti!$BE38=0,10000,TA_ti!AM38*TA_ti!AM$48*TA_ti!$BE38)</f>
        <v>10000</v>
      </c>
      <c r="AN38" s="4">
        <f>+IF(TA_ti!AN38*TA_ti!AN$48*TA_ti!$BE38=0,10000,TA_ti!AN38*TA_ti!AN$48*TA_ti!$BE38)</f>
        <v>10000</v>
      </c>
      <c r="AO38" s="4">
        <f>+IF(TA_ti!AO38*TA_ti!AO$48*TA_ti!$BE38=0,10000,TA_ti!AO38*TA_ti!AO$48*TA_ti!$BE38)</f>
        <v>10000</v>
      </c>
      <c r="AP38" s="4">
        <f>+IF(TA_ti!AP38*TA_ti!AP$48*TA_ti!$BE38=0,10000,TA_ti!AP38*TA_ti!AP$48*TA_ti!$BE38)</f>
        <v>10000</v>
      </c>
      <c r="AQ38" s="4">
        <f>+IF(TA_ti!AQ38*TA_ti!AQ$48*TA_ti!$BE38=0,10000,TA_ti!AQ38*TA_ti!AQ$48*TA_ti!$BE38)</f>
        <v>10000</v>
      </c>
      <c r="AR38" s="4">
        <f>+IF(TA_ti!AR38*TA_ti!AR$48*TA_ti!$BE38=0,10000,TA_ti!AR38*TA_ti!AR$48*TA_ti!$BE38)</f>
        <v>10000</v>
      </c>
      <c r="AS38" s="4">
        <f>+IF(TA_ti!AS38*TA_ti!AS$48*TA_ti!$BE38=0,10000,TA_ti!AS38*TA_ti!AS$48*TA_ti!$BE38)</f>
        <v>10000</v>
      </c>
      <c r="AT38" s="4">
        <f>+IF(TA_ti!AT38*TA_ti!AT$48*TA_ti!$BE38=0,10000,TA_ti!AT38*TA_ti!AT$48*TA_ti!$BE38)</f>
        <v>10000</v>
      </c>
      <c r="AU38" s="4">
        <f>+IF(TA_ti!AU38*TA_ti!AU$48*TA_ti!$BE38=0,10000,TA_ti!AU38*TA_ti!AU$48*TA_ti!$BE38)</f>
        <v>10000</v>
      </c>
      <c r="AV38" s="4">
        <f>+IF(TA_ti!AV38*TA_ti!AV$48*TA_ti!$BE38=0,10000,TA_ti!AV38*TA_ti!AV$48*TA_ti!$BE38)</f>
        <v>10000</v>
      </c>
      <c r="AW38" s="4">
        <f>+IF(TA_ti!AW38*TA_ti!AW$48*TA_ti!$BE38=0,10000,TA_ti!AW38*TA_ti!AW$48*TA_ti!$BE38)</f>
        <v>10000</v>
      </c>
      <c r="AX38" s="4">
        <f>+IF(TA_ti!AX38*TA_ti!AX$48*TA_ti!$BE38=0,10000,TA_ti!AX38*TA_ti!AX$48*TA_ti!$BE38)</f>
        <v>10000</v>
      </c>
      <c r="AY38" s="4">
        <f>+IF(TA_ti!AY38*TA_ti!AY$48*TA_ti!$BE38=0,10000,TA_ti!AY38*TA_ti!AY$48*TA_ti!$BE38)</f>
        <v>10000</v>
      </c>
      <c r="AZ38" s="4">
        <f>+IF(TA_ti!AZ38*TA_ti!AZ$48*TA_ti!$BE38=0,10000,TA_ti!AZ38*TA_ti!AZ$48*TA_ti!$BE38)</f>
        <v>10000</v>
      </c>
      <c r="BA38" s="4">
        <f>+IF(TA_ti!BA38*TA_ti!BA$48*TA_ti!$BE38=0,10000,TA_ti!BA38*TA_ti!BA$48*TA_ti!$BE38)</f>
        <v>10000</v>
      </c>
      <c r="BB38" s="4">
        <f>+IF(TA_ti!BB38*TA_ti!BB$48*TA_ti!$BE38=0,10000,TA_ti!BB38*TA_ti!BB$48*TA_ti!$BE38)</f>
        <v>10000</v>
      </c>
      <c r="BC38" s="4">
        <f>+IF(TA_ti!BC38*TA_ti!BC$48*TA_ti!$BE38=0,10000,TA_ti!BC38*TA_ti!BC$48*TA_ti!$BE38)</f>
        <v>10000</v>
      </c>
    </row>
    <row r="39" spans="1:55" ht="18.75" customHeight="1" x14ac:dyDescent="0.25">
      <c r="A39" s="5" t="s">
        <v>90</v>
      </c>
      <c r="B39" s="4">
        <f>+IF(TA_ti!B39*TA_ti!B$48*TA_ti!$BE39=0,10000,TA_ti!B39*TA_ti!B$48*TA_ti!$BE39)</f>
        <v>10000</v>
      </c>
      <c r="C39" s="4">
        <f>+IF(TA_ti!C39*TA_ti!C$48*TA_ti!$BE39=0,10000,TA_ti!C39*TA_ti!C$48*TA_ti!$BE39)</f>
        <v>10000</v>
      </c>
      <c r="D39" s="4">
        <f>+IF(TA_ti!D39*TA_ti!D$48*TA_ti!$BE39=0,10000,TA_ti!D39*TA_ti!D$48*TA_ti!$BE39)</f>
        <v>10000</v>
      </c>
      <c r="E39" s="4">
        <f>+IF(TA_ti!E39*TA_ti!E$48*TA_ti!$BE39=0,10000,TA_ti!E39*TA_ti!E$48*TA_ti!$BE39)</f>
        <v>10000</v>
      </c>
      <c r="F39" s="4">
        <f>+IF(TA_ti!F39*TA_ti!F$48*TA_ti!$BE39=0,10000,TA_ti!F39*TA_ti!F$48*TA_ti!$BE39)</f>
        <v>10000</v>
      </c>
      <c r="G39" s="4">
        <f>+IF(TA_ti!G39*TA_ti!G$48*TA_ti!$BE39=0,10000,TA_ti!G39*TA_ti!G$48*TA_ti!$BE39)</f>
        <v>10000</v>
      </c>
      <c r="H39" s="4">
        <f>+IF(TA_ti!H39*TA_ti!H$48*TA_ti!$BE39=0,10000,TA_ti!H39*TA_ti!H$48*TA_ti!$BE39)</f>
        <v>10000</v>
      </c>
      <c r="I39" s="4">
        <f>+IF(TA_ti!I39*TA_ti!I$48*TA_ti!$BE39=0,10000,TA_ti!I39*TA_ti!I$48*TA_ti!$BE39)</f>
        <v>10000</v>
      </c>
      <c r="J39" s="4">
        <f>+IF(TA_ti!J39*TA_ti!J$48*TA_ti!$BE39=0,10000,TA_ti!J39*TA_ti!J$48*TA_ti!$BE39)</f>
        <v>10000</v>
      </c>
      <c r="K39" s="4">
        <f>+IF(TA_ti!K39*TA_ti!K$48*TA_ti!$BE39=0,10000,TA_ti!K39*TA_ti!K$48*TA_ti!$BE39)</f>
        <v>10000</v>
      </c>
      <c r="L39" s="4">
        <f>+IF(TA_ti!L39*TA_ti!L$48*TA_ti!$BE39=0,10000,TA_ti!L39*TA_ti!L$48*TA_ti!$BE39)</f>
        <v>10000</v>
      </c>
      <c r="M39" s="4">
        <f>+IF(TA_ti!M39*TA_ti!M$48*TA_ti!$BE39=0,10000,TA_ti!M39*TA_ti!M$48*TA_ti!$BE39)</f>
        <v>10000</v>
      </c>
      <c r="N39" s="4">
        <f>+IF(TA_ti!N39*TA_ti!N$48*TA_ti!$BE39=0,10000,TA_ti!N39*TA_ti!N$48*TA_ti!$BE39)</f>
        <v>10000</v>
      </c>
      <c r="O39" s="4">
        <f>+IF(TA_ti!O39*TA_ti!O$48*TA_ti!$BE39=0,10000,TA_ti!O39*TA_ti!O$48*TA_ti!$BE39)</f>
        <v>10000</v>
      </c>
      <c r="P39" s="4">
        <f>+IF(TA_ti!P39*TA_ti!P$48*TA_ti!$BE39=0,10000,TA_ti!P39*TA_ti!P$48*TA_ti!$BE39)</f>
        <v>10000</v>
      </c>
      <c r="Q39" s="4">
        <f>+IF(TA_ti!Q39*TA_ti!Q$48*TA_ti!$BE39=0,10000,TA_ti!Q39*TA_ti!Q$48*TA_ti!$BE39)</f>
        <v>10000</v>
      </c>
      <c r="R39" s="4">
        <f>+IF(TA_ti!R39*TA_ti!R$48*TA_ti!$BE39=0,10000,TA_ti!R39*TA_ti!R$48*TA_ti!$BE39)</f>
        <v>10000</v>
      </c>
      <c r="S39" s="4">
        <f>+IF(TA_ti!S39*TA_ti!S$48*TA_ti!$BE39=0,10000,TA_ti!S39*TA_ti!S$48*TA_ti!$BE39)</f>
        <v>10000</v>
      </c>
      <c r="T39" s="4">
        <f>+IF(TA_ti!T39*TA_ti!T$48*TA_ti!$BE39=0,10000,TA_ti!T39*TA_ti!T$48*TA_ti!$BE39)</f>
        <v>10000</v>
      </c>
      <c r="U39" s="4">
        <f>+IF(TA_ti!U39*TA_ti!U$48*TA_ti!$BE39=0,10000,TA_ti!U39*TA_ti!U$48*TA_ti!$BE39)</f>
        <v>10000</v>
      </c>
      <c r="V39" s="4">
        <f>+IF(TA_ti!V39*TA_ti!V$48*TA_ti!$BE39=0,10000,TA_ti!V39*TA_ti!V$48*TA_ti!$BE39)</f>
        <v>10000</v>
      </c>
      <c r="W39" s="4">
        <f>+IF(TA_ti!W39*TA_ti!W$48*TA_ti!$BE39=0,10000,TA_ti!W39*TA_ti!W$48*TA_ti!$BE39)</f>
        <v>10000</v>
      </c>
      <c r="X39" s="4">
        <f>+IF(TA_ti!X39*TA_ti!X$48*TA_ti!$BE39=0,10000,TA_ti!X39*TA_ti!X$48*TA_ti!$BE39)</f>
        <v>10000</v>
      </c>
      <c r="Y39" s="4">
        <f>+IF(TA_ti!Y39*TA_ti!Y$48*TA_ti!$BE39=0,10000,TA_ti!Y39*TA_ti!Y$48*TA_ti!$BE39)</f>
        <v>10000</v>
      </c>
      <c r="Z39" s="4">
        <f>+IF(TA_ti!Z39*TA_ti!Z$48*TA_ti!$BE39=0,10000,TA_ti!Z39*TA_ti!Z$48*TA_ti!$BE39)</f>
        <v>10000</v>
      </c>
      <c r="AA39" s="4">
        <f>+IF(TA_ti!AA39*TA_ti!AA$48*TA_ti!$BE39=0,10000,TA_ti!AA39*TA_ti!AA$48*TA_ti!$BE39)</f>
        <v>10000</v>
      </c>
      <c r="AB39" s="4">
        <f>+IF(TA_ti!AB39*TA_ti!AB$48*TA_ti!$BE39=0,10000,TA_ti!AB39*TA_ti!AB$48*TA_ti!$BE39)</f>
        <v>10000</v>
      </c>
      <c r="AC39" s="4">
        <f>+IF(TA_ti!AC39*TA_ti!AC$48*TA_ti!$BE39=0,10000,TA_ti!AC39*TA_ti!AC$48*TA_ti!$BE39)</f>
        <v>10000</v>
      </c>
      <c r="AD39" s="4">
        <f>+IF(TA_ti!AD39*TA_ti!AD$48*TA_ti!$BE39=0,10000,TA_ti!AD39*TA_ti!AD$48*TA_ti!$BE39)</f>
        <v>10000</v>
      </c>
      <c r="AE39" s="4">
        <f>+IF(TA_ti!AE39*TA_ti!AE$48*TA_ti!$BE39=0,10000,TA_ti!AE39*TA_ti!AE$48*TA_ti!$BE39)</f>
        <v>10000</v>
      </c>
      <c r="AF39" s="4">
        <f>+IF(TA_ti!AF39*TA_ti!AF$48*TA_ti!$BE39=0,10000,TA_ti!AF39*TA_ti!AF$48*TA_ti!$BE39)</f>
        <v>10000</v>
      </c>
      <c r="AG39" s="4">
        <f>+IF(TA_ti!AG39*TA_ti!AG$48*TA_ti!$BE39=0,10000,TA_ti!AG39*TA_ti!AG$48*TA_ti!$BE39)</f>
        <v>10000</v>
      </c>
      <c r="AH39" s="4">
        <f>+IF(TA_ti!AH39*TA_ti!AH$48*TA_ti!$BE39=0,10000,TA_ti!AH39*TA_ti!AH$48*TA_ti!$BE39)</f>
        <v>10000</v>
      </c>
      <c r="AI39" s="4">
        <f>+IF(TA_ti!AI39*TA_ti!AI$48*TA_ti!$BE39=0,10000,TA_ti!AI39*TA_ti!AI$48*TA_ti!$BE39)</f>
        <v>10000</v>
      </c>
      <c r="AJ39" s="4">
        <f>+IF(TA_ti!AJ39*TA_ti!AJ$48*TA_ti!$BE39=0,10000,TA_ti!AJ39*TA_ti!AJ$48*TA_ti!$BE39)</f>
        <v>10000</v>
      </c>
      <c r="AK39" s="4">
        <f>+IF(TA_ti!AK39*TA_ti!AK$48*TA_ti!$BE39=0,10000,TA_ti!AK39*TA_ti!AK$48*TA_ti!$BE39)</f>
        <v>10000</v>
      </c>
      <c r="AL39" s="4">
        <f>+IF(TA_ti!AL39*TA_ti!AL$48*TA_ti!$BE39=0,10000,TA_ti!AL39*TA_ti!AL$48*TA_ti!$BE39)</f>
        <v>10000</v>
      </c>
      <c r="AM39" s="4">
        <f>+IF(TA_ti!AM39*TA_ti!AM$48*TA_ti!$BE39=0,10000,TA_ti!AM39*TA_ti!AM$48*TA_ti!$BE39)</f>
        <v>10000</v>
      </c>
      <c r="AN39" s="4">
        <f>+IF(TA_ti!AN39*TA_ti!AN$48*TA_ti!$BE39=0,10000,TA_ti!AN39*TA_ti!AN$48*TA_ti!$BE39)</f>
        <v>10000</v>
      </c>
      <c r="AO39" s="4">
        <f>+IF(TA_ti!AO39*TA_ti!AO$48*TA_ti!$BE39=0,10000,TA_ti!AO39*TA_ti!AO$48*TA_ti!$BE39)</f>
        <v>10000</v>
      </c>
      <c r="AP39" s="4">
        <f>+IF(TA_ti!AP39*TA_ti!AP$48*TA_ti!$BE39=0,10000,TA_ti!AP39*TA_ti!AP$48*TA_ti!$BE39)</f>
        <v>10000</v>
      </c>
      <c r="AQ39" s="4">
        <f>+IF(TA_ti!AQ39*TA_ti!AQ$48*TA_ti!$BE39=0,10000,TA_ti!AQ39*TA_ti!AQ$48*TA_ti!$BE39)</f>
        <v>10000</v>
      </c>
      <c r="AR39" s="4">
        <f>+IF(TA_ti!AR39*TA_ti!AR$48*TA_ti!$BE39=0,10000,TA_ti!AR39*TA_ti!AR$48*TA_ti!$BE39)</f>
        <v>10000</v>
      </c>
      <c r="AS39" s="4">
        <f>+IF(TA_ti!AS39*TA_ti!AS$48*TA_ti!$BE39=0,10000,TA_ti!AS39*TA_ti!AS$48*TA_ti!$BE39)</f>
        <v>10000</v>
      </c>
      <c r="AT39" s="4">
        <f>+IF(TA_ti!AT39*TA_ti!AT$48*TA_ti!$BE39=0,10000,TA_ti!AT39*TA_ti!AT$48*TA_ti!$BE39)</f>
        <v>10000</v>
      </c>
      <c r="AU39" s="4">
        <f>+IF(TA_ti!AU39*TA_ti!AU$48*TA_ti!$BE39=0,10000,TA_ti!AU39*TA_ti!AU$48*TA_ti!$BE39)</f>
        <v>10000</v>
      </c>
      <c r="AV39" s="4">
        <f>+IF(TA_ti!AV39*TA_ti!AV$48*TA_ti!$BE39=0,10000,TA_ti!AV39*TA_ti!AV$48*TA_ti!$BE39)</f>
        <v>10000</v>
      </c>
      <c r="AW39" s="4">
        <f>+IF(TA_ti!AW39*TA_ti!AW$48*TA_ti!$BE39=0,10000,TA_ti!AW39*TA_ti!AW$48*TA_ti!$BE39)</f>
        <v>10000</v>
      </c>
      <c r="AX39" s="4">
        <f>+IF(TA_ti!AX39*TA_ti!AX$48*TA_ti!$BE39=0,10000,TA_ti!AX39*TA_ti!AX$48*TA_ti!$BE39)</f>
        <v>10000</v>
      </c>
      <c r="AY39" s="4">
        <f>+IF(TA_ti!AY39*TA_ti!AY$48*TA_ti!$BE39=0,10000,TA_ti!AY39*TA_ti!AY$48*TA_ti!$BE39)</f>
        <v>10000</v>
      </c>
      <c r="AZ39" s="4">
        <f>+IF(TA_ti!AZ39*TA_ti!AZ$48*TA_ti!$BE39=0,10000,TA_ti!AZ39*TA_ti!AZ$48*TA_ti!$BE39)</f>
        <v>10000</v>
      </c>
      <c r="BA39" s="4">
        <f>+IF(TA_ti!BA39*TA_ti!BA$48*TA_ti!$BE39=0,10000,TA_ti!BA39*TA_ti!BA$48*TA_ti!$BE39)</f>
        <v>10000</v>
      </c>
      <c r="BB39" s="4">
        <f>+IF(TA_ti!BB39*TA_ti!BB$48*TA_ti!$BE39=0,10000,TA_ti!BB39*TA_ti!BB$48*TA_ti!$BE39)</f>
        <v>10000</v>
      </c>
      <c r="BC39" s="4">
        <f>+IF(TA_ti!BC39*TA_ti!BC$48*TA_ti!$BE39=0,10000,TA_ti!BC39*TA_ti!BC$48*TA_ti!$BE39)</f>
        <v>10000</v>
      </c>
    </row>
    <row r="40" spans="1:55" ht="18.75" customHeight="1" x14ac:dyDescent="0.25">
      <c r="A40" s="5" t="s">
        <v>91</v>
      </c>
      <c r="B40" s="4">
        <f>+IF(TA_ti!B40*TA_ti!B$48*TA_ti!$BE40=0,10000,TA_ti!B40*TA_ti!B$48*TA_ti!$BE40)</f>
        <v>10000</v>
      </c>
      <c r="C40" s="4">
        <f>+IF(TA_ti!C40*TA_ti!C$48*TA_ti!$BE40=0,10000,TA_ti!C40*TA_ti!C$48*TA_ti!$BE40)</f>
        <v>10000</v>
      </c>
      <c r="D40" s="4">
        <f>+IF(TA_ti!D40*TA_ti!D$48*TA_ti!$BE40=0,10000,TA_ti!D40*TA_ti!D$48*TA_ti!$BE40)</f>
        <v>10000</v>
      </c>
      <c r="E40" s="4">
        <f>+IF(TA_ti!E40*TA_ti!E$48*TA_ti!$BE40=0,10000,TA_ti!E40*TA_ti!E$48*TA_ti!$BE40)</f>
        <v>10000</v>
      </c>
      <c r="F40" s="4">
        <f>+IF(TA_ti!F40*TA_ti!F$48*TA_ti!$BE40=0,10000,TA_ti!F40*TA_ti!F$48*TA_ti!$BE40)</f>
        <v>10000</v>
      </c>
      <c r="G40" s="4">
        <f>+IF(TA_ti!G40*TA_ti!G$48*TA_ti!$BE40=0,10000,TA_ti!G40*TA_ti!G$48*TA_ti!$BE40)</f>
        <v>10000</v>
      </c>
      <c r="H40" s="4">
        <f>+IF(TA_ti!H40*TA_ti!H$48*TA_ti!$BE40=0,10000,TA_ti!H40*TA_ti!H$48*TA_ti!$BE40)</f>
        <v>10000</v>
      </c>
      <c r="I40" s="4">
        <f>+IF(TA_ti!I40*TA_ti!I$48*TA_ti!$BE40=0,10000,TA_ti!I40*TA_ti!I$48*TA_ti!$BE40)</f>
        <v>10000</v>
      </c>
      <c r="J40" s="4">
        <f>+IF(TA_ti!J40*TA_ti!J$48*TA_ti!$BE40=0,10000,TA_ti!J40*TA_ti!J$48*TA_ti!$BE40)</f>
        <v>10000</v>
      </c>
      <c r="K40" s="4">
        <f>+IF(TA_ti!K40*TA_ti!K$48*TA_ti!$BE40=0,10000,TA_ti!K40*TA_ti!K$48*TA_ti!$BE40)</f>
        <v>10000</v>
      </c>
      <c r="L40" s="4">
        <f>+IF(TA_ti!L40*TA_ti!L$48*TA_ti!$BE40=0,10000,TA_ti!L40*TA_ti!L$48*TA_ti!$BE40)</f>
        <v>10000</v>
      </c>
      <c r="M40" s="4">
        <f>+IF(TA_ti!M40*TA_ti!M$48*TA_ti!$BE40=0,10000,TA_ti!M40*TA_ti!M$48*TA_ti!$BE40)</f>
        <v>10000</v>
      </c>
      <c r="N40" s="4">
        <f>+IF(TA_ti!N40*TA_ti!N$48*TA_ti!$BE40=0,10000,TA_ti!N40*TA_ti!N$48*TA_ti!$BE40)</f>
        <v>10000</v>
      </c>
      <c r="O40" s="4">
        <f>+IF(TA_ti!O40*TA_ti!O$48*TA_ti!$BE40=0,10000,TA_ti!O40*TA_ti!O$48*TA_ti!$BE40)</f>
        <v>10000</v>
      </c>
      <c r="P40" s="4">
        <f>+IF(TA_ti!P40*TA_ti!P$48*TA_ti!$BE40=0,10000,TA_ti!P40*TA_ti!P$48*TA_ti!$BE40)</f>
        <v>10000</v>
      </c>
      <c r="Q40" s="4">
        <f>+IF(TA_ti!Q40*TA_ti!Q$48*TA_ti!$BE40=0,10000,TA_ti!Q40*TA_ti!Q$48*TA_ti!$BE40)</f>
        <v>10000</v>
      </c>
      <c r="R40" s="4">
        <f>+IF(TA_ti!R40*TA_ti!R$48*TA_ti!$BE40=0,10000,TA_ti!R40*TA_ti!R$48*TA_ti!$BE40)</f>
        <v>10000</v>
      </c>
      <c r="S40" s="4">
        <f>+IF(TA_ti!S40*TA_ti!S$48*TA_ti!$BE40=0,10000,TA_ti!S40*TA_ti!S$48*TA_ti!$BE40)</f>
        <v>10000</v>
      </c>
      <c r="T40" s="4">
        <f>+IF(TA_ti!T40*TA_ti!T$48*TA_ti!$BE40=0,10000,TA_ti!T40*TA_ti!T$48*TA_ti!$BE40)</f>
        <v>10000</v>
      </c>
      <c r="U40" s="4">
        <f>+IF(TA_ti!U40*TA_ti!U$48*TA_ti!$BE40=0,10000,TA_ti!U40*TA_ti!U$48*TA_ti!$BE40)</f>
        <v>10000</v>
      </c>
      <c r="V40" s="4">
        <f>+IF(TA_ti!V40*TA_ti!V$48*TA_ti!$BE40=0,10000,TA_ti!V40*TA_ti!V$48*TA_ti!$BE40)</f>
        <v>10000</v>
      </c>
      <c r="W40" s="4">
        <f>+IF(TA_ti!W40*TA_ti!W$48*TA_ti!$BE40=0,10000,TA_ti!W40*TA_ti!W$48*TA_ti!$BE40)</f>
        <v>10000</v>
      </c>
      <c r="X40" s="4">
        <f>+IF(TA_ti!X40*TA_ti!X$48*TA_ti!$BE40=0,10000,TA_ti!X40*TA_ti!X$48*TA_ti!$BE40)</f>
        <v>10000</v>
      </c>
      <c r="Y40" s="4">
        <f>+IF(TA_ti!Y40*TA_ti!Y$48*TA_ti!$BE40=0,10000,TA_ti!Y40*TA_ti!Y$48*TA_ti!$BE40)</f>
        <v>10000</v>
      </c>
      <c r="Z40" s="4">
        <f>+IF(TA_ti!Z40*TA_ti!Z$48*TA_ti!$BE40=0,10000,TA_ti!Z40*TA_ti!Z$48*TA_ti!$BE40)</f>
        <v>10000</v>
      </c>
      <c r="AA40" s="4">
        <f>+IF(TA_ti!AA40*TA_ti!AA$48*TA_ti!$BE40=0,10000,TA_ti!AA40*TA_ti!AA$48*TA_ti!$BE40)</f>
        <v>10000</v>
      </c>
      <c r="AB40" s="4">
        <f>+IF(TA_ti!AB40*TA_ti!AB$48*TA_ti!$BE40=0,10000,TA_ti!AB40*TA_ti!AB$48*TA_ti!$BE40)</f>
        <v>10000</v>
      </c>
      <c r="AC40" s="4">
        <f>+IF(TA_ti!AC40*TA_ti!AC$48*TA_ti!$BE40=0,10000,TA_ti!AC40*TA_ti!AC$48*TA_ti!$BE40)</f>
        <v>10000</v>
      </c>
      <c r="AD40" s="4">
        <f>+IF(TA_ti!AD40*TA_ti!AD$48*TA_ti!$BE40=0,10000,TA_ti!AD40*TA_ti!AD$48*TA_ti!$BE40)</f>
        <v>10000</v>
      </c>
      <c r="AE40" s="4">
        <f>+IF(TA_ti!AE40*TA_ti!AE$48*TA_ti!$BE40=0,10000,TA_ti!AE40*TA_ti!AE$48*TA_ti!$BE40)</f>
        <v>10000</v>
      </c>
      <c r="AF40" s="4">
        <f>+IF(TA_ti!AF40*TA_ti!AF$48*TA_ti!$BE40=0,10000,TA_ti!AF40*TA_ti!AF$48*TA_ti!$BE40)</f>
        <v>10000</v>
      </c>
      <c r="AG40" s="4">
        <f>+IF(TA_ti!AG40*TA_ti!AG$48*TA_ti!$BE40=0,10000,TA_ti!AG40*TA_ti!AG$48*TA_ti!$BE40)</f>
        <v>10000</v>
      </c>
      <c r="AH40" s="4">
        <f>+IF(TA_ti!AH40*TA_ti!AH$48*TA_ti!$BE40=0,10000,TA_ti!AH40*TA_ti!AH$48*TA_ti!$BE40)</f>
        <v>10000</v>
      </c>
      <c r="AI40" s="4">
        <f>+IF(TA_ti!AI40*TA_ti!AI$48*TA_ti!$BE40=0,10000,TA_ti!AI40*TA_ti!AI$48*TA_ti!$BE40)</f>
        <v>10000</v>
      </c>
      <c r="AJ40" s="4">
        <f>+IF(TA_ti!AJ40*TA_ti!AJ$48*TA_ti!$BE40=0,10000,TA_ti!AJ40*TA_ti!AJ$48*TA_ti!$BE40)</f>
        <v>10000</v>
      </c>
      <c r="AK40" s="4">
        <f>+IF(TA_ti!AK40*TA_ti!AK$48*TA_ti!$BE40=0,10000,TA_ti!AK40*TA_ti!AK$48*TA_ti!$BE40)</f>
        <v>10000</v>
      </c>
      <c r="AL40" s="4">
        <f>+IF(TA_ti!AL40*TA_ti!AL$48*TA_ti!$BE40=0,10000,TA_ti!AL40*TA_ti!AL$48*TA_ti!$BE40)</f>
        <v>10000</v>
      </c>
      <c r="AM40" s="4">
        <f>+IF(TA_ti!AM40*TA_ti!AM$48*TA_ti!$BE40=0,10000,TA_ti!AM40*TA_ti!AM$48*TA_ti!$BE40)</f>
        <v>10000</v>
      </c>
      <c r="AN40" s="4">
        <f>+IF(TA_ti!AN40*TA_ti!AN$48*TA_ti!$BE40=0,10000,TA_ti!AN40*TA_ti!AN$48*TA_ti!$BE40)</f>
        <v>10000</v>
      </c>
      <c r="AO40" s="4">
        <f>+IF(TA_ti!AO40*TA_ti!AO$48*TA_ti!$BE40=0,10000,TA_ti!AO40*TA_ti!AO$48*TA_ti!$BE40)</f>
        <v>10000</v>
      </c>
      <c r="AP40" s="4">
        <f>+IF(TA_ti!AP40*TA_ti!AP$48*TA_ti!$BE40=0,10000,TA_ti!AP40*TA_ti!AP$48*TA_ti!$BE40)</f>
        <v>10000</v>
      </c>
      <c r="AQ40" s="4">
        <f>+IF(TA_ti!AQ40*TA_ti!AQ$48*TA_ti!$BE40=0,10000,TA_ti!AQ40*TA_ti!AQ$48*TA_ti!$BE40)</f>
        <v>10000</v>
      </c>
      <c r="AR40" s="4">
        <f>+IF(TA_ti!AR40*TA_ti!AR$48*TA_ti!$BE40=0,10000,TA_ti!AR40*TA_ti!AR$48*TA_ti!$BE40)</f>
        <v>10000</v>
      </c>
      <c r="AS40" s="4">
        <f>+IF(TA_ti!AS40*TA_ti!AS$48*TA_ti!$BE40=0,10000,TA_ti!AS40*TA_ti!AS$48*TA_ti!$BE40)</f>
        <v>10000</v>
      </c>
      <c r="AT40" s="4">
        <f>+IF(TA_ti!AT40*TA_ti!AT$48*TA_ti!$BE40=0,10000,TA_ti!AT40*TA_ti!AT$48*TA_ti!$BE40)</f>
        <v>10000</v>
      </c>
      <c r="AU40" s="4">
        <f>+IF(TA_ti!AU40*TA_ti!AU$48*TA_ti!$BE40=0,10000,TA_ti!AU40*TA_ti!AU$48*TA_ti!$BE40)</f>
        <v>10000</v>
      </c>
      <c r="AV40" s="4">
        <f>+IF(TA_ti!AV40*TA_ti!AV$48*TA_ti!$BE40=0,10000,TA_ti!AV40*TA_ti!AV$48*TA_ti!$BE40)</f>
        <v>10000</v>
      </c>
      <c r="AW40" s="4">
        <f>+IF(TA_ti!AW40*TA_ti!AW$48*TA_ti!$BE40=0,10000,TA_ti!AW40*TA_ti!AW$48*TA_ti!$BE40)</f>
        <v>10000</v>
      </c>
      <c r="AX40" s="4">
        <f>+IF(TA_ti!AX40*TA_ti!AX$48*TA_ti!$BE40=0,10000,TA_ti!AX40*TA_ti!AX$48*TA_ti!$BE40)</f>
        <v>10000</v>
      </c>
      <c r="AY40" s="4">
        <f>+IF(TA_ti!AY40*TA_ti!AY$48*TA_ti!$BE40=0,10000,TA_ti!AY40*TA_ti!AY$48*TA_ti!$BE40)</f>
        <v>10000</v>
      </c>
      <c r="AZ40" s="4">
        <f>+IF(TA_ti!AZ40*TA_ti!AZ$48*TA_ti!$BE40=0,10000,TA_ti!AZ40*TA_ti!AZ$48*TA_ti!$BE40)</f>
        <v>10000</v>
      </c>
      <c r="BA40" s="4">
        <f>+IF(TA_ti!BA40*TA_ti!BA$48*TA_ti!$BE40=0,10000,TA_ti!BA40*TA_ti!BA$48*TA_ti!$BE40)</f>
        <v>10000</v>
      </c>
      <c r="BB40" s="4">
        <f>+IF(TA_ti!BB40*TA_ti!BB$48*TA_ti!$BE40=0,10000,TA_ti!BB40*TA_ti!BB$48*TA_ti!$BE40)</f>
        <v>10000</v>
      </c>
      <c r="BC40" s="4">
        <f>+IF(TA_ti!BC40*TA_ti!BC$48*TA_ti!$BE40=0,10000,TA_ti!BC40*TA_ti!BC$48*TA_ti!$BE40)</f>
        <v>10000</v>
      </c>
    </row>
    <row r="41" spans="1:55" ht="18.75" customHeight="1" x14ac:dyDescent="0.25">
      <c r="A41" s="5" t="s">
        <v>92</v>
      </c>
      <c r="B41" s="4">
        <f>+IF(TA_ti!B41*TA_ti!B$48*TA_ti!$BE41=0,10000,TA_ti!B41*TA_ti!B$48*TA_ti!$BE41)</f>
        <v>10000</v>
      </c>
      <c r="C41" s="4">
        <f>+IF(TA_ti!C41*TA_ti!C$48*TA_ti!$BE41=0,10000,TA_ti!C41*TA_ti!C$48*TA_ti!$BE41)</f>
        <v>10000</v>
      </c>
      <c r="D41" s="4">
        <f>+IF(TA_ti!D41*TA_ti!D$48*TA_ti!$BE41=0,10000,TA_ti!D41*TA_ti!D$48*TA_ti!$BE41)</f>
        <v>10000</v>
      </c>
      <c r="E41" s="4">
        <f>+IF(TA_ti!E41*TA_ti!E$48*TA_ti!$BE41=0,10000,TA_ti!E41*TA_ti!E$48*TA_ti!$BE41)</f>
        <v>10000</v>
      </c>
      <c r="F41" s="4">
        <f>+IF(TA_ti!F41*TA_ti!F$48*TA_ti!$BE41=0,10000,TA_ti!F41*TA_ti!F$48*TA_ti!$BE41)</f>
        <v>10000</v>
      </c>
      <c r="G41" s="4">
        <f>+IF(TA_ti!G41*TA_ti!G$48*TA_ti!$BE41=0,10000,TA_ti!G41*TA_ti!G$48*TA_ti!$BE41)</f>
        <v>10000</v>
      </c>
      <c r="H41" s="4">
        <f>+IF(TA_ti!H41*TA_ti!H$48*TA_ti!$BE41=0,10000,TA_ti!H41*TA_ti!H$48*TA_ti!$BE41)</f>
        <v>10000</v>
      </c>
      <c r="I41" s="4">
        <f>+IF(TA_ti!I41*TA_ti!I$48*TA_ti!$BE41=0,10000,TA_ti!I41*TA_ti!I$48*TA_ti!$BE41)</f>
        <v>10000</v>
      </c>
      <c r="J41" s="4">
        <f>+IF(TA_ti!J41*TA_ti!J$48*TA_ti!$BE41=0,10000,TA_ti!J41*TA_ti!J$48*TA_ti!$BE41)</f>
        <v>10000</v>
      </c>
      <c r="K41" s="4">
        <f>+IF(TA_ti!K41*TA_ti!K$48*TA_ti!$BE41=0,10000,TA_ti!K41*TA_ti!K$48*TA_ti!$BE41)</f>
        <v>10000</v>
      </c>
      <c r="L41" s="4">
        <f>+IF(TA_ti!L41*TA_ti!L$48*TA_ti!$BE41=0,10000,TA_ti!L41*TA_ti!L$48*TA_ti!$BE41)</f>
        <v>10000</v>
      </c>
      <c r="M41" s="4">
        <f>+IF(TA_ti!M41*TA_ti!M$48*TA_ti!$BE41=0,10000,TA_ti!M41*TA_ti!M$48*TA_ti!$BE41)</f>
        <v>10000</v>
      </c>
      <c r="N41" s="4">
        <f>+IF(TA_ti!N41*TA_ti!N$48*TA_ti!$BE41=0,10000,TA_ti!N41*TA_ti!N$48*TA_ti!$BE41)</f>
        <v>10000</v>
      </c>
      <c r="O41" s="4">
        <f>+IF(TA_ti!O41*TA_ti!O$48*TA_ti!$BE41=0,10000,TA_ti!O41*TA_ti!O$48*TA_ti!$BE41)</f>
        <v>10000</v>
      </c>
      <c r="P41" s="4">
        <f>+IF(TA_ti!P41*TA_ti!P$48*TA_ti!$BE41=0,10000,TA_ti!P41*TA_ti!P$48*TA_ti!$BE41)</f>
        <v>10000</v>
      </c>
      <c r="Q41" s="4">
        <f>+IF(TA_ti!Q41*TA_ti!Q$48*TA_ti!$BE41=0,10000,TA_ti!Q41*TA_ti!Q$48*TA_ti!$BE41)</f>
        <v>10000</v>
      </c>
      <c r="R41" s="4">
        <f>+IF(TA_ti!R41*TA_ti!R$48*TA_ti!$BE41=0,10000,TA_ti!R41*TA_ti!R$48*TA_ti!$BE41)</f>
        <v>10000</v>
      </c>
      <c r="S41" s="4">
        <f>+IF(TA_ti!S41*TA_ti!S$48*TA_ti!$BE41=0,10000,TA_ti!S41*TA_ti!S$48*TA_ti!$BE41)</f>
        <v>10000</v>
      </c>
      <c r="T41" s="4">
        <f>+IF(TA_ti!T41*TA_ti!T$48*TA_ti!$BE41=0,10000,TA_ti!T41*TA_ti!T$48*TA_ti!$BE41)</f>
        <v>15</v>
      </c>
      <c r="U41" s="4">
        <f>+IF(TA_ti!U41*TA_ti!U$48*TA_ti!$BE41=0,10000,TA_ti!U41*TA_ti!U$48*TA_ti!$BE41)</f>
        <v>15</v>
      </c>
      <c r="V41" s="4">
        <f>+IF(TA_ti!V41*TA_ti!V$48*TA_ti!$BE41=0,10000,TA_ti!V41*TA_ti!V$48*TA_ti!$BE41)</f>
        <v>15</v>
      </c>
      <c r="W41" s="4">
        <f>+IF(TA_ti!W41*TA_ti!W$48*TA_ti!$BE41=0,10000,TA_ti!W41*TA_ti!W$48*TA_ti!$BE41)</f>
        <v>10000</v>
      </c>
      <c r="X41" s="4">
        <f>+IF(TA_ti!X41*TA_ti!X$48*TA_ti!$BE41=0,10000,TA_ti!X41*TA_ti!X$48*TA_ti!$BE41)</f>
        <v>20</v>
      </c>
      <c r="Y41" s="4">
        <f>+IF(TA_ti!Y41*TA_ti!Y$48*TA_ti!$BE41=0,10000,TA_ti!Y41*TA_ti!Y$48*TA_ti!$BE41)</f>
        <v>10000</v>
      </c>
      <c r="Z41" s="4">
        <f>+IF(TA_ti!Z41*TA_ti!Z$48*TA_ti!$BE41=0,10000,TA_ti!Z41*TA_ti!Z$48*TA_ti!$BE41)</f>
        <v>10000</v>
      </c>
      <c r="AA41" s="4">
        <f>+IF(TA_ti!AA41*TA_ti!AA$48*TA_ti!$BE41=0,10000,TA_ti!AA41*TA_ti!AA$48*TA_ti!$BE41)</f>
        <v>10000</v>
      </c>
      <c r="AB41" s="4">
        <f>+IF(TA_ti!AB41*TA_ti!AB$48*TA_ti!$BE41=0,10000,TA_ti!AB41*TA_ti!AB$48*TA_ti!$BE41)</f>
        <v>30</v>
      </c>
      <c r="AC41" s="4">
        <f>+IF(TA_ti!AC41*TA_ti!AC$48*TA_ti!$BE41=0,10000,TA_ti!AC41*TA_ti!AC$48*TA_ti!$BE41)</f>
        <v>10000</v>
      </c>
      <c r="AD41" s="4">
        <f>+IF(TA_ti!AD41*TA_ti!AD$48*TA_ti!$BE41=0,10000,TA_ti!AD41*TA_ti!AD$48*TA_ti!$BE41)</f>
        <v>10000</v>
      </c>
      <c r="AE41" s="4">
        <f>+IF(TA_ti!AE41*TA_ti!AE$48*TA_ti!$BE41=0,10000,TA_ti!AE41*TA_ti!AE$48*TA_ti!$BE41)</f>
        <v>10000</v>
      </c>
      <c r="AF41" s="4">
        <f>+IF(TA_ti!AF41*TA_ti!AF$48*TA_ti!$BE41=0,10000,TA_ti!AF41*TA_ti!AF$48*TA_ti!$BE41)</f>
        <v>10000</v>
      </c>
      <c r="AG41" s="4">
        <f>+IF(TA_ti!AG41*TA_ti!AG$48*TA_ti!$BE41=0,10000,TA_ti!AG41*TA_ti!AG$48*TA_ti!$BE41)</f>
        <v>10000</v>
      </c>
      <c r="AH41" s="4">
        <f>+IF(TA_ti!AH41*TA_ti!AH$48*TA_ti!$BE41=0,10000,TA_ti!AH41*TA_ti!AH$48*TA_ti!$BE41)</f>
        <v>10000</v>
      </c>
      <c r="AI41" s="4">
        <f>+IF(TA_ti!AI41*TA_ti!AI$48*TA_ti!$BE41=0,10000,TA_ti!AI41*TA_ti!AI$48*TA_ti!$BE41)</f>
        <v>10000</v>
      </c>
      <c r="AJ41" s="4">
        <f>+IF(TA_ti!AJ41*TA_ti!AJ$48*TA_ti!$BE41=0,10000,TA_ti!AJ41*TA_ti!AJ$48*TA_ti!$BE41)</f>
        <v>10000</v>
      </c>
      <c r="AK41" s="4">
        <f>+IF(TA_ti!AK41*TA_ti!AK$48*TA_ti!$BE41=0,10000,TA_ti!AK41*TA_ti!AK$48*TA_ti!$BE41)</f>
        <v>10000</v>
      </c>
      <c r="AL41" s="4">
        <f>+IF(TA_ti!AL41*TA_ti!AL$48*TA_ti!$BE41=0,10000,TA_ti!AL41*TA_ti!AL$48*TA_ti!$BE41)</f>
        <v>10000</v>
      </c>
      <c r="AM41" s="4">
        <f>+IF(TA_ti!AM41*TA_ti!AM$48*TA_ti!$BE41=0,10000,TA_ti!AM41*TA_ti!AM$48*TA_ti!$BE41)</f>
        <v>10000</v>
      </c>
      <c r="AN41" s="4">
        <f>+IF(TA_ti!AN41*TA_ti!AN$48*TA_ti!$BE41=0,10000,TA_ti!AN41*TA_ti!AN$48*TA_ti!$BE41)</f>
        <v>10000</v>
      </c>
      <c r="AO41" s="4">
        <f>+IF(TA_ti!AO41*TA_ti!AO$48*TA_ti!$BE41=0,10000,TA_ti!AO41*TA_ti!AO$48*TA_ti!$BE41)</f>
        <v>10000</v>
      </c>
      <c r="AP41" s="4">
        <f>+IF(TA_ti!AP41*TA_ti!AP$48*TA_ti!$BE41=0,10000,TA_ti!AP41*TA_ti!AP$48*TA_ti!$BE41)</f>
        <v>10000</v>
      </c>
      <c r="AQ41" s="4">
        <f>+IF(TA_ti!AQ41*TA_ti!AQ$48*TA_ti!$BE41=0,10000,TA_ti!AQ41*TA_ti!AQ$48*TA_ti!$BE41)</f>
        <v>10000</v>
      </c>
      <c r="AR41" s="4">
        <f>+IF(TA_ti!AR41*TA_ti!AR$48*TA_ti!$BE41=0,10000,TA_ti!AR41*TA_ti!AR$48*TA_ti!$BE41)</f>
        <v>10000</v>
      </c>
      <c r="AS41" s="4">
        <f>+IF(TA_ti!AS41*TA_ti!AS$48*TA_ti!$BE41=0,10000,TA_ti!AS41*TA_ti!AS$48*TA_ti!$BE41)</f>
        <v>10000</v>
      </c>
      <c r="AT41" s="4">
        <f>+IF(TA_ti!AT41*TA_ti!AT$48*TA_ti!$BE41=0,10000,TA_ti!AT41*TA_ti!AT$48*TA_ti!$BE41)</f>
        <v>10000</v>
      </c>
      <c r="AU41" s="4">
        <f>+IF(TA_ti!AU41*TA_ti!AU$48*TA_ti!$BE41=0,10000,TA_ti!AU41*TA_ti!AU$48*TA_ti!$BE41)</f>
        <v>10000</v>
      </c>
      <c r="AV41" s="4">
        <f>+IF(TA_ti!AV41*TA_ti!AV$48*TA_ti!$BE41=0,10000,TA_ti!AV41*TA_ti!AV$48*TA_ti!$BE41)</f>
        <v>10000</v>
      </c>
      <c r="AW41" s="4">
        <f>+IF(TA_ti!AW41*TA_ti!AW$48*TA_ti!$BE41=0,10000,TA_ti!AW41*TA_ti!AW$48*TA_ti!$BE41)</f>
        <v>10000</v>
      </c>
      <c r="AX41" s="4">
        <f>+IF(TA_ti!AX41*TA_ti!AX$48*TA_ti!$BE41=0,10000,TA_ti!AX41*TA_ti!AX$48*TA_ti!$BE41)</f>
        <v>10000</v>
      </c>
      <c r="AY41" s="4">
        <f>+IF(TA_ti!AY41*TA_ti!AY$48*TA_ti!$BE41=0,10000,TA_ti!AY41*TA_ti!AY$48*TA_ti!$BE41)</f>
        <v>10000</v>
      </c>
      <c r="AZ41" s="4">
        <f>+IF(TA_ti!AZ41*TA_ti!AZ$48*TA_ti!$BE41=0,10000,TA_ti!AZ41*TA_ti!AZ$48*TA_ti!$BE41)</f>
        <v>10000</v>
      </c>
      <c r="BA41" s="4">
        <f>+IF(TA_ti!BA41*TA_ti!BA$48*TA_ti!$BE41=0,10000,TA_ti!BA41*TA_ti!BA$48*TA_ti!$BE41)</f>
        <v>10000</v>
      </c>
      <c r="BB41" s="4">
        <f>+IF(TA_ti!BB41*TA_ti!BB$48*TA_ti!$BE41=0,10000,TA_ti!BB41*TA_ti!BB$48*TA_ti!$BE41)</f>
        <v>10000</v>
      </c>
      <c r="BC41" s="4">
        <f>+IF(TA_ti!BC41*TA_ti!BC$48*TA_ti!$BE41=0,10000,TA_ti!BC41*TA_ti!BC$48*TA_ti!$BE41)</f>
        <v>10000</v>
      </c>
    </row>
    <row r="42" spans="1:55" ht="18.75" customHeight="1" x14ac:dyDescent="0.25">
      <c r="A42" s="5" t="s">
        <v>93</v>
      </c>
      <c r="B42" s="4">
        <f>+IF(TA_ti!B42*TA_ti!B$48*TA_ti!$BE42=0,10000,TA_ti!B42*TA_ti!B$48*TA_ti!$BE42)</f>
        <v>10000</v>
      </c>
      <c r="C42" s="4">
        <f>+IF(TA_ti!C42*TA_ti!C$48*TA_ti!$BE42=0,10000,TA_ti!C42*TA_ti!C$48*TA_ti!$BE42)</f>
        <v>10000</v>
      </c>
      <c r="D42" s="4">
        <f>+IF(TA_ti!D42*TA_ti!D$48*TA_ti!$BE42=0,10000,TA_ti!D42*TA_ti!D$48*TA_ti!$BE42)</f>
        <v>10000</v>
      </c>
      <c r="E42" s="4">
        <f>+IF(TA_ti!E42*TA_ti!E$48*TA_ti!$BE42=0,10000,TA_ti!E42*TA_ti!E$48*TA_ti!$BE42)</f>
        <v>10000</v>
      </c>
      <c r="F42" s="4">
        <f>+IF(TA_ti!F42*TA_ti!F$48*TA_ti!$BE42=0,10000,TA_ti!F42*TA_ti!F$48*TA_ti!$BE42)</f>
        <v>10000</v>
      </c>
      <c r="G42" s="4">
        <f>+IF(TA_ti!G42*TA_ti!G$48*TA_ti!$BE42=0,10000,TA_ti!G42*TA_ti!G$48*TA_ti!$BE42)</f>
        <v>10000</v>
      </c>
      <c r="H42" s="4">
        <f>+IF(TA_ti!H42*TA_ti!H$48*TA_ti!$BE42=0,10000,TA_ti!H42*TA_ti!H$48*TA_ti!$BE42)</f>
        <v>10000</v>
      </c>
      <c r="I42" s="4">
        <f>+IF(TA_ti!I42*TA_ti!I$48*TA_ti!$BE42=0,10000,TA_ti!I42*TA_ti!I$48*TA_ti!$BE42)</f>
        <v>10000</v>
      </c>
      <c r="J42" s="4">
        <f>+IF(TA_ti!J42*TA_ti!J$48*TA_ti!$BE42=0,10000,TA_ti!J42*TA_ti!J$48*TA_ti!$BE42)</f>
        <v>10000</v>
      </c>
      <c r="K42" s="4">
        <f>+IF(TA_ti!K42*TA_ti!K$48*TA_ti!$BE42=0,10000,TA_ti!K42*TA_ti!K$48*TA_ti!$BE42)</f>
        <v>10000</v>
      </c>
      <c r="L42" s="4">
        <f>+IF(TA_ti!L42*TA_ti!L$48*TA_ti!$BE42=0,10000,TA_ti!L42*TA_ti!L$48*TA_ti!$BE42)</f>
        <v>10000</v>
      </c>
      <c r="M42" s="4">
        <f>+IF(TA_ti!M42*TA_ti!M$48*TA_ti!$BE42=0,10000,TA_ti!M42*TA_ti!M$48*TA_ti!$BE42)</f>
        <v>10000</v>
      </c>
      <c r="N42" s="4">
        <f>+IF(TA_ti!N42*TA_ti!N$48*TA_ti!$BE42=0,10000,TA_ti!N42*TA_ti!N$48*TA_ti!$BE42)</f>
        <v>10000</v>
      </c>
      <c r="O42" s="4">
        <f>+IF(TA_ti!O42*TA_ti!O$48*TA_ti!$BE42=0,10000,TA_ti!O42*TA_ti!O$48*TA_ti!$BE42)</f>
        <v>10000</v>
      </c>
      <c r="P42" s="4">
        <f>+IF(TA_ti!P42*TA_ti!P$48*TA_ti!$BE42=0,10000,TA_ti!P42*TA_ti!P$48*TA_ti!$BE42)</f>
        <v>10000</v>
      </c>
      <c r="Q42" s="4">
        <f>+IF(TA_ti!Q42*TA_ti!Q$48*TA_ti!$BE42=0,10000,TA_ti!Q42*TA_ti!Q$48*TA_ti!$BE42)</f>
        <v>10000</v>
      </c>
      <c r="R42" s="4">
        <f>+IF(TA_ti!R42*TA_ti!R$48*TA_ti!$BE42=0,10000,TA_ti!R42*TA_ti!R$48*TA_ti!$BE42)</f>
        <v>10000</v>
      </c>
      <c r="S42" s="4">
        <f>+IF(TA_ti!S42*TA_ti!S$48*TA_ti!$BE42=0,10000,TA_ti!S42*TA_ti!S$48*TA_ti!$BE42)</f>
        <v>10000</v>
      </c>
      <c r="T42" s="4">
        <f>+IF(TA_ti!T42*TA_ti!T$48*TA_ti!$BE42=0,10000,TA_ti!T42*TA_ti!T$48*TA_ti!$BE42)</f>
        <v>15</v>
      </c>
      <c r="U42" s="4">
        <f>+IF(TA_ti!U42*TA_ti!U$48*TA_ti!$BE42=0,10000,TA_ti!U42*TA_ti!U$48*TA_ti!$BE42)</f>
        <v>15</v>
      </c>
      <c r="V42" s="4">
        <f>+IF(TA_ti!V42*TA_ti!V$48*TA_ti!$BE42=0,10000,TA_ti!V42*TA_ti!V$48*TA_ti!$BE42)</f>
        <v>10000</v>
      </c>
      <c r="W42" s="4">
        <f>+IF(TA_ti!W42*TA_ti!W$48*TA_ti!$BE42=0,10000,TA_ti!W42*TA_ti!W$48*TA_ti!$BE42)</f>
        <v>10000</v>
      </c>
      <c r="X42" s="4">
        <f>+IF(TA_ti!X42*TA_ti!X$48*TA_ti!$BE42=0,10000,TA_ti!X42*TA_ti!X$48*TA_ti!$BE42)</f>
        <v>20</v>
      </c>
      <c r="Y42" s="4">
        <f>+IF(TA_ti!Y42*TA_ti!Y$48*TA_ti!$BE42=0,10000,TA_ti!Y42*TA_ti!Y$48*TA_ti!$BE42)</f>
        <v>10000</v>
      </c>
      <c r="Z42" s="4">
        <f>+IF(TA_ti!Z42*TA_ti!Z$48*TA_ti!$BE42=0,10000,TA_ti!Z42*TA_ti!Z$48*TA_ti!$BE42)</f>
        <v>10000</v>
      </c>
      <c r="AA42" s="4">
        <f>+IF(TA_ti!AA42*TA_ti!AA$48*TA_ti!$BE42=0,10000,TA_ti!AA42*TA_ti!AA$48*TA_ti!$BE42)</f>
        <v>10000</v>
      </c>
      <c r="AB42" s="4">
        <f>+IF(TA_ti!AB42*TA_ti!AB$48*TA_ti!$BE42=0,10000,TA_ti!AB42*TA_ti!AB$48*TA_ti!$BE42)</f>
        <v>30</v>
      </c>
      <c r="AC42" s="4">
        <f>+IF(TA_ti!AC42*TA_ti!AC$48*TA_ti!$BE42=0,10000,TA_ti!AC42*TA_ti!AC$48*TA_ti!$BE42)</f>
        <v>10000</v>
      </c>
      <c r="AD42" s="4">
        <f>+IF(TA_ti!AD42*TA_ti!AD$48*TA_ti!$BE42=0,10000,TA_ti!AD42*TA_ti!AD$48*TA_ti!$BE42)</f>
        <v>10000</v>
      </c>
      <c r="AE42" s="4">
        <f>+IF(TA_ti!AE42*TA_ti!AE$48*TA_ti!$BE42=0,10000,TA_ti!AE42*TA_ti!AE$48*TA_ti!$BE42)</f>
        <v>10000</v>
      </c>
      <c r="AF42" s="4">
        <f>+IF(TA_ti!AF42*TA_ti!AF$48*TA_ti!$BE42=0,10000,TA_ti!AF42*TA_ti!AF$48*TA_ti!$BE42)</f>
        <v>10000</v>
      </c>
      <c r="AG42" s="4">
        <f>+IF(TA_ti!AG42*TA_ti!AG$48*TA_ti!$BE42=0,10000,TA_ti!AG42*TA_ti!AG$48*TA_ti!$BE42)</f>
        <v>10000</v>
      </c>
      <c r="AH42" s="4">
        <f>+IF(TA_ti!AH42*TA_ti!AH$48*TA_ti!$BE42=0,10000,TA_ti!AH42*TA_ti!AH$48*TA_ti!$BE42)</f>
        <v>10000</v>
      </c>
      <c r="AI42" s="4">
        <f>+IF(TA_ti!AI42*TA_ti!AI$48*TA_ti!$BE42=0,10000,TA_ti!AI42*TA_ti!AI$48*TA_ti!$BE42)</f>
        <v>10000</v>
      </c>
      <c r="AJ42" s="4">
        <f>+IF(TA_ti!AJ42*TA_ti!AJ$48*TA_ti!$BE42=0,10000,TA_ti!AJ42*TA_ti!AJ$48*TA_ti!$BE42)</f>
        <v>10000</v>
      </c>
      <c r="AK42" s="4">
        <f>+IF(TA_ti!AK42*TA_ti!AK$48*TA_ti!$BE42=0,10000,TA_ti!AK42*TA_ti!AK$48*TA_ti!$BE42)</f>
        <v>10000</v>
      </c>
      <c r="AL42" s="4">
        <f>+IF(TA_ti!AL42*TA_ti!AL$48*TA_ti!$BE42=0,10000,TA_ti!AL42*TA_ti!AL$48*TA_ti!$BE42)</f>
        <v>10000</v>
      </c>
      <c r="AM42" s="4">
        <f>+IF(TA_ti!AM42*TA_ti!AM$48*TA_ti!$BE42=0,10000,TA_ti!AM42*TA_ti!AM$48*TA_ti!$BE42)</f>
        <v>10000</v>
      </c>
      <c r="AN42" s="4">
        <f>+IF(TA_ti!AN42*TA_ti!AN$48*TA_ti!$BE42=0,10000,TA_ti!AN42*TA_ti!AN$48*TA_ti!$BE42)</f>
        <v>10000</v>
      </c>
      <c r="AO42" s="4">
        <f>+IF(TA_ti!AO42*TA_ti!AO$48*TA_ti!$BE42=0,10000,TA_ti!AO42*TA_ti!AO$48*TA_ti!$BE42)</f>
        <v>10000</v>
      </c>
      <c r="AP42" s="4">
        <f>+IF(TA_ti!AP42*TA_ti!AP$48*TA_ti!$BE42=0,10000,TA_ti!AP42*TA_ti!AP$48*TA_ti!$BE42)</f>
        <v>10000</v>
      </c>
      <c r="AQ42" s="4">
        <f>+IF(TA_ti!AQ42*TA_ti!AQ$48*TA_ti!$BE42=0,10000,TA_ti!AQ42*TA_ti!AQ$48*TA_ti!$BE42)</f>
        <v>10000</v>
      </c>
      <c r="AR42" s="4">
        <f>+IF(TA_ti!AR42*TA_ti!AR$48*TA_ti!$BE42=0,10000,TA_ti!AR42*TA_ti!AR$48*TA_ti!$BE42)</f>
        <v>10000</v>
      </c>
      <c r="AS42" s="4">
        <f>+IF(TA_ti!AS42*TA_ti!AS$48*TA_ti!$BE42=0,10000,TA_ti!AS42*TA_ti!AS$48*TA_ti!$BE42)</f>
        <v>10000</v>
      </c>
      <c r="AT42" s="4">
        <f>+IF(TA_ti!AT42*TA_ti!AT$48*TA_ti!$BE42=0,10000,TA_ti!AT42*TA_ti!AT$48*TA_ti!$BE42)</f>
        <v>10000</v>
      </c>
      <c r="AU42" s="4">
        <f>+IF(TA_ti!AU42*TA_ti!AU$48*TA_ti!$BE42=0,10000,TA_ti!AU42*TA_ti!AU$48*TA_ti!$BE42)</f>
        <v>10000</v>
      </c>
      <c r="AV42" s="4">
        <f>+IF(TA_ti!AV42*TA_ti!AV$48*TA_ti!$BE42=0,10000,TA_ti!AV42*TA_ti!AV$48*TA_ti!$BE42)</f>
        <v>10000</v>
      </c>
      <c r="AW42" s="4">
        <f>+IF(TA_ti!AW42*TA_ti!AW$48*TA_ti!$BE42=0,10000,TA_ti!AW42*TA_ti!AW$48*TA_ti!$BE42)</f>
        <v>10000</v>
      </c>
      <c r="AX42" s="4">
        <f>+IF(TA_ti!AX42*TA_ti!AX$48*TA_ti!$BE42=0,10000,TA_ti!AX42*TA_ti!AX$48*TA_ti!$BE42)</f>
        <v>10000</v>
      </c>
      <c r="AY42" s="4">
        <f>+IF(TA_ti!AY42*TA_ti!AY$48*TA_ti!$BE42=0,10000,TA_ti!AY42*TA_ti!AY$48*TA_ti!$BE42)</f>
        <v>10000</v>
      </c>
      <c r="AZ42" s="4">
        <f>+IF(TA_ti!AZ42*TA_ti!AZ$48*TA_ti!$BE42=0,10000,TA_ti!AZ42*TA_ti!AZ$48*TA_ti!$BE42)</f>
        <v>10000</v>
      </c>
      <c r="BA42" s="4">
        <f>+IF(TA_ti!BA42*TA_ti!BA$48*TA_ti!$BE42=0,10000,TA_ti!BA42*TA_ti!BA$48*TA_ti!$BE42)</f>
        <v>10000</v>
      </c>
      <c r="BB42" s="4">
        <f>+IF(TA_ti!BB42*TA_ti!BB$48*TA_ti!$BE42=0,10000,TA_ti!BB42*TA_ti!BB$48*TA_ti!$BE42)</f>
        <v>10000</v>
      </c>
      <c r="BC42" s="4">
        <f>+IF(TA_ti!BC42*TA_ti!BC$48*TA_ti!$BE42=0,10000,TA_ti!BC42*TA_ti!BC$48*TA_ti!$BE42)</f>
        <v>10000</v>
      </c>
    </row>
    <row r="43" spans="1:55" ht="18.75" customHeight="1" x14ac:dyDescent="0.25">
      <c r="A43" s="5" t="s">
        <v>94</v>
      </c>
      <c r="B43" s="4">
        <f>+IF(TA_ti!B43*TA_ti!B$48*TA_ti!$BE43=0,10000,TA_ti!B43*TA_ti!B$48*TA_ti!$BE43)</f>
        <v>10000</v>
      </c>
      <c r="C43" s="4">
        <f>+IF(TA_ti!C43*TA_ti!C$48*TA_ti!$BE43=0,10000,TA_ti!C43*TA_ti!C$48*TA_ti!$BE43)</f>
        <v>10000</v>
      </c>
      <c r="D43" s="4">
        <f>+IF(TA_ti!D43*TA_ti!D$48*TA_ti!$BE43=0,10000,TA_ti!D43*TA_ti!D$48*TA_ti!$BE43)</f>
        <v>10000</v>
      </c>
      <c r="E43" s="4">
        <f>+IF(TA_ti!E43*TA_ti!E$48*TA_ti!$BE43=0,10000,TA_ti!E43*TA_ti!E$48*TA_ti!$BE43)</f>
        <v>10000</v>
      </c>
      <c r="F43" s="4">
        <f>+IF(TA_ti!F43*TA_ti!F$48*TA_ti!$BE43=0,10000,TA_ti!F43*TA_ti!F$48*TA_ti!$BE43)</f>
        <v>10000</v>
      </c>
      <c r="G43" s="4">
        <f>+IF(TA_ti!G43*TA_ti!G$48*TA_ti!$BE43=0,10000,TA_ti!G43*TA_ti!G$48*TA_ti!$BE43)</f>
        <v>10000</v>
      </c>
      <c r="H43" s="4">
        <f>+IF(TA_ti!H43*TA_ti!H$48*TA_ti!$BE43=0,10000,TA_ti!H43*TA_ti!H$48*TA_ti!$BE43)</f>
        <v>10000</v>
      </c>
      <c r="I43" s="4">
        <f>+IF(TA_ti!I43*TA_ti!I$48*TA_ti!$BE43=0,10000,TA_ti!I43*TA_ti!I$48*TA_ti!$BE43)</f>
        <v>10000</v>
      </c>
      <c r="J43" s="4">
        <f>+IF(TA_ti!J43*TA_ti!J$48*TA_ti!$BE43=0,10000,TA_ti!J43*TA_ti!J$48*TA_ti!$BE43)</f>
        <v>10000</v>
      </c>
      <c r="K43" s="4">
        <f>+IF(TA_ti!K43*TA_ti!K$48*TA_ti!$BE43=0,10000,TA_ti!K43*TA_ti!K$48*TA_ti!$BE43)</f>
        <v>12</v>
      </c>
      <c r="L43" s="4">
        <f>+IF(TA_ti!L43*TA_ti!L$48*TA_ti!$BE43=0,10000,TA_ti!L43*TA_ti!L$48*TA_ti!$BE43)</f>
        <v>10000</v>
      </c>
      <c r="M43" s="4">
        <f>+IF(TA_ti!M43*TA_ti!M$48*TA_ti!$BE43=0,10000,TA_ti!M43*TA_ti!M$48*TA_ti!$BE43)</f>
        <v>10000</v>
      </c>
      <c r="N43" s="4">
        <f>+IF(TA_ti!N43*TA_ti!N$48*TA_ti!$BE43=0,10000,TA_ti!N43*TA_ti!N$48*TA_ti!$BE43)</f>
        <v>10000</v>
      </c>
      <c r="O43" s="4">
        <f>+IF(TA_ti!O43*TA_ti!O$48*TA_ti!$BE43=0,10000,TA_ti!O43*TA_ti!O$48*TA_ti!$BE43)</f>
        <v>10000</v>
      </c>
      <c r="P43" s="4">
        <f>+IF(TA_ti!P43*TA_ti!P$48*TA_ti!$BE43=0,10000,TA_ti!P43*TA_ti!P$48*TA_ti!$BE43)</f>
        <v>10000</v>
      </c>
      <c r="Q43" s="4">
        <f>+IF(TA_ti!Q43*TA_ti!Q$48*TA_ti!$BE43=0,10000,TA_ti!Q43*TA_ti!Q$48*TA_ti!$BE43)</f>
        <v>10000</v>
      </c>
      <c r="R43" s="4">
        <f>+IF(TA_ti!R43*TA_ti!R$48*TA_ti!$BE43=0,10000,TA_ti!R43*TA_ti!R$48*TA_ti!$BE43)</f>
        <v>10000</v>
      </c>
      <c r="S43" s="4">
        <f>+IF(TA_ti!S43*TA_ti!S$48*TA_ti!$BE43=0,10000,TA_ti!S43*TA_ti!S$48*TA_ti!$BE43)</f>
        <v>10000</v>
      </c>
      <c r="T43" s="4">
        <f>+IF(TA_ti!T43*TA_ti!T$48*TA_ti!$BE43=0,10000,TA_ti!T43*TA_ti!T$48*TA_ti!$BE43)</f>
        <v>10000</v>
      </c>
      <c r="U43" s="4">
        <f>+IF(TA_ti!U43*TA_ti!U$48*TA_ti!$BE43=0,10000,TA_ti!U43*TA_ti!U$48*TA_ti!$BE43)</f>
        <v>10000</v>
      </c>
      <c r="V43" s="4">
        <f>+IF(TA_ti!V43*TA_ti!V$48*TA_ti!$BE43=0,10000,TA_ti!V43*TA_ti!V$48*TA_ti!$BE43)</f>
        <v>10000</v>
      </c>
      <c r="W43" s="4">
        <f>+IF(TA_ti!W43*TA_ti!W$48*TA_ti!$BE43=0,10000,TA_ti!W43*TA_ti!W$48*TA_ti!$BE43)</f>
        <v>10000</v>
      </c>
      <c r="X43" s="4">
        <f>+IF(TA_ti!X43*TA_ti!X$48*TA_ti!$BE43=0,10000,TA_ti!X43*TA_ti!X$48*TA_ti!$BE43)</f>
        <v>10000</v>
      </c>
      <c r="Y43" s="4">
        <f>+IF(TA_ti!Y43*TA_ti!Y$48*TA_ti!$BE43=0,10000,TA_ti!Y43*TA_ti!Y$48*TA_ti!$BE43)</f>
        <v>10000</v>
      </c>
      <c r="Z43" s="4">
        <f>+IF(TA_ti!Z43*TA_ti!Z$48*TA_ti!$BE43=0,10000,TA_ti!Z43*TA_ti!Z$48*TA_ti!$BE43)</f>
        <v>10000</v>
      </c>
      <c r="AA43" s="4">
        <f>+IF(TA_ti!AA43*TA_ti!AA$48*TA_ti!$BE43=0,10000,TA_ti!AA43*TA_ti!AA$48*TA_ti!$BE43)</f>
        <v>10000</v>
      </c>
      <c r="AB43" s="4">
        <f>+IF(TA_ti!AB43*TA_ti!AB$48*TA_ti!$BE43=0,10000,TA_ti!AB43*TA_ti!AB$48*TA_ti!$BE43)</f>
        <v>10000</v>
      </c>
      <c r="AC43" s="4">
        <f>+IF(TA_ti!AC43*TA_ti!AC$48*TA_ti!$BE43=0,10000,TA_ti!AC43*TA_ti!AC$48*TA_ti!$BE43)</f>
        <v>10000</v>
      </c>
      <c r="AD43" s="4">
        <f>+IF(TA_ti!AD43*TA_ti!AD$48*TA_ti!$BE43=0,10000,TA_ti!AD43*TA_ti!AD$48*TA_ti!$BE43)</f>
        <v>10000</v>
      </c>
      <c r="AE43" s="4">
        <f>+IF(TA_ti!AE43*TA_ti!AE$48*TA_ti!$BE43=0,10000,TA_ti!AE43*TA_ti!AE$48*TA_ti!$BE43)</f>
        <v>10000</v>
      </c>
      <c r="AF43" s="4">
        <f>+IF(TA_ti!AF43*TA_ti!AF$48*TA_ti!$BE43=0,10000,TA_ti!AF43*TA_ti!AF$48*TA_ti!$BE43)</f>
        <v>10000</v>
      </c>
      <c r="AG43" s="4">
        <f>+IF(TA_ti!AG43*TA_ti!AG$48*TA_ti!$BE43=0,10000,TA_ti!AG43*TA_ti!AG$48*TA_ti!$BE43)</f>
        <v>10000</v>
      </c>
      <c r="AH43" s="4">
        <f>+IF(TA_ti!AH43*TA_ti!AH$48*TA_ti!$BE43=0,10000,TA_ti!AH43*TA_ti!AH$48*TA_ti!$BE43)</f>
        <v>10000</v>
      </c>
      <c r="AI43" s="4">
        <f>+IF(TA_ti!AI43*TA_ti!AI$48*TA_ti!$BE43=0,10000,TA_ti!AI43*TA_ti!AI$48*TA_ti!$BE43)</f>
        <v>10000</v>
      </c>
      <c r="AJ43" s="4">
        <f>+IF(TA_ti!AJ43*TA_ti!AJ$48*TA_ti!$BE43=0,10000,TA_ti!AJ43*TA_ti!AJ$48*TA_ti!$BE43)</f>
        <v>10000</v>
      </c>
      <c r="AK43" s="4">
        <f>+IF(TA_ti!AK43*TA_ti!AK$48*TA_ti!$BE43=0,10000,TA_ti!AK43*TA_ti!AK$48*TA_ti!$BE43)</f>
        <v>10000</v>
      </c>
      <c r="AL43" s="4">
        <f>+IF(TA_ti!AL43*TA_ti!AL$48*TA_ti!$BE43=0,10000,TA_ti!AL43*TA_ti!AL$48*TA_ti!$BE43)</f>
        <v>10000</v>
      </c>
      <c r="AM43" s="4">
        <f>+IF(TA_ti!AM43*TA_ti!AM$48*TA_ti!$BE43=0,10000,TA_ti!AM43*TA_ti!AM$48*TA_ti!$BE43)</f>
        <v>10000</v>
      </c>
      <c r="AN43" s="4">
        <f>+IF(TA_ti!AN43*TA_ti!AN$48*TA_ti!$BE43=0,10000,TA_ti!AN43*TA_ti!AN$48*TA_ti!$BE43)</f>
        <v>10000</v>
      </c>
      <c r="AO43" s="4">
        <f>+IF(TA_ti!AO43*TA_ti!AO$48*TA_ti!$BE43=0,10000,TA_ti!AO43*TA_ti!AO$48*TA_ti!$BE43)</f>
        <v>10000</v>
      </c>
      <c r="AP43" s="4">
        <f>+IF(TA_ti!AP43*TA_ti!AP$48*TA_ti!$BE43=0,10000,TA_ti!AP43*TA_ti!AP$48*TA_ti!$BE43)</f>
        <v>10000</v>
      </c>
      <c r="AQ43" s="4">
        <f>+IF(TA_ti!AQ43*TA_ti!AQ$48*TA_ti!$BE43=0,10000,TA_ti!AQ43*TA_ti!AQ$48*TA_ti!$BE43)</f>
        <v>10000</v>
      </c>
      <c r="AR43" s="4">
        <f>+IF(TA_ti!AR43*TA_ti!AR$48*TA_ti!$BE43=0,10000,TA_ti!AR43*TA_ti!AR$48*TA_ti!$BE43)</f>
        <v>10000</v>
      </c>
      <c r="AS43" s="4">
        <f>+IF(TA_ti!AS43*TA_ti!AS$48*TA_ti!$BE43=0,10000,TA_ti!AS43*TA_ti!AS$48*TA_ti!$BE43)</f>
        <v>10000</v>
      </c>
      <c r="AT43" s="4">
        <f>+IF(TA_ti!AT43*TA_ti!AT$48*TA_ti!$BE43=0,10000,TA_ti!AT43*TA_ti!AT$48*TA_ti!$BE43)</f>
        <v>10000</v>
      </c>
      <c r="AU43" s="4">
        <f>+IF(TA_ti!AU43*TA_ti!AU$48*TA_ti!$BE43=0,10000,TA_ti!AU43*TA_ti!AU$48*TA_ti!$BE43)</f>
        <v>10000</v>
      </c>
      <c r="AV43" s="4">
        <f>+IF(TA_ti!AV43*TA_ti!AV$48*TA_ti!$BE43=0,10000,TA_ti!AV43*TA_ti!AV$48*TA_ti!$BE43)</f>
        <v>10000</v>
      </c>
      <c r="AW43" s="4">
        <f>+IF(TA_ti!AW43*TA_ti!AW$48*TA_ti!$BE43=0,10000,TA_ti!AW43*TA_ti!AW$48*TA_ti!$BE43)</f>
        <v>10000</v>
      </c>
      <c r="AX43" s="4">
        <f>+IF(TA_ti!AX43*TA_ti!AX$48*TA_ti!$BE43=0,10000,TA_ti!AX43*TA_ti!AX$48*TA_ti!$BE43)</f>
        <v>10000</v>
      </c>
      <c r="AY43" s="4">
        <f>+IF(TA_ti!AY43*TA_ti!AY$48*TA_ti!$BE43=0,10000,TA_ti!AY43*TA_ti!AY$48*TA_ti!$BE43)</f>
        <v>10000</v>
      </c>
      <c r="AZ43" s="4">
        <f>+IF(TA_ti!AZ43*TA_ti!AZ$48*TA_ti!$BE43=0,10000,TA_ti!AZ43*TA_ti!AZ$48*TA_ti!$BE43)</f>
        <v>10000</v>
      </c>
      <c r="BA43" s="4">
        <f>+IF(TA_ti!BA43*TA_ti!BA$48*TA_ti!$BE43=0,10000,TA_ti!BA43*TA_ti!BA$48*TA_ti!$BE43)</f>
        <v>10000</v>
      </c>
      <c r="BB43" s="4">
        <f>+IF(TA_ti!BB43*TA_ti!BB$48*TA_ti!$BE43=0,10000,TA_ti!BB43*TA_ti!BB$48*TA_ti!$BE43)</f>
        <v>10000</v>
      </c>
      <c r="BC43" s="4">
        <f>+IF(TA_ti!BC43*TA_ti!BC$48*TA_ti!$BE43=0,10000,TA_ti!BC43*TA_ti!BC$48*TA_ti!$BE43)</f>
        <v>10000</v>
      </c>
    </row>
    <row r="44" spans="1:55" ht="18.75" customHeight="1" x14ac:dyDescent="0.25">
      <c r="A44" s="5" t="s">
        <v>95</v>
      </c>
      <c r="B44" s="4">
        <f>+IF(TA_ti!B44*TA_ti!B$48*TA_ti!$BE44=0,10000,TA_ti!B44*TA_ti!B$48*TA_ti!$BE44)</f>
        <v>10000</v>
      </c>
      <c r="C44" s="4">
        <f>+IF(TA_ti!C44*TA_ti!C$48*TA_ti!$BE44=0,10000,TA_ti!C44*TA_ti!C$48*TA_ti!$BE44)</f>
        <v>10000</v>
      </c>
      <c r="D44" s="4">
        <f>+IF(TA_ti!D44*TA_ti!D$48*TA_ti!$BE44=0,10000,TA_ti!D44*TA_ti!D$48*TA_ti!$BE44)</f>
        <v>10000</v>
      </c>
      <c r="E44" s="4">
        <f>+IF(TA_ti!E44*TA_ti!E$48*TA_ti!$BE44=0,10000,TA_ti!E44*TA_ti!E$48*TA_ti!$BE44)</f>
        <v>10000</v>
      </c>
      <c r="F44" s="4">
        <f>+IF(TA_ti!F44*TA_ti!F$48*TA_ti!$BE44=0,10000,TA_ti!F44*TA_ti!F$48*TA_ti!$BE44)</f>
        <v>10000</v>
      </c>
      <c r="G44" s="4">
        <f>+IF(TA_ti!G44*TA_ti!G$48*TA_ti!$BE44=0,10000,TA_ti!G44*TA_ti!G$48*TA_ti!$BE44)</f>
        <v>10000</v>
      </c>
      <c r="H44" s="4">
        <f>+IF(TA_ti!H44*TA_ti!H$48*TA_ti!$BE44=0,10000,TA_ti!H44*TA_ti!H$48*TA_ti!$BE44)</f>
        <v>10000</v>
      </c>
      <c r="I44" s="4">
        <f>+IF(TA_ti!I44*TA_ti!I$48*TA_ti!$BE44=0,10000,TA_ti!I44*TA_ti!I$48*TA_ti!$BE44)</f>
        <v>10000</v>
      </c>
      <c r="J44" s="4">
        <f>+IF(TA_ti!J44*TA_ti!J$48*TA_ti!$BE44=0,10000,TA_ti!J44*TA_ti!J$48*TA_ti!$BE44)</f>
        <v>10000</v>
      </c>
      <c r="K44" s="4">
        <f>+IF(TA_ti!K44*TA_ti!K$48*TA_ti!$BE44=0,10000,TA_ti!K44*TA_ti!K$48*TA_ti!$BE44)</f>
        <v>12</v>
      </c>
      <c r="L44" s="4">
        <f>+IF(TA_ti!L44*TA_ti!L$48*TA_ti!$BE44=0,10000,TA_ti!L44*TA_ti!L$48*TA_ti!$BE44)</f>
        <v>10000</v>
      </c>
      <c r="M44" s="4">
        <f>+IF(TA_ti!M44*TA_ti!M$48*TA_ti!$BE44=0,10000,TA_ti!M44*TA_ti!M$48*TA_ti!$BE44)</f>
        <v>10000</v>
      </c>
      <c r="N44" s="4">
        <f>+IF(TA_ti!N44*TA_ti!N$48*TA_ti!$BE44=0,10000,TA_ti!N44*TA_ti!N$48*TA_ti!$BE44)</f>
        <v>10000</v>
      </c>
      <c r="O44" s="4">
        <f>+IF(TA_ti!O44*TA_ti!O$48*TA_ti!$BE44=0,10000,TA_ti!O44*TA_ti!O$48*TA_ti!$BE44)</f>
        <v>10000</v>
      </c>
      <c r="P44" s="4">
        <f>+IF(TA_ti!P44*TA_ti!P$48*TA_ti!$BE44=0,10000,TA_ti!P44*TA_ti!P$48*TA_ti!$BE44)</f>
        <v>10000</v>
      </c>
      <c r="Q44" s="4">
        <f>+IF(TA_ti!Q44*TA_ti!Q$48*TA_ti!$BE44=0,10000,TA_ti!Q44*TA_ti!Q$48*TA_ti!$BE44)</f>
        <v>10000</v>
      </c>
      <c r="R44" s="4">
        <f>+IF(TA_ti!R44*TA_ti!R$48*TA_ti!$BE44=0,10000,TA_ti!R44*TA_ti!R$48*TA_ti!$BE44)</f>
        <v>10000</v>
      </c>
      <c r="S44" s="4">
        <f>+IF(TA_ti!S44*TA_ti!S$48*TA_ti!$BE44=0,10000,TA_ti!S44*TA_ti!S$48*TA_ti!$BE44)</f>
        <v>10000</v>
      </c>
      <c r="T44" s="4">
        <f>+IF(TA_ti!T44*TA_ti!T$48*TA_ti!$BE44=0,10000,TA_ti!T44*TA_ti!T$48*TA_ti!$BE44)</f>
        <v>10000</v>
      </c>
      <c r="U44" s="4">
        <f>+IF(TA_ti!U44*TA_ti!U$48*TA_ti!$BE44=0,10000,TA_ti!U44*TA_ti!U$48*TA_ti!$BE44)</f>
        <v>10000</v>
      </c>
      <c r="V44" s="4">
        <f>+IF(TA_ti!V44*TA_ti!V$48*TA_ti!$BE44=0,10000,TA_ti!V44*TA_ti!V$48*TA_ti!$BE44)</f>
        <v>10000</v>
      </c>
      <c r="W44" s="4">
        <f>+IF(TA_ti!W44*TA_ti!W$48*TA_ti!$BE44=0,10000,TA_ti!W44*TA_ti!W$48*TA_ti!$BE44)</f>
        <v>10000</v>
      </c>
      <c r="X44" s="4">
        <f>+IF(TA_ti!X44*TA_ti!X$48*TA_ti!$BE44=0,10000,TA_ti!X44*TA_ti!X$48*TA_ti!$BE44)</f>
        <v>10000</v>
      </c>
      <c r="Y44" s="4">
        <f>+IF(TA_ti!Y44*TA_ti!Y$48*TA_ti!$BE44=0,10000,TA_ti!Y44*TA_ti!Y$48*TA_ti!$BE44)</f>
        <v>10000</v>
      </c>
      <c r="Z44" s="4">
        <f>+IF(TA_ti!Z44*TA_ti!Z$48*TA_ti!$BE44=0,10000,TA_ti!Z44*TA_ti!Z$48*TA_ti!$BE44)</f>
        <v>10000</v>
      </c>
      <c r="AA44" s="4">
        <f>+IF(TA_ti!AA44*TA_ti!AA$48*TA_ti!$BE44=0,10000,TA_ti!AA44*TA_ti!AA$48*TA_ti!$BE44)</f>
        <v>10000</v>
      </c>
      <c r="AB44" s="4">
        <f>+IF(TA_ti!AB44*TA_ti!AB$48*TA_ti!$BE44=0,10000,TA_ti!AB44*TA_ti!AB$48*TA_ti!$BE44)</f>
        <v>10000</v>
      </c>
      <c r="AC44" s="4">
        <f>+IF(TA_ti!AC44*TA_ti!AC$48*TA_ti!$BE44=0,10000,TA_ti!AC44*TA_ti!AC$48*TA_ti!$BE44)</f>
        <v>10000</v>
      </c>
      <c r="AD44" s="4">
        <f>+IF(TA_ti!AD44*TA_ti!AD$48*TA_ti!$BE44=0,10000,TA_ti!AD44*TA_ti!AD$48*TA_ti!$BE44)</f>
        <v>10000</v>
      </c>
      <c r="AE44" s="4">
        <f>+IF(TA_ti!AE44*TA_ti!AE$48*TA_ti!$BE44=0,10000,TA_ti!AE44*TA_ti!AE$48*TA_ti!$BE44)</f>
        <v>10000</v>
      </c>
      <c r="AF44" s="4">
        <f>+IF(TA_ti!AF44*TA_ti!AF$48*TA_ti!$BE44=0,10000,TA_ti!AF44*TA_ti!AF$48*TA_ti!$BE44)</f>
        <v>10000</v>
      </c>
      <c r="AG44" s="4">
        <f>+IF(TA_ti!AG44*TA_ti!AG$48*TA_ti!$BE44=0,10000,TA_ti!AG44*TA_ti!AG$48*TA_ti!$BE44)</f>
        <v>10000</v>
      </c>
      <c r="AH44" s="4">
        <f>+IF(TA_ti!AH44*TA_ti!AH$48*TA_ti!$BE44=0,10000,TA_ti!AH44*TA_ti!AH$48*TA_ti!$BE44)</f>
        <v>10000</v>
      </c>
      <c r="AI44" s="4">
        <f>+IF(TA_ti!AI44*TA_ti!AI$48*TA_ti!$BE44=0,10000,TA_ti!AI44*TA_ti!AI$48*TA_ti!$BE44)</f>
        <v>10000</v>
      </c>
      <c r="AJ44" s="4">
        <f>+IF(TA_ti!AJ44*TA_ti!AJ$48*TA_ti!$BE44=0,10000,TA_ti!AJ44*TA_ti!AJ$48*TA_ti!$BE44)</f>
        <v>10000</v>
      </c>
      <c r="AK44" s="4">
        <f>+IF(TA_ti!AK44*TA_ti!AK$48*TA_ti!$BE44=0,10000,TA_ti!AK44*TA_ti!AK$48*TA_ti!$BE44)</f>
        <v>10000</v>
      </c>
      <c r="AL44" s="4">
        <f>+IF(TA_ti!AL44*TA_ti!AL$48*TA_ti!$BE44=0,10000,TA_ti!AL44*TA_ti!AL$48*TA_ti!$BE44)</f>
        <v>10000</v>
      </c>
      <c r="AM44" s="4">
        <f>+IF(TA_ti!AM44*TA_ti!AM$48*TA_ti!$BE44=0,10000,TA_ti!AM44*TA_ti!AM$48*TA_ti!$BE44)</f>
        <v>10000</v>
      </c>
      <c r="AN44" s="4">
        <f>+IF(TA_ti!AN44*TA_ti!AN$48*TA_ti!$BE44=0,10000,TA_ti!AN44*TA_ti!AN$48*TA_ti!$BE44)</f>
        <v>10000</v>
      </c>
      <c r="AO44" s="4">
        <f>+IF(TA_ti!AO44*TA_ti!AO$48*TA_ti!$BE44=0,10000,TA_ti!AO44*TA_ti!AO$48*TA_ti!$BE44)</f>
        <v>10000</v>
      </c>
      <c r="AP44" s="4">
        <f>+IF(TA_ti!AP44*TA_ti!AP$48*TA_ti!$BE44=0,10000,TA_ti!AP44*TA_ti!AP$48*TA_ti!$BE44)</f>
        <v>10000</v>
      </c>
      <c r="AQ44" s="4">
        <f>+IF(TA_ti!AQ44*TA_ti!AQ$48*TA_ti!$BE44=0,10000,TA_ti!AQ44*TA_ti!AQ$48*TA_ti!$BE44)</f>
        <v>10000</v>
      </c>
      <c r="AR44" s="4">
        <f>+IF(TA_ti!AR44*TA_ti!AR$48*TA_ti!$BE44=0,10000,TA_ti!AR44*TA_ti!AR$48*TA_ti!$BE44)</f>
        <v>10000</v>
      </c>
      <c r="AS44" s="4">
        <f>+IF(TA_ti!AS44*TA_ti!AS$48*TA_ti!$BE44=0,10000,TA_ti!AS44*TA_ti!AS$48*TA_ti!$BE44)</f>
        <v>10000</v>
      </c>
      <c r="AT44" s="4">
        <f>+IF(TA_ti!AT44*TA_ti!AT$48*TA_ti!$BE44=0,10000,TA_ti!AT44*TA_ti!AT$48*TA_ti!$BE44)</f>
        <v>10000</v>
      </c>
      <c r="AU44" s="4">
        <f>+IF(TA_ti!AU44*TA_ti!AU$48*TA_ti!$BE44=0,10000,TA_ti!AU44*TA_ti!AU$48*TA_ti!$BE44)</f>
        <v>10000</v>
      </c>
      <c r="AV44" s="4">
        <f>+IF(TA_ti!AV44*TA_ti!AV$48*TA_ti!$BE44=0,10000,TA_ti!AV44*TA_ti!AV$48*TA_ti!$BE44)</f>
        <v>10000</v>
      </c>
      <c r="AW44" s="4">
        <f>+IF(TA_ti!AW44*TA_ti!AW$48*TA_ti!$BE44=0,10000,TA_ti!AW44*TA_ti!AW$48*TA_ti!$BE44)</f>
        <v>10000</v>
      </c>
      <c r="AX44" s="4">
        <f>+IF(TA_ti!AX44*TA_ti!AX$48*TA_ti!$BE44=0,10000,TA_ti!AX44*TA_ti!AX$48*TA_ti!$BE44)</f>
        <v>10000</v>
      </c>
      <c r="AY44" s="4">
        <f>+IF(TA_ti!AY44*TA_ti!AY$48*TA_ti!$BE44=0,10000,TA_ti!AY44*TA_ti!AY$48*TA_ti!$BE44)</f>
        <v>10000</v>
      </c>
      <c r="AZ44" s="4">
        <f>+IF(TA_ti!AZ44*TA_ti!AZ$48*TA_ti!$BE44=0,10000,TA_ti!AZ44*TA_ti!AZ$48*TA_ti!$BE44)</f>
        <v>10000</v>
      </c>
      <c r="BA44" s="4">
        <f>+IF(TA_ti!BA44*TA_ti!BA$48*TA_ti!$BE44=0,10000,TA_ti!BA44*TA_ti!BA$48*TA_ti!$BE44)</f>
        <v>10000</v>
      </c>
      <c r="BB44" s="4">
        <f>+IF(TA_ti!BB44*TA_ti!BB$48*TA_ti!$BE44=0,10000,TA_ti!BB44*TA_ti!BB$48*TA_ti!$BE44)</f>
        <v>10000</v>
      </c>
      <c r="BC44" s="4">
        <f>+IF(TA_ti!BC44*TA_ti!BC$48*TA_ti!$BE44=0,10000,TA_ti!BC44*TA_ti!BC$48*TA_ti!$BE44)</f>
        <v>10000</v>
      </c>
    </row>
    <row r="45" spans="1:55" ht="18.75" customHeight="1" x14ac:dyDescent="0.25">
      <c r="A45" s="5" t="s">
        <v>96</v>
      </c>
      <c r="B45" s="4">
        <f>+IF(TA_ti!B45*TA_ti!B$48*TA_ti!$BE45=0,10000,TA_ti!B45*TA_ti!B$48*TA_ti!$BE45)</f>
        <v>10000</v>
      </c>
      <c r="C45" s="4">
        <f>+IF(TA_ti!C45*TA_ti!C$48*TA_ti!$BE45=0,10000,TA_ti!C45*TA_ti!C$48*TA_ti!$BE45)</f>
        <v>10000</v>
      </c>
      <c r="D45" s="4">
        <f>+IF(TA_ti!D45*TA_ti!D$48*TA_ti!$BE45=0,10000,TA_ti!D45*TA_ti!D$48*TA_ti!$BE45)</f>
        <v>10000</v>
      </c>
      <c r="E45" s="4">
        <f>+IF(TA_ti!E45*TA_ti!E$48*TA_ti!$BE45=0,10000,TA_ti!E45*TA_ti!E$48*TA_ti!$BE45)</f>
        <v>10000</v>
      </c>
      <c r="F45" s="4">
        <f>+IF(TA_ti!F45*TA_ti!F$48*TA_ti!$BE45=0,10000,TA_ti!F45*TA_ti!F$48*TA_ti!$BE45)</f>
        <v>10000</v>
      </c>
      <c r="G45" s="4">
        <f>+IF(TA_ti!G45*TA_ti!G$48*TA_ti!$BE45=0,10000,TA_ti!G45*TA_ti!G$48*TA_ti!$BE45)</f>
        <v>10000</v>
      </c>
      <c r="H45" s="4">
        <f>+IF(TA_ti!H45*TA_ti!H$48*TA_ti!$BE45=0,10000,TA_ti!H45*TA_ti!H$48*TA_ti!$BE45)</f>
        <v>10000</v>
      </c>
      <c r="I45" s="4">
        <f>+IF(TA_ti!I45*TA_ti!I$48*TA_ti!$BE45=0,10000,TA_ti!I45*TA_ti!I$48*TA_ti!$BE45)</f>
        <v>10000</v>
      </c>
      <c r="J45" s="4">
        <f>+IF(TA_ti!J45*TA_ti!J$48*TA_ti!$BE45=0,10000,TA_ti!J45*TA_ti!J$48*TA_ti!$BE45)</f>
        <v>10000</v>
      </c>
      <c r="K45" s="4">
        <f>+IF(TA_ti!K45*TA_ti!K$48*TA_ti!$BE45=0,10000,TA_ti!K45*TA_ti!K$48*TA_ti!$BE45)</f>
        <v>12</v>
      </c>
      <c r="L45" s="4">
        <f>+IF(TA_ti!L45*TA_ti!L$48*TA_ti!$BE45=0,10000,TA_ti!L45*TA_ti!L$48*TA_ti!$BE45)</f>
        <v>10000</v>
      </c>
      <c r="M45" s="4">
        <f>+IF(TA_ti!M45*TA_ti!M$48*TA_ti!$BE45=0,10000,TA_ti!M45*TA_ti!M$48*TA_ti!$BE45)</f>
        <v>10000</v>
      </c>
      <c r="N45" s="4">
        <f>+IF(TA_ti!N45*TA_ti!N$48*TA_ti!$BE45=0,10000,TA_ti!N45*TA_ti!N$48*TA_ti!$BE45)</f>
        <v>10000</v>
      </c>
      <c r="O45" s="4">
        <f>+IF(TA_ti!O45*TA_ti!O$48*TA_ti!$BE45=0,10000,TA_ti!O45*TA_ti!O$48*TA_ti!$BE45)</f>
        <v>10000</v>
      </c>
      <c r="P45" s="4">
        <f>+IF(TA_ti!P45*TA_ti!P$48*TA_ti!$BE45=0,10000,TA_ti!P45*TA_ti!P$48*TA_ti!$BE45)</f>
        <v>10000</v>
      </c>
      <c r="Q45" s="4">
        <f>+IF(TA_ti!Q45*TA_ti!Q$48*TA_ti!$BE45=0,10000,TA_ti!Q45*TA_ti!Q$48*TA_ti!$BE45)</f>
        <v>10000</v>
      </c>
      <c r="R45" s="4">
        <f>+IF(TA_ti!R45*TA_ti!R$48*TA_ti!$BE45=0,10000,TA_ti!R45*TA_ti!R$48*TA_ti!$BE45)</f>
        <v>10000</v>
      </c>
      <c r="S45" s="4">
        <f>+IF(TA_ti!S45*TA_ti!S$48*TA_ti!$BE45=0,10000,TA_ti!S45*TA_ti!S$48*TA_ti!$BE45)</f>
        <v>10000</v>
      </c>
      <c r="T45" s="4">
        <f>+IF(TA_ti!T45*TA_ti!T$48*TA_ti!$BE45=0,10000,TA_ti!T45*TA_ti!T$48*TA_ti!$BE45)</f>
        <v>10000</v>
      </c>
      <c r="U45" s="4">
        <f>+IF(TA_ti!U45*TA_ti!U$48*TA_ti!$BE45=0,10000,TA_ti!U45*TA_ti!U$48*TA_ti!$BE45)</f>
        <v>10000</v>
      </c>
      <c r="V45" s="4">
        <f>+IF(TA_ti!V45*TA_ti!V$48*TA_ti!$BE45=0,10000,TA_ti!V45*TA_ti!V$48*TA_ti!$BE45)</f>
        <v>10000</v>
      </c>
      <c r="W45" s="4">
        <f>+IF(TA_ti!W45*TA_ti!W$48*TA_ti!$BE45=0,10000,TA_ti!W45*TA_ti!W$48*TA_ti!$BE45)</f>
        <v>10000</v>
      </c>
      <c r="X45" s="4">
        <f>+IF(TA_ti!X45*TA_ti!X$48*TA_ti!$BE45=0,10000,TA_ti!X45*TA_ti!X$48*TA_ti!$BE45)</f>
        <v>10000</v>
      </c>
      <c r="Y45" s="4">
        <f>+IF(TA_ti!Y45*TA_ti!Y$48*TA_ti!$BE45=0,10000,TA_ti!Y45*TA_ti!Y$48*TA_ti!$BE45)</f>
        <v>10000</v>
      </c>
      <c r="Z45" s="4">
        <f>+IF(TA_ti!Z45*TA_ti!Z$48*TA_ti!$BE45=0,10000,TA_ti!Z45*TA_ti!Z$48*TA_ti!$BE45)</f>
        <v>10000</v>
      </c>
      <c r="AA45" s="4">
        <f>+IF(TA_ti!AA45*TA_ti!AA$48*TA_ti!$BE45=0,10000,TA_ti!AA45*TA_ti!AA$48*TA_ti!$BE45)</f>
        <v>10000</v>
      </c>
      <c r="AB45" s="4">
        <f>+IF(TA_ti!AB45*TA_ti!AB$48*TA_ti!$BE45=0,10000,TA_ti!AB45*TA_ti!AB$48*TA_ti!$BE45)</f>
        <v>10000</v>
      </c>
      <c r="AC45" s="4">
        <f>+IF(TA_ti!AC45*TA_ti!AC$48*TA_ti!$BE45=0,10000,TA_ti!AC45*TA_ti!AC$48*TA_ti!$BE45)</f>
        <v>10000</v>
      </c>
      <c r="AD45" s="4">
        <f>+IF(TA_ti!AD45*TA_ti!AD$48*TA_ti!$BE45=0,10000,TA_ti!AD45*TA_ti!AD$48*TA_ti!$BE45)</f>
        <v>10000</v>
      </c>
      <c r="AE45" s="4">
        <f>+IF(TA_ti!AE45*TA_ti!AE$48*TA_ti!$BE45=0,10000,TA_ti!AE45*TA_ti!AE$48*TA_ti!$BE45)</f>
        <v>10000</v>
      </c>
      <c r="AF45" s="4">
        <f>+IF(TA_ti!AF45*TA_ti!AF$48*TA_ti!$BE45=0,10000,TA_ti!AF45*TA_ti!AF$48*TA_ti!$BE45)</f>
        <v>10000</v>
      </c>
      <c r="AG45" s="4">
        <f>+IF(TA_ti!AG45*TA_ti!AG$48*TA_ti!$BE45=0,10000,TA_ti!AG45*TA_ti!AG$48*TA_ti!$BE45)</f>
        <v>10000</v>
      </c>
      <c r="AH45" s="4">
        <f>+IF(TA_ti!AH45*TA_ti!AH$48*TA_ti!$BE45=0,10000,TA_ti!AH45*TA_ti!AH$48*TA_ti!$BE45)</f>
        <v>10000</v>
      </c>
      <c r="AI45" s="4">
        <f>+IF(TA_ti!AI45*TA_ti!AI$48*TA_ti!$BE45=0,10000,TA_ti!AI45*TA_ti!AI$48*TA_ti!$BE45)</f>
        <v>10000</v>
      </c>
      <c r="AJ45" s="4">
        <f>+IF(TA_ti!AJ45*TA_ti!AJ$48*TA_ti!$BE45=0,10000,TA_ti!AJ45*TA_ti!AJ$48*TA_ti!$BE45)</f>
        <v>10000</v>
      </c>
      <c r="AK45" s="4">
        <f>+IF(TA_ti!AK45*TA_ti!AK$48*TA_ti!$BE45=0,10000,TA_ti!AK45*TA_ti!AK$48*TA_ti!$BE45)</f>
        <v>10000</v>
      </c>
      <c r="AL45" s="4">
        <f>+IF(TA_ti!AL45*TA_ti!AL$48*TA_ti!$BE45=0,10000,TA_ti!AL45*TA_ti!AL$48*TA_ti!$BE45)</f>
        <v>10000</v>
      </c>
      <c r="AM45" s="4">
        <f>+IF(TA_ti!AM45*TA_ti!AM$48*TA_ti!$BE45=0,10000,TA_ti!AM45*TA_ti!AM$48*TA_ti!$BE45)</f>
        <v>10000</v>
      </c>
      <c r="AN45" s="4">
        <f>+IF(TA_ti!AN45*TA_ti!AN$48*TA_ti!$BE45=0,10000,TA_ti!AN45*TA_ti!AN$48*TA_ti!$BE45)</f>
        <v>10000</v>
      </c>
      <c r="AO45" s="4">
        <f>+IF(TA_ti!AO45*TA_ti!AO$48*TA_ti!$BE45=0,10000,TA_ti!AO45*TA_ti!AO$48*TA_ti!$BE45)</f>
        <v>10000</v>
      </c>
      <c r="AP45" s="4">
        <f>+IF(TA_ti!AP45*TA_ti!AP$48*TA_ti!$BE45=0,10000,TA_ti!AP45*TA_ti!AP$48*TA_ti!$BE45)</f>
        <v>10000</v>
      </c>
      <c r="AQ45" s="4">
        <f>+IF(TA_ti!AQ45*TA_ti!AQ$48*TA_ti!$BE45=0,10000,TA_ti!AQ45*TA_ti!AQ$48*TA_ti!$BE45)</f>
        <v>10000</v>
      </c>
      <c r="AR45" s="4">
        <f>+IF(TA_ti!AR45*TA_ti!AR$48*TA_ti!$BE45=0,10000,TA_ti!AR45*TA_ti!AR$48*TA_ti!$BE45)</f>
        <v>10000</v>
      </c>
      <c r="AS45" s="4">
        <f>+IF(TA_ti!AS45*TA_ti!AS$48*TA_ti!$BE45=0,10000,TA_ti!AS45*TA_ti!AS$48*TA_ti!$BE45)</f>
        <v>10000</v>
      </c>
      <c r="AT45" s="4">
        <f>+IF(TA_ti!AT45*TA_ti!AT$48*TA_ti!$BE45=0,10000,TA_ti!AT45*TA_ti!AT$48*TA_ti!$BE45)</f>
        <v>10000</v>
      </c>
      <c r="AU45" s="4">
        <f>+IF(TA_ti!AU45*TA_ti!AU$48*TA_ti!$BE45=0,10000,TA_ti!AU45*TA_ti!AU$48*TA_ti!$BE45)</f>
        <v>10000</v>
      </c>
      <c r="AV45" s="4">
        <f>+IF(TA_ti!AV45*TA_ti!AV$48*TA_ti!$BE45=0,10000,TA_ti!AV45*TA_ti!AV$48*TA_ti!$BE45)</f>
        <v>10000</v>
      </c>
      <c r="AW45" s="4">
        <f>+IF(TA_ti!AW45*TA_ti!AW$48*TA_ti!$BE45=0,10000,TA_ti!AW45*TA_ti!AW$48*TA_ti!$BE45)</f>
        <v>10000</v>
      </c>
      <c r="AX45" s="4">
        <f>+IF(TA_ti!AX45*TA_ti!AX$48*TA_ti!$BE45=0,10000,TA_ti!AX45*TA_ti!AX$48*TA_ti!$BE45)</f>
        <v>10000</v>
      </c>
      <c r="AY45" s="4">
        <f>+IF(TA_ti!AY45*TA_ti!AY$48*TA_ti!$BE45=0,10000,TA_ti!AY45*TA_ti!AY$48*TA_ti!$BE45)</f>
        <v>10000</v>
      </c>
      <c r="AZ45" s="4">
        <f>+IF(TA_ti!AZ45*TA_ti!AZ$48*TA_ti!$BE45=0,10000,TA_ti!AZ45*TA_ti!AZ$48*TA_ti!$BE45)</f>
        <v>10000</v>
      </c>
      <c r="BA45" s="4">
        <f>+IF(TA_ti!BA45*TA_ti!BA$48*TA_ti!$BE45=0,10000,TA_ti!BA45*TA_ti!BA$48*TA_ti!$BE45)</f>
        <v>10000</v>
      </c>
      <c r="BB45" s="4">
        <f>+IF(TA_ti!BB45*TA_ti!BB$48*TA_ti!$BE45=0,10000,TA_ti!BB45*TA_ti!BB$48*TA_ti!$BE45)</f>
        <v>10000</v>
      </c>
      <c r="BC45" s="4">
        <f>+IF(TA_ti!BC45*TA_ti!BC$48*TA_ti!$BE45=0,10000,TA_ti!BC45*TA_ti!BC$48*TA_ti!$BE45)</f>
        <v>10000</v>
      </c>
    </row>
    <row r="46" spans="1:55" ht="18.75" customHeight="1" x14ac:dyDescent="0.25">
      <c r="A46" s="6" t="s">
        <v>97</v>
      </c>
      <c r="B46" s="4">
        <f>+IF(TA_ti!B46*TA_ti!B$48*TA_ti!$BE46=0,10000,TA_ti!B46*TA_ti!B$48*TA_ti!$BE46)</f>
        <v>10000</v>
      </c>
      <c r="C46" s="4">
        <f>+IF(TA_ti!C46*TA_ti!C$48*TA_ti!$BE46=0,10000,TA_ti!C46*TA_ti!C$48*TA_ti!$BE46)</f>
        <v>10000</v>
      </c>
      <c r="D46" s="4">
        <f>+IF(TA_ti!D46*TA_ti!D$48*TA_ti!$BE46=0,10000,TA_ti!D46*TA_ti!D$48*TA_ti!$BE46)</f>
        <v>10000</v>
      </c>
      <c r="E46" s="4">
        <f>+IF(TA_ti!E46*TA_ti!E$48*TA_ti!$BE46=0,10000,TA_ti!E46*TA_ti!E$48*TA_ti!$BE46)</f>
        <v>10000</v>
      </c>
      <c r="F46" s="4">
        <f>+IF(TA_ti!F46*TA_ti!F$48*TA_ti!$BE46=0,10000,TA_ti!F46*TA_ti!F$48*TA_ti!$BE46)</f>
        <v>10000</v>
      </c>
      <c r="G46" s="4">
        <f>+IF(TA_ti!G46*TA_ti!G$48*TA_ti!$BE46=0,10000,TA_ti!G46*TA_ti!G$48*TA_ti!$BE46)</f>
        <v>10000</v>
      </c>
      <c r="H46" s="4">
        <f>+IF(TA_ti!H46*TA_ti!H$48*TA_ti!$BE46=0,10000,TA_ti!H46*TA_ti!H$48*TA_ti!$BE46)</f>
        <v>10000</v>
      </c>
      <c r="I46" s="4">
        <f>+IF(TA_ti!I46*TA_ti!I$48*TA_ti!$BE46=0,10000,TA_ti!I46*TA_ti!I$48*TA_ti!$BE46)</f>
        <v>10000</v>
      </c>
      <c r="J46" s="4">
        <f>+IF(TA_ti!J46*TA_ti!J$48*TA_ti!$BE46=0,10000,TA_ti!J46*TA_ti!J$48*TA_ti!$BE46)</f>
        <v>10000</v>
      </c>
      <c r="K46" s="4">
        <f>+IF(TA_ti!K46*TA_ti!K$48*TA_ti!$BE46=0,10000,TA_ti!K46*TA_ti!K$48*TA_ti!$BE46)</f>
        <v>12</v>
      </c>
      <c r="L46" s="4">
        <f>+IF(TA_ti!L46*TA_ti!L$48*TA_ti!$BE46=0,10000,TA_ti!L46*TA_ti!L$48*TA_ti!$BE46)</f>
        <v>10000</v>
      </c>
      <c r="M46" s="4">
        <f>+IF(TA_ti!M46*TA_ti!M$48*TA_ti!$BE46=0,10000,TA_ti!M46*TA_ti!M$48*TA_ti!$BE46)</f>
        <v>10000</v>
      </c>
      <c r="N46" s="4">
        <f>+IF(TA_ti!N46*TA_ti!N$48*TA_ti!$BE46=0,10000,TA_ti!N46*TA_ti!N$48*TA_ti!$BE46)</f>
        <v>10000</v>
      </c>
      <c r="O46" s="4">
        <f>+IF(TA_ti!O46*TA_ti!O$48*TA_ti!$BE46=0,10000,TA_ti!O46*TA_ti!O$48*TA_ti!$BE46)</f>
        <v>10000</v>
      </c>
      <c r="P46" s="4">
        <f>+IF(TA_ti!P46*TA_ti!P$48*TA_ti!$BE46=0,10000,TA_ti!P46*TA_ti!P$48*TA_ti!$BE46)</f>
        <v>10000</v>
      </c>
      <c r="Q46" s="4">
        <f>+IF(TA_ti!Q46*TA_ti!Q$48*TA_ti!$BE46=0,10000,TA_ti!Q46*TA_ti!Q$48*TA_ti!$BE46)</f>
        <v>10000</v>
      </c>
      <c r="R46" s="4">
        <f>+IF(TA_ti!R46*TA_ti!R$48*TA_ti!$BE46=0,10000,TA_ti!R46*TA_ti!R$48*TA_ti!$BE46)</f>
        <v>10000</v>
      </c>
      <c r="S46" s="4">
        <f>+IF(TA_ti!S46*TA_ti!S$48*TA_ti!$BE46=0,10000,TA_ti!S46*TA_ti!S$48*TA_ti!$BE46)</f>
        <v>10000</v>
      </c>
      <c r="T46" s="4">
        <f>+IF(TA_ti!T46*TA_ti!T$48*TA_ti!$BE46=0,10000,TA_ti!T46*TA_ti!T$48*TA_ti!$BE46)</f>
        <v>10000</v>
      </c>
      <c r="U46" s="4">
        <f>+IF(TA_ti!U46*TA_ti!U$48*TA_ti!$BE46=0,10000,TA_ti!U46*TA_ti!U$48*TA_ti!$BE46)</f>
        <v>10000</v>
      </c>
      <c r="V46" s="4">
        <f>+IF(TA_ti!V46*TA_ti!V$48*TA_ti!$BE46=0,10000,TA_ti!V46*TA_ti!V$48*TA_ti!$BE46)</f>
        <v>10000</v>
      </c>
      <c r="W46" s="4">
        <f>+IF(TA_ti!W46*TA_ti!W$48*TA_ti!$BE46=0,10000,TA_ti!W46*TA_ti!W$48*TA_ti!$BE46)</f>
        <v>10000</v>
      </c>
      <c r="X46" s="4">
        <f>+IF(TA_ti!X46*TA_ti!X$48*TA_ti!$BE46=0,10000,TA_ti!X46*TA_ti!X$48*TA_ti!$BE46)</f>
        <v>10000</v>
      </c>
      <c r="Y46" s="4">
        <f>+IF(TA_ti!Y46*TA_ti!Y$48*TA_ti!$BE46=0,10000,TA_ti!Y46*TA_ti!Y$48*TA_ti!$BE46)</f>
        <v>10000</v>
      </c>
      <c r="Z46" s="4">
        <f>+IF(TA_ti!Z46*TA_ti!Z$48*TA_ti!$BE46=0,10000,TA_ti!Z46*TA_ti!Z$48*TA_ti!$BE46)</f>
        <v>10000</v>
      </c>
      <c r="AA46" s="4">
        <f>+IF(TA_ti!AA46*TA_ti!AA$48*TA_ti!$BE46=0,10000,TA_ti!AA46*TA_ti!AA$48*TA_ti!$BE46)</f>
        <v>10000</v>
      </c>
      <c r="AB46" s="4">
        <f>+IF(TA_ti!AB46*TA_ti!AB$48*TA_ti!$BE46=0,10000,TA_ti!AB46*TA_ti!AB$48*TA_ti!$BE46)</f>
        <v>10000</v>
      </c>
      <c r="AC46" s="4">
        <f>+IF(TA_ti!AC46*TA_ti!AC$48*TA_ti!$BE46=0,10000,TA_ti!AC46*TA_ti!AC$48*TA_ti!$BE46)</f>
        <v>10000</v>
      </c>
      <c r="AD46" s="4">
        <f>+IF(TA_ti!AD46*TA_ti!AD$48*TA_ti!$BE46=0,10000,TA_ti!AD46*TA_ti!AD$48*TA_ti!$BE46)</f>
        <v>10000</v>
      </c>
      <c r="AE46" s="4">
        <f>+IF(TA_ti!AE46*TA_ti!AE$48*TA_ti!$BE46=0,10000,TA_ti!AE46*TA_ti!AE$48*TA_ti!$BE46)</f>
        <v>10000</v>
      </c>
      <c r="AF46" s="4">
        <f>+IF(TA_ti!AF46*TA_ti!AF$48*TA_ti!$BE46=0,10000,TA_ti!AF46*TA_ti!AF$48*TA_ti!$BE46)</f>
        <v>10000</v>
      </c>
      <c r="AG46" s="4">
        <f>+IF(TA_ti!AG46*TA_ti!AG$48*TA_ti!$BE46=0,10000,TA_ti!AG46*TA_ti!AG$48*TA_ti!$BE46)</f>
        <v>10000</v>
      </c>
      <c r="AH46" s="4">
        <f>+IF(TA_ti!AH46*TA_ti!AH$48*TA_ti!$BE46=0,10000,TA_ti!AH46*TA_ti!AH$48*TA_ti!$BE46)</f>
        <v>10000</v>
      </c>
      <c r="AI46" s="4">
        <f>+IF(TA_ti!AI46*TA_ti!AI$48*TA_ti!$BE46=0,10000,TA_ti!AI46*TA_ti!AI$48*TA_ti!$BE46)</f>
        <v>10000</v>
      </c>
      <c r="AJ46" s="4">
        <f>+IF(TA_ti!AJ46*TA_ti!AJ$48*TA_ti!$BE46=0,10000,TA_ti!AJ46*TA_ti!AJ$48*TA_ti!$BE46)</f>
        <v>10000</v>
      </c>
      <c r="AK46" s="4">
        <f>+IF(TA_ti!AK46*TA_ti!AK$48*TA_ti!$BE46=0,10000,TA_ti!AK46*TA_ti!AK$48*TA_ti!$BE46)</f>
        <v>10000</v>
      </c>
      <c r="AL46" s="4">
        <f>+IF(TA_ti!AL46*TA_ti!AL$48*TA_ti!$BE46=0,10000,TA_ti!AL46*TA_ti!AL$48*TA_ti!$BE46)</f>
        <v>10000</v>
      </c>
      <c r="AM46" s="4">
        <f>+IF(TA_ti!AM46*TA_ti!AM$48*TA_ti!$BE46=0,10000,TA_ti!AM46*TA_ti!AM$48*TA_ti!$BE46)</f>
        <v>10000</v>
      </c>
      <c r="AN46" s="4">
        <f>+IF(TA_ti!AN46*TA_ti!AN$48*TA_ti!$BE46=0,10000,TA_ti!AN46*TA_ti!AN$48*TA_ti!$BE46)</f>
        <v>10000</v>
      </c>
      <c r="AO46" s="4">
        <f>+IF(TA_ti!AO46*TA_ti!AO$48*TA_ti!$BE46=0,10000,TA_ti!AO46*TA_ti!AO$48*TA_ti!$BE46)</f>
        <v>10000</v>
      </c>
      <c r="AP46" s="4">
        <f>+IF(TA_ti!AP46*TA_ti!AP$48*TA_ti!$BE46=0,10000,TA_ti!AP46*TA_ti!AP$48*TA_ti!$BE46)</f>
        <v>10000</v>
      </c>
      <c r="AQ46" s="4">
        <f>+IF(TA_ti!AQ46*TA_ti!AQ$48*TA_ti!$BE46=0,10000,TA_ti!AQ46*TA_ti!AQ$48*TA_ti!$BE46)</f>
        <v>10000</v>
      </c>
      <c r="AR46" s="4">
        <f>+IF(TA_ti!AR46*TA_ti!AR$48*TA_ti!$BE46=0,10000,TA_ti!AR46*TA_ti!AR$48*TA_ti!$BE46)</f>
        <v>10000</v>
      </c>
      <c r="AS46" s="4">
        <f>+IF(TA_ti!AS46*TA_ti!AS$48*TA_ti!$BE46=0,10000,TA_ti!AS46*TA_ti!AS$48*TA_ti!$BE46)</f>
        <v>10000</v>
      </c>
      <c r="AT46" s="4">
        <f>+IF(TA_ti!AT46*TA_ti!AT$48*TA_ti!$BE46=0,10000,TA_ti!AT46*TA_ti!AT$48*TA_ti!$BE46)</f>
        <v>10000</v>
      </c>
      <c r="AU46" s="4">
        <f>+IF(TA_ti!AU46*TA_ti!AU$48*TA_ti!$BE46=0,10000,TA_ti!AU46*TA_ti!AU$48*TA_ti!$BE46)</f>
        <v>10000</v>
      </c>
      <c r="AV46" s="4">
        <f>+IF(TA_ti!AV46*TA_ti!AV$48*TA_ti!$BE46=0,10000,TA_ti!AV46*TA_ti!AV$48*TA_ti!$BE46)</f>
        <v>10000</v>
      </c>
      <c r="AW46" s="4">
        <f>+IF(TA_ti!AW46*TA_ti!AW$48*TA_ti!$BE46=0,10000,TA_ti!AW46*TA_ti!AW$48*TA_ti!$BE46)</f>
        <v>10000</v>
      </c>
      <c r="AX46" s="4">
        <f>+IF(TA_ti!AX46*TA_ti!AX$48*TA_ti!$BE46=0,10000,TA_ti!AX46*TA_ti!AX$48*TA_ti!$BE46)</f>
        <v>10000</v>
      </c>
      <c r="AY46" s="4">
        <f>+IF(TA_ti!AY46*TA_ti!AY$48*TA_ti!$BE46=0,10000,TA_ti!AY46*TA_ti!AY$48*TA_ti!$BE46)</f>
        <v>10000</v>
      </c>
      <c r="AZ46" s="4">
        <f>+IF(TA_ti!AZ46*TA_ti!AZ$48*TA_ti!$BE46=0,10000,TA_ti!AZ46*TA_ti!AZ$48*TA_ti!$BE46)</f>
        <v>10000</v>
      </c>
      <c r="BA46" s="4">
        <f>+IF(TA_ti!BA46*TA_ti!BA$48*TA_ti!$BE46=0,10000,TA_ti!BA46*TA_ti!BA$48*TA_ti!$BE46)</f>
        <v>10000</v>
      </c>
      <c r="BB46" s="4">
        <f>+IF(TA_ti!BB46*TA_ti!BB$48*TA_ti!$BE46=0,10000,TA_ti!BB46*TA_ti!BB$48*TA_ti!$BE46)</f>
        <v>10000</v>
      </c>
      <c r="BC46" s="4">
        <f>+IF(TA_ti!BC46*TA_ti!BC$48*TA_ti!$BE46=0,10000,TA_ti!BC46*TA_ti!BC$48*TA_ti!$BE46)</f>
        <v>10000</v>
      </c>
    </row>
  </sheetData>
  <conditionalFormatting sqref="B2:BC46">
    <cfRule type="cellIs" dxfId="5" priority="1" operator="lessThan">
      <formula>5000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2" width="7.5703125" style="7" bestFit="1" customWidth="1"/>
    <col min="53" max="55" width="7" style="7" bestFit="1" customWidth="1"/>
  </cols>
  <sheetData>
    <row r="1" spans="1:55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18.75" customHeight="1" x14ac:dyDescent="0.25">
      <c r="A2" s="3" t="str">
        <f>"T"&amp;_xlfn.SEQUENCE(36,1,1,1)</f>
        <v>T1</v>
      </c>
      <c r="B2" s="4">
        <f>+IF(TA_ti!B2*TA_ti!B$49*TA_ti!$BF2=0,10000,TA_ti!B2*TA_ti!B$49*TA_ti!$BF2)</f>
        <v>10000</v>
      </c>
      <c r="C2" s="4">
        <f>+IF(TA_ti!C2*TA_ti!C$49*TA_ti!$BF2=0,10000,TA_ti!C2*TA_ti!C$49*TA_ti!$BF2)</f>
        <v>10000</v>
      </c>
      <c r="D2" s="4">
        <f>+IF(TA_ti!D2*TA_ti!D$49*TA_ti!$BF2=0,10000,TA_ti!D2*TA_ti!D$49*TA_ti!$BF2)</f>
        <v>10000</v>
      </c>
      <c r="E2" s="4">
        <f>+IF(TA_ti!E2*TA_ti!E$49*TA_ti!$BF2=0,10000,TA_ti!E2*TA_ti!E$49*TA_ti!$BF2)</f>
        <v>10000</v>
      </c>
      <c r="F2" s="4">
        <f>+IF(TA_ti!F2*TA_ti!F$49*TA_ti!$BF2=0,10000,TA_ti!F2*TA_ti!F$49*TA_ti!$BF2)</f>
        <v>10000</v>
      </c>
      <c r="G2" s="4">
        <f>+IF(TA_ti!G2*TA_ti!G$49*TA_ti!$BF2=0,10000,TA_ti!G2*TA_ti!G$49*TA_ti!$BF2)</f>
        <v>10000</v>
      </c>
      <c r="H2" s="4">
        <f>+IF(TA_ti!H2*TA_ti!H$49*TA_ti!$BF2=0,10000,TA_ti!H2*TA_ti!H$49*TA_ti!$BF2)</f>
        <v>10000</v>
      </c>
      <c r="I2" s="4">
        <f>+IF(TA_ti!I2*TA_ti!I$49*TA_ti!$BF2=0,10000,TA_ti!I2*TA_ti!I$49*TA_ti!$BF2)</f>
        <v>10000</v>
      </c>
      <c r="J2" s="4">
        <f>+IF(TA_ti!J2*TA_ti!J$49*TA_ti!$BF2=0,10000,TA_ti!J2*TA_ti!J$49*TA_ti!$BF2)</f>
        <v>10000</v>
      </c>
      <c r="K2" s="4">
        <f>+IF(TA_ti!K2*TA_ti!K$49*TA_ti!$BF2=0,10000,TA_ti!K2*TA_ti!K$49*TA_ti!$BF2)</f>
        <v>10000</v>
      </c>
      <c r="L2" s="4">
        <f>+IF(TA_ti!L2*TA_ti!L$49*TA_ti!$BF2=0,10000,TA_ti!L2*TA_ti!L$49*TA_ti!$BF2)</f>
        <v>10000</v>
      </c>
      <c r="M2" s="4">
        <f>+IF(TA_ti!M2*TA_ti!M$49*TA_ti!$BF2=0,10000,TA_ti!M2*TA_ti!M$49*TA_ti!$BF2)</f>
        <v>10000</v>
      </c>
      <c r="N2" s="4">
        <f>+IF(TA_ti!N2*TA_ti!N$49*TA_ti!$BF2=0,10000,TA_ti!N2*TA_ti!N$49*TA_ti!$BF2)</f>
        <v>10000</v>
      </c>
      <c r="O2" s="4">
        <f>+IF(TA_ti!O2*TA_ti!O$49*TA_ti!$BF2=0,10000,TA_ti!O2*TA_ti!O$49*TA_ti!$BF2)</f>
        <v>10000</v>
      </c>
      <c r="P2" s="4">
        <f>+IF(TA_ti!P2*TA_ti!P$49*TA_ti!$BF2=0,10000,TA_ti!P2*TA_ti!P$49*TA_ti!$BF2)</f>
        <v>10000</v>
      </c>
      <c r="Q2" s="4">
        <f>+IF(TA_ti!Q2*TA_ti!Q$49*TA_ti!$BF2=0,10000,TA_ti!Q2*TA_ti!Q$49*TA_ti!$BF2)</f>
        <v>10000</v>
      </c>
      <c r="R2" s="4">
        <f>+IF(TA_ti!R2*TA_ti!R$49*TA_ti!$BF2=0,10000,TA_ti!R2*TA_ti!R$49*TA_ti!$BF2)</f>
        <v>10000</v>
      </c>
      <c r="S2" s="4">
        <f>+IF(TA_ti!S2*TA_ti!S$49*TA_ti!$BF2=0,10000,TA_ti!S2*TA_ti!S$49*TA_ti!$BF2)</f>
        <v>10000</v>
      </c>
      <c r="T2" s="4">
        <f>+IF(TA_ti!T2*TA_ti!T$49*TA_ti!$BF2=0,10000,TA_ti!T2*TA_ti!T$49*TA_ti!$BF2)</f>
        <v>10000</v>
      </c>
      <c r="U2" s="4">
        <f>+IF(TA_ti!U2*TA_ti!U$49*TA_ti!$BF2=0,10000,TA_ti!U2*TA_ti!U$49*TA_ti!$BF2)</f>
        <v>10000</v>
      </c>
      <c r="V2" s="4">
        <f>+IF(TA_ti!V2*TA_ti!V$49*TA_ti!$BF2=0,10000,TA_ti!V2*TA_ti!V$49*TA_ti!$BF2)</f>
        <v>10000</v>
      </c>
      <c r="W2" s="4">
        <f>+IF(TA_ti!W2*TA_ti!W$49*TA_ti!$BF2=0,10000,TA_ti!W2*TA_ti!W$49*TA_ti!$BF2)</f>
        <v>10000</v>
      </c>
      <c r="X2" s="4">
        <f>+IF(TA_ti!X2*TA_ti!X$49*TA_ti!$BF2=0,10000,TA_ti!X2*TA_ti!X$49*TA_ti!$BF2)</f>
        <v>10000</v>
      </c>
      <c r="Y2" s="4">
        <f>+IF(TA_ti!Y2*TA_ti!Y$49*TA_ti!$BF2=0,10000,TA_ti!Y2*TA_ti!Y$49*TA_ti!$BF2)</f>
        <v>10000</v>
      </c>
      <c r="Z2" s="4">
        <f>+IF(TA_ti!Z2*TA_ti!Z$49*TA_ti!$BF2=0,10000,TA_ti!Z2*TA_ti!Z$49*TA_ti!$BF2)</f>
        <v>10000</v>
      </c>
      <c r="AA2" s="4">
        <f>+IF(TA_ti!AA2*TA_ti!AA$49*TA_ti!$BF2=0,10000,TA_ti!AA2*TA_ti!AA$49*TA_ti!$BF2)</f>
        <v>10000</v>
      </c>
      <c r="AB2" s="4">
        <f>+IF(TA_ti!AB2*TA_ti!AB$49*TA_ti!$BF2=0,10000,TA_ti!AB2*TA_ti!AB$49*TA_ti!$BF2)</f>
        <v>10000</v>
      </c>
      <c r="AC2" s="4">
        <f>+IF(TA_ti!AC2*TA_ti!AC$49*TA_ti!$BF2=0,10000,TA_ti!AC2*TA_ti!AC$49*TA_ti!$BF2)</f>
        <v>10000</v>
      </c>
      <c r="AD2" s="4">
        <f>+IF(TA_ti!AD2*TA_ti!AD$49*TA_ti!$BF2=0,10000,TA_ti!AD2*TA_ti!AD$49*TA_ti!$BF2)</f>
        <v>10000</v>
      </c>
      <c r="AE2" s="4">
        <f>+IF(TA_ti!AE2*TA_ti!AE$49*TA_ti!$BF2=0,10000,TA_ti!AE2*TA_ti!AE$49*TA_ti!$BF2)</f>
        <v>10000</v>
      </c>
      <c r="AF2" s="4">
        <f>+IF(TA_ti!AF2*TA_ti!AF$49*TA_ti!$BF2=0,10000,TA_ti!AF2*TA_ti!AF$49*TA_ti!$BF2)</f>
        <v>10000</v>
      </c>
      <c r="AG2" s="4">
        <f>+IF(TA_ti!AG2*TA_ti!AG$49*TA_ti!$BF2=0,10000,TA_ti!AG2*TA_ti!AG$49*TA_ti!$BF2)</f>
        <v>10000</v>
      </c>
      <c r="AH2" s="4">
        <f>+IF(TA_ti!AH2*TA_ti!AH$49*TA_ti!$BF2=0,10000,TA_ti!AH2*TA_ti!AH$49*TA_ti!$BF2)</f>
        <v>10000</v>
      </c>
      <c r="AI2" s="4">
        <f>+IF(TA_ti!AI2*TA_ti!AI$49*TA_ti!$BF2=0,10000,TA_ti!AI2*TA_ti!AI$49*TA_ti!$BF2)</f>
        <v>10000</v>
      </c>
      <c r="AJ2" s="4">
        <f>+IF(TA_ti!AJ2*TA_ti!AJ$49*TA_ti!$BF2=0,10000,TA_ti!AJ2*TA_ti!AJ$49*TA_ti!$BF2)</f>
        <v>10000</v>
      </c>
      <c r="AK2" s="4">
        <f>+IF(TA_ti!AK2*TA_ti!AK$49*TA_ti!$BF2=0,10000,TA_ti!AK2*TA_ti!AK$49*TA_ti!$BF2)</f>
        <v>10000</v>
      </c>
      <c r="AL2" s="4">
        <f>+IF(TA_ti!AL2*TA_ti!AL$49*TA_ti!$BF2=0,10000,TA_ti!AL2*TA_ti!AL$49*TA_ti!$BF2)</f>
        <v>10000</v>
      </c>
      <c r="AM2" s="4">
        <f>+IF(TA_ti!AM2*TA_ti!AM$49*TA_ti!$BF2=0,10000,TA_ti!AM2*TA_ti!AM$49*TA_ti!$BF2)</f>
        <v>10000</v>
      </c>
      <c r="AN2" s="4">
        <f>+IF(TA_ti!AN2*TA_ti!AN$49*TA_ti!$BF2=0,10000,TA_ti!AN2*TA_ti!AN$49*TA_ti!$BF2)</f>
        <v>10000</v>
      </c>
      <c r="AO2" s="4">
        <f>+IF(TA_ti!AO2*TA_ti!AO$49*TA_ti!$BF2=0,10000,TA_ti!AO2*TA_ti!AO$49*TA_ti!$BF2)</f>
        <v>10000</v>
      </c>
      <c r="AP2" s="4">
        <f>+IF(TA_ti!AP2*TA_ti!AP$49*TA_ti!$BF2=0,10000,TA_ti!AP2*TA_ti!AP$49*TA_ti!$BF2)</f>
        <v>10000</v>
      </c>
      <c r="AQ2" s="4">
        <f>+IF(TA_ti!AQ2*TA_ti!AQ$49*TA_ti!$BF2=0,10000,TA_ti!AQ2*TA_ti!AQ$49*TA_ti!$BF2)</f>
        <v>10000</v>
      </c>
      <c r="AR2" s="4">
        <f>+IF(TA_ti!AR2*TA_ti!AR$49*TA_ti!$BF2=0,10000,TA_ti!AR2*TA_ti!AR$49*TA_ti!$BF2)</f>
        <v>10000</v>
      </c>
      <c r="AS2" s="4">
        <f>+IF(TA_ti!AS2*TA_ti!AS$49*TA_ti!$BF2=0,10000,TA_ti!AS2*TA_ti!AS$49*TA_ti!$BF2)</f>
        <v>10000</v>
      </c>
      <c r="AT2" s="4">
        <f>+IF(TA_ti!AT2*TA_ti!AT$49*TA_ti!$BF2=0,10000,TA_ti!AT2*TA_ti!AT$49*TA_ti!$BF2)</f>
        <v>10000</v>
      </c>
      <c r="AU2" s="4">
        <f>+IF(TA_ti!AU2*TA_ti!AU$49*TA_ti!$BF2=0,10000,TA_ti!AU2*TA_ti!AU$49*TA_ti!$BF2)</f>
        <v>10000</v>
      </c>
      <c r="AV2" s="4">
        <f>+IF(TA_ti!AV2*TA_ti!AV$49*TA_ti!$BF2=0,10000,TA_ti!AV2*TA_ti!AV$49*TA_ti!$BF2)</f>
        <v>10000</v>
      </c>
      <c r="AW2" s="4">
        <f>+IF(TA_ti!AW2*TA_ti!AW$49*TA_ti!$BF2=0,10000,TA_ti!AW2*TA_ti!AW$49*TA_ti!$BF2)</f>
        <v>10000</v>
      </c>
      <c r="AX2" s="4">
        <f>+IF(TA_ti!AX2*TA_ti!AX$49*TA_ti!$BF2=0,10000,TA_ti!AX2*TA_ti!AX$49*TA_ti!$BF2)</f>
        <v>10000</v>
      </c>
      <c r="AY2" s="4">
        <f>+IF(TA_ti!AY2*TA_ti!AY$49*TA_ti!$BF2=0,10000,TA_ti!AY2*TA_ti!AY$49*TA_ti!$BF2)</f>
        <v>10000</v>
      </c>
      <c r="AZ2" s="4">
        <f>+IF(TA_ti!AZ2*TA_ti!AZ$49*TA_ti!$BF2=0,10000,TA_ti!AZ2*TA_ti!AZ$49*TA_ti!$BF2)</f>
        <v>10000</v>
      </c>
      <c r="BA2" s="4">
        <f>+IF(TA_ti!BA2*TA_ti!BA$49*TA_ti!$BF2=0,10000,TA_ti!BA2*TA_ti!BA$49*TA_ti!$BF2)</f>
        <v>10000</v>
      </c>
      <c r="BB2" s="4">
        <f>+IF(TA_ti!BB2*TA_ti!BB$49*TA_ti!$BF2=0,10000,TA_ti!BB2*TA_ti!BB$49*TA_ti!$BF2)</f>
        <v>10000</v>
      </c>
      <c r="BC2" s="4">
        <f>+IF(TA_ti!BC2*TA_ti!BC$49*TA_ti!$BF2=0,10000,TA_ti!BC2*TA_ti!BC$49*TA_ti!$BF2)</f>
        <v>10000</v>
      </c>
    </row>
    <row r="3" spans="1:55" ht="18.75" customHeight="1" x14ac:dyDescent="0.25">
      <c r="A3" s="5" t="s">
        <v>54</v>
      </c>
      <c r="B3" s="4">
        <f>+IF(TA_ti!B3*TA_ti!B$49*TA_ti!$BF3=0,10000,TA_ti!B3*TA_ti!B$49*TA_ti!$BF3)</f>
        <v>10000</v>
      </c>
      <c r="C3" s="4">
        <f>+IF(TA_ti!C3*TA_ti!C$49*TA_ti!$BF3=0,10000,TA_ti!C3*TA_ti!C$49*TA_ti!$BF3)</f>
        <v>10000</v>
      </c>
      <c r="D3" s="4">
        <f>+IF(TA_ti!D3*TA_ti!D$49*TA_ti!$BF3=0,10000,TA_ti!D3*TA_ti!D$49*TA_ti!$BF3)</f>
        <v>10000</v>
      </c>
      <c r="E3" s="4">
        <f>+IF(TA_ti!E3*TA_ti!E$49*TA_ti!$BF3=0,10000,TA_ti!E3*TA_ti!E$49*TA_ti!$BF3)</f>
        <v>10000</v>
      </c>
      <c r="F3" s="4">
        <f>+IF(TA_ti!F3*TA_ti!F$49*TA_ti!$BF3=0,10000,TA_ti!F3*TA_ti!F$49*TA_ti!$BF3)</f>
        <v>10000</v>
      </c>
      <c r="G3" s="4">
        <f>+IF(TA_ti!G3*TA_ti!G$49*TA_ti!$BF3=0,10000,TA_ti!G3*TA_ti!G$49*TA_ti!$BF3)</f>
        <v>12</v>
      </c>
      <c r="H3" s="4">
        <f>+IF(TA_ti!H3*TA_ti!H$49*TA_ti!$BF3=0,10000,TA_ti!H3*TA_ti!H$49*TA_ti!$BF3)</f>
        <v>10000</v>
      </c>
      <c r="I3" s="4">
        <f>+IF(TA_ti!I3*TA_ti!I$49*TA_ti!$BF3=0,10000,TA_ti!I3*TA_ti!I$49*TA_ti!$BF3)</f>
        <v>10000</v>
      </c>
      <c r="J3" s="4">
        <f>+IF(TA_ti!J3*TA_ti!J$49*TA_ti!$BF3=0,10000,TA_ti!J3*TA_ti!J$49*TA_ti!$BF3)</f>
        <v>10000</v>
      </c>
      <c r="K3" s="4">
        <f>+IF(TA_ti!K3*TA_ti!K$49*TA_ti!$BF3=0,10000,TA_ti!K3*TA_ti!K$49*TA_ti!$BF3)</f>
        <v>10000</v>
      </c>
      <c r="L3" s="4">
        <f>+IF(TA_ti!L3*TA_ti!L$49*TA_ti!$BF3=0,10000,TA_ti!L3*TA_ti!L$49*TA_ti!$BF3)</f>
        <v>10000</v>
      </c>
      <c r="M3" s="4">
        <f>+IF(TA_ti!M3*TA_ti!M$49*TA_ti!$BF3=0,10000,TA_ti!M3*TA_ti!M$49*TA_ti!$BF3)</f>
        <v>10000</v>
      </c>
      <c r="N3" s="4">
        <f>+IF(TA_ti!N3*TA_ti!N$49*TA_ti!$BF3=0,10000,TA_ti!N3*TA_ti!N$49*TA_ti!$BF3)</f>
        <v>10000</v>
      </c>
      <c r="O3" s="4">
        <f>+IF(TA_ti!O3*TA_ti!O$49*TA_ti!$BF3=0,10000,TA_ti!O3*TA_ti!O$49*TA_ti!$BF3)</f>
        <v>10000</v>
      </c>
      <c r="P3" s="4">
        <f>+IF(TA_ti!P3*TA_ti!P$49*TA_ti!$BF3=0,10000,TA_ti!P3*TA_ti!P$49*TA_ti!$BF3)</f>
        <v>10000</v>
      </c>
      <c r="Q3" s="4">
        <f>+IF(TA_ti!Q3*TA_ti!Q$49*TA_ti!$BF3=0,10000,TA_ti!Q3*TA_ti!Q$49*TA_ti!$BF3)</f>
        <v>10000</v>
      </c>
      <c r="R3" s="4">
        <f>+IF(TA_ti!R3*TA_ti!R$49*TA_ti!$BF3=0,10000,TA_ti!R3*TA_ti!R$49*TA_ti!$BF3)</f>
        <v>10000</v>
      </c>
      <c r="S3" s="4">
        <f>+IF(TA_ti!S3*TA_ti!S$49*TA_ti!$BF3=0,10000,TA_ti!S3*TA_ti!S$49*TA_ti!$BF3)</f>
        <v>10000</v>
      </c>
      <c r="T3" s="4">
        <f>+IF(TA_ti!T3*TA_ti!T$49*TA_ti!$BF3=0,10000,TA_ti!T3*TA_ti!T$49*TA_ti!$BF3)</f>
        <v>10000</v>
      </c>
      <c r="U3" s="4">
        <f>+IF(TA_ti!U3*TA_ti!U$49*TA_ti!$BF3=0,10000,TA_ti!U3*TA_ti!U$49*TA_ti!$BF3)</f>
        <v>10000</v>
      </c>
      <c r="V3" s="4">
        <f>+IF(TA_ti!V3*TA_ti!V$49*TA_ti!$BF3=0,10000,TA_ti!V3*TA_ti!V$49*TA_ti!$BF3)</f>
        <v>10000</v>
      </c>
      <c r="W3" s="4">
        <f>+IF(TA_ti!W3*TA_ti!W$49*TA_ti!$BF3=0,10000,TA_ti!W3*TA_ti!W$49*TA_ti!$BF3)</f>
        <v>10000</v>
      </c>
      <c r="X3" s="4">
        <f>+IF(TA_ti!X3*TA_ti!X$49*TA_ti!$BF3=0,10000,TA_ti!X3*TA_ti!X$49*TA_ti!$BF3)</f>
        <v>10000</v>
      </c>
      <c r="Y3" s="4">
        <f>+IF(TA_ti!Y3*TA_ti!Y$49*TA_ti!$BF3=0,10000,TA_ti!Y3*TA_ti!Y$49*TA_ti!$BF3)</f>
        <v>10000</v>
      </c>
      <c r="Z3" s="4">
        <f>+IF(TA_ti!Z3*TA_ti!Z$49*TA_ti!$BF3=0,10000,TA_ti!Z3*TA_ti!Z$49*TA_ti!$BF3)</f>
        <v>10000</v>
      </c>
      <c r="AA3" s="4">
        <f>+IF(TA_ti!AA3*TA_ti!AA$49*TA_ti!$BF3=0,10000,TA_ti!AA3*TA_ti!AA$49*TA_ti!$BF3)</f>
        <v>10000</v>
      </c>
      <c r="AB3" s="4">
        <f>+IF(TA_ti!AB3*TA_ti!AB$49*TA_ti!$BF3=0,10000,TA_ti!AB3*TA_ti!AB$49*TA_ti!$BF3)</f>
        <v>10000</v>
      </c>
      <c r="AC3" s="4">
        <f>+IF(TA_ti!AC3*TA_ti!AC$49*TA_ti!$BF3=0,10000,TA_ti!AC3*TA_ti!AC$49*TA_ti!$BF3)</f>
        <v>10000</v>
      </c>
      <c r="AD3" s="4">
        <f>+IF(TA_ti!AD3*TA_ti!AD$49*TA_ti!$BF3=0,10000,TA_ti!AD3*TA_ti!AD$49*TA_ti!$BF3)</f>
        <v>10000</v>
      </c>
      <c r="AE3" s="4">
        <f>+IF(TA_ti!AE3*TA_ti!AE$49*TA_ti!$BF3=0,10000,TA_ti!AE3*TA_ti!AE$49*TA_ti!$BF3)</f>
        <v>10000</v>
      </c>
      <c r="AF3" s="4">
        <f>+IF(TA_ti!AF3*TA_ti!AF$49*TA_ti!$BF3=0,10000,TA_ti!AF3*TA_ti!AF$49*TA_ti!$BF3)</f>
        <v>10000</v>
      </c>
      <c r="AG3" s="4">
        <f>+IF(TA_ti!AG3*TA_ti!AG$49*TA_ti!$BF3=0,10000,TA_ti!AG3*TA_ti!AG$49*TA_ti!$BF3)</f>
        <v>10000</v>
      </c>
      <c r="AH3" s="4">
        <f>+IF(TA_ti!AH3*TA_ti!AH$49*TA_ti!$BF3=0,10000,TA_ti!AH3*TA_ti!AH$49*TA_ti!$BF3)</f>
        <v>10000</v>
      </c>
      <c r="AI3" s="4">
        <f>+IF(TA_ti!AI3*TA_ti!AI$49*TA_ti!$BF3=0,10000,TA_ti!AI3*TA_ti!AI$49*TA_ti!$BF3)</f>
        <v>10000</v>
      </c>
      <c r="AJ3" s="4">
        <f>+IF(TA_ti!AJ3*TA_ti!AJ$49*TA_ti!$BF3=0,10000,TA_ti!AJ3*TA_ti!AJ$49*TA_ti!$BF3)</f>
        <v>10000</v>
      </c>
      <c r="AK3" s="4">
        <f>+IF(TA_ti!AK3*TA_ti!AK$49*TA_ti!$BF3=0,10000,TA_ti!AK3*TA_ti!AK$49*TA_ti!$BF3)</f>
        <v>10000</v>
      </c>
      <c r="AL3" s="4">
        <f>+IF(TA_ti!AL3*TA_ti!AL$49*TA_ti!$BF3=0,10000,TA_ti!AL3*TA_ti!AL$49*TA_ti!$BF3)</f>
        <v>10000</v>
      </c>
      <c r="AM3" s="4">
        <f>+IF(TA_ti!AM3*TA_ti!AM$49*TA_ti!$BF3=0,10000,TA_ti!AM3*TA_ti!AM$49*TA_ti!$BF3)</f>
        <v>10000</v>
      </c>
      <c r="AN3" s="4">
        <f>+IF(TA_ti!AN3*TA_ti!AN$49*TA_ti!$BF3=0,10000,TA_ti!AN3*TA_ti!AN$49*TA_ti!$BF3)</f>
        <v>10000</v>
      </c>
      <c r="AO3" s="4">
        <f>+IF(TA_ti!AO3*TA_ti!AO$49*TA_ti!$BF3=0,10000,TA_ti!AO3*TA_ti!AO$49*TA_ti!$BF3)</f>
        <v>10000</v>
      </c>
      <c r="AP3" s="4">
        <f>+IF(TA_ti!AP3*TA_ti!AP$49*TA_ti!$BF3=0,10000,TA_ti!AP3*TA_ti!AP$49*TA_ti!$BF3)</f>
        <v>10000</v>
      </c>
      <c r="AQ3" s="4">
        <f>+IF(TA_ti!AQ3*TA_ti!AQ$49*TA_ti!$BF3=0,10000,TA_ti!AQ3*TA_ti!AQ$49*TA_ti!$BF3)</f>
        <v>10000</v>
      </c>
      <c r="AR3" s="4">
        <f>+IF(TA_ti!AR3*TA_ti!AR$49*TA_ti!$BF3=0,10000,TA_ti!AR3*TA_ti!AR$49*TA_ti!$BF3)</f>
        <v>10000</v>
      </c>
      <c r="AS3" s="4">
        <f>+IF(TA_ti!AS3*TA_ti!AS$49*TA_ti!$BF3=0,10000,TA_ti!AS3*TA_ti!AS$49*TA_ti!$BF3)</f>
        <v>10000</v>
      </c>
      <c r="AT3" s="4">
        <f>+IF(TA_ti!AT3*TA_ti!AT$49*TA_ti!$BF3=0,10000,TA_ti!AT3*TA_ti!AT$49*TA_ti!$BF3)</f>
        <v>10000</v>
      </c>
      <c r="AU3" s="4">
        <f>+IF(TA_ti!AU3*TA_ti!AU$49*TA_ti!$BF3=0,10000,TA_ti!AU3*TA_ti!AU$49*TA_ti!$BF3)</f>
        <v>10000</v>
      </c>
      <c r="AV3" s="4">
        <f>+IF(TA_ti!AV3*TA_ti!AV$49*TA_ti!$BF3=0,10000,TA_ti!AV3*TA_ti!AV$49*TA_ti!$BF3)</f>
        <v>10000</v>
      </c>
      <c r="AW3" s="4">
        <f>+IF(TA_ti!AW3*TA_ti!AW$49*TA_ti!$BF3=0,10000,TA_ti!AW3*TA_ti!AW$49*TA_ti!$BF3)</f>
        <v>10000</v>
      </c>
      <c r="AX3" s="4">
        <f>+IF(TA_ti!AX3*TA_ti!AX$49*TA_ti!$BF3=0,10000,TA_ti!AX3*TA_ti!AX$49*TA_ti!$BF3)</f>
        <v>10000</v>
      </c>
      <c r="AY3" s="4">
        <f>+IF(TA_ti!AY3*TA_ti!AY$49*TA_ti!$BF3=0,10000,TA_ti!AY3*TA_ti!AY$49*TA_ti!$BF3)</f>
        <v>10000</v>
      </c>
      <c r="AZ3" s="4">
        <f>+IF(TA_ti!AZ3*TA_ti!AZ$49*TA_ti!$BF3=0,10000,TA_ti!AZ3*TA_ti!AZ$49*TA_ti!$BF3)</f>
        <v>10000</v>
      </c>
      <c r="BA3" s="4">
        <f>+IF(TA_ti!BA3*TA_ti!BA$49*TA_ti!$BF3=0,10000,TA_ti!BA3*TA_ti!BA$49*TA_ti!$BF3)</f>
        <v>10000</v>
      </c>
      <c r="BB3" s="4">
        <f>+IF(TA_ti!BB3*TA_ti!BB$49*TA_ti!$BF3=0,10000,TA_ti!BB3*TA_ti!BB$49*TA_ti!$BF3)</f>
        <v>10000</v>
      </c>
      <c r="BC3" s="4">
        <f>+IF(TA_ti!BC3*TA_ti!BC$49*TA_ti!$BF3=0,10000,TA_ti!BC3*TA_ti!BC$49*TA_ti!$BF3)</f>
        <v>10000</v>
      </c>
    </row>
    <row r="4" spans="1:55" ht="18.75" customHeight="1" x14ac:dyDescent="0.25">
      <c r="A4" s="5" t="s">
        <v>55</v>
      </c>
      <c r="B4" s="4">
        <f>+IF(TA_ti!B4*TA_ti!B$49*TA_ti!$BF4=0,10000,TA_ti!B4*TA_ti!B$49*TA_ti!$BF4)</f>
        <v>10000</v>
      </c>
      <c r="C4" s="4">
        <f>+IF(TA_ti!C4*TA_ti!C$49*TA_ti!$BF4=0,10000,TA_ti!C4*TA_ti!C$49*TA_ti!$BF4)</f>
        <v>10000</v>
      </c>
      <c r="D4" s="4">
        <f>+IF(TA_ti!D4*TA_ti!D$49*TA_ti!$BF4=0,10000,TA_ti!D4*TA_ti!D$49*TA_ti!$BF4)</f>
        <v>10000</v>
      </c>
      <c r="E4" s="4">
        <f>+IF(TA_ti!E4*TA_ti!E$49*TA_ti!$BF4=0,10000,TA_ti!E4*TA_ti!E$49*TA_ti!$BF4)</f>
        <v>10000</v>
      </c>
      <c r="F4" s="4">
        <f>+IF(TA_ti!F4*TA_ti!F$49*TA_ti!$BF4=0,10000,TA_ti!F4*TA_ti!F$49*TA_ti!$BF4)</f>
        <v>10000</v>
      </c>
      <c r="G4" s="4">
        <f>+IF(TA_ti!G4*TA_ti!G$49*TA_ti!$BF4=0,10000,TA_ti!G4*TA_ti!G$49*TA_ti!$BF4)</f>
        <v>12</v>
      </c>
      <c r="H4" s="4">
        <f>+IF(TA_ti!H4*TA_ti!H$49*TA_ti!$BF4=0,10000,TA_ti!H4*TA_ti!H$49*TA_ti!$BF4)</f>
        <v>10000</v>
      </c>
      <c r="I4" s="4">
        <f>+IF(TA_ti!I4*TA_ti!I$49*TA_ti!$BF4=0,10000,TA_ti!I4*TA_ti!I$49*TA_ti!$BF4)</f>
        <v>10000</v>
      </c>
      <c r="J4" s="4">
        <f>+IF(TA_ti!J4*TA_ti!J$49*TA_ti!$BF4=0,10000,TA_ti!J4*TA_ti!J$49*TA_ti!$BF4)</f>
        <v>10000</v>
      </c>
      <c r="K4" s="4">
        <f>+IF(TA_ti!K4*TA_ti!K$49*TA_ti!$BF4=0,10000,TA_ti!K4*TA_ti!K$49*TA_ti!$BF4)</f>
        <v>10000</v>
      </c>
      <c r="L4" s="4">
        <f>+IF(TA_ti!L4*TA_ti!L$49*TA_ti!$BF4=0,10000,TA_ti!L4*TA_ti!L$49*TA_ti!$BF4)</f>
        <v>10000</v>
      </c>
      <c r="M4" s="4">
        <f>+IF(TA_ti!M4*TA_ti!M$49*TA_ti!$BF4=0,10000,TA_ti!M4*TA_ti!M$49*TA_ti!$BF4)</f>
        <v>10000</v>
      </c>
      <c r="N4" s="4">
        <f>+IF(TA_ti!N4*TA_ti!N$49*TA_ti!$BF4=0,10000,TA_ti!N4*TA_ti!N$49*TA_ti!$BF4)</f>
        <v>10000</v>
      </c>
      <c r="O4" s="4">
        <f>+IF(TA_ti!O4*TA_ti!O$49*TA_ti!$BF4=0,10000,TA_ti!O4*TA_ti!O$49*TA_ti!$BF4)</f>
        <v>10000</v>
      </c>
      <c r="P4" s="4">
        <f>+IF(TA_ti!P4*TA_ti!P$49*TA_ti!$BF4=0,10000,TA_ti!P4*TA_ti!P$49*TA_ti!$BF4)</f>
        <v>10000</v>
      </c>
      <c r="Q4" s="4">
        <f>+IF(TA_ti!Q4*TA_ti!Q$49*TA_ti!$BF4=0,10000,TA_ti!Q4*TA_ti!Q$49*TA_ti!$BF4)</f>
        <v>10000</v>
      </c>
      <c r="R4" s="4">
        <f>+IF(TA_ti!R4*TA_ti!R$49*TA_ti!$BF4=0,10000,TA_ti!R4*TA_ti!R$49*TA_ti!$BF4)</f>
        <v>10000</v>
      </c>
      <c r="S4" s="4">
        <f>+IF(TA_ti!S4*TA_ti!S$49*TA_ti!$BF4=0,10000,TA_ti!S4*TA_ti!S$49*TA_ti!$BF4)</f>
        <v>10000</v>
      </c>
      <c r="T4" s="4">
        <f>+IF(TA_ti!T4*TA_ti!T$49*TA_ti!$BF4=0,10000,TA_ti!T4*TA_ti!T$49*TA_ti!$BF4)</f>
        <v>10000</v>
      </c>
      <c r="U4" s="4">
        <f>+IF(TA_ti!U4*TA_ti!U$49*TA_ti!$BF4=0,10000,TA_ti!U4*TA_ti!U$49*TA_ti!$BF4)</f>
        <v>10000</v>
      </c>
      <c r="V4" s="4">
        <f>+IF(TA_ti!V4*TA_ti!V$49*TA_ti!$BF4=0,10000,TA_ti!V4*TA_ti!V$49*TA_ti!$BF4)</f>
        <v>10000</v>
      </c>
      <c r="W4" s="4">
        <f>+IF(TA_ti!W4*TA_ti!W$49*TA_ti!$BF4=0,10000,TA_ti!W4*TA_ti!W$49*TA_ti!$BF4)</f>
        <v>10000</v>
      </c>
      <c r="X4" s="4">
        <f>+IF(TA_ti!X4*TA_ti!X$49*TA_ti!$BF4=0,10000,TA_ti!X4*TA_ti!X$49*TA_ti!$BF4)</f>
        <v>10000</v>
      </c>
      <c r="Y4" s="4">
        <f>+IF(TA_ti!Y4*TA_ti!Y$49*TA_ti!$BF4=0,10000,TA_ti!Y4*TA_ti!Y$49*TA_ti!$BF4)</f>
        <v>10000</v>
      </c>
      <c r="Z4" s="4">
        <f>+IF(TA_ti!Z4*TA_ti!Z$49*TA_ti!$BF4=0,10000,TA_ti!Z4*TA_ti!Z$49*TA_ti!$BF4)</f>
        <v>10000</v>
      </c>
      <c r="AA4" s="4">
        <f>+IF(TA_ti!AA4*TA_ti!AA$49*TA_ti!$BF4=0,10000,TA_ti!AA4*TA_ti!AA$49*TA_ti!$BF4)</f>
        <v>10000</v>
      </c>
      <c r="AB4" s="4">
        <f>+IF(TA_ti!AB4*TA_ti!AB$49*TA_ti!$BF4=0,10000,TA_ti!AB4*TA_ti!AB$49*TA_ti!$BF4)</f>
        <v>10000</v>
      </c>
      <c r="AC4" s="4">
        <f>+IF(TA_ti!AC4*TA_ti!AC$49*TA_ti!$BF4=0,10000,TA_ti!AC4*TA_ti!AC$49*TA_ti!$BF4)</f>
        <v>10000</v>
      </c>
      <c r="AD4" s="4">
        <f>+IF(TA_ti!AD4*TA_ti!AD$49*TA_ti!$BF4=0,10000,TA_ti!AD4*TA_ti!AD$49*TA_ti!$BF4)</f>
        <v>10000</v>
      </c>
      <c r="AE4" s="4">
        <f>+IF(TA_ti!AE4*TA_ti!AE$49*TA_ti!$BF4=0,10000,TA_ti!AE4*TA_ti!AE$49*TA_ti!$BF4)</f>
        <v>10000</v>
      </c>
      <c r="AF4" s="4">
        <f>+IF(TA_ti!AF4*TA_ti!AF$49*TA_ti!$BF4=0,10000,TA_ti!AF4*TA_ti!AF$49*TA_ti!$BF4)</f>
        <v>10000</v>
      </c>
      <c r="AG4" s="4">
        <f>+IF(TA_ti!AG4*TA_ti!AG$49*TA_ti!$BF4=0,10000,TA_ti!AG4*TA_ti!AG$49*TA_ti!$BF4)</f>
        <v>10000</v>
      </c>
      <c r="AH4" s="4">
        <f>+IF(TA_ti!AH4*TA_ti!AH$49*TA_ti!$BF4=0,10000,TA_ti!AH4*TA_ti!AH$49*TA_ti!$BF4)</f>
        <v>10000</v>
      </c>
      <c r="AI4" s="4">
        <f>+IF(TA_ti!AI4*TA_ti!AI$49*TA_ti!$BF4=0,10000,TA_ti!AI4*TA_ti!AI$49*TA_ti!$BF4)</f>
        <v>10000</v>
      </c>
      <c r="AJ4" s="4">
        <f>+IF(TA_ti!AJ4*TA_ti!AJ$49*TA_ti!$BF4=0,10000,TA_ti!AJ4*TA_ti!AJ$49*TA_ti!$BF4)</f>
        <v>10000</v>
      </c>
      <c r="AK4" s="4">
        <f>+IF(TA_ti!AK4*TA_ti!AK$49*TA_ti!$BF4=0,10000,TA_ti!AK4*TA_ti!AK$49*TA_ti!$BF4)</f>
        <v>10000</v>
      </c>
      <c r="AL4" s="4">
        <f>+IF(TA_ti!AL4*TA_ti!AL$49*TA_ti!$BF4=0,10000,TA_ti!AL4*TA_ti!AL$49*TA_ti!$BF4)</f>
        <v>10000</v>
      </c>
      <c r="AM4" s="4">
        <f>+IF(TA_ti!AM4*TA_ti!AM$49*TA_ti!$BF4=0,10000,TA_ti!AM4*TA_ti!AM$49*TA_ti!$BF4)</f>
        <v>10000</v>
      </c>
      <c r="AN4" s="4">
        <f>+IF(TA_ti!AN4*TA_ti!AN$49*TA_ti!$BF4=0,10000,TA_ti!AN4*TA_ti!AN$49*TA_ti!$BF4)</f>
        <v>10000</v>
      </c>
      <c r="AO4" s="4">
        <f>+IF(TA_ti!AO4*TA_ti!AO$49*TA_ti!$BF4=0,10000,TA_ti!AO4*TA_ti!AO$49*TA_ti!$BF4)</f>
        <v>10000</v>
      </c>
      <c r="AP4" s="4">
        <f>+IF(TA_ti!AP4*TA_ti!AP$49*TA_ti!$BF4=0,10000,TA_ti!AP4*TA_ti!AP$49*TA_ti!$BF4)</f>
        <v>10000</v>
      </c>
      <c r="AQ4" s="4">
        <f>+IF(TA_ti!AQ4*TA_ti!AQ$49*TA_ti!$BF4=0,10000,TA_ti!AQ4*TA_ti!AQ$49*TA_ti!$BF4)</f>
        <v>10000</v>
      </c>
      <c r="AR4" s="4">
        <f>+IF(TA_ti!AR4*TA_ti!AR$49*TA_ti!$BF4=0,10000,TA_ti!AR4*TA_ti!AR$49*TA_ti!$BF4)</f>
        <v>10000</v>
      </c>
      <c r="AS4" s="4">
        <f>+IF(TA_ti!AS4*TA_ti!AS$49*TA_ti!$BF4=0,10000,TA_ti!AS4*TA_ti!AS$49*TA_ti!$BF4)</f>
        <v>10000</v>
      </c>
      <c r="AT4" s="4">
        <f>+IF(TA_ti!AT4*TA_ti!AT$49*TA_ti!$BF4=0,10000,TA_ti!AT4*TA_ti!AT$49*TA_ti!$BF4)</f>
        <v>10000</v>
      </c>
      <c r="AU4" s="4">
        <f>+IF(TA_ti!AU4*TA_ti!AU$49*TA_ti!$BF4=0,10000,TA_ti!AU4*TA_ti!AU$49*TA_ti!$BF4)</f>
        <v>10000</v>
      </c>
      <c r="AV4" s="4">
        <f>+IF(TA_ti!AV4*TA_ti!AV$49*TA_ti!$BF4=0,10000,TA_ti!AV4*TA_ti!AV$49*TA_ti!$BF4)</f>
        <v>10000</v>
      </c>
      <c r="AW4" s="4">
        <f>+IF(TA_ti!AW4*TA_ti!AW$49*TA_ti!$BF4=0,10000,TA_ti!AW4*TA_ti!AW$49*TA_ti!$BF4)</f>
        <v>10000</v>
      </c>
      <c r="AX4" s="4">
        <f>+IF(TA_ti!AX4*TA_ti!AX$49*TA_ti!$BF4=0,10000,TA_ti!AX4*TA_ti!AX$49*TA_ti!$BF4)</f>
        <v>10000</v>
      </c>
      <c r="AY4" s="4">
        <f>+IF(TA_ti!AY4*TA_ti!AY$49*TA_ti!$BF4=0,10000,TA_ti!AY4*TA_ti!AY$49*TA_ti!$BF4)</f>
        <v>10000</v>
      </c>
      <c r="AZ4" s="4">
        <f>+IF(TA_ti!AZ4*TA_ti!AZ$49*TA_ti!$BF4=0,10000,TA_ti!AZ4*TA_ti!AZ$49*TA_ti!$BF4)</f>
        <v>10000</v>
      </c>
      <c r="BA4" s="4">
        <f>+IF(TA_ti!BA4*TA_ti!BA$49*TA_ti!$BF4=0,10000,TA_ti!BA4*TA_ti!BA$49*TA_ti!$BF4)</f>
        <v>10000</v>
      </c>
      <c r="BB4" s="4">
        <f>+IF(TA_ti!BB4*TA_ti!BB$49*TA_ti!$BF4=0,10000,TA_ti!BB4*TA_ti!BB$49*TA_ti!$BF4)</f>
        <v>10000</v>
      </c>
      <c r="BC4" s="4">
        <f>+IF(TA_ti!BC4*TA_ti!BC$49*TA_ti!$BF4=0,10000,TA_ti!BC4*TA_ti!BC$49*TA_ti!$BF4)</f>
        <v>10000</v>
      </c>
    </row>
    <row r="5" spans="1:55" ht="18.75" customHeight="1" x14ac:dyDescent="0.25">
      <c r="A5" s="5" t="s">
        <v>56</v>
      </c>
      <c r="B5" s="4">
        <f>+IF(TA_ti!B5*TA_ti!B$49*TA_ti!$BF5=0,10000,TA_ti!B5*TA_ti!B$49*TA_ti!$BF5)</f>
        <v>10000</v>
      </c>
      <c r="C5" s="4">
        <f>+IF(TA_ti!C5*TA_ti!C$49*TA_ti!$BF5=0,10000,TA_ti!C5*TA_ti!C$49*TA_ti!$BF5)</f>
        <v>10000</v>
      </c>
      <c r="D5" s="4">
        <f>+IF(TA_ti!D5*TA_ti!D$49*TA_ti!$BF5=0,10000,TA_ti!D5*TA_ti!D$49*TA_ti!$BF5)</f>
        <v>10000</v>
      </c>
      <c r="E5" s="4">
        <f>+IF(TA_ti!E5*TA_ti!E$49*TA_ti!$BF5=0,10000,TA_ti!E5*TA_ti!E$49*TA_ti!$BF5)</f>
        <v>10000</v>
      </c>
      <c r="F5" s="4">
        <f>+IF(TA_ti!F5*TA_ti!F$49*TA_ti!$BF5=0,10000,TA_ti!F5*TA_ti!F$49*TA_ti!$BF5)</f>
        <v>10000</v>
      </c>
      <c r="G5" s="4">
        <f>+IF(TA_ti!G5*TA_ti!G$49*TA_ti!$BF5=0,10000,TA_ti!G5*TA_ti!G$49*TA_ti!$BF5)</f>
        <v>12</v>
      </c>
      <c r="H5" s="4">
        <f>+IF(TA_ti!H5*TA_ti!H$49*TA_ti!$BF5=0,10000,TA_ti!H5*TA_ti!H$49*TA_ti!$BF5)</f>
        <v>10000</v>
      </c>
      <c r="I5" s="4">
        <f>+IF(TA_ti!I5*TA_ti!I$49*TA_ti!$BF5=0,10000,TA_ti!I5*TA_ti!I$49*TA_ti!$BF5)</f>
        <v>10000</v>
      </c>
      <c r="J5" s="4">
        <f>+IF(TA_ti!J5*TA_ti!J$49*TA_ti!$BF5=0,10000,TA_ti!J5*TA_ti!J$49*TA_ti!$BF5)</f>
        <v>10000</v>
      </c>
      <c r="K5" s="4">
        <f>+IF(TA_ti!K5*TA_ti!K$49*TA_ti!$BF5=0,10000,TA_ti!K5*TA_ti!K$49*TA_ti!$BF5)</f>
        <v>10000</v>
      </c>
      <c r="L5" s="4">
        <f>+IF(TA_ti!L5*TA_ti!L$49*TA_ti!$BF5=0,10000,TA_ti!L5*TA_ti!L$49*TA_ti!$BF5)</f>
        <v>10000</v>
      </c>
      <c r="M5" s="4">
        <f>+IF(TA_ti!M5*TA_ti!M$49*TA_ti!$BF5=0,10000,TA_ti!M5*TA_ti!M$49*TA_ti!$BF5)</f>
        <v>10000</v>
      </c>
      <c r="N5" s="4">
        <f>+IF(TA_ti!N5*TA_ti!N$49*TA_ti!$BF5=0,10000,TA_ti!N5*TA_ti!N$49*TA_ti!$BF5)</f>
        <v>10000</v>
      </c>
      <c r="O5" s="4">
        <f>+IF(TA_ti!O5*TA_ti!O$49*TA_ti!$BF5=0,10000,TA_ti!O5*TA_ti!O$49*TA_ti!$BF5)</f>
        <v>10000</v>
      </c>
      <c r="P5" s="4">
        <f>+IF(TA_ti!P5*TA_ti!P$49*TA_ti!$BF5=0,10000,TA_ti!P5*TA_ti!P$49*TA_ti!$BF5)</f>
        <v>10000</v>
      </c>
      <c r="Q5" s="4">
        <f>+IF(TA_ti!Q5*TA_ti!Q$49*TA_ti!$BF5=0,10000,TA_ti!Q5*TA_ti!Q$49*TA_ti!$BF5)</f>
        <v>10000</v>
      </c>
      <c r="R5" s="4">
        <f>+IF(TA_ti!R5*TA_ti!R$49*TA_ti!$BF5=0,10000,TA_ti!R5*TA_ti!R$49*TA_ti!$BF5)</f>
        <v>10000</v>
      </c>
      <c r="S5" s="4">
        <f>+IF(TA_ti!S5*TA_ti!S$49*TA_ti!$BF5=0,10000,TA_ti!S5*TA_ti!S$49*TA_ti!$BF5)</f>
        <v>10000</v>
      </c>
      <c r="T5" s="4">
        <f>+IF(TA_ti!T5*TA_ti!T$49*TA_ti!$BF5=0,10000,TA_ti!T5*TA_ti!T$49*TA_ti!$BF5)</f>
        <v>10000</v>
      </c>
      <c r="U5" s="4">
        <f>+IF(TA_ti!U5*TA_ti!U$49*TA_ti!$BF5=0,10000,TA_ti!U5*TA_ti!U$49*TA_ti!$BF5)</f>
        <v>10000</v>
      </c>
      <c r="V5" s="4">
        <f>+IF(TA_ti!V5*TA_ti!V$49*TA_ti!$BF5=0,10000,TA_ti!V5*TA_ti!V$49*TA_ti!$BF5)</f>
        <v>10000</v>
      </c>
      <c r="W5" s="4">
        <f>+IF(TA_ti!W5*TA_ti!W$49*TA_ti!$BF5=0,10000,TA_ti!W5*TA_ti!W$49*TA_ti!$BF5)</f>
        <v>10000</v>
      </c>
      <c r="X5" s="4">
        <f>+IF(TA_ti!X5*TA_ti!X$49*TA_ti!$BF5=0,10000,TA_ti!X5*TA_ti!X$49*TA_ti!$BF5)</f>
        <v>10000</v>
      </c>
      <c r="Y5" s="4">
        <f>+IF(TA_ti!Y5*TA_ti!Y$49*TA_ti!$BF5=0,10000,TA_ti!Y5*TA_ti!Y$49*TA_ti!$BF5)</f>
        <v>10000</v>
      </c>
      <c r="Z5" s="4">
        <f>+IF(TA_ti!Z5*TA_ti!Z$49*TA_ti!$BF5=0,10000,TA_ti!Z5*TA_ti!Z$49*TA_ti!$BF5)</f>
        <v>10000</v>
      </c>
      <c r="AA5" s="4">
        <f>+IF(TA_ti!AA5*TA_ti!AA$49*TA_ti!$BF5=0,10000,TA_ti!AA5*TA_ti!AA$49*TA_ti!$BF5)</f>
        <v>10000</v>
      </c>
      <c r="AB5" s="4">
        <f>+IF(TA_ti!AB5*TA_ti!AB$49*TA_ti!$BF5=0,10000,TA_ti!AB5*TA_ti!AB$49*TA_ti!$BF5)</f>
        <v>10000</v>
      </c>
      <c r="AC5" s="4">
        <f>+IF(TA_ti!AC5*TA_ti!AC$49*TA_ti!$BF5=0,10000,TA_ti!AC5*TA_ti!AC$49*TA_ti!$BF5)</f>
        <v>10000</v>
      </c>
      <c r="AD5" s="4">
        <f>+IF(TA_ti!AD5*TA_ti!AD$49*TA_ti!$BF5=0,10000,TA_ti!AD5*TA_ti!AD$49*TA_ti!$BF5)</f>
        <v>10000</v>
      </c>
      <c r="AE5" s="4">
        <f>+IF(TA_ti!AE5*TA_ti!AE$49*TA_ti!$BF5=0,10000,TA_ti!AE5*TA_ti!AE$49*TA_ti!$BF5)</f>
        <v>10000</v>
      </c>
      <c r="AF5" s="4">
        <f>+IF(TA_ti!AF5*TA_ti!AF$49*TA_ti!$BF5=0,10000,TA_ti!AF5*TA_ti!AF$49*TA_ti!$BF5)</f>
        <v>10000</v>
      </c>
      <c r="AG5" s="4">
        <f>+IF(TA_ti!AG5*TA_ti!AG$49*TA_ti!$BF5=0,10000,TA_ti!AG5*TA_ti!AG$49*TA_ti!$BF5)</f>
        <v>10000</v>
      </c>
      <c r="AH5" s="4">
        <f>+IF(TA_ti!AH5*TA_ti!AH$49*TA_ti!$BF5=0,10000,TA_ti!AH5*TA_ti!AH$49*TA_ti!$BF5)</f>
        <v>10000</v>
      </c>
      <c r="AI5" s="4">
        <f>+IF(TA_ti!AI5*TA_ti!AI$49*TA_ti!$BF5=0,10000,TA_ti!AI5*TA_ti!AI$49*TA_ti!$BF5)</f>
        <v>10000</v>
      </c>
      <c r="AJ5" s="4">
        <f>+IF(TA_ti!AJ5*TA_ti!AJ$49*TA_ti!$BF5=0,10000,TA_ti!AJ5*TA_ti!AJ$49*TA_ti!$BF5)</f>
        <v>10000</v>
      </c>
      <c r="AK5" s="4">
        <f>+IF(TA_ti!AK5*TA_ti!AK$49*TA_ti!$BF5=0,10000,TA_ti!AK5*TA_ti!AK$49*TA_ti!$BF5)</f>
        <v>10000</v>
      </c>
      <c r="AL5" s="4">
        <f>+IF(TA_ti!AL5*TA_ti!AL$49*TA_ti!$BF5=0,10000,TA_ti!AL5*TA_ti!AL$49*TA_ti!$BF5)</f>
        <v>10000</v>
      </c>
      <c r="AM5" s="4">
        <f>+IF(TA_ti!AM5*TA_ti!AM$49*TA_ti!$BF5=0,10000,TA_ti!AM5*TA_ti!AM$49*TA_ti!$BF5)</f>
        <v>10000</v>
      </c>
      <c r="AN5" s="4">
        <f>+IF(TA_ti!AN5*TA_ti!AN$49*TA_ti!$BF5=0,10000,TA_ti!AN5*TA_ti!AN$49*TA_ti!$BF5)</f>
        <v>10000</v>
      </c>
      <c r="AO5" s="4">
        <f>+IF(TA_ti!AO5*TA_ti!AO$49*TA_ti!$BF5=0,10000,TA_ti!AO5*TA_ti!AO$49*TA_ti!$BF5)</f>
        <v>10000</v>
      </c>
      <c r="AP5" s="4">
        <f>+IF(TA_ti!AP5*TA_ti!AP$49*TA_ti!$BF5=0,10000,TA_ti!AP5*TA_ti!AP$49*TA_ti!$BF5)</f>
        <v>10000</v>
      </c>
      <c r="AQ5" s="4">
        <f>+IF(TA_ti!AQ5*TA_ti!AQ$49*TA_ti!$BF5=0,10000,TA_ti!AQ5*TA_ti!AQ$49*TA_ti!$BF5)</f>
        <v>10000</v>
      </c>
      <c r="AR5" s="4">
        <f>+IF(TA_ti!AR5*TA_ti!AR$49*TA_ti!$BF5=0,10000,TA_ti!AR5*TA_ti!AR$49*TA_ti!$BF5)</f>
        <v>10000</v>
      </c>
      <c r="AS5" s="4">
        <f>+IF(TA_ti!AS5*TA_ti!AS$49*TA_ti!$BF5=0,10000,TA_ti!AS5*TA_ti!AS$49*TA_ti!$BF5)</f>
        <v>10000</v>
      </c>
      <c r="AT5" s="4">
        <f>+IF(TA_ti!AT5*TA_ti!AT$49*TA_ti!$BF5=0,10000,TA_ti!AT5*TA_ti!AT$49*TA_ti!$BF5)</f>
        <v>10000</v>
      </c>
      <c r="AU5" s="4">
        <f>+IF(TA_ti!AU5*TA_ti!AU$49*TA_ti!$BF5=0,10000,TA_ti!AU5*TA_ti!AU$49*TA_ti!$BF5)</f>
        <v>10000</v>
      </c>
      <c r="AV5" s="4">
        <f>+IF(TA_ti!AV5*TA_ti!AV$49*TA_ti!$BF5=0,10000,TA_ti!AV5*TA_ti!AV$49*TA_ti!$BF5)</f>
        <v>10000</v>
      </c>
      <c r="AW5" s="4">
        <f>+IF(TA_ti!AW5*TA_ti!AW$49*TA_ti!$BF5=0,10000,TA_ti!AW5*TA_ti!AW$49*TA_ti!$BF5)</f>
        <v>10000</v>
      </c>
      <c r="AX5" s="4">
        <f>+IF(TA_ti!AX5*TA_ti!AX$49*TA_ti!$BF5=0,10000,TA_ti!AX5*TA_ti!AX$49*TA_ti!$BF5)</f>
        <v>10000</v>
      </c>
      <c r="AY5" s="4">
        <f>+IF(TA_ti!AY5*TA_ti!AY$49*TA_ti!$BF5=0,10000,TA_ti!AY5*TA_ti!AY$49*TA_ti!$BF5)</f>
        <v>10000</v>
      </c>
      <c r="AZ5" s="4">
        <f>+IF(TA_ti!AZ5*TA_ti!AZ$49*TA_ti!$BF5=0,10000,TA_ti!AZ5*TA_ti!AZ$49*TA_ti!$BF5)</f>
        <v>10000</v>
      </c>
      <c r="BA5" s="4">
        <f>+IF(TA_ti!BA5*TA_ti!BA$49*TA_ti!$BF5=0,10000,TA_ti!BA5*TA_ti!BA$49*TA_ti!$BF5)</f>
        <v>10000</v>
      </c>
      <c r="BB5" s="4">
        <f>+IF(TA_ti!BB5*TA_ti!BB$49*TA_ti!$BF5=0,10000,TA_ti!BB5*TA_ti!BB$49*TA_ti!$BF5)</f>
        <v>10000</v>
      </c>
      <c r="BC5" s="4">
        <f>+IF(TA_ti!BC5*TA_ti!BC$49*TA_ti!$BF5=0,10000,TA_ti!BC5*TA_ti!BC$49*TA_ti!$BF5)</f>
        <v>10000</v>
      </c>
    </row>
    <row r="6" spans="1:55" ht="18.75" customHeight="1" x14ac:dyDescent="0.25">
      <c r="A6" s="5" t="s">
        <v>57</v>
      </c>
      <c r="B6" s="4">
        <f>+IF(TA_ti!B6*TA_ti!B$49*TA_ti!$BF6=0,10000,TA_ti!B6*TA_ti!B$49*TA_ti!$BF6)</f>
        <v>10000</v>
      </c>
      <c r="C6" s="4">
        <f>+IF(TA_ti!C6*TA_ti!C$49*TA_ti!$BF6=0,10000,TA_ti!C6*TA_ti!C$49*TA_ti!$BF6)</f>
        <v>10000</v>
      </c>
      <c r="D6" s="4">
        <f>+IF(TA_ti!D6*TA_ti!D$49*TA_ti!$BF6=0,10000,TA_ti!D6*TA_ti!D$49*TA_ti!$BF6)</f>
        <v>10000</v>
      </c>
      <c r="E6" s="4">
        <f>+IF(TA_ti!E6*TA_ti!E$49*TA_ti!$BF6=0,10000,TA_ti!E6*TA_ti!E$49*TA_ti!$BF6)</f>
        <v>10000</v>
      </c>
      <c r="F6" s="4">
        <f>+IF(TA_ti!F6*TA_ti!F$49*TA_ti!$BF6=0,10000,TA_ti!F6*TA_ti!F$49*TA_ti!$BF6)</f>
        <v>10000</v>
      </c>
      <c r="G6" s="4">
        <f>+IF(TA_ti!G6*TA_ti!G$49*TA_ti!$BF6=0,10000,TA_ti!G6*TA_ti!G$49*TA_ti!$BF6)</f>
        <v>10000</v>
      </c>
      <c r="H6" s="4">
        <f>+IF(TA_ti!H6*TA_ti!H$49*TA_ti!$BF6=0,10000,TA_ti!H6*TA_ti!H$49*TA_ti!$BF6)</f>
        <v>10000</v>
      </c>
      <c r="I6" s="4">
        <f>+IF(TA_ti!I6*TA_ti!I$49*TA_ti!$BF6=0,10000,TA_ti!I6*TA_ti!I$49*TA_ti!$BF6)</f>
        <v>10000</v>
      </c>
      <c r="J6" s="4">
        <f>+IF(TA_ti!J6*TA_ti!J$49*TA_ti!$BF6=0,10000,TA_ti!J6*TA_ti!J$49*TA_ti!$BF6)</f>
        <v>10000</v>
      </c>
      <c r="K6" s="4">
        <f>+IF(TA_ti!K6*TA_ti!K$49*TA_ti!$BF6=0,10000,TA_ti!K6*TA_ti!K$49*TA_ti!$BF6)</f>
        <v>10000</v>
      </c>
      <c r="L6" s="4">
        <f>+IF(TA_ti!L6*TA_ti!L$49*TA_ti!$BF6=0,10000,TA_ti!L6*TA_ti!L$49*TA_ti!$BF6)</f>
        <v>10000</v>
      </c>
      <c r="M6" s="4">
        <f>+IF(TA_ti!M6*TA_ti!M$49*TA_ti!$BF6=0,10000,TA_ti!M6*TA_ti!M$49*TA_ti!$BF6)</f>
        <v>10000</v>
      </c>
      <c r="N6" s="4">
        <f>+IF(TA_ti!N6*TA_ti!N$49*TA_ti!$BF6=0,10000,TA_ti!N6*TA_ti!N$49*TA_ti!$BF6)</f>
        <v>10000</v>
      </c>
      <c r="O6" s="4">
        <f>+IF(TA_ti!O6*TA_ti!O$49*TA_ti!$BF6=0,10000,TA_ti!O6*TA_ti!O$49*TA_ti!$BF6)</f>
        <v>10000</v>
      </c>
      <c r="P6" s="4">
        <f>+IF(TA_ti!P6*TA_ti!P$49*TA_ti!$BF6=0,10000,TA_ti!P6*TA_ti!P$49*TA_ti!$BF6)</f>
        <v>10000</v>
      </c>
      <c r="Q6" s="4">
        <f>+IF(TA_ti!Q6*TA_ti!Q$49*TA_ti!$BF6=0,10000,TA_ti!Q6*TA_ti!Q$49*TA_ti!$BF6)</f>
        <v>10000</v>
      </c>
      <c r="R6" s="4">
        <f>+IF(TA_ti!R6*TA_ti!R$49*TA_ti!$BF6=0,10000,TA_ti!R6*TA_ti!R$49*TA_ti!$BF6)</f>
        <v>10000</v>
      </c>
      <c r="S6" s="4">
        <f>+IF(TA_ti!S6*TA_ti!S$49*TA_ti!$BF6=0,10000,TA_ti!S6*TA_ti!S$49*TA_ti!$BF6)</f>
        <v>10000</v>
      </c>
      <c r="T6" s="4">
        <f>+IF(TA_ti!T6*TA_ti!T$49*TA_ti!$BF6=0,10000,TA_ti!T6*TA_ti!T$49*TA_ti!$BF6)</f>
        <v>10000</v>
      </c>
      <c r="U6" s="4">
        <f>+IF(TA_ti!U6*TA_ti!U$49*TA_ti!$BF6=0,10000,TA_ti!U6*TA_ti!U$49*TA_ti!$BF6)</f>
        <v>10000</v>
      </c>
      <c r="V6" s="4">
        <f>+IF(TA_ti!V6*TA_ti!V$49*TA_ti!$BF6=0,10000,TA_ti!V6*TA_ti!V$49*TA_ti!$BF6)</f>
        <v>10000</v>
      </c>
      <c r="W6" s="4">
        <f>+IF(TA_ti!W6*TA_ti!W$49*TA_ti!$BF6=0,10000,TA_ti!W6*TA_ti!W$49*TA_ti!$BF6)</f>
        <v>10000</v>
      </c>
      <c r="X6" s="4">
        <f>+IF(TA_ti!X6*TA_ti!X$49*TA_ti!$BF6=0,10000,TA_ti!X6*TA_ti!X$49*TA_ti!$BF6)</f>
        <v>10000</v>
      </c>
      <c r="Y6" s="4">
        <f>+IF(TA_ti!Y6*TA_ti!Y$49*TA_ti!$BF6=0,10000,TA_ti!Y6*TA_ti!Y$49*TA_ti!$BF6)</f>
        <v>10000</v>
      </c>
      <c r="Z6" s="4">
        <f>+IF(TA_ti!Z6*TA_ti!Z$49*TA_ti!$BF6=0,10000,TA_ti!Z6*TA_ti!Z$49*TA_ti!$BF6)</f>
        <v>10000</v>
      </c>
      <c r="AA6" s="4">
        <f>+IF(TA_ti!AA6*TA_ti!AA$49*TA_ti!$BF6=0,10000,TA_ti!AA6*TA_ti!AA$49*TA_ti!$BF6)</f>
        <v>10000</v>
      </c>
      <c r="AB6" s="4">
        <f>+IF(TA_ti!AB6*TA_ti!AB$49*TA_ti!$BF6=0,10000,TA_ti!AB6*TA_ti!AB$49*TA_ti!$BF6)</f>
        <v>10000</v>
      </c>
      <c r="AC6" s="4">
        <f>+IF(TA_ti!AC6*TA_ti!AC$49*TA_ti!$BF6=0,10000,TA_ti!AC6*TA_ti!AC$49*TA_ti!$BF6)</f>
        <v>10000</v>
      </c>
      <c r="AD6" s="4">
        <f>+IF(TA_ti!AD6*TA_ti!AD$49*TA_ti!$BF6=0,10000,TA_ti!AD6*TA_ti!AD$49*TA_ti!$BF6)</f>
        <v>10000</v>
      </c>
      <c r="AE6" s="4">
        <f>+IF(TA_ti!AE6*TA_ti!AE$49*TA_ti!$BF6=0,10000,TA_ti!AE6*TA_ti!AE$49*TA_ti!$BF6)</f>
        <v>10000</v>
      </c>
      <c r="AF6" s="4">
        <f>+IF(TA_ti!AF6*TA_ti!AF$49*TA_ti!$BF6=0,10000,TA_ti!AF6*TA_ti!AF$49*TA_ti!$BF6)</f>
        <v>10000</v>
      </c>
      <c r="AG6" s="4">
        <f>+IF(TA_ti!AG6*TA_ti!AG$49*TA_ti!$BF6=0,10000,TA_ti!AG6*TA_ti!AG$49*TA_ti!$BF6)</f>
        <v>10000</v>
      </c>
      <c r="AH6" s="4">
        <f>+IF(TA_ti!AH6*TA_ti!AH$49*TA_ti!$BF6=0,10000,TA_ti!AH6*TA_ti!AH$49*TA_ti!$BF6)</f>
        <v>10000</v>
      </c>
      <c r="AI6" s="4">
        <f>+IF(TA_ti!AI6*TA_ti!AI$49*TA_ti!$BF6=0,10000,TA_ti!AI6*TA_ti!AI$49*TA_ti!$BF6)</f>
        <v>10000</v>
      </c>
      <c r="AJ6" s="4">
        <f>+IF(TA_ti!AJ6*TA_ti!AJ$49*TA_ti!$BF6=0,10000,TA_ti!AJ6*TA_ti!AJ$49*TA_ti!$BF6)</f>
        <v>10000</v>
      </c>
      <c r="AK6" s="4">
        <f>+IF(TA_ti!AK6*TA_ti!AK$49*TA_ti!$BF6=0,10000,TA_ti!AK6*TA_ti!AK$49*TA_ti!$BF6)</f>
        <v>10000</v>
      </c>
      <c r="AL6" s="4">
        <f>+IF(TA_ti!AL6*TA_ti!AL$49*TA_ti!$BF6=0,10000,TA_ti!AL6*TA_ti!AL$49*TA_ti!$BF6)</f>
        <v>10000</v>
      </c>
      <c r="AM6" s="4">
        <f>+IF(TA_ti!AM6*TA_ti!AM$49*TA_ti!$BF6=0,10000,TA_ti!AM6*TA_ti!AM$49*TA_ti!$BF6)</f>
        <v>10000</v>
      </c>
      <c r="AN6" s="4">
        <f>+IF(TA_ti!AN6*TA_ti!AN$49*TA_ti!$BF6=0,10000,TA_ti!AN6*TA_ti!AN$49*TA_ti!$BF6)</f>
        <v>10000</v>
      </c>
      <c r="AO6" s="4">
        <f>+IF(TA_ti!AO6*TA_ti!AO$49*TA_ti!$BF6=0,10000,TA_ti!AO6*TA_ti!AO$49*TA_ti!$BF6)</f>
        <v>10000</v>
      </c>
      <c r="AP6" s="4">
        <f>+IF(TA_ti!AP6*TA_ti!AP$49*TA_ti!$BF6=0,10000,TA_ti!AP6*TA_ti!AP$49*TA_ti!$BF6)</f>
        <v>10000</v>
      </c>
      <c r="AQ6" s="4">
        <f>+IF(TA_ti!AQ6*TA_ti!AQ$49*TA_ti!$BF6=0,10000,TA_ti!AQ6*TA_ti!AQ$49*TA_ti!$BF6)</f>
        <v>10000</v>
      </c>
      <c r="AR6" s="4">
        <f>+IF(TA_ti!AR6*TA_ti!AR$49*TA_ti!$BF6=0,10000,TA_ti!AR6*TA_ti!AR$49*TA_ti!$BF6)</f>
        <v>10000</v>
      </c>
      <c r="AS6" s="4">
        <f>+IF(TA_ti!AS6*TA_ti!AS$49*TA_ti!$BF6=0,10000,TA_ti!AS6*TA_ti!AS$49*TA_ti!$BF6)</f>
        <v>10000</v>
      </c>
      <c r="AT6" s="4">
        <f>+IF(TA_ti!AT6*TA_ti!AT$49*TA_ti!$BF6=0,10000,TA_ti!AT6*TA_ti!AT$49*TA_ti!$BF6)</f>
        <v>10000</v>
      </c>
      <c r="AU6" s="4">
        <f>+IF(TA_ti!AU6*TA_ti!AU$49*TA_ti!$BF6=0,10000,TA_ti!AU6*TA_ti!AU$49*TA_ti!$BF6)</f>
        <v>10000</v>
      </c>
      <c r="AV6" s="4">
        <f>+IF(TA_ti!AV6*TA_ti!AV$49*TA_ti!$BF6=0,10000,TA_ti!AV6*TA_ti!AV$49*TA_ti!$BF6)</f>
        <v>10000</v>
      </c>
      <c r="AW6" s="4">
        <f>+IF(TA_ti!AW6*TA_ti!AW$49*TA_ti!$BF6=0,10000,TA_ti!AW6*TA_ti!AW$49*TA_ti!$BF6)</f>
        <v>10000</v>
      </c>
      <c r="AX6" s="4">
        <f>+IF(TA_ti!AX6*TA_ti!AX$49*TA_ti!$BF6=0,10000,TA_ti!AX6*TA_ti!AX$49*TA_ti!$BF6)</f>
        <v>10000</v>
      </c>
      <c r="AY6" s="4">
        <f>+IF(TA_ti!AY6*TA_ti!AY$49*TA_ti!$BF6=0,10000,TA_ti!AY6*TA_ti!AY$49*TA_ti!$BF6)</f>
        <v>10000</v>
      </c>
      <c r="AZ6" s="4">
        <f>+IF(TA_ti!AZ6*TA_ti!AZ$49*TA_ti!$BF6=0,10000,TA_ti!AZ6*TA_ti!AZ$49*TA_ti!$BF6)</f>
        <v>10000</v>
      </c>
      <c r="BA6" s="4">
        <f>+IF(TA_ti!BA6*TA_ti!BA$49*TA_ti!$BF6=0,10000,TA_ti!BA6*TA_ti!BA$49*TA_ti!$BF6)</f>
        <v>10000</v>
      </c>
      <c r="BB6" s="4">
        <f>+IF(TA_ti!BB6*TA_ti!BB$49*TA_ti!$BF6=0,10000,TA_ti!BB6*TA_ti!BB$49*TA_ti!$BF6)</f>
        <v>10000</v>
      </c>
      <c r="BC6" s="4">
        <f>+IF(TA_ti!BC6*TA_ti!BC$49*TA_ti!$BF6=0,10000,TA_ti!BC6*TA_ti!BC$49*TA_ti!$BF6)</f>
        <v>10000</v>
      </c>
    </row>
    <row r="7" spans="1:55" ht="18.75" customHeight="1" x14ac:dyDescent="0.25">
      <c r="A7" s="5" t="s">
        <v>58</v>
      </c>
      <c r="B7" s="4">
        <f>+IF(TA_ti!B7*TA_ti!B$49*TA_ti!$BF7=0,10000,TA_ti!B7*TA_ti!B$49*TA_ti!$BF7)</f>
        <v>10000</v>
      </c>
      <c r="C7" s="4">
        <f>+IF(TA_ti!C7*TA_ti!C$49*TA_ti!$BF7=0,10000,TA_ti!C7*TA_ti!C$49*TA_ti!$BF7)</f>
        <v>10000</v>
      </c>
      <c r="D7" s="4">
        <f>+IF(TA_ti!D7*TA_ti!D$49*TA_ti!$BF7=0,10000,TA_ti!D7*TA_ti!D$49*TA_ti!$BF7)</f>
        <v>10000</v>
      </c>
      <c r="E7" s="4">
        <f>+IF(TA_ti!E7*TA_ti!E$49*TA_ti!$BF7=0,10000,TA_ti!E7*TA_ti!E$49*TA_ti!$BF7)</f>
        <v>10000</v>
      </c>
      <c r="F7" s="4">
        <f>+IF(TA_ti!F7*TA_ti!F$49*TA_ti!$BF7=0,10000,TA_ti!F7*TA_ti!F$49*TA_ti!$BF7)</f>
        <v>10000</v>
      </c>
      <c r="G7" s="4">
        <f>+IF(TA_ti!G7*TA_ti!G$49*TA_ti!$BF7=0,10000,TA_ti!G7*TA_ti!G$49*TA_ti!$BF7)</f>
        <v>12</v>
      </c>
      <c r="H7" s="4">
        <f>+IF(TA_ti!H7*TA_ti!H$49*TA_ti!$BF7=0,10000,TA_ti!H7*TA_ti!H$49*TA_ti!$BF7)</f>
        <v>10000</v>
      </c>
      <c r="I7" s="4">
        <f>+IF(TA_ti!I7*TA_ti!I$49*TA_ti!$BF7=0,10000,TA_ti!I7*TA_ti!I$49*TA_ti!$BF7)</f>
        <v>10000</v>
      </c>
      <c r="J7" s="4">
        <f>+IF(TA_ti!J7*TA_ti!J$49*TA_ti!$BF7=0,10000,TA_ti!J7*TA_ti!J$49*TA_ti!$BF7)</f>
        <v>10000</v>
      </c>
      <c r="K7" s="4">
        <f>+IF(TA_ti!K7*TA_ti!K$49*TA_ti!$BF7=0,10000,TA_ti!K7*TA_ti!K$49*TA_ti!$BF7)</f>
        <v>10000</v>
      </c>
      <c r="L7" s="4">
        <f>+IF(TA_ti!L7*TA_ti!L$49*TA_ti!$BF7=0,10000,TA_ti!L7*TA_ti!L$49*TA_ti!$BF7)</f>
        <v>10000</v>
      </c>
      <c r="M7" s="4">
        <f>+IF(TA_ti!M7*TA_ti!M$49*TA_ti!$BF7=0,10000,TA_ti!M7*TA_ti!M$49*TA_ti!$BF7)</f>
        <v>10000</v>
      </c>
      <c r="N7" s="4">
        <f>+IF(TA_ti!N7*TA_ti!N$49*TA_ti!$BF7=0,10000,TA_ti!N7*TA_ti!N$49*TA_ti!$BF7)</f>
        <v>10000</v>
      </c>
      <c r="O7" s="4">
        <f>+IF(TA_ti!O7*TA_ti!O$49*TA_ti!$BF7=0,10000,TA_ti!O7*TA_ti!O$49*TA_ti!$BF7)</f>
        <v>10000</v>
      </c>
      <c r="P7" s="4">
        <f>+IF(TA_ti!P7*TA_ti!P$49*TA_ti!$BF7=0,10000,TA_ti!P7*TA_ti!P$49*TA_ti!$BF7)</f>
        <v>10000</v>
      </c>
      <c r="Q7" s="4">
        <f>+IF(TA_ti!Q7*TA_ti!Q$49*TA_ti!$BF7=0,10000,TA_ti!Q7*TA_ti!Q$49*TA_ti!$BF7)</f>
        <v>10000</v>
      </c>
      <c r="R7" s="4">
        <f>+IF(TA_ti!R7*TA_ti!R$49*TA_ti!$BF7=0,10000,TA_ti!R7*TA_ti!R$49*TA_ti!$BF7)</f>
        <v>10000</v>
      </c>
      <c r="S7" s="4">
        <f>+IF(TA_ti!S7*TA_ti!S$49*TA_ti!$BF7=0,10000,TA_ti!S7*TA_ti!S$49*TA_ti!$BF7)</f>
        <v>10000</v>
      </c>
      <c r="T7" s="4">
        <f>+IF(TA_ti!T7*TA_ti!T$49*TA_ti!$BF7=0,10000,TA_ti!T7*TA_ti!T$49*TA_ti!$BF7)</f>
        <v>10000</v>
      </c>
      <c r="U7" s="4">
        <f>+IF(TA_ti!U7*TA_ti!U$49*TA_ti!$BF7=0,10000,TA_ti!U7*TA_ti!U$49*TA_ti!$BF7)</f>
        <v>10000</v>
      </c>
      <c r="V7" s="4">
        <f>+IF(TA_ti!V7*TA_ti!V$49*TA_ti!$BF7=0,10000,TA_ti!V7*TA_ti!V$49*TA_ti!$BF7)</f>
        <v>10000</v>
      </c>
      <c r="W7" s="4">
        <f>+IF(TA_ti!W7*TA_ti!W$49*TA_ti!$BF7=0,10000,TA_ti!W7*TA_ti!W$49*TA_ti!$BF7)</f>
        <v>10000</v>
      </c>
      <c r="X7" s="4">
        <f>+IF(TA_ti!X7*TA_ti!X$49*TA_ti!$BF7=0,10000,TA_ti!X7*TA_ti!X$49*TA_ti!$BF7)</f>
        <v>10000</v>
      </c>
      <c r="Y7" s="4">
        <f>+IF(TA_ti!Y7*TA_ti!Y$49*TA_ti!$BF7=0,10000,TA_ti!Y7*TA_ti!Y$49*TA_ti!$BF7)</f>
        <v>10000</v>
      </c>
      <c r="Z7" s="4">
        <f>+IF(TA_ti!Z7*TA_ti!Z$49*TA_ti!$BF7=0,10000,TA_ti!Z7*TA_ti!Z$49*TA_ti!$BF7)</f>
        <v>10000</v>
      </c>
      <c r="AA7" s="4">
        <f>+IF(TA_ti!AA7*TA_ti!AA$49*TA_ti!$BF7=0,10000,TA_ti!AA7*TA_ti!AA$49*TA_ti!$BF7)</f>
        <v>10000</v>
      </c>
      <c r="AB7" s="4">
        <f>+IF(TA_ti!AB7*TA_ti!AB$49*TA_ti!$BF7=0,10000,TA_ti!AB7*TA_ti!AB$49*TA_ti!$BF7)</f>
        <v>10000</v>
      </c>
      <c r="AC7" s="4">
        <f>+IF(TA_ti!AC7*TA_ti!AC$49*TA_ti!$BF7=0,10000,TA_ti!AC7*TA_ti!AC$49*TA_ti!$BF7)</f>
        <v>10000</v>
      </c>
      <c r="AD7" s="4">
        <f>+IF(TA_ti!AD7*TA_ti!AD$49*TA_ti!$BF7=0,10000,TA_ti!AD7*TA_ti!AD$49*TA_ti!$BF7)</f>
        <v>10000</v>
      </c>
      <c r="AE7" s="4">
        <f>+IF(TA_ti!AE7*TA_ti!AE$49*TA_ti!$BF7=0,10000,TA_ti!AE7*TA_ti!AE$49*TA_ti!$BF7)</f>
        <v>10000</v>
      </c>
      <c r="AF7" s="4">
        <f>+IF(TA_ti!AF7*TA_ti!AF$49*TA_ti!$BF7=0,10000,TA_ti!AF7*TA_ti!AF$49*TA_ti!$BF7)</f>
        <v>10000</v>
      </c>
      <c r="AG7" s="4">
        <f>+IF(TA_ti!AG7*TA_ti!AG$49*TA_ti!$BF7=0,10000,TA_ti!AG7*TA_ti!AG$49*TA_ti!$BF7)</f>
        <v>10000</v>
      </c>
      <c r="AH7" s="4">
        <f>+IF(TA_ti!AH7*TA_ti!AH$49*TA_ti!$BF7=0,10000,TA_ti!AH7*TA_ti!AH$49*TA_ti!$BF7)</f>
        <v>10000</v>
      </c>
      <c r="AI7" s="4">
        <f>+IF(TA_ti!AI7*TA_ti!AI$49*TA_ti!$BF7=0,10000,TA_ti!AI7*TA_ti!AI$49*TA_ti!$BF7)</f>
        <v>10000</v>
      </c>
      <c r="AJ7" s="4">
        <f>+IF(TA_ti!AJ7*TA_ti!AJ$49*TA_ti!$BF7=0,10000,TA_ti!AJ7*TA_ti!AJ$49*TA_ti!$BF7)</f>
        <v>10000</v>
      </c>
      <c r="AK7" s="4">
        <f>+IF(TA_ti!AK7*TA_ti!AK$49*TA_ti!$BF7=0,10000,TA_ti!AK7*TA_ti!AK$49*TA_ti!$BF7)</f>
        <v>10000</v>
      </c>
      <c r="AL7" s="4">
        <f>+IF(TA_ti!AL7*TA_ti!AL$49*TA_ti!$BF7=0,10000,TA_ti!AL7*TA_ti!AL$49*TA_ti!$BF7)</f>
        <v>10000</v>
      </c>
      <c r="AM7" s="4">
        <f>+IF(TA_ti!AM7*TA_ti!AM$49*TA_ti!$BF7=0,10000,TA_ti!AM7*TA_ti!AM$49*TA_ti!$BF7)</f>
        <v>10000</v>
      </c>
      <c r="AN7" s="4">
        <f>+IF(TA_ti!AN7*TA_ti!AN$49*TA_ti!$BF7=0,10000,TA_ti!AN7*TA_ti!AN$49*TA_ti!$BF7)</f>
        <v>10000</v>
      </c>
      <c r="AO7" s="4">
        <f>+IF(TA_ti!AO7*TA_ti!AO$49*TA_ti!$BF7=0,10000,TA_ti!AO7*TA_ti!AO$49*TA_ti!$BF7)</f>
        <v>10000</v>
      </c>
      <c r="AP7" s="4">
        <f>+IF(TA_ti!AP7*TA_ti!AP$49*TA_ti!$BF7=0,10000,TA_ti!AP7*TA_ti!AP$49*TA_ti!$BF7)</f>
        <v>10000</v>
      </c>
      <c r="AQ7" s="4">
        <f>+IF(TA_ti!AQ7*TA_ti!AQ$49*TA_ti!$BF7=0,10000,TA_ti!AQ7*TA_ti!AQ$49*TA_ti!$BF7)</f>
        <v>10000</v>
      </c>
      <c r="AR7" s="4">
        <f>+IF(TA_ti!AR7*TA_ti!AR$49*TA_ti!$BF7=0,10000,TA_ti!AR7*TA_ti!AR$49*TA_ti!$BF7)</f>
        <v>10000</v>
      </c>
      <c r="AS7" s="4">
        <f>+IF(TA_ti!AS7*TA_ti!AS$49*TA_ti!$BF7=0,10000,TA_ti!AS7*TA_ti!AS$49*TA_ti!$BF7)</f>
        <v>10000</v>
      </c>
      <c r="AT7" s="4">
        <f>+IF(TA_ti!AT7*TA_ti!AT$49*TA_ti!$BF7=0,10000,TA_ti!AT7*TA_ti!AT$49*TA_ti!$BF7)</f>
        <v>10000</v>
      </c>
      <c r="AU7" s="4">
        <f>+IF(TA_ti!AU7*TA_ti!AU$49*TA_ti!$BF7=0,10000,TA_ti!AU7*TA_ti!AU$49*TA_ti!$BF7)</f>
        <v>10000</v>
      </c>
      <c r="AV7" s="4">
        <f>+IF(TA_ti!AV7*TA_ti!AV$49*TA_ti!$BF7=0,10000,TA_ti!AV7*TA_ti!AV$49*TA_ti!$BF7)</f>
        <v>10000</v>
      </c>
      <c r="AW7" s="4">
        <f>+IF(TA_ti!AW7*TA_ti!AW$49*TA_ti!$BF7=0,10000,TA_ti!AW7*TA_ti!AW$49*TA_ti!$BF7)</f>
        <v>10000</v>
      </c>
      <c r="AX7" s="4">
        <f>+IF(TA_ti!AX7*TA_ti!AX$49*TA_ti!$BF7=0,10000,TA_ti!AX7*TA_ti!AX$49*TA_ti!$BF7)</f>
        <v>10000</v>
      </c>
      <c r="AY7" s="4">
        <f>+IF(TA_ti!AY7*TA_ti!AY$49*TA_ti!$BF7=0,10000,TA_ti!AY7*TA_ti!AY$49*TA_ti!$BF7)</f>
        <v>10000</v>
      </c>
      <c r="AZ7" s="4">
        <f>+IF(TA_ti!AZ7*TA_ti!AZ$49*TA_ti!$BF7=0,10000,TA_ti!AZ7*TA_ti!AZ$49*TA_ti!$BF7)</f>
        <v>10000</v>
      </c>
      <c r="BA7" s="4">
        <f>+IF(TA_ti!BA7*TA_ti!BA$49*TA_ti!$BF7=0,10000,TA_ti!BA7*TA_ti!BA$49*TA_ti!$BF7)</f>
        <v>10000</v>
      </c>
      <c r="BB7" s="4">
        <f>+IF(TA_ti!BB7*TA_ti!BB$49*TA_ti!$BF7=0,10000,TA_ti!BB7*TA_ti!BB$49*TA_ti!$BF7)</f>
        <v>10000</v>
      </c>
      <c r="BC7" s="4">
        <f>+IF(TA_ti!BC7*TA_ti!BC$49*TA_ti!$BF7=0,10000,TA_ti!BC7*TA_ti!BC$49*TA_ti!$BF7)</f>
        <v>10000</v>
      </c>
    </row>
    <row r="8" spans="1:55" ht="18.75" customHeight="1" x14ac:dyDescent="0.25">
      <c r="A8" s="5" t="s">
        <v>59</v>
      </c>
      <c r="B8" s="4">
        <f>+IF(TA_ti!B8*TA_ti!B$49*TA_ti!$BF8=0,10000,TA_ti!B8*TA_ti!B$49*TA_ti!$BF8)</f>
        <v>10000</v>
      </c>
      <c r="C8" s="4">
        <f>+IF(TA_ti!C8*TA_ti!C$49*TA_ti!$BF8=0,10000,TA_ti!C8*TA_ti!C$49*TA_ti!$BF8)</f>
        <v>10000</v>
      </c>
      <c r="D8" s="4">
        <f>+IF(TA_ti!D8*TA_ti!D$49*TA_ti!$BF8=0,10000,TA_ti!D8*TA_ti!D$49*TA_ti!$BF8)</f>
        <v>10000</v>
      </c>
      <c r="E8" s="4">
        <f>+IF(TA_ti!E8*TA_ti!E$49*TA_ti!$BF8=0,10000,TA_ti!E8*TA_ti!E$49*TA_ti!$BF8)</f>
        <v>10000</v>
      </c>
      <c r="F8" s="4">
        <f>+IF(TA_ti!F8*TA_ti!F$49*TA_ti!$BF8=0,10000,TA_ti!F8*TA_ti!F$49*TA_ti!$BF8)</f>
        <v>10000</v>
      </c>
      <c r="G8" s="4">
        <f>+IF(TA_ti!G8*TA_ti!G$49*TA_ti!$BF8=0,10000,TA_ti!G8*TA_ti!G$49*TA_ti!$BF8)</f>
        <v>12</v>
      </c>
      <c r="H8" s="4">
        <f>+IF(TA_ti!H8*TA_ti!H$49*TA_ti!$BF8=0,10000,TA_ti!H8*TA_ti!H$49*TA_ti!$BF8)</f>
        <v>10000</v>
      </c>
      <c r="I8" s="4">
        <f>+IF(TA_ti!I8*TA_ti!I$49*TA_ti!$BF8=0,10000,TA_ti!I8*TA_ti!I$49*TA_ti!$BF8)</f>
        <v>10000</v>
      </c>
      <c r="J8" s="4">
        <f>+IF(TA_ti!J8*TA_ti!J$49*TA_ti!$BF8=0,10000,TA_ti!J8*TA_ti!J$49*TA_ti!$BF8)</f>
        <v>10000</v>
      </c>
      <c r="K8" s="4">
        <f>+IF(TA_ti!K8*TA_ti!K$49*TA_ti!$BF8=0,10000,TA_ti!K8*TA_ti!K$49*TA_ti!$BF8)</f>
        <v>10000</v>
      </c>
      <c r="L8" s="4">
        <f>+IF(TA_ti!L8*TA_ti!L$49*TA_ti!$BF8=0,10000,TA_ti!L8*TA_ti!L$49*TA_ti!$BF8)</f>
        <v>10000</v>
      </c>
      <c r="M8" s="4">
        <f>+IF(TA_ti!M8*TA_ti!M$49*TA_ti!$BF8=0,10000,TA_ti!M8*TA_ti!M$49*TA_ti!$BF8)</f>
        <v>10000</v>
      </c>
      <c r="N8" s="4">
        <f>+IF(TA_ti!N8*TA_ti!N$49*TA_ti!$BF8=0,10000,TA_ti!N8*TA_ti!N$49*TA_ti!$BF8)</f>
        <v>10000</v>
      </c>
      <c r="O8" s="4">
        <f>+IF(TA_ti!O8*TA_ti!O$49*TA_ti!$BF8=0,10000,TA_ti!O8*TA_ti!O$49*TA_ti!$BF8)</f>
        <v>10000</v>
      </c>
      <c r="P8" s="4">
        <f>+IF(TA_ti!P8*TA_ti!P$49*TA_ti!$BF8=0,10000,TA_ti!P8*TA_ti!P$49*TA_ti!$BF8)</f>
        <v>10000</v>
      </c>
      <c r="Q8" s="4">
        <f>+IF(TA_ti!Q8*TA_ti!Q$49*TA_ti!$BF8=0,10000,TA_ti!Q8*TA_ti!Q$49*TA_ti!$BF8)</f>
        <v>10000</v>
      </c>
      <c r="R8" s="4">
        <f>+IF(TA_ti!R8*TA_ti!R$49*TA_ti!$BF8=0,10000,TA_ti!R8*TA_ti!R$49*TA_ti!$BF8)</f>
        <v>10000</v>
      </c>
      <c r="S8" s="4">
        <f>+IF(TA_ti!S8*TA_ti!S$49*TA_ti!$BF8=0,10000,TA_ti!S8*TA_ti!S$49*TA_ti!$BF8)</f>
        <v>10000</v>
      </c>
      <c r="T8" s="4">
        <f>+IF(TA_ti!T8*TA_ti!T$49*TA_ti!$BF8=0,10000,TA_ti!T8*TA_ti!T$49*TA_ti!$BF8)</f>
        <v>10000</v>
      </c>
      <c r="U8" s="4">
        <f>+IF(TA_ti!U8*TA_ti!U$49*TA_ti!$BF8=0,10000,TA_ti!U8*TA_ti!U$49*TA_ti!$BF8)</f>
        <v>10000</v>
      </c>
      <c r="V8" s="4">
        <f>+IF(TA_ti!V8*TA_ti!V$49*TA_ti!$BF8=0,10000,TA_ti!V8*TA_ti!V$49*TA_ti!$BF8)</f>
        <v>10000</v>
      </c>
      <c r="W8" s="4">
        <f>+IF(TA_ti!W8*TA_ti!W$49*TA_ti!$BF8=0,10000,TA_ti!W8*TA_ti!W$49*TA_ti!$BF8)</f>
        <v>10000</v>
      </c>
      <c r="X8" s="4">
        <f>+IF(TA_ti!X8*TA_ti!X$49*TA_ti!$BF8=0,10000,TA_ti!X8*TA_ti!X$49*TA_ti!$BF8)</f>
        <v>10000</v>
      </c>
      <c r="Y8" s="4">
        <f>+IF(TA_ti!Y8*TA_ti!Y$49*TA_ti!$BF8=0,10000,TA_ti!Y8*TA_ti!Y$49*TA_ti!$BF8)</f>
        <v>10000</v>
      </c>
      <c r="Z8" s="4">
        <f>+IF(TA_ti!Z8*TA_ti!Z$49*TA_ti!$BF8=0,10000,TA_ti!Z8*TA_ti!Z$49*TA_ti!$BF8)</f>
        <v>10000</v>
      </c>
      <c r="AA8" s="4">
        <f>+IF(TA_ti!AA8*TA_ti!AA$49*TA_ti!$BF8=0,10000,TA_ti!AA8*TA_ti!AA$49*TA_ti!$BF8)</f>
        <v>10000</v>
      </c>
      <c r="AB8" s="4">
        <f>+IF(TA_ti!AB8*TA_ti!AB$49*TA_ti!$BF8=0,10000,TA_ti!AB8*TA_ti!AB$49*TA_ti!$BF8)</f>
        <v>10000</v>
      </c>
      <c r="AC8" s="4">
        <f>+IF(TA_ti!AC8*TA_ti!AC$49*TA_ti!$BF8=0,10000,TA_ti!AC8*TA_ti!AC$49*TA_ti!$BF8)</f>
        <v>10000</v>
      </c>
      <c r="AD8" s="4">
        <f>+IF(TA_ti!AD8*TA_ti!AD$49*TA_ti!$BF8=0,10000,TA_ti!AD8*TA_ti!AD$49*TA_ti!$BF8)</f>
        <v>10000</v>
      </c>
      <c r="AE8" s="4">
        <f>+IF(TA_ti!AE8*TA_ti!AE$49*TA_ti!$BF8=0,10000,TA_ti!AE8*TA_ti!AE$49*TA_ti!$BF8)</f>
        <v>10000</v>
      </c>
      <c r="AF8" s="4">
        <f>+IF(TA_ti!AF8*TA_ti!AF$49*TA_ti!$BF8=0,10000,TA_ti!AF8*TA_ti!AF$49*TA_ti!$BF8)</f>
        <v>10000</v>
      </c>
      <c r="AG8" s="4">
        <f>+IF(TA_ti!AG8*TA_ti!AG$49*TA_ti!$BF8=0,10000,TA_ti!AG8*TA_ti!AG$49*TA_ti!$BF8)</f>
        <v>10000</v>
      </c>
      <c r="AH8" s="4">
        <f>+IF(TA_ti!AH8*TA_ti!AH$49*TA_ti!$BF8=0,10000,TA_ti!AH8*TA_ti!AH$49*TA_ti!$BF8)</f>
        <v>10000</v>
      </c>
      <c r="AI8" s="4">
        <f>+IF(TA_ti!AI8*TA_ti!AI$49*TA_ti!$BF8=0,10000,TA_ti!AI8*TA_ti!AI$49*TA_ti!$BF8)</f>
        <v>10000</v>
      </c>
      <c r="AJ8" s="4">
        <f>+IF(TA_ti!AJ8*TA_ti!AJ$49*TA_ti!$BF8=0,10000,TA_ti!AJ8*TA_ti!AJ$49*TA_ti!$BF8)</f>
        <v>10000</v>
      </c>
      <c r="AK8" s="4">
        <f>+IF(TA_ti!AK8*TA_ti!AK$49*TA_ti!$BF8=0,10000,TA_ti!AK8*TA_ti!AK$49*TA_ti!$BF8)</f>
        <v>10000</v>
      </c>
      <c r="AL8" s="4">
        <f>+IF(TA_ti!AL8*TA_ti!AL$49*TA_ti!$BF8=0,10000,TA_ti!AL8*TA_ti!AL$49*TA_ti!$BF8)</f>
        <v>10000</v>
      </c>
      <c r="AM8" s="4">
        <f>+IF(TA_ti!AM8*TA_ti!AM$49*TA_ti!$BF8=0,10000,TA_ti!AM8*TA_ti!AM$49*TA_ti!$BF8)</f>
        <v>10000</v>
      </c>
      <c r="AN8" s="4">
        <f>+IF(TA_ti!AN8*TA_ti!AN$49*TA_ti!$BF8=0,10000,TA_ti!AN8*TA_ti!AN$49*TA_ti!$BF8)</f>
        <v>10000</v>
      </c>
      <c r="AO8" s="4">
        <f>+IF(TA_ti!AO8*TA_ti!AO$49*TA_ti!$BF8=0,10000,TA_ti!AO8*TA_ti!AO$49*TA_ti!$BF8)</f>
        <v>10000</v>
      </c>
      <c r="AP8" s="4">
        <f>+IF(TA_ti!AP8*TA_ti!AP$49*TA_ti!$BF8=0,10000,TA_ti!AP8*TA_ti!AP$49*TA_ti!$BF8)</f>
        <v>10000</v>
      </c>
      <c r="AQ8" s="4">
        <f>+IF(TA_ti!AQ8*TA_ti!AQ$49*TA_ti!$BF8=0,10000,TA_ti!AQ8*TA_ti!AQ$49*TA_ti!$BF8)</f>
        <v>10000</v>
      </c>
      <c r="AR8" s="4">
        <f>+IF(TA_ti!AR8*TA_ti!AR$49*TA_ti!$BF8=0,10000,TA_ti!AR8*TA_ti!AR$49*TA_ti!$BF8)</f>
        <v>10000</v>
      </c>
      <c r="AS8" s="4">
        <f>+IF(TA_ti!AS8*TA_ti!AS$49*TA_ti!$BF8=0,10000,TA_ti!AS8*TA_ti!AS$49*TA_ti!$BF8)</f>
        <v>10000</v>
      </c>
      <c r="AT8" s="4">
        <f>+IF(TA_ti!AT8*TA_ti!AT$49*TA_ti!$BF8=0,10000,TA_ti!AT8*TA_ti!AT$49*TA_ti!$BF8)</f>
        <v>10000</v>
      </c>
      <c r="AU8" s="4">
        <f>+IF(TA_ti!AU8*TA_ti!AU$49*TA_ti!$BF8=0,10000,TA_ti!AU8*TA_ti!AU$49*TA_ti!$BF8)</f>
        <v>10000</v>
      </c>
      <c r="AV8" s="4">
        <f>+IF(TA_ti!AV8*TA_ti!AV$49*TA_ti!$BF8=0,10000,TA_ti!AV8*TA_ti!AV$49*TA_ti!$BF8)</f>
        <v>10000</v>
      </c>
      <c r="AW8" s="4">
        <f>+IF(TA_ti!AW8*TA_ti!AW$49*TA_ti!$BF8=0,10000,TA_ti!AW8*TA_ti!AW$49*TA_ti!$BF8)</f>
        <v>10000</v>
      </c>
      <c r="AX8" s="4">
        <f>+IF(TA_ti!AX8*TA_ti!AX$49*TA_ti!$BF8=0,10000,TA_ti!AX8*TA_ti!AX$49*TA_ti!$BF8)</f>
        <v>10000</v>
      </c>
      <c r="AY8" s="4">
        <f>+IF(TA_ti!AY8*TA_ti!AY$49*TA_ti!$BF8=0,10000,TA_ti!AY8*TA_ti!AY$49*TA_ti!$BF8)</f>
        <v>10000</v>
      </c>
      <c r="AZ8" s="4">
        <f>+IF(TA_ti!AZ8*TA_ti!AZ$49*TA_ti!$BF8=0,10000,TA_ti!AZ8*TA_ti!AZ$49*TA_ti!$BF8)</f>
        <v>10000</v>
      </c>
      <c r="BA8" s="4">
        <f>+IF(TA_ti!BA8*TA_ti!BA$49*TA_ti!$BF8=0,10000,TA_ti!BA8*TA_ti!BA$49*TA_ti!$BF8)</f>
        <v>10000</v>
      </c>
      <c r="BB8" s="4">
        <f>+IF(TA_ti!BB8*TA_ti!BB$49*TA_ti!$BF8=0,10000,TA_ti!BB8*TA_ti!BB$49*TA_ti!$BF8)</f>
        <v>10000</v>
      </c>
      <c r="BC8" s="4">
        <f>+IF(TA_ti!BC8*TA_ti!BC$49*TA_ti!$BF8=0,10000,TA_ti!BC8*TA_ti!BC$49*TA_ti!$BF8)</f>
        <v>10000</v>
      </c>
    </row>
    <row r="9" spans="1:55" ht="18.75" customHeight="1" x14ac:dyDescent="0.25">
      <c r="A9" s="5" t="s">
        <v>60</v>
      </c>
      <c r="B9" s="4">
        <f>+IF(TA_ti!B9*TA_ti!B$49*TA_ti!$BF9=0,10000,TA_ti!B9*TA_ti!B$49*TA_ti!$BF9)</f>
        <v>10000</v>
      </c>
      <c r="C9" s="4">
        <f>+IF(TA_ti!C9*TA_ti!C$49*TA_ti!$BF9=0,10000,TA_ti!C9*TA_ti!C$49*TA_ti!$BF9)</f>
        <v>10000</v>
      </c>
      <c r="D9" s="4">
        <f>+IF(TA_ti!D9*TA_ti!D$49*TA_ti!$BF9=0,10000,TA_ti!D9*TA_ti!D$49*TA_ti!$BF9)</f>
        <v>10000</v>
      </c>
      <c r="E9" s="4">
        <f>+IF(TA_ti!E9*TA_ti!E$49*TA_ti!$BF9=0,10000,TA_ti!E9*TA_ti!E$49*TA_ti!$BF9)</f>
        <v>10000</v>
      </c>
      <c r="F9" s="4">
        <f>+IF(TA_ti!F9*TA_ti!F$49*TA_ti!$BF9=0,10000,TA_ti!F9*TA_ti!F$49*TA_ti!$BF9)</f>
        <v>10000</v>
      </c>
      <c r="G9" s="4">
        <f>+IF(TA_ti!G9*TA_ti!G$49*TA_ti!$BF9=0,10000,TA_ti!G9*TA_ti!G$49*TA_ti!$BF9)</f>
        <v>12</v>
      </c>
      <c r="H9" s="4">
        <f>+IF(TA_ti!H9*TA_ti!H$49*TA_ti!$BF9=0,10000,TA_ti!H9*TA_ti!H$49*TA_ti!$BF9)</f>
        <v>10000</v>
      </c>
      <c r="I9" s="4">
        <f>+IF(TA_ti!I9*TA_ti!I$49*TA_ti!$BF9=0,10000,TA_ti!I9*TA_ti!I$49*TA_ti!$BF9)</f>
        <v>10000</v>
      </c>
      <c r="J9" s="4">
        <f>+IF(TA_ti!J9*TA_ti!J$49*TA_ti!$BF9=0,10000,TA_ti!J9*TA_ti!J$49*TA_ti!$BF9)</f>
        <v>10000</v>
      </c>
      <c r="K9" s="4">
        <f>+IF(TA_ti!K9*TA_ti!K$49*TA_ti!$BF9=0,10000,TA_ti!K9*TA_ti!K$49*TA_ti!$BF9)</f>
        <v>10000</v>
      </c>
      <c r="L9" s="4">
        <f>+IF(TA_ti!L9*TA_ti!L$49*TA_ti!$BF9=0,10000,TA_ti!L9*TA_ti!L$49*TA_ti!$BF9)</f>
        <v>10000</v>
      </c>
      <c r="M9" s="4">
        <f>+IF(TA_ti!M9*TA_ti!M$49*TA_ti!$BF9=0,10000,TA_ti!M9*TA_ti!M$49*TA_ti!$BF9)</f>
        <v>10000</v>
      </c>
      <c r="N9" s="4">
        <f>+IF(TA_ti!N9*TA_ti!N$49*TA_ti!$BF9=0,10000,TA_ti!N9*TA_ti!N$49*TA_ti!$BF9)</f>
        <v>10000</v>
      </c>
      <c r="O9" s="4">
        <f>+IF(TA_ti!O9*TA_ti!O$49*TA_ti!$BF9=0,10000,TA_ti!O9*TA_ti!O$49*TA_ti!$BF9)</f>
        <v>10000</v>
      </c>
      <c r="P9" s="4">
        <f>+IF(TA_ti!P9*TA_ti!P$49*TA_ti!$BF9=0,10000,TA_ti!P9*TA_ti!P$49*TA_ti!$BF9)</f>
        <v>10000</v>
      </c>
      <c r="Q9" s="4">
        <f>+IF(TA_ti!Q9*TA_ti!Q$49*TA_ti!$BF9=0,10000,TA_ti!Q9*TA_ti!Q$49*TA_ti!$BF9)</f>
        <v>10000</v>
      </c>
      <c r="R9" s="4">
        <f>+IF(TA_ti!R9*TA_ti!R$49*TA_ti!$BF9=0,10000,TA_ti!R9*TA_ti!R$49*TA_ti!$BF9)</f>
        <v>10000</v>
      </c>
      <c r="S9" s="4">
        <f>+IF(TA_ti!S9*TA_ti!S$49*TA_ti!$BF9=0,10000,TA_ti!S9*TA_ti!S$49*TA_ti!$BF9)</f>
        <v>10000</v>
      </c>
      <c r="T9" s="4">
        <f>+IF(TA_ti!T9*TA_ti!T$49*TA_ti!$BF9=0,10000,TA_ti!T9*TA_ti!T$49*TA_ti!$BF9)</f>
        <v>10000</v>
      </c>
      <c r="U9" s="4">
        <f>+IF(TA_ti!U9*TA_ti!U$49*TA_ti!$BF9=0,10000,TA_ti!U9*TA_ti!U$49*TA_ti!$BF9)</f>
        <v>10000</v>
      </c>
      <c r="V9" s="4">
        <f>+IF(TA_ti!V9*TA_ti!V$49*TA_ti!$BF9=0,10000,TA_ti!V9*TA_ti!V$49*TA_ti!$BF9)</f>
        <v>10000</v>
      </c>
      <c r="W9" s="4">
        <f>+IF(TA_ti!W9*TA_ti!W$49*TA_ti!$BF9=0,10000,TA_ti!W9*TA_ti!W$49*TA_ti!$BF9)</f>
        <v>10000</v>
      </c>
      <c r="X9" s="4">
        <f>+IF(TA_ti!X9*TA_ti!X$49*TA_ti!$BF9=0,10000,TA_ti!X9*TA_ti!X$49*TA_ti!$BF9)</f>
        <v>10000</v>
      </c>
      <c r="Y9" s="4">
        <f>+IF(TA_ti!Y9*TA_ti!Y$49*TA_ti!$BF9=0,10000,TA_ti!Y9*TA_ti!Y$49*TA_ti!$BF9)</f>
        <v>10000</v>
      </c>
      <c r="Z9" s="4">
        <f>+IF(TA_ti!Z9*TA_ti!Z$49*TA_ti!$BF9=0,10000,TA_ti!Z9*TA_ti!Z$49*TA_ti!$BF9)</f>
        <v>10000</v>
      </c>
      <c r="AA9" s="4">
        <f>+IF(TA_ti!AA9*TA_ti!AA$49*TA_ti!$BF9=0,10000,TA_ti!AA9*TA_ti!AA$49*TA_ti!$BF9)</f>
        <v>10000</v>
      </c>
      <c r="AB9" s="4">
        <f>+IF(TA_ti!AB9*TA_ti!AB$49*TA_ti!$BF9=0,10000,TA_ti!AB9*TA_ti!AB$49*TA_ti!$BF9)</f>
        <v>10000</v>
      </c>
      <c r="AC9" s="4">
        <f>+IF(TA_ti!AC9*TA_ti!AC$49*TA_ti!$BF9=0,10000,TA_ti!AC9*TA_ti!AC$49*TA_ti!$BF9)</f>
        <v>10000</v>
      </c>
      <c r="AD9" s="4">
        <f>+IF(TA_ti!AD9*TA_ti!AD$49*TA_ti!$BF9=0,10000,TA_ti!AD9*TA_ti!AD$49*TA_ti!$BF9)</f>
        <v>10000</v>
      </c>
      <c r="AE9" s="4">
        <f>+IF(TA_ti!AE9*TA_ti!AE$49*TA_ti!$BF9=0,10000,TA_ti!AE9*TA_ti!AE$49*TA_ti!$BF9)</f>
        <v>10000</v>
      </c>
      <c r="AF9" s="4">
        <f>+IF(TA_ti!AF9*TA_ti!AF$49*TA_ti!$BF9=0,10000,TA_ti!AF9*TA_ti!AF$49*TA_ti!$BF9)</f>
        <v>10000</v>
      </c>
      <c r="AG9" s="4">
        <f>+IF(TA_ti!AG9*TA_ti!AG$49*TA_ti!$BF9=0,10000,TA_ti!AG9*TA_ti!AG$49*TA_ti!$BF9)</f>
        <v>10000</v>
      </c>
      <c r="AH9" s="4">
        <f>+IF(TA_ti!AH9*TA_ti!AH$49*TA_ti!$BF9=0,10000,TA_ti!AH9*TA_ti!AH$49*TA_ti!$BF9)</f>
        <v>10000</v>
      </c>
      <c r="AI9" s="4">
        <f>+IF(TA_ti!AI9*TA_ti!AI$49*TA_ti!$BF9=0,10000,TA_ti!AI9*TA_ti!AI$49*TA_ti!$BF9)</f>
        <v>10000</v>
      </c>
      <c r="AJ9" s="4">
        <f>+IF(TA_ti!AJ9*TA_ti!AJ$49*TA_ti!$BF9=0,10000,TA_ti!AJ9*TA_ti!AJ$49*TA_ti!$BF9)</f>
        <v>10000</v>
      </c>
      <c r="AK9" s="4">
        <f>+IF(TA_ti!AK9*TA_ti!AK$49*TA_ti!$BF9=0,10000,TA_ti!AK9*TA_ti!AK$49*TA_ti!$BF9)</f>
        <v>10000</v>
      </c>
      <c r="AL9" s="4">
        <f>+IF(TA_ti!AL9*TA_ti!AL$49*TA_ti!$BF9=0,10000,TA_ti!AL9*TA_ti!AL$49*TA_ti!$BF9)</f>
        <v>10000</v>
      </c>
      <c r="AM9" s="4">
        <f>+IF(TA_ti!AM9*TA_ti!AM$49*TA_ti!$BF9=0,10000,TA_ti!AM9*TA_ti!AM$49*TA_ti!$BF9)</f>
        <v>10000</v>
      </c>
      <c r="AN9" s="4">
        <f>+IF(TA_ti!AN9*TA_ti!AN$49*TA_ti!$BF9=0,10000,TA_ti!AN9*TA_ti!AN$49*TA_ti!$BF9)</f>
        <v>10000</v>
      </c>
      <c r="AO9" s="4">
        <f>+IF(TA_ti!AO9*TA_ti!AO$49*TA_ti!$BF9=0,10000,TA_ti!AO9*TA_ti!AO$49*TA_ti!$BF9)</f>
        <v>10000</v>
      </c>
      <c r="AP9" s="4">
        <f>+IF(TA_ti!AP9*TA_ti!AP$49*TA_ti!$BF9=0,10000,TA_ti!AP9*TA_ti!AP$49*TA_ti!$BF9)</f>
        <v>10000</v>
      </c>
      <c r="AQ9" s="4">
        <f>+IF(TA_ti!AQ9*TA_ti!AQ$49*TA_ti!$BF9=0,10000,TA_ti!AQ9*TA_ti!AQ$49*TA_ti!$BF9)</f>
        <v>10000</v>
      </c>
      <c r="AR9" s="4">
        <f>+IF(TA_ti!AR9*TA_ti!AR$49*TA_ti!$BF9=0,10000,TA_ti!AR9*TA_ti!AR$49*TA_ti!$BF9)</f>
        <v>10000</v>
      </c>
      <c r="AS9" s="4">
        <f>+IF(TA_ti!AS9*TA_ti!AS$49*TA_ti!$BF9=0,10000,TA_ti!AS9*TA_ti!AS$49*TA_ti!$BF9)</f>
        <v>10000</v>
      </c>
      <c r="AT9" s="4">
        <f>+IF(TA_ti!AT9*TA_ti!AT$49*TA_ti!$BF9=0,10000,TA_ti!AT9*TA_ti!AT$49*TA_ti!$BF9)</f>
        <v>10000</v>
      </c>
      <c r="AU9" s="4">
        <f>+IF(TA_ti!AU9*TA_ti!AU$49*TA_ti!$BF9=0,10000,TA_ti!AU9*TA_ti!AU$49*TA_ti!$BF9)</f>
        <v>10000</v>
      </c>
      <c r="AV9" s="4">
        <f>+IF(TA_ti!AV9*TA_ti!AV$49*TA_ti!$BF9=0,10000,TA_ti!AV9*TA_ti!AV$49*TA_ti!$BF9)</f>
        <v>10000</v>
      </c>
      <c r="AW9" s="4">
        <f>+IF(TA_ti!AW9*TA_ti!AW$49*TA_ti!$BF9=0,10000,TA_ti!AW9*TA_ti!AW$49*TA_ti!$BF9)</f>
        <v>10000</v>
      </c>
      <c r="AX9" s="4">
        <f>+IF(TA_ti!AX9*TA_ti!AX$49*TA_ti!$BF9=0,10000,TA_ti!AX9*TA_ti!AX$49*TA_ti!$BF9)</f>
        <v>10000</v>
      </c>
      <c r="AY9" s="4">
        <f>+IF(TA_ti!AY9*TA_ti!AY$49*TA_ti!$BF9=0,10000,TA_ti!AY9*TA_ti!AY$49*TA_ti!$BF9)</f>
        <v>10000</v>
      </c>
      <c r="AZ9" s="4">
        <f>+IF(TA_ti!AZ9*TA_ti!AZ$49*TA_ti!$BF9=0,10000,TA_ti!AZ9*TA_ti!AZ$49*TA_ti!$BF9)</f>
        <v>10000</v>
      </c>
      <c r="BA9" s="4">
        <f>+IF(TA_ti!BA9*TA_ti!BA$49*TA_ti!$BF9=0,10000,TA_ti!BA9*TA_ti!BA$49*TA_ti!$BF9)</f>
        <v>10000</v>
      </c>
      <c r="BB9" s="4">
        <f>+IF(TA_ti!BB9*TA_ti!BB$49*TA_ti!$BF9=0,10000,TA_ti!BB9*TA_ti!BB$49*TA_ti!$BF9)</f>
        <v>10000</v>
      </c>
      <c r="BC9" s="4">
        <f>+IF(TA_ti!BC9*TA_ti!BC$49*TA_ti!$BF9=0,10000,TA_ti!BC9*TA_ti!BC$49*TA_ti!$BF9)</f>
        <v>10000</v>
      </c>
    </row>
    <row r="10" spans="1:55" ht="18.75" customHeight="1" x14ac:dyDescent="0.25">
      <c r="A10" s="5" t="s">
        <v>61</v>
      </c>
      <c r="B10" s="4">
        <f>+IF(TA_ti!B10*TA_ti!B$49*TA_ti!$BF10=0,10000,TA_ti!B10*TA_ti!B$49*TA_ti!$BF10)</f>
        <v>10000</v>
      </c>
      <c r="C10" s="4">
        <f>+IF(TA_ti!C10*TA_ti!C$49*TA_ti!$BF10=0,10000,TA_ti!C10*TA_ti!C$49*TA_ti!$BF10)</f>
        <v>10000</v>
      </c>
      <c r="D10" s="4">
        <f>+IF(TA_ti!D10*TA_ti!D$49*TA_ti!$BF10=0,10000,TA_ti!D10*TA_ti!D$49*TA_ti!$BF10)</f>
        <v>10000</v>
      </c>
      <c r="E10" s="4">
        <f>+IF(TA_ti!E10*TA_ti!E$49*TA_ti!$BF10=0,10000,TA_ti!E10*TA_ti!E$49*TA_ti!$BF10)</f>
        <v>10000</v>
      </c>
      <c r="F10" s="4">
        <f>+IF(TA_ti!F10*TA_ti!F$49*TA_ti!$BF10=0,10000,TA_ti!F10*TA_ti!F$49*TA_ti!$BF10)</f>
        <v>10000</v>
      </c>
      <c r="G10" s="4">
        <f>+IF(TA_ti!G10*TA_ti!G$49*TA_ti!$BF10=0,10000,TA_ti!G10*TA_ti!G$49*TA_ti!$BF10)</f>
        <v>10000</v>
      </c>
      <c r="H10" s="4">
        <f>+IF(TA_ti!H10*TA_ti!H$49*TA_ti!$BF10=0,10000,TA_ti!H10*TA_ti!H$49*TA_ti!$BF10)</f>
        <v>10000</v>
      </c>
      <c r="I10" s="4">
        <f>+IF(TA_ti!I10*TA_ti!I$49*TA_ti!$BF10=0,10000,TA_ti!I10*TA_ti!I$49*TA_ti!$BF10)</f>
        <v>10000</v>
      </c>
      <c r="J10" s="4">
        <f>+IF(TA_ti!J10*TA_ti!J$49*TA_ti!$BF10=0,10000,TA_ti!J10*TA_ti!J$49*TA_ti!$BF10)</f>
        <v>10000</v>
      </c>
      <c r="K10" s="4">
        <f>+IF(TA_ti!K10*TA_ti!K$49*TA_ti!$BF10=0,10000,TA_ti!K10*TA_ti!K$49*TA_ti!$BF10)</f>
        <v>10000</v>
      </c>
      <c r="L10" s="4">
        <f>+IF(TA_ti!L10*TA_ti!L$49*TA_ti!$BF10=0,10000,TA_ti!L10*TA_ti!L$49*TA_ti!$BF10)</f>
        <v>10000</v>
      </c>
      <c r="M10" s="4">
        <f>+IF(TA_ti!M10*TA_ti!M$49*TA_ti!$BF10=0,10000,TA_ti!M10*TA_ti!M$49*TA_ti!$BF10)</f>
        <v>10000</v>
      </c>
      <c r="N10" s="4">
        <f>+IF(TA_ti!N10*TA_ti!N$49*TA_ti!$BF10=0,10000,TA_ti!N10*TA_ti!N$49*TA_ti!$BF10)</f>
        <v>10000</v>
      </c>
      <c r="O10" s="4">
        <f>+IF(TA_ti!O10*TA_ti!O$49*TA_ti!$BF10=0,10000,TA_ti!O10*TA_ti!O$49*TA_ti!$BF10)</f>
        <v>10000</v>
      </c>
      <c r="P10" s="4">
        <f>+IF(TA_ti!P10*TA_ti!P$49*TA_ti!$BF10=0,10000,TA_ti!P10*TA_ti!P$49*TA_ti!$BF10)</f>
        <v>10000</v>
      </c>
      <c r="Q10" s="4">
        <f>+IF(TA_ti!Q10*TA_ti!Q$49*TA_ti!$BF10=0,10000,TA_ti!Q10*TA_ti!Q$49*TA_ti!$BF10)</f>
        <v>10000</v>
      </c>
      <c r="R10" s="4">
        <f>+IF(TA_ti!R10*TA_ti!R$49*TA_ti!$BF10=0,10000,TA_ti!R10*TA_ti!R$49*TA_ti!$BF10)</f>
        <v>10000</v>
      </c>
      <c r="S10" s="4">
        <f>+IF(TA_ti!S10*TA_ti!S$49*TA_ti!$BF10=0,10000,TA_ti!S10*TA_ti!S$49*TA_ti!$BF10)</f>
        <v>10000</v>
      </c>
      <c r="T10" s="4">
        <f>+IF(TA_ti!T10*TA_ti!T$49*TA_ti!$BF10=0,10000,TA_ti!T10*TA_ti!T$49*TA_ti!$BF10)</f>
        <v>10000</v>
      </c>
      <c r="U10" s="4">
        <f>+IF(TA_ti!U10*TA_ti!U$49*TA_ti!$BF10=0,10000,TA_ti!U10*TA_ti!U$49*TA_ti!$BF10)</f>
        <v>10000</v>
      </c>
      <c r="V10" s="4">
        <f>+IF(TA_ti!V10*TA_ti!V$49*TA_ti!$BF10=0,10000,TA_ti!V10*TA_ti!V$49*TA_ti!$BF10)</f>
        <v>10000</v>
      </c>
      <c r="W10" s="4">
        <f>+IF(TA_ti!W10*TA_ti!W$49*TA_ti!$BF10=0,10000,TA_ti!W10*TA_ti!W$49*TA_ti!$BF10)</f>
        <v>10000</v>
      </c>
      <c r="X10" s="4">
        <f>+IF(TA_ti!X10*TA_ti!X$49*TA_ti!$BF10=0,10000,TA_ti!X10*TA_ti!X$49*TA_ti!$BF10)</f>
        <v>10000</v>
      </c>
      <c r="Y10" s="4">
        <f>+IF(TA_ti!Y10*TA_ti!Y$49*TA_ti!$BF10=0,10000,TA_ti!Y10*TA_ti!Y$49*TA_ti!$BF10)</f>
        <v>10000</v>
      </c>
      <c r="Z10" s="4">
        <f>+IF(TA_ti!Z10*TA_ti!Z$49*TA_ti!$BF10=0,10000,TA_ti!Z10*TA_ti!Z$49*TA_ti!$BF10)</f>
        <v>10000</v>
      </c>
      <c r="AA10" s="4">
        <f>+IF(TA_ti!AA10*TA_ti!AA$49*TA_ti!$BF10=0,10000,TA_ti!AA10*TA_ti!AA$49*TA_ti!$BF10)</f>
        <v>10000</v>
      </c>
      <c r="AB10" s="4">
        <f>+IF(TA_ti!AB10*TA_ti!AB$49*TA_ti!$BF10=0,10000,TA_ti!AB10*TA_ti!AB$49*TA_ti!$BF10)</f>
        <v>10000</v>
      </c>
      <c r="AC10" s="4">
        <f>+IF(TA_ti!AC10*TA_ti!AC$49*TA_ti!$BF10=0,10000,TA_ti!AC10*TA_ti!AC$49*TA_ti!$BF10)</f>
        <v>10000</v>
      </c>
      <c r="AD10" s="4">
        <f>+IF(TA_ti!AD10*TA_ti!AD$49*TA_ti!$BF10=0,10000,TA_ti!AD10*TA_ti!AD$49*TA_ti!$BF10)</f>
        <v>10000</v>
      </c>
      <c r="AE10" s="4">
        <f>+IF(TA_ti!AE10*TA_ti!AE$49*TA_ti!$BF10=0,10000,TA_ti!AE10*TA_ti!AE$49*TA_ti!$BF10)</f>
        <v>10000</v>
      </c>
      <c r="AF10" s="4">
        <f>+IF(TA_ti!AF10*TA_ti!AF$49*TA_ti!$BF10=0,10000,TA_ti!AF10*TA_ti!AF$49*TA_ti!$BF10)</f>
        <v>10000</v>
      </c>
      <c r="AG10" s="4">
        <f>+IF(TA_ti!AG10*TA_ti!AG$49*TA_ti!$BF10=0,10000,TA_ti!AG10*TA_ti!AG$49*TA_ti!$BF10)</f>
        <v>10000</v>
      </c>
      <c r="AH10" s="4">
        <f>+IF(TA_ti!AH10*TA_ti!AH$49*TA_ti!$BF10=0,10000,TA_ti!AH10*TA_ti!AH$49*TA_ti!$BF10)</f>
        <v>10000</v>
      </c>
      <c r="AI10" s="4">
        <f>+IF(TA_ti!AI10*TA_ti!AI$49*TA_ti!$BF10=0,10000,TA_ti!AI10*TA_ti!AI$49*TA_ti!$BF10)</f>
        <v>10000</v>
      </c>
      <c r="AJ10" s="4">
        <f>+IF(TA_ti!AJ10*TA_ti!AJ$49*TA_ti!$BF10=0,10000,TA_ti!AJ10*TA_ti!AJ$49*TA_ti!$BF10)</f>
        <v>10000</v>
      </c>
      <c r="AK10" s="4">
        <f>+IF(TA_ti!AK10*TA_ti!AK$49*TA_ti!$BF10=0,10000,TA_ti!AK10*TA_ti!AK$49*TA_ti!$BF10)</f>
        <v>10000</v>
      </c>
      <c r="AL10" s="4">
        <f>+IF(TA_ti!AL10*TA_ti!AL$49*TA_ti!$BF10=0,10000,TA_ti!AL10*TA_ti!AL$49*TA_ti!$BF10)</f>
        <v>10000</v>
      </c>
      <c r="AM10" s="4">
        <f>+IF(TA_ti!AM10*TA_ti!AM$49*TA_ti!$BF10=0,10000,TA_ti!AM10*TA_ti!AM$49*TA_ti!$BF10)</f>
        <v>10000</v>
      </c>
      <c r="AN10" s="4">
        <f>+IF(TA_ti!AN10*TA_ti!AN$49*TA_ti!$BF10=0,10000,TA_ti!AN10*TA_ti!AN$49*TA_ti!$BF10)</f>
        <v>10000</v>
      </c>
      <c r="AO10" s="4">
        <f>+IF(TA_ti!AO10*TA_ti!AO$49*TA_ti!$BF10=0,10000,TA_ti!AO10*TA_ti!AO$49*TA_ti!$BF10)</f>
        <v>10000</v>
      </c>
      <c r="AP10" s="4">
        <f>+IF(TA_ti!AP10*TA_ti!AP$49*TA_ti!$BF10=0,10000,TA_ti!AP10*TA_ti!AP$49*TA_ti!$BF10)</f>
        <v>10000</v>
      </c>
      <c r="AQ10" s="4">
        <f>+IF(TA_ti!AQ10*TA_ti!AQ$49*TA_ti!$BF10=0,10000,TA_ti!AQ10*TA_ti!AQ$49*TA_ti!$BF10)</f>
        <v>10000</v>
      </c>
      <c r="AR10" s="4">
        <f>+IF(TA_ti!AR10*TA_ti!AR$49*TA_ti!$BF10=0,10000,TA_ti!AR10*TA_ti!AR$49*TA_ti!$BF10)</f>
        <v>10000</v>
      </c>
      <c r="AS10" s="4">
        <f>+IF(TA_ti!AS10*TA_ti!AS$49*TA_ti!$BF10=0,10000,TA_ti!AS10*TA_ti!AS$49*TA_ti!$BF10)</f>
        <v>10000</v>
      </c>
      <c r="AT10" s="4">
        <f>+IF(TA_ti!AT10*TA_ti!AT$49*TA_ti!$BF10=0,10000,TA_ti!AT10*TA_ti!AT$49*TA_ti!$BF10)</f>
        <v>10000</v>
      </c>
      <c r="AU10" s="4">
        <f>+IF(TA_ti!AU10*TA_ti!AU$49*TA_ti!$BF10=0,10000,TA_ti!AU10*TA_ti!AU$49*TA_ti!$BF10)</f>
        <v>10000</v>
      </c>
      <c r="AV10" s="4">
        <f>+IF(TA_ti!AV10*TA_ti!AV$49*TA_ti!$BF10=0,10000,TA_ti!AV10*TA_ti!AV$49*TA_ti!$BF10)</f>
        <v>10000</v>
      </c>
      <c r="AW10" s="4">
        <f>+IF(TA_ti!AW10*TA_ti!AW$49*TA_ti!$BF10=0,10000,TA_ti!AW10*TA_ti!AW$49*TA_ti!$BF10)</f>
        <v>10000</v>
      </c>
      <c r="AX10" s="4">
        <f>+IF(TA_ti!AX10*TA_ti!AX$49*TA_ti!$BF10=0,10000,TA_ti!AX10*TA_ti!AX$49*TA_ti!$BF10)</f>
        <v>10000</v>
      </c>
      <c r="AY10" s="4">
        <f>+IF(TA_ti!AY10*TA_ti!AY$49*TA_ti!$BF10=0,10000,TA_ti!AY10*TA_ti!AY$49*TA_ti!$BF10)</f>
        <v>10000</v>
      </c>
      <c r="AZ10" s="4">
        <f>+IF(TA_ti!AZ10*TA_ti!AZ$49*TA_ti!$BF10=0,10000,TA_ti!AZ10*TA_ti!AZ$49*TA_ti!$BF10)</f>
        <v>10000</v>
      </c>
      <c r="BA10" s="4">
        <f>+IF(TA_ti!BA10*TA_ti!BA$49*TA_ti!$BF10=0,10000,TA_ti!BA10*TA_ti!BA$49*TA_ti!$BF10)</f>
        <v>10000</v>
      </c>
      <c r="BB10" s="4">
        <f>+IF(TA_ti!BB10*TA_ti!BB$49*TA_ti!$BF10=0,10000,TA_ti!BB10*TA_ti!BB$49*TA_ti!$BF10)</f>
        <v>10000</v>
      </c>
      <c r="BC10" s="4">
        <f>+IF(TA_ti!BC10*TA_ti!BC$49*TA_ti!$BF10=0,10000,TA_ti!BC10*TA_ti!BC$49*TA_ti!$BF10)</f>
        <v>10000</v>
      </c>
    </row>
    <row r="11" spans="1:55" ht="18.75" customHeight="1" x14ac:dyDescent="0.25">
      <c r="A11" s="5" t="s">
        <v>62</v>
      </c>
      <c r="B11" s="4">
        <f>+IF(TA_ti!B11*TA_ti!B$49*TA_ti!$BF11=0,10000,TA_ti!B11*TA_ti!B$49*TA_ti!$BF11)</f>
        <v>10000</v>
      </c>
      <c r="C11" s="4">
        <f>+IF(TA_ti!C11*TA_ti!C$49*TA_ti!$BF11=0,10000,TA_ti!C11*TA_ti!C$49*TA_ti!$BF11)</f>
        <v>10000</v>
      </c>
      <c r="D11" s="4">
        <f>+IF(TA_ti!D11*TA_ti!D$49*TA_ti!$BF11=0,10000,TA_ti!D11*TA_ti!D$49*TA_ti!$BF11)</f>
        <v>10000</v>
      </c>
      <c r="E11" s="4">
        <f>+IF(TA_ti!E11*TA_ti!E$49*TA_ti!$BF11=0,10000,TA_ti!E11*TA_ti!E$49*TA_ti!$BF11)</f>
        <v>10000</v>
      </c>
      <c r="F11" s="4">
        <f>+IF(TA_ti!F11*TA_ti!F$49*TA_ti!$BF11=0,10000,TA_ti!F11*TA_ti!F$49*TA_ti!$BF11)</f>
        <v>10000</v>
      </c>
      <c r="G11" s="4">
        <f>+IF(TA_ti!G11*TA_ti!G$49*TA_ti!$BF11=0,10000,TA_ti!G11*TA_ti!G$49*TA_ti!$BF11)</f>
        <v>10000</v>
      </c>
      <c r="H11" s="4">
        <f>+IF(TA_ti!H11*TA_ti!H$49*TA_ti!$BF11=0,10000,TA_ti!H11*TA_ti!H$49*TA_ti!$BF11)</f>
        <v>10000</v>
      </c>
      <c r="I11" s="4">
        <f>+IF(TA_ti!I11*TA_ti!I$49*TA_ti!$BF11=0,10000,TA_ti!I11*TA_ti!I$49*TA_ti!$BF11)</f>
        <v>10000</v>
      </c>
      <c r="J11" s="4">
        <f>+IF(TA_ti!J11*TA_ti!J$49*TA_ti!$BF11=0,10000,TA_ti!J11*TA_ti!J$49*TA_ti!$BF11)</f>
        <v>10000</v>
      </c>
      <c r="K11" s="4">
        <f>+IF(TA_ti!K11*TA_ti!K$49*TA_ti!$BF11=0,10000,TA_ti!K11*TA_ti!K$49*TA_ti!$BF11)</f>
        <v>10000</v>
      </c>
      <c r="L11" s="4">
        <f>+IF(TA_ti!L11*TA_ti!L$49*TA_ti!$BF11=0,10000,TA_ti!L11*TA_ti!L$49*TA_ti!$BF11)</f>
        <v>10000</v>
      </c>
      <c r="M11" s="4">
        <f>+IF(TA_ti!M11*TA_ti!M$49*TA_ti!$BF11=0,10000,TA_ti!M11*TA_ti!M$49*TA_ti!$BF11)</f>
        <v>10000</v>
      </c>
      <c r="N11" s="4">
        <f>+IF(TA_ti!N11*TA_ti!N$49*TA_ti!$BF11=0,10000,TA_ti!N11*TA_ti!N$49*TA_ti!$BF11)</f>
        <v>10000</v>
      </c>
      <c r="O11" s="4">
        <f>+IF(TA_ti!O11*TA_ti!O$49*TA_ti!$BF11=0,10000,TA_ti!O11*TA_ti!O$49*TA_ti!$BF11)</f>
        <v>10000</v>
      </c>
      <c r="P11" s="4">
        <f>+IF(TA_ti!P11*TA_ti!P$49*TA_ti!$BF11=0,10000,TA_ti!P11*TA_ti!P$49*TA_ti!$BF11)</f>
        <v>10000</v>
      </c>
      <c r="Q11" s="4">
        <f>+IF(TA_ti!Q11*TA_ti!Q$49*TA_ti!$BF11=0,10000,TA_ti!Q11*TA_ti!Q$49*TA_ti!$BF11)</f>
        <v>10000</v>
      </c>
      <c r="R11" s="4">
        <f>+IF(TA_ti!R11*TA_ti!R$49*TA_ti!$BF11=0,10000,TA_ti!R11*TA_ti!R$49*TA_ti!$BF11)</f>
        <v>10000</v>
      </c>
      <c r="S11" s="4">
        <f>+IF(TA_ti!S11*TA_ti!S$49*TA_ti!$BF11=0,10000,TA_ti!S11*TA_ti!S$49*TA_ti!$BF11)</f>
        <v>10000</v>
      </c>
      <c r="T11" s="4">
        <f>+IF(TA_ti!T11*TA_ti!T$49*TA_ti!$BF11=0,10000,TA_ti!T11*TA_ti!T$49*TA_ti!$BF11)</f>
        <v>10000</v>
      </c>
      <c r="U11" s="4">
        <f>+IF(TA_ti!U11*TA_ti!U$49*TA_ti!$BF11=0,10000,TA_ti!U11*TA_ti!U$49*TA_ti!$BF11)</f>
        <v>10000</v>
      </c>
      <c r="V11" s="4">
        <f>+IF(TA_ti!V11*TA_ti!V$49*TA_ti!$BF11=0,10000,TA_ti!V11*TA_ti!V$49*TA_ti!$BF11)</f>
        <v>10000</v>
      </c>
      <c r="W11" s="4">
        <f>+IF(TA_ti!W11*TA_ti!W$49*TA_ti!$BF11=0,10000,TA_ti!W11*TA_ti!W$49*TA_ti!$BF11)</f>
        <v>10000</v>
      </c>
      <c r="X11" s="4">
        <f>+IF(TA_ti!X11*TA_ti!X$49*TA_ti!$BF11=0,10000,TA_ti!X11*TA_ti!X$49*TA_ti!$BF11)</f>
        <v>10000</v>
      </c>
      <c r="Y11" s="4">
        <f>+IF(TA_ti!Y11*TA_ti!Y$49*TA_ti!$BF11=0,10000,TA_ti!Y11*TA_ti!Y$49*TA_ti!$BF11)</f>
        <v>10000</v>
      </c>
      <c r="Z11" s="4">
        <f>+IF(TA_ti!Z11*TA_ti!Z$49*TA_ti!$BF11=0,10000,TA_ti!Z11*TA_ti!Z$49*TA_ti!$BF11)</f>
        <v>10000</v>
      </c>
      <c r="AA11" s="4">
        <f>+IF(TA_ti!AA11*TA_ti!AA$49*TA_ti!$BF11=0,10000,TA_ti!AA11*TA_ti!AA$49*TA_ti!$BF11)</f>
        <v>10000</v>
      </c>
      <c r="AB11" s="4">
        <f>+IF(TA_ti!AB11*TA_ti!AB$49*TA_ti!$BF11=0,10000,TA_ti!AB11*TA_ti!AB$49*TA_ti!$BF11)</f>
        <v>10000</v>
      </c>
      <c r="AC11" s="4">
        <f>+IF(TA_ti!AC11*TA_ti!AC$49*TA_ti!$BF11=0,10000,TA_ti!AC11*TA_ti!AC$49*TA_ti!$BF11)</f>
        <v>10000</v>
      </c>
      <c r="AD11" s="4">
        <f>+IF(TA_ti!AD11*TA_ti!AD$49*TA_ti!$BF11=0,10000,TA_ti!AD11*TA_ti!AD$49*TA_ti!$BF11)</f>
        <v>10000</v>
      </c>
      <c r="AE11" s="4">
        <f>+IF(TA_ti!AE11*TA_ti!AE$49*TA_ti!$BF11=0,10000,TA_ti!AE11*TA_ti!AE$49*TA_ti!$BF11)</f>
        <v>10000</v>
      </c>
      <c r="AF11" s="4">
        <f>+IF(TA_ti!AF11*TA_ti!AF$49*TA_ti!$BF11=0,10000,TA_ti!AF11*TA_ti!AF$49*TA_ti!$BF11)</f>
        <v>10000</v>
      </c>
      <c r="AG11" s="4">
        <f>+IF(TA_ti!AG11*TA_ti!AG$49*TA_ti!$BF11=0,10000,TA_ti!AG11*TA_ti!AG$49*TA_ti!$BF11)</f>
        <v>10000</v>
      </c>
      <c r="AH11" s="4">
        <f>+IF(TA_ti!AH11*TA_ti!AH$49*TA_ti!$BF11=0,10000,TA_ti!AH11*TA_ti!AH$49*TA_ti!$BF11)</f>
        <v>10000</v>
      </c>
      <c r="AI11" s="4">
        <f>+IF(TA_ti!AI11*TA_ti!AI$49*TA_ti!$BF11=0,10000,TA_ti!AI11*TA_ti!AI$49*TA_ti!$BF11)</f>
        <v>10000</v>
      </c>
      <c r="AJ11" s="4">
        <f>+IF(TA_ti!AJ11*TA_ti!AJ$49*TA_ti!$BF11=0,10000,TA_ti!AJ11*TA_ti!AJ$49*TA_ti!$BF11)</f>
        <v>10000</v>
      </c>
      <c r="AK11" s="4">
        <f>+IF(TA_ti!AK11*TA_ti!AK$49*TA_ti!$BF11=0,10000,TA_ti!AK11*TA_ti!AK$49*TA_ti!$BF11)</f>
        <v>10000</v>
      </c>
      <c r="AL11" s="4">
        <f>+IF(TA_ti!AL11*TA_ti!AL$49*TA_ti!$BF11=0,10000,TA_ti!AL11*TA_ti!AL$49*TA_ti!$BF11)</f>
        <v>10000</v>
      </c>
      <c r="AM11" s="4">
        <f>+IF(TA_ti!AM11*TA_ti!AM$49*TA_ti!$BF11=0,10000,TA_ti!AM11*TA_ti!AM$49*TA_ti!$BF11)</f>
        <v>10000</v>
      </c>
      <c r="AN11" s="4">
        <f>+IF(TA_ti!AN11*TA_ti!AN$49*TA_ti!$BF11=0,10000,TA_ti!AN11*TA_ti!AN$49*TA_ti!$BF11)</f>
        <v>10000</v>
      </c>
      <c r="AO11" s="4">
        <f>+IF(TA_ti!AO11*TA_ti!AO$49*TA_ti!$BF11=0,10000,TA_ti!AO11*TA_ti!AO$49*TA_ti!$BF11)</f>
        <v>10000</v>
      </c>
      <c r="AP11" s="4">
        <f>+IF(TA_ti!AP11*TA_ti!AP$49*TA_ti!$BF11=0,10000,TA_ti!AP11*TA_ti!AP$49*TA_ti!$BF11)</f>
        <v>10000</v>
      </c>
      <c r="AQ11" s="4">
        <f>+IF(TA_ti!AQ11*TA_ti!AQ$49*TA_ti!$BF11=0,10000,TA_ti!AQ11*TA_ti!AQ$49*TA_ti!$BF11)</f>
        <v>10000</v>
      </c>
      <c r="AR11" s="4">
        <f>+IF(TA_ti!AR11*TA_ti!AR$49*TA_ti!$BF11=0,10000,TA_ti!AR11*TA_ti!AR$49*TA_ti!$BF11)</f>
        <v>10000</v>
      </c>
      <c r="AS11" s="4">
        <f>+IF(TA_ti!AS11*TA_ti!AS$49*TA_ti!$BF11=0,10000,TA_ti!AS11*TA_ti!AS$49*TA_ti!$BF11)</f>
        <v>10000</v>
      </c>
      <c r="AT11" s="4">
        <f>+IF(TA_ti!AT11*TA_ti!AT$49*TA_ti!$BF11=0,10000,TA_ti!AT11*TA_ti!AT$49*TA_ti!$BF11)</f>
        <v>10000</v>
      </c>
      <c r="AU11" s="4">
        <f>+IF(TA_ti!AU11*TA_ti!AU$49*TA_ti!$BF11=0,10000,TA_ti!AU11*TA_ti!AU$49*TA_ti!$BF11)</f>
        <v>10000</v>
      </c>
      <c r="AV11" s="4">
        <f>+IF(TA_ti!AV11*TA_ti!AV$49*TA_ti!$BF11=0,10000,TA_ti!AV11*TA_ti!AV$49*TA_ti!$BF11)</f>
        <v>10000</v>
      </c>
      <c r="AW11" s="4">
        <f>+IF(TA_ti!AW11*TA_ti!AW$49*TA_ti!$BF11=0,10000,TA_ti!AW11*TA_ti!AW$49*TA_ti!$BF11)</f>
        <v>10000</v>
      </c>
      <c r="AX11" s="4">
        <f>+IF(TA_ti!AX11*TA_ti!AX$49*TA_ti!$BF11=0,10000,TA_ti!AX11*TA_ti!AX$49*TA_ti!$BF11)</f>
        <v>10000</v>
      </c>
      <c r="AY11" s="4">
        <f>+IF(TA_ti!AY11*TA_ti!AY$49*TA_ti!$BF11=0,10000,TA_ti!AY11*TA_ti!AY$49*TA_ti!$BF11)</f>
        <v>10000</v>
      </c>
      <c r="AZ11" s="4">
        <f>+IF(TA_ti!AZ11*TA_ti!AZ$49*TA_ti!$BF11=0,10000,TA_ti!AZ11*TA_ti!AZ$49*TA_ti!$BF11)</f>
        <v>10000</v>
      </c>
      <c r="BA11" s="4">
        <f>+IF(TA_ti!BA11*TA_ti!BA$49*TA_ti!$BF11=0,10000,TA_ti!BA11*TA_ti!BA$49*TA_ti!$BF11)</f>
        <v>10000</v>
      </c>
      <c r="BB11" s="4">
        <f>+IF(TA_ti!BB11*TA_ti!BB$49*TA_ti!$BF11=0,10000,TA_ti!BB11*TA_ti!BB$49*TA_ti!$BF11)</f>
        <v>10000</v>
      </c>
      <c r="BC11" s="4">
        <f>+IF(TA_ti!BC11*TA_ti!BC$49*TA_ti!$BF11=0,10000,TA_ti!BC11*TA_ti!BC$49*TA_ti!$BF11)</f>
        <v>10000</v>
      </c>
    </row>
    <row r="12" spans="1:55" ht="18.75" customHeight="1" x14ac:dyDescent="0.25">
      <c r="A12" s="5" t="s">
        <v>63</v>
      </c>
      <c r="B12" s="4">
        <f>+IF(TA_ti!B12*TA_ti!B$49*TA_ti!$BF12=0,10000,TA_ti!B12*TA_ti!B$49*TA_ti!$BF12)</f>
        <v>10000</v>
      </c>
      <c r="C12" s="4">
        <f>+IF(TA_ti!C12*TA_ti!C$49*TA_ti!$BF12=0,10000,TA_ti!C12*TA_ti!C$49*TA_ti!$BF12)</f>
        <v>10000</v>
      </c>
      <c r="D12" s="4">
        <f>+IF(TA_ti!D12*TA_ti!D$49*TA_ti!$BF12=0,10000,TA_ti!D12*TA_ti!D$49*TA_ti!$BF12)</f>
        <v>10000</v>
      </c>
      <c r="E12" s="4">
        <f>+IF(TA_ti!E12*TA_ti!E$49*TA_ti!$BF12=0,10000,TA_ti!E12*TA_ti!E$49*TA_ti!$BF12)</f>
        <v>10000</v>
      </c>
      <c r="F12" s="4">
        <f>+IF(TA_ti!F12*TA_ti!F$49*TA_ti!$BF12=0,10000,TA_ti!F12*TA_ti!F$49*TA_ti!$BF12)</f>
        <v>10000</v>
      </c>
      <c r="G12" s="4">
        <f>+IF(TA_ti!G12*TA_ti!G$49*TA_ti!$BF12=0,10000,TA_ti!G12*TA_ti!G$49*TA_ti!$BF12)</f>
        <v>12</v>
      </c>
      <c r="H12" s="4">
        <f>+IF(TA_ti!H12*TA_ti!H$49*TA_ti!$BF12=0,10000,TA_ti!H12*TA_ti!H$49*TA_ti!$BF12)</f>
        <v>10000</v>
      </c>
      <c r="I12" s="4">
        <f>+IF(TA_ti!I12*TA_ti!I$49*TA_ti!$BF12=0,10000,TA_ti!I12*TA_ti!I$49*TA_ti!$BF12)</f>
        <v>10000</v>
      </c>
      <c r="J12" s="4">
        <f>+IF(TA_ti!J12*TA_ti!J$49*TA_ti!$BF12=0,10000,TA_ti!J12*TA_ti!J$49*TA_ti!$BF12)</f>
        <v>10000</v>
      </c>
      <c r="K12" s="4">
        <f>+IF(TA_ti!K12*TA_ti!K$49*TA_ti!$BF12=0,10000,TA_ti!K12*TA_ti!K$49*TA_ti!$BF12)</f>
        <v>10000</v>
      </c>
      <c r="L12" s="4">
        <f>+IF(TA_ti!L12*TA_ti!L$49*TA_ti!$BF12=0,10000,TA_ti!L12*TA_ti!L$49*TA_ti!$BF12)</f>
        <v>10000</v>
      </c>
      <c r="M12" s="4">
        <f>+IF(TA_ti!M12*TA_ti!M$49*TA_ti!$BF12=0,10000,TA_ti!M12*TA_ti!M$49*TA_ti!$BF12)</f>
        <v>10000</v>
      </c>
      <c r="N12" s="4">
        <f>+IF(TA_ti!N12*TA_ti!N$49*TA_ti!$BF12=0,10000,TA_ti!N12*TA_ti!N$49*TA_ti!$BF12)</f>
        <v>10000</v>
      </c>
      <c r="O12" s="4">
        <f>+IF(TA_ti!O12*TA_ti!O$49*TA_ti!$BF12=0,10000,TA_ti!O12*TA_ti!O$49*TA_ti!$BF12)</f>
        <v>10000</v>
      </c>
      <c r="P12" s="4">
        <f>+IF(TA_ti!P12*TA_ti!P$49*TA_ti!$BF12=0,10000,TA_ti!P12*TA_ti!P$49*TA_ti!$BF12)</f>
        <v>10000</v>
      </c>
      <c r="Q12" s="4">
        <f>+IF(TA_ti!Q12*TA_ti!Q$49*TA_ti!$BF12=0,10000,TA_ti!Q12*TA_ti!Q$49*TA_ti!$BF12)</f>
        <v>10000</v>
      </c>
      <c r="R12" s="4">
        <f>+IF(TA_ti!R12*TA_ti!R$49*TA_ti!$BF12=0,10000,TA_ti!R12*TA_ti!R$49*TA_ti!$BF12)</f>
        <v>10000</v>
      </c>
      <c r="S12" s="4">
        <f>+IF(TA_ti!S12*TA_ti!S$49*TA_ti!$BF12=0,10000,TA_ti!S12*TA_ti!S$49*TA_ti!$BF12)</f>
        <v>10000</v>
      </c>
      <c r="T12" s="4">
        <f>+IF(TA_ti!T12*TA_ti!T$49*TA_ti!$BF12=0,10000,TA_ti!T12*TA_ti!T$49*TA_ti!$BF12)</f>
        <v>10000</v>
      </c>
      <c r="U12" s="4">
        <f>+IF(TA_ti!U12*TA_ti!U$49*TA_ti!$BF12=0,10000,TA_ti!U12*TA_ti!U$49*TA_ti!$BF12)</f>
        <v>10000</v>
      </c>
      <c r="V12" s="4">
        <f>+IF(TA_ti!V12*TA_ti!V$49*TA_ti!$BF12=0,10000,TA_ti!V12*TA_ti!V$49*TA_ti!$BF12)</f>
        <v>10000</v>
      </c>
      <c r="W12" s="4">
        <f>+IF(TA_ti!W12*TA_ti!W$49*TA_ti!$BF12=0,10000,TA_ti!W12*TA_ti!W$49*TA_ti!$BF12)</f>
        <v>10000</v>
      </c>
      <c r="X12" s="4">
        <f>+IF(TA_ti!X12*TA_ti!X$49*TA_ti!$BF12=0,10000,TA_ti!X12*TA_ti!X$49*TA_ti!$BF12)</f>
        <v>10000</v>
      </c>
      <c r="Y12" s="4">
        <f>+IF(TA_ti!Y12*TA_ti!Y$49*TA_ti!$BF12=0,10000,TA_ti!Y12*TA_ti!Y$49*TA_ti!$BF12)</f>
        <v>10000</v>
      </c>
      <c r="Z12" s="4">
        <f>+IF(TA_ti!Z12*TA_ti!Z$49*TA_ti!$BF12=0,10000,TA_ti!Z12*TA_ti!Z$49*TA_ti!$BF12)</f>
        <v>10000</v>
      </c>
      <c r="AA12" s="4">
        <f>+IF(TA_ti!AA12*TA_ti!AA$49*TA_ti!$BF12=0,10000,TA_ti!AA12*TA_ti!AA$49*TA_ti!$BF12)</f>
        <v>10000</v>
      </c>
      <c r="AB12" s="4">
        <f>+IF(TA_ti!AB12*TA_ti!AB$49*TA_ti!$BF12=0,10000,TA_ti!AB12*TA_ti!AB$49*TA_ti!$BF12)</f>
        <v>10000</v>
      </c>
      <c r="AC12" s="4">
        <f>+IF(TA_ti!AC12*TA_ti!AC$49*TA_ti!$BF12=0,10000,TA_ti!AC12*TA_ti!AC$49*TA_ti!$BF12)</f>
        <v>10000</v>
      </c>
      <c r="AD12" s="4">
        <f>+IF(TA_ti!AD12*TA_ti!AD$49*TA_ti!$BF12=0,10000,TA_ti!AD12*TA_ti!AD$49*TA_ti!$BF12)</f>
        <v>10000</v>
      </c>
      <c r="AE12" s="4">
        <f>+IF(TA_ti!AE12*TA_ti!AE$49*TA_ti!$BF12=0,10000,TA_ti!AE12*TA_ti!AE$49*TA_ti!$BF12)</f>
        <v>10000</v>
      </c>
      <c r="AF12" s="4">
        <f>+IF(TA_ti!AF12*TA_ti!AF$49*TA_ti!$BF12=0,10000,TA_ti!AF12*TA_ti!AF$49*TA_ti!$BF12)</f>
        <v>10000</v>
      </c>
      <c r="AG12" s="4">
        <f>+IF(TA_ti!AG12*TA_ti!AG$49*TA_ti!$BF12=0,10000,TA_ti!AG12*TA_ti!AG$49*TA_ti!$BF12)</f>
        <v>10000</v>
      </c>
      <c r="AH12" s="4">
        <f>+IF(TA_ti!AH12*TA_ti!AH$49*TA_ti!$BF12=0,10000,TA_ti!AH12*TA_ti!AH$49*TA_ti!$BF12)</f>
        <v>10000</v>
      </c>
      <c r="AI12" s="4">
        <f>+IF(TA_ti!AI12*TA_ti!AI$49*TA_ti!$BF12=0,10000,TA_ti!AI12*TA_ti!AI$49*TA_ti!$BF12)</f>
        <v>10000</v>
      </c>
      <c r="AJ12" s="4">
        <f>+IF(TA_ti!AJ12*TA_ti!AJ$49*TA_ti!$BF12=0,10000,TA_ti!AJ12*TA_ti!AJ$49*TA_ti!$BF12)</f>
        <v>10000</v>
      </c>
      <c r="AK12" s="4">
        <f>+IF(TA_ti!AK12*TA_ti!AK$49*TA_ti!$BF12=0,10000,TA_ti!AK12*TA_ti!AK$49*TA_ti!$BF12)</f>
        <v>10000</v>
      </c>
      <c r="AL12" s="4">
        <f>+IF(TA_ti!AL12*TA_ti!AL$49*TA_ti!$BF12=0,10000,TA_ti!AL12*TA_ti!AL$49*TA_ti!$BF12)</f>
        <v>10000</v>
      </c>
      <c r="AM12" s="4">
        <f>+IF(TA_ti!AM12*TA_ti!AM$49*TA_ti!$BF12=0,10000,TA_ti!AM12*TA_ti!AM$49*TA_ti!$BF12)</f>
        <v>10000</v>
      </c>
      <c r="AN12" s="4">
        <f>+IF(TA_ti!AN12*TA_ti!AN$49*TA_ti!$BF12=0,10000,TA_ti!AN12*TA_ti!AN$49*TA_ti!$BF12)</f>
        <v>10000</v>
      </c>
      <c r="AO12" s="4">
        <f>+IF(TA_ti!AO12*TA_ti!AO$49*TA_ti!$BF12=0,10000,TA_ti!AO12*TA_ti!AO$49*TA_ti!$BF12)</f>
        <v>10000</v>
      </c>
      <c r="AP12" s="4">
        <f>+IF(TA_ti!AP12*TA_ti!AP$49*TA_ti!$BF12=0,10000,TA_ti!AP12*TA_ti!AP$49*TA_ti!$BF12)</f>
        <v>10000</v>
      </c>
      <c r="AQ12" s="4">
        <f>+IF(TA_ti!AQ12*TA_ti!AQ$49*TA_ti!$BF12=0,10000,TA_ti!AQ12*TA_ti!AQ$49*TA_ti!$BF12)</f>
        <v>10000</v>
      </c>
      <c r="AR12" s="4">
        <f>+IF(TA_ti!AR12*TA_ti!AR$49*TA_ti!$BF12=0,10000,TA_ti!AR12*TA_ti!AR$49*TA_ti!$BF12)</f>
        <v>10000</v>
      </c>
      <c r="AS12" s="4">
        <f>+IF(TA_ti!AS12*TA_ti!AS$49*TA_ti!$BF12=0,10000,TA_ti!AS12*TA_ti!AS$49*TA_ti!$BF12)</f>
        <v>10000</v>
      </c>
      <c r="AT12" s="4">
        <f>+IF(TA_ti!AT12*TA_ti!AT$49*TA_ti!$BF12=0,10000,TA_ti!AT12*TA_ti!AT$49*TA_ti!$BF12)</f>
        <v>10000</v>
      </c>
      <c r="AU12" s="4">
        <f>+IF(TA_ti!AU12*TA_ti!AU$49*TA_ti!$BF12=0,10000,TA_ti!AU12*TA_ti!AU$49*TA_ti!$BF12)</f>
        <v>10000</v>
      </c>
      <c r="AV12" s="4">
        <f>+IF(TA_ti!AV12*TA_ti!AV$49*TA_ti!$BF12=0,10000,TA_ti!AV12*TA_ti!AV$49*TA_ti!$BF12)</f>
        <v>10000</v>
      </c>
      <c r="AW12" s="4">
        <f>+IF(TA_ti!AW12*TA_ti!AW$49*TA_ti!$BF12=0,10000,TA_ti!AW12*TA_ti!AW$49*TA_ti!$BF12)</f>
        <v>10000</v>
      </c>
      <c r="AX12" s="4">
        <f>+IF(TA_ti!AX12*TA_ti!AX$49*TA_ti!$BF12=0,10000,TA_ti!AX12*TA_ti!AX$49*TA_ti!$BF12)</f>
        <v>10000</v>
      </c>
      <c r="AY12" s="4">
        <f>+IF(TA_ti!AY12*TA_ti!AY$49*TA_ti!$BF12=0,10000,TA_ti!AY12*TA_ti!AY$49*TA_ti!$BF12)</f>
        <v>10000</v>
      </c>
      <c r="AZ12" s="4">
        <f>+IF(TA_ti!AZ12*TA_ti!AZ$49*TA_ti!$BF12=0,10000,TA_ti!AZ12*TA_ti!AZ$49*TA_ti!$BF12)</f>
        <v>10000</v>
      </c>
      <c r="BA12" s="4">
        <f>+IF(TA_ti!BA12*TA_ti!BA$49*TA_ti!$BF12=0,10000,TA_ti!BA12*TA_ti!BA$49*TA_ti!$BF12)</f>
        <v>10000</v>
      </c>
      <c r="BB12" s="4">
        <f>+IF(TA_ti!BB12*TA_ti!BB$49*TA_ti!$BF12=0,10000,TA_ti!BB12*TA_ti!BB$49*TA_ti!$BF12)</f>
        <v>10000</v>
      </c>
      <c r="BC12" s="4">
        <f>+IF(TA_ti!BC12*TA_ti!BC$49*TA_ti!$BF12=0,10000,TA_ti!BC12*TA_ti!BC$49*TA_ti!$BF12)</f>
        <v>10000</v>
      </c>
    </row>
    <row r="13" spans="1:55" ht="18.75" customHeight="1" x14ac:dyDescent="0.25">
      <c r="A13" s="5" t="s">
        <v>64</v>
      </c>
      <c r="B13" s="4">
        <f>+IF(TA_ti!B13*TA_ti!B$49*TA_ti!$BF13=0,10000,TA_ti!B13*TA_ti!B$49*TA_ti!$BF13)</f>
        <v>10000</v>
      </c>
      <c r="C13" s="4">
        <f>+IF(TA_ti!C13*TA_ti!C$49*TA_ti!$BF13=0,10000,TA_ti!C13*TA_ti!C$49*TA_ti!$BF13)</f>
        <v>10000</v>
      </c>
      <c r="D13" s="4">
        <f>+IF(TA_ti!D13*TA_ti!D$49*TA_ti!$BF13=0,10000,TA_ti!D13*TA_ti!D$49*TA_ti!$BF13)</f>
        <v>10000</v>
      </c>
      <c r="E13" s="4">
        <f>+IF(TA_ti!E13*TA_ti!E$49*TA_ti!$BF13=0,10000,TA_ti!E13*TA_ti!E$49*TA_ti!$BF13)</f>
        <v>10000</v>
      </c>
      <c r="F13" s="4">
        <f>+IF(TA_ti!F13*TA_ti!F$49*TA_ti!$BF13=0,10000,TA_ti!F13*TA_ti!F$49*TA_ti!$BF13)</f>
        <v>10000</v>
      </c>
      <c r="G13" s="4">
        <f>+IF(TA_ti!G13*TA_ti!G$49*TA_ti!$BF13=0,10000,TA_ti!G13*TA_ti!G$49*TA_ti!$BF13)</f>
        <v>10000</v>
      </c>
      <c r="H13" s="4">
        <f>+IF(TA_ti!H13*TA_ti!H$49*TA_ti!$BF13=0,10000,TA_ti!H13*TA_ti!H$49*TA_ti!$BF13)</f>
        <v>10000</v>
      </c>
      <c r="I13" s="4">
        <f>+IF(TA_ti!I13*TA_ti!I$49*TA_ti!$BF13=0,10000,TA_ti!I13*TA_ti!I$49*TA_ti!$BF13)</f>
        <v>10000</v>
      </c>
      <c r="J13" s="4">
        <f>+IF(TA_ti!J13*TA_ti!J$49*TA_ti!$BF13=0,10000,TA_ti!J13*TA_ti!J$49*TA_ti!$BF13)</f>
        <v>10000</v>
      </c>
      <c r="K13" s="4">
        <f>+IF(TA_ti!K13*TA_ti!K$49*TA_ti!$BF13=0,10000,TA_ti!K13*TA_ti!K$49*TA_ti!$BF13)</f>
        <v>10000</v>
      </c>
      <c r="L13" s="4">
        <f>+IF(TA_ti!L13*TA_ti!L$49*TA_ti!$BF13=0,10000,TA_ti!L13*TA_ti!L$49*TA_ti!$BF13)</f>
        <v>10000</v>
      </c>
      <c r="M13" s="4">
        <f>+IF(TA_ti!M13*TA_ti!M$49*TA_ti!$BF13=0,10000,TA_ti!M13*TA_ti!M$49*TA_ti!$BF13)</f>
        <v>10000</v>
      </c>
      <c r="N13" s="4">
        <f>+IF(TA_ti!N13*TA_ti!N$49*TA_ti!$BF13=0,10000,TA_ti!N13*TA_ti!N$49*TA_ti!$BF13)</f>
        <v>10000</v>
      </c>
      <c r="O13" s="4">
        <f>+IF(TA_ti!O13*TA_ti!O$49*TA_ti!$BF13=0,10000,TA_ti!O13*TA_ti!O$49*TA_ti!$BF13)</f>
        <v>10000</v>
      </c>
      <c r="P13" s="4">
        <f>+IF(TA_ti!P13*TA_ti!P$49*TA_ti!$BF13=0,10000,TA_ti!P13*TA_ti!P$49*TA_ti!$BF13)</f>
        <v>10000</v>
      </c>
      <c r="Q13" s="4">
        <f>+IF(TA_ti!Q13*TA_ti!Q$49*TA_ti!$BF13=0,10000,TA_ti!Q13*TA_ti!Q$49*TA_ti!$BF13)</f>
        <v>10000</v>
      </c>
      <c r="R13" s="4">
        <f>+IF(TA_ti!R13*TA_ti!R$49*TA_ti!$BF13=0,10000,TA_ti!R13*TA_ti!R$49*TA_ti!$BF13)</f>
        <v>10000</v>
      </c>
      <c r="S13" s="4">
        <f>+IF(TA_ti!S13*TA_ti!S$49*TA_ti!$BF13=0,10000,TA_ti!S13*TA_ti!S$49*TA_ti!$BF13)</f>
        <v>10000</v>
      </c>
      <c r="T13" s="4">
        <f>+IF(TA_ti!T13*TA_ti!T$49*TA_ti!$BF13=0,10000,TA_ti!T13*TA_ti!T$49*TA_ti!$BF13)</f>
        <v>10000</v>
      </c>
      <c r="U13" s="4">
        <f>+IF(TA_ti!U13*TA_ti!U$49*TA_ti!$BF13=0,10000,TA_ti!U13*TA_ti!U$49*TA_ti!$BF13)</f>
        <v>10000</v>
      </c>
      <c r="V13" s="4">
        <f>+IF(TA_ti!V13*TA_ti!V$49*TA_ti!$BF13=0,10000,TA_ti!V13*TA_ti!V$49*TA_ti!$BF13)</f>
        <v>10000</v>
      </c>
      <c r="W13" s="4">
        <f>+IF(TA_ti!W13*TA_ti!W$49*TA_ti!$BF13=0,10000,TA_ti!W13*TA_ti!W$49*TA_ti!$BF13)</f>
        <v>10000</v>
      </c>
      <c r="X13" s="4">
        <f>+IF(TA_ti!X13*TA_ti!X$49*TA_ti!$BF13=0,10000,TA_ti!X13*TA_ti!X$49*TA_ti!$BF13)</f>
        <v>10000</v>
      </c>
      <c r="Y13" s="4">
        <f>+IF(TA_ti!Y13*TA_ti!Y$49*TA_ti!$BF13=0,10000,TA_ti!Y13*TA_ti!Y$49*TA_ti!$BF13)</f>
        <v>10000</v>
      </c>
      <c r="Z13" s="4">
        <f>+IF(TA_ti!Z13*TA_ti!Z$49*TA_ti!$BF13=0,10000,TA_ti!Z13*TA_ti!Z$49*TA_ti!$BF13)</f>
        <v>10000</v>
      </c>
      <c r="AA13" s="4">
        <f>+IF(TA_ti!AA13*TA_ti!AA$49*TA_ti!$BF13=0,10000,TA_ti!AA13*TA_ti!AA$49*TA_ti!$BF13)</f>
        <v>10000</v>
      </c>
      <c r="AB13" s="4">
        <f>+IF(TA_ti!AB13*TA_ti!AB$49*TA_ti!$BF13=0,10000,TA_ti!AB13*TA_ti!AB$49*TA_ti!$BF13)</f>
        <v>10000</v>
      </c>
      <c r="AC13" s="4">
        <f>+IF(TA_ti!AC13*TA_ti!AC$49*TA_ti!$BF13=0,10000,TA_ti!AC13*TA_ti!AC$49*TA_ti!$BF13)</f>
        <v>10000</v>
      </c>
      <c r="AD13" s="4">
        <f>+IF(TA_ti!AD13*TA_ti!AD$49*TA_ti!$BF13=0,10000,TA_ti!AD13*TA_ti!AD$49*TA_ti!$BF13)</f>
        <v>10000</v>
      </c>
      <c r="AE13" s="4">
        <f>+IF(TA_ti!AE13*TA_ti!AE$49*TA_ti!$BF13=0,10000,TA_ti!AE13*TA_ti!AE$49*TA_ti!$BF13)</f>
        <v>10000</v>
      </c>
      <c r="AF13" s="4">
        <f>+IF(TA_ti!AF13*TA_ti!AF$49*TA_ti!$BF13=0,10000,TA_ti!AF13*TA_ti!AF$49*TA_ti!$BF13)</f>
        <v>10000</v>
      </c>
      <c r="AG13" s="4">
        <f>+IF(TA_ti!AG13*TA_ti!AG$49*TA_ti!$BF13=0,10000,TA_ti!AG13*TA_ti!AG$49*TA_ti!$BF13)</f>
        <v>10000</v>
      </c>
      <c r="AH13" s="4">
        <f>+IF(TA_ti!AH13*TA_ti!AH$49*TA_ti!$BF13=0,10000,TA_ti!AH13*TA_ti!AH$49*TA_ti!$BF13)</f>
        <v>10000</v>
      </c>
      <c r="AI13" s="4">
        <f>+IF(TA_ti!AI13*TA_ti!AI$49*TA_ti!$BF13=0,10000,TA_ti!AI13*TA_ti!AI$49*TA_ti!$BF13)</f>
        <v>10000</v>
      </c>
      <c r="AJ13" s="4">
        <f>+IF(TA_ti!AJ13*TA_ti!AJ$49*TA_ti!$BF13=0,10000,TA_ti!AJ13*TA_ti!AJ$49*TA_ti!$BF13)</f>
        <v>10000</v>
      </c>
      <c r="AK13" s="4">
        <f>+IF(TA_ti!AK13*TA_ti!AK$49*TA_ti!$BF13=0,10000,TA_ti!AK13*TA_ti!AK$49*TA_ti!$BF13)</f>
        <v>10000</v>
      </c>
      <c r="AL13" s="4">
        <f>+IF(TA_ti!AL13*TA_ti!AL$49*TA_ti!$BF13=0,10000,TA_ti!AL13*TA_ti!AL$49*TA_ti!$BF13)</f>
        <v>10000</v>
      </c>
      <c r="AM13" s="4">
        <f>+IF(TA_ti!AM13*TA_ti!AM$49*TA_ti!$BF13=0,10000,TA_ti!AM13*TA_ti!AM$49*TA_ti!$BF13)</f>
        <v>10000</v>
      </c>
      <c r="AN13" s="4">
        <f>+IF(TA_ti!AN13*TA_ti!AN$49*TA_ti!$BF13=0,10000,TA_ti!AN13*TA_ti!AN$49*TA_ti!$BF13)</f>
        <v>10000</v>
      </c>
      <c r="AO13" s="4">
        <f>+IF(TA_ti!AO13*TA_ti!AO$49*TA_ti!$BF13=0,10000,TA_ti!AO13*TA_ti!AO$49*TA_ti!$BF13)</f>
        <v>10000</v>
      </c>
      <c r="AP13" s="4">
        <f>+IF(TA_ti!AP13*TA_ti!AP$49*TA_ti!$BF13=0,10000,TA_ti!AP13*TA_ti!AP$49*TA_ti!$BF13)</f>
        <v>10000</v>
      </c>
      <c r="AQ13" s="4">
        <f>+IF(TA_ti!AQ13*TA_ti!AQ$49*TA_ti!$BF13=0,10000,TA_ti!AQ13*TA_ti!AQ$49*TA_ti!$BF13)</f>
        <v>10000</v>
      </c>
      <c r="AR13" s="4">
        <f>+IF(TA_ti!AR13*TA_ti!AR$49*TA_ti!$BF13=0,10000,TA_ti!AR13*TA_ti!AR$49*TA_ti!$BF13)</f>
        <v>10000</v>
      </c>
      <c r="AS13" s="4">
        <f>+IF(TA_ti!AS13*TA_ti!AS$49*TA_ti!$BF13=0,10000,TA_ti!AS13*TA_ti!AS$49*TA_ti!$BF13)</f>
        <v>10000</v>
      </c>
      <c r="AT13" s="4">
        <f>+IF(TA_ti!AT13*TA_ti!AT$49*TA_ti!$BF13=0,10000,TA_ti!AT13*TA_ti!AT$49*TA_ti!$BF13)</f>
        <v>10000</v>
      </c>
      <c r="AU13" s="4">
        <f>+IF(TA_ti!AU13*TA_ti!AU$49*TA_ti!$BF13=0,10000,TA_ti!AU13*TA_ti!AU$49*TA_ti!$BF13)</f>
        <v>10000</v>
      </c>
      <c r="AV13" s="4">
        <f>+IF(TA_ti!AV13*TA_ti!AV$49*TA_ti!$BF13=0,10000,TA_ti!AV13*TA_ti!AV$49*TA_ti!$BF13)</f>
        <v>10000</v>
      </c>
      <c r="AW13" s="4">
        <f>+IF(TA_ti!AW13*TA_ti!AW$49*TA_ti!$BF13=0,10000,TA_ti!AW13*TA_ti!AW$49*TA_ti!$BF13)</f>
        <v>10000</v>
      </c>
      <c r="AX13" s="4">
        <f>+IF(TA_ti!AX13*TA_ti!AX$49*TA_ti!$BF13=0,10000,TA_ti!AX13*TA_ti!AX$49*TA_ti!$BF13)</f>
        <v>10000</v>
      </c>
      <c r="AY13" s="4">
        <f>+IF(TA_ti!AY13*TA_ti!AY$49*TA_ti!$BF13=0,10000,TA_ti!AY13*TA_ti!AY$49*TA_ti!$BF13)</f>
        <v>10000</v>
      </c>
      <c r="AZ13" s="4">
        <f>+IF(TA_ti!AZ13*TA_ti!AZ$49*TA_ti!$BF13=0,10000,TA_ti!AZ13*TA_ti!AZ$49*TA_ti!$BF13)</f>
        <v>10000</v>
      </c>
      <c r="BA13" s="4">
        <f>+IF(TA_ti!BA13*TA_ti!BA$49*TA_ti!$BF13=0,10000,TA_ti!BA13*TA_ti!BA$49*TA_ti!$BF13)</f>
        <v>10000</v>
      </c>
      <c r="BB13" s="4">
        <f>+IF(TA_ti!BB13*TA_ti!BB$49*TA_ti!$BF13=0,10000,TA_ti!BB13*TA_ti!BB$49*TA_ti!$BF13)</f>
        <v>10000</v>
      </c>
      <c r="BC13" s="4">
        <f>+IF(TA_ti!BC13*TA_ti!BC$49*TA_ti!$BF13=0,10000,TA_ti!BC13*TA_ti!BC$49*TA_ti!$BF13)</f>
        <v>10000</v>
      </c>
    </row>
    <row r="14" spans="1:55" ht="18.75" customHeight="1" x14ac:dyDescent="0.25">
      <c r="A14" s="5" t="s">
        <v>65</v>
      </c>
      <c r="B14" s="4">
        <f>+IF(TA_ti!B14*TA_ti!B$49*TA_ti!$BF14=0,10000,TA_ti!B14*TA_ti!B$49*TA_ti!$BF14)</f>
        <v>10000</v>
      </c>
      <c r="C14" s="4">
        <f>+IF(TA_ti!C14*TA_ti!C$49*TA_ti!$BF14=0,10000,TA_ti!C14*TA_ti!C$49*TA_ti!$BF14)</f>
        <v>10000</v>
      </c>
      <c r="D14" s="4">
        <f>+IF(TA_ti!D14*TA_ti!D$49*TA_ti!$BF14=0,10000,TA_ti!D14*TA_ti!D$49*TA_ti!$BF14)</f>
        <v>10000</v>
      </c>
      <c r="E14" s="4">
        <f>+IF(TA_ti!E14*TA_ti!E$49*TA_ti!$BF14=0,10000,TA_ti!E14*TA_ti!E$49*TA_ti!$BF14)</f>
        <v>10000</v>
      </c>
      <c r="F14" s="4">
        <f>+IF(TA_ti!F14*TA_ti!F$49*TA_ti!$BF14=0,10000,TA_ti!F14*TA_ti!F$49*TA_ti!$BF14)</f>
        <v>10000</v>
      </c>
      <c r="G14" s="4">
        <f>+IF(TA_ti!G14*TA_ti!G$49*TA_ti!$BF14=0,10000,TA_ti!G14*TA_ti!G$49*TA_ti!$BF14)</f>
        <v>10000</v>
      </c>
      <c r="H14" s="4">
        <f>+IF(TA_ti!H14*TA_ti!H$49*TA_ti!$BF14=0,10000,TA_ti!H14*TA_ti!H$49*TA_ti!$BF14)</f>
        <v>10000</v>
      </c>
      <c r="I14" s="4">
        <f>+IF(TA_ti!I14*TA_ti!I$49*TA_ti!$BF14=0,10000,TA_ti!I14*TA_ti!I$49*TA_ti!$BF14)</f>
        <v>10000</v>
      </c>
      <c r="J14" s="4">
        <f>+IF(TA_ti!J14*TA_ti!J$49*TA_ti!$BF14=0,10000,TA_ti!J14*TA_ti!J$49*TA_ti!$BF14)</f>
        <v>10000</v>
      </c>
      <c r="K14" s="4">
        <f>+IF(TA_ti!K14*TA_ti!K$49*TA_ti!$BF14=0,10000,TA_ti!K14*TA_ti!K$49*TA_ti!$BF14)</f>
        <v>10000</v>
      </c>
      <c r="L14" s="4">
        <f>+IF(TA_ti!L14*TA_ti!L$49*TA_ti!$BF14=0,10000,TA_ti!L14*TA_ti!L$49*TA_ti!$BF14)</f>
        <v>10000</v>
      </c>
      <c r="M14" s="4">
        <f>+IF(TA_ti!M14*TA_ti!M$49*TA_ti!$BF14=0,10000,TA_ti!M14*TA_ti!M$49*TA_ti!$BF14)</f>
        <v>10000</v>
      </c>
      <c r="N14" s="4">
        <f>+IF(TA_ti!N14*TA_ti!N$49*TA_ti!$BF14=0,10000,TA_ti!N14*TA_ti!N$49*TA_ti!$BF14)</f>
        <v>10000</v>
      </c>
      <c r="O14" s="4">
        <f>+IF(TA_ti!O14*TA_ti!O$49*TA_ti!$BF14=0,10000,TA_ti!O14*TA_ti!O$49*TA_ti!$BF14)</f>
        <v>10000</v>
      </c>
      <c r="P14" s="4">
        <f>+IF(TA_ti!P14*TA_ti!P$49*TA_ti!$BF14=0,10000,TA_ti!P14*TA_ti!P$49*TA_ti!$BF14)</f>
        <v>10000</v>
      </c>
      <c r="Q14" s="4">
        <f>+IF(TA_ti!Q14*TA_ti!Q$49*TA_ti!$BF14=0,10000,TA_ti!Q14*TA_ti!Q$49*TA_ti!$BF14)</f>
        <v>10000</v>
      </c>
      <c r="R14" s="4">
        <f>+IF(TA_ti!R14*TA_ti!R$49*TA_ti!$BF14=0,10000,TA_ti!R14*TA_ti!R$49*TA_ti!$BF14)</f>
        <v>10000</v>
      </c>
      <c r="S14" s="4">
        <f>+IF(TA_ti!S14*TA_ti!S$49*TA_ti!$BF14=0,10000,TA_ti!S14*TA_ti!S$49*TA_ti!$BF14)</f>
        <v>10000</v>
      </c>
      <c r="T14" s="4">
        <f>+IF(TA_ti!T14*TA_ti!T$49*TA_ti!$BF14=0,10000,TA_ti!T14*TA_ti!T$49*TA_ti!$BF14)</f>
        <v>10000</v>
      </c>
      <c r="U14" s="4">
        <f>+IF(TA_ti!U14*TA_ti!U$49*TA_ti!$BF14=0,10000,TA_ti!U14*TA_ti!U$49*TA_ti!$BF14)</f>
        <v>10000</v>
      </c>
      <c r="V14" s="4">
        <f>+IF(TA_ti!V14*TA_ti!V$49*TA_ti!$BF14=0,10000,TA_ti!V14*TA_ti!V$49*TA_ti!$BF14)</f>
        <v>10000</v>
      </c>
      <c r="W14" s="4">
        <f>+IF(TA_ti!W14*TA_ti!W$49*TA_ti!$BF14=0,10000,TA_ti!W14*TA_ti!W$49*TA_ti!$BF14)</f>
        <v>10000</v>
      </c>
      <c r="X14" s="4">
        <f>+IF(TA_ti!X14*TA_ti!X$49*TA_ti!$BF14=0,10000,TA_ti!X14*TA_ti!X$49*TA_ti!$BF14)</f>
        <v>10000</v>
      </c>
      <c r="Y14" s="4">
        <f>+IF(TA_ti!Y14*TA_ti!Y$49*TA_ti!$BF14=0,10000,TA_ti!Y14*TA_ti!Y$49*TA_ti!$BF14)</f>
        <v>10000</v>
      </c>
      <c r="Z14" s="4">
        <f>+IF(TA_ti!Z14*TA_ti!Z$49*TA_ti!$BF14=0,10000,TA_ti!Z14*TA_ti!Z$49*TA_ti!$BF14)</f>
        <v>10000</v>
      </c>
      <c r="AA14" s="4">
        <f>+IF(TA_ti!AA14*TA_ti!AA$49*TA_ti!$BF14=0,10000,TA_ti!AA14*TA_ti!AA$49*TA_ti!$BF14)</f>
        <v>10000</v>
      </c>
      <c r="AB14" s="4">
        <f>+IF(TA_ti!AB14*TA_ti!AB$49*TA_ti!$BF14=0,10000,TA_ti!AB14*TA_ti!AB$49*TA_ti!$BF14)</f>
        <v>10000</v>
      </c>
      <c r="AC14" s="4">
        <f>+IF(TA_ti!AC14*TA_ti!AC$49*TA_ti!$BF14=0,10000,TA_ti!AC14*TA_ti!AC$49*TA_ti!$BF14)</f>
        <v>10000</v>
      </c>
      <c r="AD14" s="4">
        <f>+IF(TA_ti!AD14*TA_ti!AD$49*TA_ti!$BF14=0,10000,TA_ti!AD14*TA_ti!AD$49*TA_ti!$BF14)</f>
        <v>10000</v>
      </c>
      <c r="AE14" s="4">
        <f>+IF(TA_ti!AE14*TA_ti!AE$49*TA_ti!$BF14=0,10000,TA_ti!AE14*TA_ti!AE$49*TA_ti!$BF14)</f>
        <v>10000</v>
      </c>
      <c r="AF14" s="4">
        <f>+IF(TA_ti!AF14*TA_ti!AF$49*TA_ti!$BF14=0,10000,TA_ti!AF14*TA_ti!AF$49*TA_ti!$BF14)</f>
        <v>10000</v>
      </c>
      <c r="AG14" s="4">
        <f>+IF(TA_ti!AG14*TA_ti!AG$49*TA_ti!$BF14=0,10000,TA_ti!AG14*TA_ti!AG$49*TA_ti!$BF14)</f>
        <v>10000</v>
      </c>
      <c r="AH14" s="4">
        <f>+IF(TA_ti!AH14*TA_ti!AH$49*TA_ti!$BF14=0,10000,TA_ti!AH14*TA_ti!AH$49*TA_ti!$BF14)</f>
        <v>10000</v>
      </c>
      <c r="AI14" s="4">
        <f>+IF(TA_ti!AI14*TA_ti!AI$49*TA_ti!$BF14=0,10000,TA_ti!AI14*TA_ti!AI$49*TA_ti!$BF14)</f>
        <v>10000</v>
      </c>
      <c r="AJ14" s="4">
        <f>+IF(TA_ti!AJ14*TA_ti!AJ$49*TA_ti!$BF14=0,10000,TA_ti!AJ14*TA_ti!AJ$49*TA_ti!$BF14)</f>
        <v>10000</v>
      </c>
      <c r="AK14" s="4">
        <f>+IF(TA_ti!AK14*TA_ti!AK$49*TA_ti!$BF14=0,10000,TA_ti!AK14*TA_ti!AK$49*TA_ti!$BF14)</f>
        <v>10000</v>
      </c>
      <c r="AL14" s="4">
        <f>+IF(TA_ti!AL14*TA_ti!AL$49*TA_ti!$BF14=0,10000,TA_ti!AL14*TA_ti!AL$49*TA_ti!$BF14)</f>
        <v>10000</v>
      </c>
      <c r="AM14" s="4">
        <f>+IF(TA_ti!AM14*TA_ti!AM$49*TA_ti!$BF14=0,10000,TA_ti!AM14*TA_ti!AM$49*TA_ti!$BF14)</f>
        <v>10000</v>
      </c>
      <c r="AN14" s="4">
        <f>+IF(TA_ti!AN14*TA_ti!AN$49*TA_ti!$BF14=0,10000,TA_ti!AN14*TA_ti!AN$49*TA_ti!$BF14)</f>
        <v>10000</v>
      </c>
      <c r="AO14" s="4">
        <f>+IF(TA_ti!AO14*TA_ti!AO$49*TA_ti!$BF14=0,10000,TA_ti!AO14*TA_ti!AO$49*TA_ti!$BF14)</f>
        <v>10000</v>
      </c>
      <c r="AP14" s="4">
        <f>+IF(TA_ti!AP14*TA_ti!AP$49*TA_ti!$BF14=0,10000,TA_ti!AP14*TA_ti!AP$49*TA_ti!$BF14)</f>
        <v>10000</v>
      </c>
      <c r="AQ14" s="4">
        <f>+IF(TA_ti!AQ14*TA_ti!AQ$49*TA_ti!$BF14=0,10000,TA_ti!AQ14*TA_ti!AQ$49*TA_ti!$BF14)</f>
        <v>10000</v>
      </c>
      <c r="AR14" s="4">
        <f>+IF(TA_ti!AR14*TA_ti!AR$49*TA_ti!$BF14=0,10000,TA_ti!AR14*TA_ti!AR$49*TA_ti!$BF14)</f>
        <v>10000</v>
      </c>
      <c r="AS14" s="4">
        <f>+IF(TA_ti!AS14*TA_ti!AS$49*TA_ti!$BF14=0,10000,TA_ti!AS14*TA_ti!AS$49*TA_ti!$BF14)</f>
        <v>10000</v>
      </c>
      <c r="AT14" s="4">
        <f>+IF(TA_ti!AT14*TA_ti!AT$49*TA_ti!$BF14=0,10000,TA_ti!AT14*TA_ti!AT$49*TA_ti!$BF14)</f>
        <v>10000</v>
      </c>
      <c r="AU14" s="4">
        <f>+IF(TA_ti!AU14*TA_ti!AU$49*TA_ti!$BF14=0,10000,TA_ti!AU14*TA_ti!AU$49*TA_ti!$BF14)</f>
        <v>10000</v>
      </c>
      <c r="AV14" s="4">
        <f>+IF(TA_ti!AV14*TA_ti!AV$49*TA_ti!$BF14=0,10000,TA_ti!AV14*TA_ti!AV$49*TA_ti!$BF14)</f>
        <v>10000</v>
      </c>
      <c r="AW14" s="4">
        <f>+IF(TA_ti!AW14*TA_ti!AW$49*TA_ti!$BF14=0,10000,TA_ti!AW14*TA_ti!AW$49*TA_ti!$BF14)</f>
        <v>10000</v>
      </c>
      <c r="AX14" s="4">
        <f>+IF(TA_ti!AX14*TA_ti!AX$49*TA_ti!$BF14=0,10000,TA_ti!AX14*TA_ti!AX$49*TA_ti!$BF14)</f>
        <v>10000</v>
      </c>
      <c r="AY14" s="4">
        <f>+IF(TA_ti!AY14*TA_ti!AY$49*TA_ti!$BF14=0,10000,TA_ti!AY14*TA_ti!AY$49*TA_ti!$BF14)</f>
        <v>10000</v>
      </c>
      <c r="AZ14" s="4">
        <f>+IF(TA_ti!AZ14*TA_ti!AZ$49*TA_ti!$BF14=0,10000,TA_ti!AZ14*TA_ti!AZ$49*TA_ti!$BF14)</f>
        <v>10000</v>
      </c>
      <c r="BA14" s="4">
        <f>+IF(TA_ti!BA14*TA_ti!BA$49*TA_ti!$BF14=0,10000,TA_ti!BA14*TA_ti!BA$49*TA_ti!$BF14)</f>
        <v>10000</v>
      </c>
      <c r="BB14" s="4">
        <f>+IF(TA_ti!BB14*TA_ti!BB$49*TA_ti!$BF14=0,10000,TA_ti!BB14*TA_ti!BB$49*TA_ti!$BF14)</f>
        <v>10000</v>
      </c>
      <c r="BC14" s="4">
        <f>+IF(TA_ti!BC14*TA_ti!BC$49*TA_ti!$BF14=0,10000,TA_ti!BC14*TA_ti!BC$49*TA_ti!$BF14)</f>
        <v>10000</v>
      </c>
    </row>
    <row r="15" spans="1:55" ht="18.75" customHeight="1" x14ac:dyDescent="0.25">
      <c r="A15" s="5" t="s">
        <v>66</v>
      </c>
      <c r="B15" s="4">
        <f>+IF(TA_ti!B15*TA_ti!B$49*TA_ti!$BF15=0,10000,TA_ti!B15*TA_ti!B$49*TA_ti!$BF15)</f>
        <v>10000</v>
      </c>
      <c r="C15" s="4">
        <f>+IF(TA_ti!C15*TA_ti!C$49*TA_ti!$BF15=0,10000,TA_ti!C15*TA_ti!C$49*TA_ti!$BF15)</f>
        <v>10000</v>
      </c>
      <c r="D15" s="4">
        <f>+IF(TA_ti!D15*TA_ti!D$49*TA_ti!$BF15=0,10000,TA_ti!D15*TA_ti!D$49*TA_ti!$BF15)</f>
        <v>10000</v>
      </c>
      <c r="E15" s="4">
        <f>+IF(TA_ti!E15*TA_ti!E$49*TA_ti!$BF15=0,10000,TA_ti!E15*TA_ti!E$49*TA_ti!$BF15)</f>
        <v>10000</v>
      </c>
      <c r="F15" s="4">
        <f>+IF(TA_ti!F15*TA_ti!F$49*TA_ti!$BF15=0,10000,TA_ti!F15*TA_ti!F$49*TA_ti!$BF15)</f>
        <v>10000</v>
      </c>
      <c r="G15" s="4">
        <f>+IF(TA_ti!G15*TA_ti!G$49*TA_ti!$BF15=0,10000,TA_ti!G15*TA_ti!G$49*TA_ti!$BF15)</f>
        <v>10000</v>
      </c>
      <c r="H15" s="4">
        <f>+IF(TA_ti!H15*TA_ti!H$49*TA_ti!$BF15=0,10000,TA_ti!H15*TA_ti!H$49*TA_ti!$BF15)</f>
        <v>10000</v>
      </c>
      <c r="I15" s="4">
        <f>+IF(TA_ti!I15*TA_ti!I$49*TA_ti!$BF15=0,10000,TA_ti!I15*TA_ti!I$49*TA_ti!$BF15)</f>
        <v>10000</v>
      </c>
      <c r="J15" s="4">
        <f>+IF(TA_ti!J15*TA_ti!J$49*TA_ti!$BF15=0,10000,TA_ti!J15*TA_ti!J$49*TA_ti!$BF15)</f>
        <v>10000</v>
      </c>
      <c r="K15" s="4">
        <f>+IF(TA_ti!K15*TA_ti!K$49*TA_ti!$BF15=0,10000,TA_ti!K15*TA_ti!K$49*TA_ti!$BF15)</f>
        <v>10000</v>
      </c>
      <c r="L15" s="4">
        <f>+IF(TA_ti!L15*TA_ti!L$49*TA_ti!$BF15=0,10000,TA_ti!L15*TA_ti!L$49*TA_ti!$BF15)</f>
        <v>10000</v>
      </c>
      <c r="M15" s="4">
        <f>+IF(TA_ti!M15*TA_ti!M$49*TA_ti!$BF15=0,10000,TA_ti!M15*TA_ti!M$49*TA_ti!$BF15)</f>
        <v>10000</v>
      </c>
      <c r="N15" s="4">
        <f>+IF(TA_ti!N15*TA_ti!N$49*TA_ti!$BF15=0,10000,TA_ti!N15*TA_ti!N$49*TA_ti!$BF15)</f>
        <v>10000</v>
      </c>
      <c r="O15" s="4">
        <f>+IF(TA_ti!O15*TA_ti!O$49*TA_ti!$BF15=0,10000,TA_ti!O15*TA_ti!O$49*TA_ti!$BF15)</f>
        <v>10000</v>
      </c>
      <c r="P15" s="4">
        <f>+IF(TA_ti!P15*TA_ti!P$49*TA_ti!$BF15=0,10000,TA_ti!P15*TA_ti!P$49*TA_ti!$BF15)</f>
        <v>10000</v>
      </c>
      <c r="Q15" s="4">
        <f>+IF(TA_ti!Q15*TA_ti!Q$49*TA_ti!$BF15=0,10000,TA_ti!Q15*TA_ti!Q$49*TA_ti!$BF15)</f>
        <v>10000</v>
      </c>
      <c r="R15" s="4">
        <f>+IF(TA_ti!R15*TA_ti!R$49*TA_ti!$BF15=0,10000,TA_ti!R15*TA_ti!R$49*TA_ti!$BF15)</f>
        <v>10000</v>
      </c>
      <c r="S15" s="4">
        <f>+IF(TA_ti!S15*TA_ti!S$49*TA_ti!$BF15=0,10000,TA_ti!S15*TA_ti!S$49*TA_ti!$BF15)</f>
        <v>10000</v>
      </c>
      <c r="T15" s="4">
        <f>+IF(TA_ti!T15*TA_ti!T$49*TA_ti!$BF15=0,10000,TA_ti!T15*TA_ti!T$49*TA_ti!$BF15)</f>
        <v>10000</v>
      </c>
      <c r="U15" s="4">
        <f>+IF(TA_ti!U15*TA_ti!U$49*TA_ti!$BF15=0,10000,TA_ti!U15*TA_ti!U$49*TA_ti!$BF15)</f>
        <v>10000</v>
      </c>
      <c r="V15" s="4">
        <f>+IF(TA_ti!V15*TA_ti!V$49*TA_ti!$BF15=0,10000,TA_ti!V15*TA_ti!V$49*TA_ti!$BF15)</f>
        <v>10000</v>
      </c>
      <c r="W15" s="4">
        <f>+IF(TA_ti!W15*TA_ti!W$49*TA_ti!$BF15=0,10000,TA_ti!W15*TA_ti!W$49*TA_ti!$BF15)</f>
        <v>10000</v>
      </c>
      <c r="X15" s="4">
        <f>+IF(TA_ti!X15*TA_ti!X$49*TA_ti!$BF15=0,10000,TA_ti!X15*TA_ti!X$49*TA_ti!$BF15)</f>
        <v>10000</v>
      </c>
      <c r="Y15" s="4">
        <f>+IF(TA_ti!Y15*TA_ti!Y$49*TA_ti!$BF15=0,10000,TA_ti!Y15*TA_ti!Y$49*TA_ti!$BF15)</f>
        <v>10000</v>
      </c>
      <c r="Z15" s="4">
        <f>+IF(TA_ti!Z15*TA_ti!Z$49*TA_ti!$BF15=0,10000,TA_ti!Z15*TA_ti!Z$49*TA_ti!$BF15)</f>
        <v>10000</v>
      </c>
      <c r="AA15" s="4">
        <f>+IF(TA_ti!AA15*TA_ti!AA$49*TA_ti!$BF15=0,10000,TA_ti!AA15*TA_ti!AA$49*TA_ti!$BF15)</f>
        <v>10000</v>
      </c>
      <c r="AB15" s="4">
        <f>+IF(TA_ti!AB15*TA_ti!AB$49*TA_ti!$BF15=0,10000,TA_ti!AB15*TA_ti!AB$49*TA_ti!$BF15)</f>
        <v>10000</v>
      </c>
      <c r="AC15" s="4">
        <f>+IF(TA_ti!AC15*TA_ti!AC$49*TA_ti!$BF15=0,10000,TA_ti!AC15*TA_ti!AC$49*TA_ti!$BF15)</f>
        <v>10000</v>
      </c>
      <c r="AD15" s="4">
        <f>+IF(TA_ti!AD15*TA_ti!AD$49*TA_ti!$BF15=0,10000,TA_ti!AD15*TA_ti!AD$49*TA_ti!$BF15)</f>
        <v>10000</v>
      </c>
      <c r="AE15" s="4">
        <f>+IF(TA_ti!AE15*TA_ti!AE$49*TA_ti!$BF15=0,10000,TA_ti!AE15*TA_ti!AE$49*TA_ti!$BF15)</f>
        <v>10000</v>
      </c>
      <c r="AF15" s="4">
        <f>+IF(TA_ti!AF15*TA_ti!AF$49*TA_ti!$BF15=0,10000,TA_ti!AF15*TA_ti!AF$49*TA_ti!$BF15)</f>
        <v>10000</v>
      </c>
      <c r="AG15" s="4">
        <f>+IF(TA_ti!AG15*TA_ti!AG$49*TA_ti!$BF15=0,10000,TA_ti!AG15*TA_ti!AG$49*TA_ti!$BF15)</f>
        <v>10000</v>
      </c>
      <c r="AH15" s="4">
        <f>+IF(TA_ti!AH15*TA_ti!AH$49*TA_ti!$BF15=0,10000,TA_ti!AH15*TA_ti!AH$49*TA_ti!$BF15)</f>
        <v>10000</v>
      </c>
      <c r="AI15" s="4">
        <f>+IF(TA_ti!AI15*TA_ti!AI$49*TA_ti!$BF15=0,10000,TA_ti!AI15*TA_ti!AI$49*TA_ti!$BF15)</f>
        <v>10000</v>
      </c>
      <c r="AJ15" s="4">
        <f>+IF(TA_ti!AJ15*TA_ti!AJ$49*TA_ti!$BF15=0,10000,TA_ti!AJ15*TA_ti!AJ$49*TA_ti!$BF15)</f>
        <v>10000</v>
      </c>
      <c r="AK15" s="4">
        <f>+IF(TA_ti!AK15*TA_ti!AK$49*TA_ti!$BF15=0,10000,TA_ti!AK15*TA_ti!AK$49*TA_ti!$BF15)</f>
        <v>10000</v>
      </c>
      <c r="AL15" s="4">
        <f>+IF(TA_ti!AL15*TA_ti!AL$49*TA_ti!$BF15=0,10000,TA_ti!AL15*TA_ti!AL$49*TA_ti!$BF15)</f>
        <v>10000</v>
      </c>
      <c r="AM15" s="4">
        <f>+IF(TA_ti!AM15*TA_ti!AM$49*TA_ti!$BF15=0,10000,TA_ti!AM15*TA_ti!AM$49*TA_ti!$BF15)</f>
        <v>10000</v>
      </c>
      <c r="AN15" s="4">
        <f>+IF(TA_ti!AN15*TA_ti!AN$49*TA_ti!$BF15=0,10000,TA_ti!AN15*TA_ti!AN$49*TA_ti!$BF15)</f>
        <v>10000</v>
      </c>
      <c r="AO15" s="4">
        <f>+IF(TA_ti!AO15*TA_ti!AO$49*TA_ti!$BF15=0,10000,TA_ti!AO15*TA_ti!AO$49*TA_ti!$BF15)</f>
        <v>10000</v>
      </c>
      <c r="AP15" s="4">
        <f>+IF(TA_ti!AP15*TA_ti!AP$49*TA_ti!$BF15=0,10000,TA_ti!AP15*TA_ti!AP$49*TA_ti!$BF15)</f>
        <v>10000</v>
      </c>
      <c r="AQ15" s="4">
        <f>+IF(TA_ti!AQ15*TA_ti!AQ$49*TA_ti!$BF15=0,10000,TA_ti!AQ15*TA_ti!AQ$49*TA_ti!$BF15)</f>
        <v>10000</v>
      </c>
      <c r="AR15" s="4">
        <f>+IF(TA_ti!AR15*TA_ti!AR$49*TA_ti!$BF15=0,10000,TA_ti!AR15*TA_ti!AR$49*TA_ti!$BF15)</f>
        <v>10000</v>
      </c>
      <c r="AS15" s="4">
        <f>+IF(TA_ti!AS15*TA_ti!AS$49*TA_ti!$BF15=0,10000,TA_ti!AS15*TA_ti!AS$49*TA_ti!$BF15)</f>
        <v>10000</v>
      </c>
      <c r="AT15" s="4">
        <f>+IF(TA_ti!AT15*TA_ti!AT$49*TA_ti!$BF15=0,10000,TA_ti!AT15*TA_ti!AT$49*TA_ti!$BF15)</f>
        <v>10000</v>
      </c>
      <c r="AU15" s="4">
        <f>+IF(TA_ti!AU15*TA_ti!AU$49*TA_ti!$BF15=0,10000,TA_ti!AU15*TA_ti!AU$49*TA_ti!$BF15)</f>
        <v>10000</v>
      </c>
      <c r="AV15" s="4">
        <f>+IF(TA_ti!AV15*TA_ti!AV$49*TA_ti!$BF15=0,10000,TA_ti!AV15*TA_ti!AV$49*TA_ti!$BF15)</f>
        <v>10000</v>
      </c>
      <c r="AW15" s="4">
        <f>+IF(TA_ti!AW15*TA_ti!AW$49*TA_ti!$BF15=0,10000,TA_ti!AW15*TA_ti!AW$49*TA_ti!$BF15)</f>
        <v>10000</v>
      </c>
      <c r="AX15" s="4">
        <f>+IF(TA_ti!AX15*TA_ti!AX$49*TA_ti!$BF15=0,10000,TA_ti!AX15*TA_ti!AX$49*TA_ti!$BF15)</f>
        <v>10000</v>
      </c>
      <c r="AY15" s="4">
        <f>+IF(TA_ti!AY15*TA_ti!AY$49*TA_ti!$BF15=0,10000,TA_ti!AY15*TA_ti!AY$49*TA_ti!$BF15)</f>
        <v>10000</v>
      </c>
      <c r="AZ15" s="4">
        <f>+IF(TA_ti!AZ15*TA_ti!AZ$49*TA_ti!$BF15=0,10000,TA_ti!AZ15*TA_ti!AZ$49*TA_ti!$BF15)</f>
        <v>10000</v>
      </c>
      <c r="BA15" s="4">
        <f>+IF(TA_ti!BA15*TA_ti!BA$49*TA_ti!$BF15=0,10000,TA_ti!BA15*TA_ti!BA$49*TA_ti!$BF15)</f>
        <v>10000</v>
      </c>
      <c r="BB15" s="4">
        <f>+IF(TA_ti!BB15*TA_ti!BB$49*TA_ti!$BF15=0,10000,TA_ti!BB15*TA_ti!BB$49*TA_ti!$BF15)</f>
        <v>10000</v>
      </c>
      <c r="BC15" s="4">
        <f>+IF(TA_ti!BC15*TA_ti!BC$49*TA_ti!$BF15=0,10000,TA_ti!BC15*TA_ti!BC$49*TA_ti!$BF15)</f>
        <v>10000</v>
      </c>
    </row>
    <row r="16" spans="1:55" ht="18.75" customHeight="1" x14ac:dyDescent="0.25">
      <c r="A16" s="5" t="s">
        <v>67</v>
      </c>
      <c r="B16" s="4">
        <f>+IF(TA_ti!B16*TA_ti!B$49*TA_ti!$BF16=0,10000,TA_ti!B16*TA_ti!B$49*TA_ti!$BF16)</f>
        <v>10000</v>
      </c>
      <c r="C16" s="4">
        <f>+IF(TA_ti!C16*TA_ti!C$49*TA_ti!$BF16=0,10000,TA_ti!C16*TA_ti!C$49*TA_ti!$BF16)</f>
        <v>10000</v>
      </c>
      <c r="D16" s="4">
        <f>+IF(TA_ti!D16*TA_ti!D$49*TA_ti!$BF16=0,10000,TA_ti!D16*TA_ti!D$49*TA_ti!$BF16)</f>
        <v>10000</v>
      </c>
      <c r="E16" s="4">
        <f>+IF(TA_ti!E16*TA_ti!E$49*TA_ti!$BF16=0,10000,TA_ti!E16*TA_ti!E$49*TA_ti!$BF16)</f>
        <v>10000</v>
      </c>
      <c r="F16" s="4">
        <f>+IF(TA_ti!F16*TA_ti!F$49*TA_ti!$BF16=0,10000,TA_ti!F16*TA_ti!F$49*TA_ti!$BF16)</f>
        <v>10000</v>
      </c>
      <c r="G16" s="4">
        <f>+IF(TA_ti!G16*TA_ti!G$49*TA_ti!$BF16=0,10000,TA_ti!G16*TA_ti!G$49*TA_ti!$BF16)</f>
        <v>12</v>
      </c>
      <c r="H16" s="4">
        <f>+IF(TA_ti!H16*TA_ti!H$49*TA_ti!$BF16=0,10000,TA_ti!H16*TA_ti!H$49*TA_ti!$BF16)</f>
        <v>10000</v>
      </c>
      <c r="I16" s="4">
        <f>+IF(TA_ti!I16*TA_ti!I$49*TA_ti!$BF16=0,10000,TA_ti!I16*TA_ti!I$49*TA_ti!$BF16)</f>
        <v>10000</v>
      </c>
      <c r="J16" s="4">
        <f>+IF(TA_ti!J16*TA_ti!J$49*TA_ti!$BF16=0,10000,TA_ti!J16*TA_ti!J$49*TA_ti!$BF16)</f>
        <v>10000</v>
      </c>
      <c r="K16" s="4">
        <f>+IF(TA_ti!K16*TA_ti!K$49*TA_ti!$BF16=0,10000,TA_ti!K16*TA_ti!K$49*TA_ti!$BF16)</f>
        <v>10000</v>
      </c>
      <c r="L16" s="4">
        <f>+IF(TA_ti!L16*TA_ti!L$49*TA_ti!$BF16=0,10000,TA_ti!L16*TA_ti!L$49*TA_ti!$BF16)</f>
        <v>10000</v>
      </c>
      <c r="M16" s="4">
        <f>+IF(TA_ti!M16*TA_ti!M$49*TA_ti!$BF16=0,10000,TA_ti!M16*TA_ti!M$49*TA_ti!$BF16)</f>
        <v>10000</v>
      </c>
      <c r="N16" s="4">
        <f>+IF(TA_ti!N16*TA_ti!N$49*TA_ti!$BF16=0,10000,TA_ti!N16*TA_ti!N$49*TA_ti!$BF16)</f>
        <v>10000</v>
      </c>
      <c r="O16" s="4">
        <f>+IF(TA_ti!O16*TA_ti!O$49*TA_ti!$BF16=0,10000,TA_ti!O16*TA_ti!O$49*TA_ti!$BF16)</f>
        <v>10000</v>
      </c>
      <c r="P16" s="4">
        <f>+IF(TA_ti!P16*TA_ti!P$49*TA_ti!$BF16=0,10000,TA_ti!P16*TA_ti!P$49*TA_ti!$BF16)</f>
        <v>10000</v>
      </c>
      <c r="Q16" s="4">
        <f>+IF(TA_ti!Q16*TA_ti!Q$49*TA_ti!$BF16=0,10000,TA_ti!Q16*TA_ti!Q$49*TA_ti!$BF16)</f>
        <v>10000</v>
      </c>
      <c r="R16" s="4">
        <f>+IF(TA_ti!R16*TA_ti!R$49*TA_ti!$BF16=0,10000,TA_ti!R16*TA_ti!R$49*TA_ti!$BF16)</f>
        <v>10000</v>
      </c>
      <c r="S16" s="4">
        <f>+IF(TA_ti!S16*TA_ti!S$49*TA_ti!$BF16=0,10000,TA_ti!S16*TA_ti!S$49*TA_ti!$BF16)</f>
        <v>10000</v>
      </c>
      <c r="T16" s="4">
        <f>+IF(TA_ti!T16*TA_ti!T$49*TA_ti!$BF16=0,10000,TA_ti!T16*TA_ti!T$49*TA_ti!$BF16)</f>
        <v>10000</v>
      </c>
      <c r="U16" s="4">
        <f>+IF(TA_ti!U16*TA_ti!U$49*TA_ti!$BF16=0,10000,TA_ti!U16*TA_ti!U$49*TA_ti!$BF16)</f>
        <v>10000</v>
      </c>
      <c r="V16" s="4">
        <f>+IF(TA_ti!V16*TA_ti!V$49*TA_ti!$BF16=0,10000,TA_ti!V16*TA_ti!V$49*TA_ti!$BF16)</f>
        <v>10000</v>
      </c>
      <c r="W16" s="4">
        <f>+IF(TA_ti!W16*TA_ti!W$49*TA_ti!$BF16=0,10000,TA_ti!W16*TA_ti!W$49*TA_ti!$BF16)</f>
        <v>10000</v>
      </c>
      <c r="X16" s="4">
        <f>+IF(TA_ti!X16*TA_ti!X$49*TA_ti!$BF16=0,10000,TA_ti!X16*TA_ti!X$49*TA_ti!$BF16)</f>
        <v>10000</v>
      </c>
      <c r="Y16" s="4">
        <f>+IF(TA_ti!Y16*TA_ti!Y$49*TA_ti!$BF16=0,10000,TA_ti!Y16*TA_ti!Y$49*TA_ti!$BF16)</f>
        <v>10000</v>
      </c>
      <c r="Z16" s="4">
        <f>+IF(TA_ti!Z16*TA_ti!Z$49*TA_ti!$BF16=0,10000,TA_ti!Z16*TA_ti!Z$49*TA_ti!$BF16)</f>
        <v>10000</v>
      </c>
      <c r="AA16" s="4">
        <f>+IF(TA_ti!AA16*TA_ti!AA$49*TA_ti!$BF16=0,10000,TA_ti!AA16*TA_ti!AA$49*TA_ti!$BF16)</f>
        <v>10000</v>
      </c>
      <c r="AB16" s="4">
        <f>+IF(TA_ti!AB16*TA_ti!AB$49*TA_ti!$BF16=0,10000,TA_ti!AB16*TA_ti!AB$49*TA_ti!$BF16)</f>
        <v>10000</v>
      </c>
      <c r="AC16" s="4">
        <f>+IF(TA_ti!AC16*TA_ti!AC$49*TA_ti!$BF16=0,10000,TA_ti!AC16*TA_ti!AC$49*TA_ti!$BF16)</f>
        <v>10000</v>
      </c>
      <c r="AD16" s="4">
        <f>+IF(TA_ti!AD16*TA_ti!AD$49*TA_ti!$BF16=0,10000,TA_ti!AD16*TA_ti!AD$49*TA_ti!$BF16)</f>
        <v>10000</v>
      </c>
      <c r="AE16" s="4">
        <f>+IF(TA_ti!AE16*TA_ti!AE$49*TA_ti!$BF16=0,10000,TA_ti!AE16*TA_ti!AE$49*TA_ti!$BF16)</f>
        <v>10000</v>
      </c>
      <c r="AF16" s="4">
        <f>+IF(TA_ti!AF16*TA_ti!AF$49*TA_ti!$BF16=0,10000,TA_ti!AF16*TA_ti!AF$49*TA_ti!$BF16)</f>
        <v>10000</v>
      </c>
      <c r="AG16" s="4">
        <f>+IF(TA_ti!AG16*TA_ti!AG$49*TA_ti!$BF16=0,10000,TA_ti!AG16*TA_ti!AG$49*TA_ti!$BF16)</f>
        <v>10000</v>
      </c>
      <c r="AH16" s="4">
        <f>+IF(TA_ti!AH16*TA_ti!AH$49*TA_ti!$BF16=0,10000,TA_ti!AH16*TA_ti!AH$49*TA_ti!$BF16)</f>
        <v>10000</v>
      </c>
      <c r="AI16" s="4">
        <f>+IF(TA_ti!AI16*TA_ti!AI$49*TA_ti!$BF16=0,10000,TA_ti!AI16*TA_ti!AI$49*TA_ti!$BF16)</f>
        <v>10000</v>
      </c>
      <c r="AJ16" s="4">
        <f>+IF(TA_ti!AJ16*TA_ti!AJ$49*TA_ti!$BF16=0,10000,TA_ti!AJ16*TA_ti!AJ$49*TA_ti!$BF16)</f>
        <v>10000</v>
      </c>
      <c r="AK16" s="4">
        <f>+IF(TA_ti!AK16*TA_ti!AK$49*TA_ti!$BF16=0,10000,TA_ti!AK16*TA_ti!AK$49*TA_ti!$BF16)</f>
        <v>10000</v>
      </c>
      <c r="AL16" s="4">
        <f>+IF(TA_ti!AL16*TA_ti!AL$49*TA_ti!$BF16=0,10000,TA_ti!AL16*TA_ti!AL$49*TA_ti!$BF16)</f>
        <v>10000</v>
      </c>
      <c r="AM16" s="4">
        <f>+IF(TA_ti!AM16*TA_ti!AM$49*TA_ti!$BF16=0,10000,TA_ti!AM16*TA_ti!AM$49*TA_ti!$BF16)</f>
        <v>10000</v>
      </c>
      <c r="AN16" s="4">
        <f>+IF(TA_ti!AN16*TA_ti!AN$49*TA_ti!$BF16=0,10000,TA_ti!AN16*TA_ti!AN$49*TA_ti!$BF16)</f>
        <v>10000</v>
      </c>
      <c r="AO16" s="4">
        <f>+IF(TA_ti!AO16*TA_ti!AO$49*TA_ti!$BF16=0,10000,TA_ti!AO16*TA_ti!AO$49*TA_ti!$BF16)</f>
        <v>10000</v>
      </c>
      <c r="AP16" s="4">
        <f>+IF(TA_ti!AP16*TA_ti!AP$49*TA_ti!$BF16=0,10000,TA_ti!AP16*TA_ti!AP$49*TA_ti!$BF16)</f>
        <v>10000</v>
      </c>
      <c r="AQ16" s="4">
        <f>+IF(TA_ti!AQ16*TA_ti!AQ$49*TA_ti!$BF16=0,10000,TA_ti!AQ16*TA_ti!AQ$49*TA_ti!$BF16)</f>
        <v>10000</v>
      </c>
      <c r="AR16" s="4">
        <f>+IF(TA_ti!AR16*TA_ti!AR$49*TA_ti!$BF16=0,10000,TA_ti!AR16*TA_ti!AR$49*TA_ti!$BF16)</f>
        <v>10000</v>
      </c>
      <c r="AS16" s="4">
        <f>+IF(TA_ti!AS16*TA_ti!AS$49*TA_ti!$BF16=0,10000,TA_ti!AS16*TA_ti!AS$49*TA_ti!$BF16)</f>
        <v>10000</v>
      </c>
      <c r="AT16" s="4">
        <f>+IF(TA_ti!AT16*TA_ti!AT$49*TA_ti!$BF16=0,10000,TA_ti!AT16*TA_ti!AT$49*TA_ti!$BF16)</f>
        <v>10000</v>
      </c>
      <c r="AU16" s="4">
        <f>+IF(TA_ti!AU16*TA_ti!AU$49*TA_ti!$BF16=0,10000,TA_ti!AU16*TA_ti!AU$49*TA_ti!$BF16)</f>
        <v>10000</v>
      </c>
      <c r="AV16" s="4">
        <f>+IF(TA_ti!AV16*TA_ti!AV$49*TA_ti!$BF16=0,10000,TA_ti!AV16*TA_ti!AV$49*TA_ti!$BF16)</f>
        <v>10000</v>
      </c>
      <c r="AW16" s="4">
        <f>+IF(TA_ti!AW16*TA_ti!AW$49*TA_ti!$BF16=0,10000,TA_ti!AW16*TA_ti!AW$49*TA_ti!$BF16)</f>
        <v>10000</v>
      </c>
      <c r="AX16" s="4">
        <f>+IF(TA_ti!AX16*TA_ti!AX$49*TA_ti!$BF16=0,10000,TA_ti!AX16*TA_ti!AX$49*TA_ti!$BF16)</f>
        <v>10000</v>
      </c>
      <c r="AY16" s="4">
        <f>+IF(TA_ti!AY16*TA_ti!AY$49*TA_ti!$BF16=0,10000,TA_ti!AY16*TA_ti!AY$49*TA_ti!$BF16)</f>
        <v>10000</v>
      </c>
      <c r="AZ16" s="4">
        <f>+IF(TA_ti!AZ16*TA_ti!AZ$49*TA_ti!$BF16=0,10000,TA_ti!AZ16*TA_ti!AZ$49*TA_ti!$BF16)</f>
        <v>10000</v>
      </c>
      <c r="BA16" s="4">
        <f>+IF(TA_ti!BA16*TA_ti!BA$49*TA_ti!$BF16=0,10000,TA_ti!BA16*TA_ti!BA$49*TA_ti!$BF16)</f>
        <v>10000</v>
      </c>
      <c r="BB16" s="4">
        <f>+IF(TA_ti!BB16*TA_ti!BB$49*TA_ti!$BF16=0,10000,TA_ti!BB16*TA_ti!BB$49*TA_ti!$BF16)</f>
        <v>10000</v>
      </c>
      <c r="BC16" s="4">
        <f>+IF(TA_ti!BC16*TA_ti!BC$49*TA_ti!$BF16=0,10000,TA_ti!BC16*TA_ti!BC$49*TA_ti!$BF16)</f>
        <v>10000</v>
      </c>
    </row>
    <row r="17" spans="1:55" ht="18.75" customHeight="1" x14ac:dyDescent="0.25">
      <c r="A17" s="5" t="s">
        <v>68</v>
      </c>
      <c r="B17" s="4">
        <f>+IF(TA_ti!B17*TA_ti!B$49*TA_ti!$BF17=0,10000,TA_ti!B17*TA_ti!B$49*TA_ti!$BF17)</f>
        <v>10000</v>
      </c>
      <c r="C17" s="4">
        <f>+IF(TA_ti!C17*TA_ti!C$49*TA_ti!$BF17=0,10000,TA_ti!C17*TA_ti!C$49*TA_ti!$BF17)</f>
        <v>10000</v>
      </c>
      <c r="D17" s="4">
        <f>+IF(TA_ti!D17*TA_ti!D$49*TA_ti!$BF17=0,10000,TA_ti!D17*TA_ti!D$49*TA_ti!$BF17)</f>
        <v>10000</v>
      </c>
      <c r="E17" s="4">
        <f>+IF(TA_ti!E17*TA_ti!E$49*TA_ti!$BF17=0,10000,TA_ti!E17*TA_ti!E$49*TA_ti!$BF17)</f>
        <v>10000</v>
      </c>
      <c r="F17" s="4">
        <f>+IF(TA_ti!F17*TA_ti!F$49*TA_ti!$BF17=0,10000,TA_ti!F17*TA_ti!F$49*TA_ti!$BF17)</f>
        <v>10000</v>
      </c>
      <c r="G17" s="4">
        <f>+IF(TA_ti!G17*TA_ti!G$49*TA_ti!$BF17=0,10000,TA_ti!G17*TA_ti!G$49*TA_ti!$BF17)</f>
        <v>10000</v>
      </c>
      <c r="H17" s="4">
        <f>+IF(TA_ti!H17*TA_ti!H$49*TA_ti!$BF17=0,10000,TA_ti!H17*TA_ti!H$49*TA_ti!$BF17)</f>
        <v>10000</v>
      </c>
      <c r="I17" s="4">
        <f>+IF(TA_ti!I17*TA_ti!I$49*TA_ti!$BF17=0,10000,TA_ti!I17*TA_ti!I$49*TA_ti!$BF17)</f>
        <v>10000</v>
      </c>
      <c r="J17" s="4">
        <f>+IF(TA_ti!J17*TA_ti!J$49*TA_ti!$BF17=0,10000,TA_ti!J17*TA_ti!J$49*TA_ti!$BF17)</f>
        <v>10000</v>
      </c>
      <c r="K17" s="4">
        <f>+IF(TA_ti!K17*TA_ti!K$49*TA_ti!$BF17=0,10000,TA_ti!K17*TA_ti!K$49*TA_ti!$BF17)</f>
        <v>10000</v>
      </c>
      <c r="L17" s="4">
        <f>+IF(TA_ti!L17*TA_ti!L$49*TA_ti!$BF17=0,10000,TA_ti!L17*TA_ti!L$49*TA_ti!$BF17)</f>
        <v>10000</v>
      </c>
      <c r="M17" s="4">
        <f>+IF(TA_ti!M17*TA_ti!M$49*TA_ti!$BF17=0,10000,TA_ti!M17*TA_ti!M$49*TA_ti!$BF17)</f>
        <v>10000</v>
      </c>
      <c r="N17" s="4">
        <f>+IF(TA_ti!N17*TA_ti!N$49*TA_ti!$BF17=0,10000,TA_ti!N17*TA_ti!N$49*TA_ti!$BF17)</f>
        <v>10000</v>
      </c>
      <c r="O17" s="4">
        <f>+IF(TA_ti!O17*TA_ti!O$49*TA_ti!$BF17=0,10000,TA_ti!O17*TA_ti!O$49*TA_ti!$BF17)</f>
        <v>10000</v>
      </c>
      <c r="P17" s="4">
        <f>+IF(TA_ti!P17*TA_ti!P$49*TA_ti!$BF17=0,10000,TA_ti!P17*TA_ti!P$49*TA_ti!$BF17)</f>
        <v>10000</v>
      </c>
      <c r="Q17" s="4">
        <f>+IF(TA_ti!Q17*TA_ti!Q$49*TA_ti!$BF17=0,10000,TA_ti!Q17*TA_ti!Q$49*TA_ti!$BF17)</f>
        <v>10000</v>
      </c>
      <c r="R17" s="4">
        <f>+IF(TA_ti!R17*TA_ti!R$49*TA_ti!$BF17=0,10000,TA_ti!R17*TA_ti!R$49*TA_ti!$BF17)</f>
        <v>10000</v>
      </c>
      <c r="S17" s="4">
        <f>+IF(TA_ti!S17*TA_ti!S$49*TA_ti!$BF17=0,10000,TA_ti!S17*TA_ti!S$49*TA_ti!$BF17)</f>
        <v>10000</v>
      </c>
      <c r="T17" s="4">
        <f>+IF(TA_ti!T17*TA_ti!T$49*TA_ti!$BF17=0,10000,TA_ti!T17*TA_ti!T$49*TA_ti!$BF17)</f>
        <v>10000</v>
      </c>
      <c r="U17" s="4">
        <f>+IF(TA_ti!U17*TA_ti!U$49*TA_ti!$BF17=0,10000,TA_ti!U17*TA_ti!U$49*TA_ti!$BF17)</f>
        <v>10000</v>
      </c>
      <c r="V17" s="4">
        <f>+IF(TA_ti!V17*TA_ti!V$49*TA_ti!$BF17=0,10000,TA_ti!V17*TA_ti!V$49*TA_ti!$BF17)</f>
        <v>10000</v>
      </c>
      <c r="W17" s="4">
        <f>+IF(TA_ti!W17*TA_ti!W$49*TA_ti!$BF17=0,10000,TA_ti!W17*TA_ti!W$49*TA_ti!$BF17)</f>
        <v>10000</v>
      </c>
      <c r="X17" s="4">
        <f>+IF(TA_ti!X17*TA_ti!X$49*TA_ti!$BF17=0,10000,TA_ti!X17*TA_ti!X$49*TA_ti!$BF17)</f>
        <v>10000</v>
      </c>
      <c r="Y17" s="4">
        <f>+IF(TA_ti!Y17*TA_ti!Y$49*TA_ti!$BF17=0,10000,TA_ti!Y17*TA_ti!Y$49*TA_ti!$BF17)</f>
        <v>10000</v>
      </c>
      <c r="Z17" s="4">
        <f>+IF(TA_ti!Z17*TA_ti!Z$49*TA_ti!$BF17=0,10000,TA_ti!Z17*TA_ti!Z$49*TA_ti!$BF17)</f>
        <v>10000</v>
      </c>
      <c r="AA17" s="4">
        <f>+IF(TA_ti!AA17*TA_ti!AA$49*TA_ti!$BF17=0,10000,TA_ti!AA17*TA_ti!AA$49*TA_ti!$BF17)</f>
        <v>10000</v>
      </c>
      <c r="AB17" s="4">
        <f>+IF(TA_ti!AB17*TA_ti!AB$49*TA_ti!$BF17=0,10000,TA_ti!AB17*TA_ti!AB$49*TA_ti!$BF17)</f>
        <v>10000</v>
      </c>
      <c r="AC17" s="4">
        <f>+IF(TA_ti!AC17*TA_ti!AC$49*TA_ti!$BF17=0,10000,TA_ti!AC17*TA_ti!AC$49*TA_ti!$BF17)</f>
        <v>10000</v>
      </c>
      <c r="AD17" s="4">
        <f>+IF(TA_ti!AD17*TA_ti!AD$49*TA_ti!$BF17=0,10000,TA_ti!AD17*TA_ti!AD$49*TA_ti!$BF17)</f>
        <v>10000</v>
      </c>
      <c r="AE17" s="4">
        <f>+IF(TA_ti!AE17*TA_ti!AE$49*TA_ti!$BF17=0,10000,TA_ti!AE17*TA_ti!AE$49*TA_ti!$BF17)</f>
        <v>10000</v>
      </c>
      <c r="AF17" s="4">
        <f>+IF(TA_ti!AF17*TA_ti!AF$49*TA_ti!$BF17=0,10000,TA_ti!AF17*TA_ti!AF$49*TA_ti!$BF17)</f>
        <v>10000</v>
      </c>
      <c r="AG17" s="4">
        <f>+IF(TA_ti!AG17*TA_ti!AG$49*TA_ti!$BF17=0,10000,TA_ti!AG17*TA_ti!AG$49*TA_ti!$BF17)</f>
        <v>10000</v>
      </c>
      <c r="AH17" s="4">
        <f>+IF(TA_ti!AH17*TA_ti!AH$49*TA_ti!$BF17=0,10000,TA_ti!AH17*TA_ti!AH$49*TA_ti!$BF17)</f>
        <v>10000</v>
      </c>
      <c r="AI17" s="4">
        <f>+IF(TA_ti!AI17*TA_ti!AI$49*TA_ti!$BF17=0,10000,TA_ti!AI17*TA_ti!AI$49*TA_ti!$BF17)</f>
        <v>10000</v>
      </c>
      <c r="AJ17" s="4">
        <f>+IF(TA_ti!AJ17*TA_ti!AJ$49*TA_ti!$BF17=0,10000,TA_ti!AJ17*TA_ti!AJ$49*TA_ti!$BF17)</f>
        <v>10000</v>
      </c>
      <c r="AK17" s="4">
        <f>+IF(TA_ti!AK17*TA_ti!AK$49*TA_ti!$BF17=0,10000,TA_ti!AK17*TA_ti!AK$49*TA_ti!$BF17)</f>
        <v>10000</v>
      </c>
      <c r="AL17" s="4">
        <f>+IF(TA_ti!AL17*TA_ti!AL$49*TA_ti!$BF17=0,10000,TA_ti!AL17*TA_ti!AL$49*TA_ti!$BF17)</f>
        <v>10000</v>
      </c>
      <c r="AM17" s="4">
        <f>+IF(TA_ti!AM17*TA_ti!AM$49*TA_ti!$BF17=0,10000,TA_ti!AM17*TA_ti!AM$49*TA_ti!$BF17)</f>
        <v>10000</v>
      </c>
      <c r="AN17" s="4">
        <f>+IF(TA_ti!AN17*TA_ti!AN$49*TA_ti!$BF17=0,10000,TA_ti!AN17*TA_ti!AN$49*TA_ti!$BF17)</f>
        <v>10000</v>
      </c>
      <c r="AO17" s="4">
        <f>+IF(TA_ti!AO17*TA_ti!AO$49*TA_ti!$BF17=0,10000,TA_ti!AO17*TA_ti!AO$49*TA_ti!$BF17)</f>
        <v>10000</v>
      </c>
      <c r="AP17" s="4">
        <f>+IF(TA_ti!AP17*TA_ti!AP$49*TA_ti!$BF17=0,10000,TA_ti!AP17*TA_ti!AP$49*TA_ti!$BF17)</f>
        <v>10000</v>
      </c>
      <c r="AQ17" s="4">
        <f>+IF(TA_ti!AQ17*TA_ti!AQ$49*TA_ti!$BF17=0,10000,TA_ti!AQ17*TA_ti!AQ$49*TA_ti!$BF17)</f>
        <v>10000</v>
      </c>
      <c r="AR17" s="4">
        <f>+IF(TA_ti!AR17*TA_ti!AR$49*TA_ti!$BF17=0,10000,TA_ti!AR17*TA_ti!AR$49*TA_ti!$BF17)</f>
        <v>10000</v>
      </c>
      <c r="AS17" s="4">
        <f>+IF(TA_ti!AS17*TA_ti!AS$49*TA_ti!$BF17=0,10000,TA_ti!AS17*TA_ti!AS$49*TA_ti!$BF17)</f>
        <v>10000</v>
      </c>
      <c r="AT17" s="4">
        <f>+IF(TA_ti!AT17*TA_ti!AT$49*TA_ti!$BF17=0,10000,TA_ti!AT17*TA_ti!AT$49*TA_ti!$BF17)</f>
        <v>10000</v>
      </c>
      <c r="AU17" s="4">
        <f>+IF(TA_ti!AU17*TA_ti!AU$49*TA_ti!$BF17=0,10000,TA_ti!AU17*TA_ti!AU$49*TA_ti!$BF17)</f>
        <v>10000</v>
      </c>
      <c r="AV17" s="4">
        <f>+IF(TA_ti!AV17*TA_ti!AV$49*TA_ti!$BF17=0,10000,TA_ti!AV17*TA_ti!AV$49*TA_ti!$BF17)</f>
        <v>10000</v>
      </c>
      <c r="AW17" s="4">
        <f>+IF(TA_ti!AW17*TA_ti!AW$49*TA_ti!$BF17=0,10000,TA_ti!AW17*TA_ti!AW$49*TA_ti!$BF17)</f>
        <v>10000</v>
      </c>
      <c r="AX17" s="4">
        <f>+IF(TA_ti!AX17*TA_ti!AX$49*TA_ti!$BF17=0,10000,TA_ti!AX17*TA_ti!AX$49*TA_ti!$BF17)</f>
        <v>10000</v>
      </c>
      <c r="AY17" s="4">
        <f>+IF(TA_ti!AY17*TA_ti!AY$49*TA_ti!$BF17=0,10000,TA_ti!AY17*TA_ti!AY$49*TA_ti!$BF17)</f>
        <v>10000</v>
      </c>
      <c r="AZ17" s="4">
        <f>+IF(TA_ti!AZ17*TA_ti!AZ$49*TA_ti!$BF17=0,10000,TA_ti!AZ17*TA_ti!AZ$49*TA_ti!$BF17)</f>
        <v>10000</v>
      </c>
      <c r="BA17" s="4">
        <f>+IF(TA_ti!BA17*TA_ti!BA$49*TA_ti!$BF17=0,10000,TA_ti!BA17*TA_ti!BA$49*TA_ti!$BF17)</f>
        <v>10000</v>
      </c>
      <c r="BB17" s="4">
        <f>+IF(TA_ti!BB17*TA_ti!BB$49*TA_ti!$BF17=0,10000,TA_ti!BB17*TA_ti!BB$49*TA_ti!$BF17)</f>
        <v>10000</v>
      </c>
      <c r="BC17" s="4">
        <f>+IF(TA_ti!BC17*TA_ti!BC$49*TA_ti!$BF17=0,10000,TA_ti!BC17*TA_ti!BC$49*TA_ti!$BF17)</f>
        <v>10000</v>
      </c>
    </row>
    <row r="18" spans="1:55" ht="18.75" customHeight="1" x14ac:dyDescent="0.25">
      <c r="A18" s="5" t="s">
        <v>69</v>
      </c>
      <c r="B18" s="4">
        <f>+IF(TA_ti!B18*TA_ti!B$49*TA_ti!$BF18=0,10000,TA_ti!B18*TA_ti!B$49*TA_ti!$BF18)</f>
        <v>10000</v>
      </c>
      <c r="C18" s="4">
        <f>+IF(TA_ti!C18*TA_ti!C$49*TA_ti!$BF18=0,10000,TA_ti!C18*TA_ti!C$49*TA_ti!$BF18)</f>
        <v>10000</v>
      </c>
      <c r="D18" s="4">
        <f>+IF(TA_ti!D18*TA_ti!D$49*TA_ti!$BF18=0,10000,TA_ti!D18*TA_ti!D$49*TA_ti!$BF18)</f>
        <v>10000</v>
      </c>
      <c r="E18" s="4">
        <f>+IF(TA_ti!E18*TA_ti!E$49*TA_ti!$BF18=0,10000,TA_ti!E18*TA_ti!E$49*TA_ti!$BF18)</f>
        <v>10000</v>
      </c>
      <c r="F18" s="4">
        <f>+IF(TA_ti!F18*TA_ti!F$49*TA_ti!$BF18=0,10000,TA_ti!F18*TA_ti!F$49*TA_ti!$BF18)</f>
        <v>10000</v>
      </c>
      <c r="G18" s="4">
        <f>+IF(TA_ti!G18*TA_ti!G$49*TA_ti!$BF18=0,10000,TA_ti!G18*TA_ti!G$49*TA_ti!$BF18)</f>
        <v>10000</v>
      </c>
      <c r="H18" s="4">
        <f>+IF(TA_ti!H18*TA_ti!H$49*TA_ti!$BF18=0,10000,TA_ti!H18*TA_ti!H$49*TA_ti!$BF18)</f>
        <v>10000</v>
      </c>
      <c r="I18" s="4">
        <f>+IF(TA_ti!I18*TA_ti!I$49*TA_ti!$BF18=0,10000,TA_ti!I18*TA_ti!I$49*TA_ti!$BF18)</f>
        <v>10000</v>
      </c>
      <c r="J18" s="4">
        <f>+IF(TA_ti!J18*TA_ti!J$49*TA_ti!$BF18=0,10000,TA_ti!J18*TA_ti!J$49*TA_ti!$BF18)</f>
        <v>10000</v>
      </c>
      <c r="K18" s="4">
        <f>+IF(TA_ti!K18*TA_ti!K$49*TA_ti!$BF18=0,10000,TA_ti!K18*TA_ti!K$49*TA_ti!$BF18)</f>
        <v>10000</v>
      </c>
      <c r="L18" s="4">
        <f>+IF(TA_ti!L18*TA_ti!L$49*TA_ti!$BF18=0,10000,TA_ti!L18*TA_ti!L$49*TA_ti!$BF18)</f>
        <v>10000</v>
      </c>
      <c r="M18" s="4">
        <f>+IF(TA_ti!M18*TA_ti!M$49*TA_ti!$BF18=0,10000,TA_ti!M18*TA_ti!M$49*TA_ti!$BF18)</f>
        <v>10000</v>
      </c>
      <c r="N18" s="4">
        <f>+IF(TA_ti!N18*TA_ti!N$49*TA_ti!$BF18=0,10000,TA_ti!N18*TA_ti!N$49*TA_ti!$BF18)</f>
        <v>10000</v>
      </c>
      <c r="O18" s="4">
        <f>+IF(TA_ti!O18*TA_ti!O$49*TA_ti!$BF18=0,10000,TA_ti!O18*TA_ti!O$49*TA_ti!$BF18)</f>
        <v>10000</v>
      </c>
      <c r="P18" s="4">
        <f>+IF(TA_ti!P18*TA_ti!P$49*TA_ti!$BF18=0,10000,TA_ti!P18*TA_ti!P$49*TA_ti!$BF18)</f>
        <v>10000</v>
      </c>
      <c r="Q18" s="4">
        <f>+IF(TA_ti!Q18*TA_ti!Q$49*TA_ti!$BF18=0,10000,TA_ti!Q18*TA_ti!Q$49*TA_ti!$BF18)</f>
        <v>10000</v>
      </c>
      <c r="R18" s="4">
        <f>+IF(TA_ti!R18*TA_ti!R$49*TA_ti!$BF18=0,10000,TA_ti!R18*TA_ti!R$49*TA_ti!$BF18)</f>
        <v>10000</v>
      </c>
      <c r="S18" s="4">
        <f>+IF(TA_ti!S18*TA_ti!S$49*TA_ti!$BF18=0,10000,TA_ti!S18*TA_ti!S$49*TA_ti!$BF18)</f>
        <v>10000</v>
      </c>
      <c r="T18" s="4">
        <f>+IF(TA_ti!T18*TA_ti!T$49*TA_ti!$BF18=0,10000,TA_ti!T18*TA_ti!T$49*TA_ti!$BF18)</f>
        <v>10000</v>
      </c>
      <c r="U18" s="4">
        <f>+IF(TA_ti!U18*TA_ti!U$49*TA_ti!$BF18=0,10000,TA_ti!U18*TA_ti!U$49*TA_ti!$BF18)</f>
        <v>10000</v>
      </c>
      <c r="V18" s="4">
        <f>+IF(TA_ti!V18*TA_ti!V$49*TA_ti!$BF18=0,10000,TA_ti!V18*TA_ti!V$49*TA_ti!$BF18)</f>
        <v>10000</v>
      </c>
      <c r="W18" s="4">
        <f>+IF(TA_ti!W18*TA_ti!W$49*TA_ti!$BF18=0,10000,TA_ti!W18*TA_ti!W$49*TA_ti!$BF18)</f>
        <v>10000</v>
      </c>
      <c r="X18" s="4">
        <f>+IF(TA_ti!X18*TA_ti!X$49*TA_ti!$BF18=0,10000,TA_ti!X18*TA_ti!X$49*TA_ti!$BF18)</f>
        <v>10000</v>
      </c>
      <c r="Y18" s="4">
        <f>+IF(TA_ti!Y18*TA_ti!Y$49*TA_ti!$BF18=0,10000,TA_ti!Y18*TA_ti!Y$49*TA_ti!$BF18)</f>
        <v>10000</v>
      </c>
      <c r="Z18" s="4">
        <f>+IF(TA_ti!Z18*TA_ti!Z$49*TA_ti!$BF18=0,10000,TA_ti!Z18*TA_ti!Z$49*TA_ti!$BF18)</f>
        <v>10000</v>
      </c>
      <c r="AA18" s="4">
        <f>+IF(TA_ti!AA18*TA_ti!AA$49*TA_ti!$BF18=0,10000,TA_ti!AA18*TA_ti!AA$49*TA_ti!$BF18)</f>
        <v>10000</v>
      </c>
      <c r="AB18" s="4">
        <f>+IF(TA_ti!AB18*TA_ti!AB$49*TA_ti!$BF18=0,10000,TA_ti!AB18*TA_ti!AB$49*TA_ti!$BF18)</f>
        <v>10000</v>
      </c>
      <c r="AC18" s="4">
        <f>+IF(TA_ti!AC18*TA_ti!AC$49*TA_ti!$BF18=0,10000,TA_ti!AC18*TA_ti!AC$49*TA_ti!$BF18)</f>
        <v>10000</v>
      </c>
      <c r="AD18" s="4">
        <f>+IF(TA_ti!AD18*TA_ti!AD$49*TA_ti!$BF18=0,10000,TA_ti!AD18*TA_ti!AD$49*TA_ti!$BF18)</f>
        <v>10000</v>
      </c>
      <c r="AE18" s="4">
        <f>+IF(TA_ti!AE18*TA_ti!AE$49*TA_ti!$BF18=0,10000,TA_ti!AE18*TA_ti!AE$49*TA_ti!$BF18)</f>
        <v>10000</v>
      </c>
      <c r="AF18" s="4">
        <f>+IF(TA_ti!AF18*TA_ti!AF$49*TA_ti!$BF18=0,10000,TA_ti!AF18*TA_ti!AF$49*TA_ti!$BF18)</f>
        <v>10000</v>
      </c>
      <c r="AG18" s="4">
        <f>+IF(TA_ti!AG18*TA_ti!AG$49*TA_ti!$BF18=0,10000,TA_ti!AG18*TA_ti!AG$49*TA_ti!$BF18)</f>
        <v>10000</v>
      </c>
      <c r="AH18" s="4">
        <f>+IF(TA_ti!AH18*TA_ti!AH$49*TA_ti!$BF18=0,10000,TA_ti!AH18*TA_ti!AH$49*TA_ti!$BF18)</f>
        <v>10000</v>
      </c>
      <c r="AI18" s="4">
        <f>+IF(TA_ti!AI18*TA_ti!AI$49*TA_ti!$BF18=0,10000,TA_ti!AI18*TA_ti!AI$49*TA_ti!$BF18)</f>
        <v>10000</v>
      </c>
      <c r="AJ18" s="4">
        <f>+IF(TA_ti!AJ18*TA_ti!AJ$49*TA_ti!$BF18=0,10000,TA_ti!AJ18*TA_ti!AJ$49*TA_ti!$BF18)</f>
        <v>10000</v>
      </c>
      <c r="AK18" s="4">
        <f>+IF(TA_ti!AK18*TA_ti!AK$49*TA_ti!$BF18=0,10000,TA_ti!AK18*TA_ti!AK$49*TA_ti!$BF18)</f>
        <v>10000</v>
      </c>
      <c r="AL18" s="4">
        <f>+IF(TA_ti!AL18*TA_ti!AL$49*TA_ti!$BF18=0,10000,TA_ti!AL18*TA_ti!AL$49*TA_ti!$BF18)</f>
        <v>10000</v>
      </c>
      <c r="AM18" s="4">
        <f>+IF(TA_ti!AM18*TA_ti!AM$49*TA_ti!$BF18=0,10000,TA_ti!AM18*TA_ti!AM$49*TA_ti!$BF18)</f>
        <v>10000</v>
      </c>
      <c r="AN18" s="4">
        <f>+IF(TA_ti!AN18*TA_ti!AN$49*TA_ti!$BF18=0,10000,TA_ti!AN18*TA_ti!AN$49*TA_ti!$BF18)</f>
        <v>10000</v>
      </c>
      <c r="AO18" s="4">
        <f>+IF(TA_ti!AO18*TA_ti!AO$49*TA_ti!$BF18=0,10000,TA_ti!AO18*TA_ti!AO$49*TA_ti!$BF18)</f>
        <v>10000</v>
      </c>
      <c r="AP18" s="4">
        <f>+IF(TA_ti!AP18*TA_ti!AP$49*TA_ti!$BF18=0,10000,TA_ti!AP18*TA_ti!AP$49*TA_ti!$BF18)</f>
        <v>10000</v>
      </c>
      <c r="AQ18" s="4">
        <f>+IF(TA_ti!AQ18*TA_ti!AQ$49*TA_ti!$BF18=0,10000,TA_ti!AQ18*TA_ti!AQ$49*TA_ti!$BF18)</f>
        <v>10000</v>
      </c>
      <c r="AR18" s="4">
        <f>+IF(TA_ti!AR18*TA_ti!AR$49*TA_ti!$BF18=0,10000,TA_ti!AR18*TA_ti!AR$49*TA_ti!$BF18)</f>
        <v>10000</v>
      </c>
      <c r="AS18" s="4">
        <f>+IF(TA_ti!AS18*TA_ti!AS$49*TA_ti!$BF18=0,10000,TA_ti!AS18*TA_ti!AS$49*TA_ti!$BF18)</f>
        <v>10000</v>
      </c>
      <c r="AT18" s="4">
        <f>+IF(TA_ti!AT18*TA_ti!AT$49*TA_ti!$BF18=0,10000,TA_ti!AT18*TA_ti!AT$49*TA_ti!$BF18)</f>
        <v>10000</v>
      </c>
      <c r="AU18" s="4">
        <f>+IF(TA_ti!AU18*TA_ti!AU$49*TA_ti!$BF18=0,10000,TA_ti!AU18*TA_ti!AU$49*TA_ti!$BF18)</f>
        <v>10000</v>
      </c>
      <c r="AV18" s="4">
        <f>+IF(TA_ti!AV18*TA_ti!AV$49*TA_ti!$BF18=0,10000,TA_ti!AV18*TA_ti!AV$49*TA_ti!$BF18)</f>
        <v>10000</v>
      </c>
      <c r="AW18" s="4">
        <f>+IF(TA_ti!AW18*TA_ti!AW$49*TA_ti!$BF18=0,10000,TA_ti!AW18*TA_ti!AW$49*TA_ti!$BF18)</f>
        <v>10000</v>
      </c>
      <c r="AX18" s="4">
        <f>+IF(TA_ti!AX18*TA_ti!AX$49*TA_ti!$BF18=0,10000,TA_ti!AX18*TA_ti!AX$49*TA_ti!$BF18)</f>
        <v>10000</v>
      </c>
      <c r="AY18" s="4">
        <f>+IF(TA_ti!AY18*TA_ti!AY$49*TA_ti!$BF18=0,10000,TA_ti!AY18*TA_ti!AY$49*TA_ti!$BF18)</f>
        <v>10000</v>
      </c>
      <c r="AZ18" s="4">
        <f>+IF(TA_ti!AZ18*TA_ti!AZ$49*TA_ti!$BF18=0,10000,TA_ti!AZ18*TA_ti!AZ$49*TA_ti!$BF18)</f>
        <v>10000</v>
      </c>
      <c r="BA18" s="4">
        <f>+IF(TA_ti!BA18*TA_ti!BA$49*TA_ti!$BF18=0,10000,TA_ti!BA18*TA_ti!BA$49*TA_ti!$BF18)</f>
        <v>10000</v>
      </c>
      <c r="BB18" s="4">
        <f>+IF(TA_ti!BB18*TA_ti!BB$49*TA_ti!$BF18=0,10000,TA_ti!BB18*TA_ti!BB$49*TA_ti!$BF18)</f>
        <v>10000</v>
      </c>
      <c r="BC18" s="4">
        <f>+IF(TA_ti!BC18*TA_ti!BC$49*TA_ti!$BF18=0,10000,TA_ti!BC18*TA_ti!BC$49*TA_ti!$BF18)</f>
        <v>10000</v>
      </c>
    </row>
    <row r="19" spans="1:55" ht="18.75" customHeight="1" x14ac:dyDescent="0.25">
      <c r="A19" s="5" t="s">
        <v>70</v>
      </c>
      <c r="B19" s="4">
        <f>+IF(TA_ti!B19*TA_ti!B$49*TA_ti!$BF19=0,10000,TA_ti!B19*TA_ti!B$49*TA_ti!$BF19)</f>
        <v>10000</v>
      </c>
      <c r="C19" s="4">
        <f>+IF(TA_ti!C19*TA_ti!C$49*TA_ti!$BF19=0,10000,TA_ti!C19*TA_ti!C$49*TA_ti!$BF19)</f>
        <v>10000</v>
      </c>
      <c r="D19" s="4">
        <f>+IF(TA_ti!D19*TA_ti!D$49*TA_ti!$BF19=0,10000,TA_ti!D19*TA_ti!D$49*TA_ti!$BF19)</f>
        <v>10000</v>
      </c>
      <c r="E19" s="4">
        <f>+IF(TA_ti!E19*TA_ti!E$49*TA_ti!$BF19=0,10000,TA_ti!E19*TA_ti!E$49*TA_ti!$BF19)</f>
        <v>10000</v>
      </c>
      <c r="F19" s="4">
        <f>+IF(TA_ti!F19*TA_ti!F$49*TA_ti!$BF19=0,10000,TA_ti!F19*TA_ti!F$49*TA_ti!$BF19)</f>
        <v>10000</v>
      </c>
      <c r="G19" s="4">
        <f>+IF(TA_ti!G19*TA_ti!G$49*TA_ti!$BF19=0,10000,TA_ti!G19*TA_ti!G$49*TA_ti!$BF19)</f>
        <v>10000</v>
      </c>
      <c r="H19" s="4">
        <f>+IF(TA_ti!H19*TA_ti!H$49*TA_ti!$BF19=0,10000,TA_ti!H19*TA_ti!H$49*TA_ti!$BF19)</f>
        <v>10000</v>
      </c>
      <c r="I19" s="4">
        <f>+IF(TA_ti!I19*TA_ti!I$49*TA_ti!$BF19=0,10000,TA_ti!I19*TA_ti!I$49*TA_ti!$BF19)</f>
        <v>10000</v>
      </c>
      <c r="J19" s="4">
        <f>+IF(TA_ti!J19*TA_ti!J$49*TA_ti!$BF19=0,10000,TA_ti!J19*TA_ti!J$49*TA_ti!$BF19)</f>
        <v>10000</v>
      </c>
      <c r="K19" s="4">
        <f>+IF(TA_ti!K19*TA_ti!K$49*TA_ti!$BF19=0,10000,TA_ti!K19*TA_ti!K$49*TA_ti!$BF19)</f>
        <v>10000</v>
      </c>
      <c r="L19" s="4">
        <f>+IF(TA_ti!L19*TA_ti!L$49*TA_ti!$BF19=0,10000,TA_ti!L19*TA_ti!L$49*TA_ti!$BF19)</f>
        <v>10000</v>
      </c>
      <c r="M19" s="4">
        <f>+IF(TA_ti!M19*TA_ti!M$49*TA_ti!$BF19=0,10000,TA_ti!M19*TA_ti!M$49*TA_ti!$BF19)</f>
        <v>10000</v>
      </c>
      <c r="N19" s="4">
        <f>+IF(TA_ti!N19*TA_ti!N$49*TA_ti!$BF19=0,10000,TA_ti!N19*TA_ti!N$49*TA_ti!$BF19)</f>
        <v>10000</v>
      </c>
      <c r="O19" s="4">
        <f>+IF(TA_ti!O19*TA_ti!O$49*TA_ti!$BF19=0,10000,TA_ti!O19*TA_ti!O$49*TA_ti!$BF19)</f>
        <v>10000</v>
      </c>
      <c r="P19" s="4">
        <f>+IF(TA_ti!P19*TA_ti!P$49*TA_ti!$BF19=0,10000,TA_ti!P19*TA_ti!P$49*TA_ti!$BF19)</f>
        <v>10000</v>
      </c>
      <c r="Q19" s="4">
        <f>+IF(TA_ti!Q19*TA_ti!Q$49*TA_ti!$BF19=0,10000,TA_ti!Q19*TA_ti!Q$49*TA_ti!$BF19)</f>
        <v>10000</v>
      </c>
      <c r="R19" s="4">
        <f>+IF(TA_ti!R19*TA_ti!R$49*TA_ti!$BF19=0,10000,TA_ti!R19*TA_ti!R$49*TA_ti!$BF19)</f>
        <v>10000</v>
      </c>
      <c r="S19" s="4">
        <f>+IF(TA_ti!S19*TA_ti!S$49*TA_ti!$BF19=0,10000,TA_ti!S19*TA_ti!S$49*TA_ti!$BF19)</f>
        <v>10000</v>
      </c>
      <c r="T19" s="4">
        <f>+IF(TA_ti!T19*TA_ti!T$49*TA_ti!$BF19=0,10000,TA_ti!T19*TA_ti!T$49*TA_ti!$BF19)</f>
        <v>10000</v>
      </c>
      <c r="U19" s="4">
        <f>+IF(TA_ti!U19*TA_ti!U$49*TA_ti!$BF19=0,10000,TA_ti!U19*TA_ti!U$49*TA_ti!$BF19)</f>
        <v>10000</v>
      </c>
      <c r="V19" s="4">
        <f>+IF(TA_ti!V19*TA_ti!V$49*TA_ti!$BF19=0,10000,TA_ti!V19*TA_ti!V$49*TA_ti!$BF19)</f>
        <v>10000</v>
      </c>
      <c r="W19" s="4">
        <f>+IF(TA_ti!W19*TA_ti!W$49*TA_ti!$BF19=0,10000,TA_ti!W19*TA_ti!W$49*TA_ti!$BF19)</f>
        <v>10000</v>
      </c>
      <c r="X19" s="4">
        <f>+IF(TA_ti!X19*TA_ti!X$49*TA_ti!$BF19=0,10000,TA_ti!X19*TA_ti!X$49*TA_ti!$BF19)</f>
        <v>10000</v>
      </c>
      <c r="Y19" s="4">
        <f>+IF(TA_ti!Y19*TA_ti!Y$49*TA_ti!$BF19=0,10000,TA_ti!Y19*TA_ti!Y$49*TA_ti!$BF19)</f>
        <v>10000</v>
      </c>
      <c r="Z19" s="4">
        <f>+IF(TA_ti!Z19*TA_ti!Z$49*TA_ti!$BF19=0,10000,TA_ti!Z19*TA_ti!Z$49*TA_ti!$BF19)</f>
        <v>10000</v>
      </c>
      <c r="AA19" s="4">
        <f>+IF(TA_ti!AA19*TA_ti!AA$49*TA_ti!$BF19=0,10000,TA_ti!AA19*TA_ti!AA$49*TA_ti!$BF19)</f>
        <v>10000</v>
      </c>
      <c r="AB19" s="4">
        <f>+IF(TA_ti!AB19*TA_ti!AB$49*TA_ti!$BF19=0,10000,TA_ti!AB19*TA_ti!AB$49*TA_ti!$BF19)</f>
        <v>10000</v>
      </c>
      <c r="AC19" s="4">
        <f>+IF(TA_ti!AC19*TA_ti!AC$49*TA_ti!$BF19=0,10000,TA_ti!AC19*TA_ti!AC$49*TA_ti!$BF19)</f>
        <v>10000</v>
      </c>
      <c r="AD19" s="4">
        <f>+IF(TA_ti!AD19*TA_ti!AD$49*TA_ti!$BF19=0,10000,TA_ti!AD19*TA_ti!AD$49*TA_ti!$BF19)</f>
        <v>10000</v>
      </c>
      <c r="AE19" s="4">
        <f>+IF(TA_ti!AE19*TA_ti!AE$49*TA_ti!$BF19=0,10000,TA_ti!AE19*TA_ti!AE$49*TA_ti!$BF19)</f>
        <v>10000</v>
      </c>
      <c r="AF19" s="4">
        <f>+IF(TA_ti!AF19*TA_ti!AF$49*TA_ti!$BF19=0,10000,TA_ti!AF19*TA_ti!AF$49*TA_ti!$BF19)</f>
        <v>10000</v>
      </c>
      <c r="AG19" s="4">
        <f>+IF(TA_ti!AG19*TA_ti!AG$49*TA_ti!$BF19=0,10000,TA_ti!AG19*TA_ti!AG$49*TA_ti!$BF19)</f>
        <v>10000</v>
      </c>
      <c r="AH19" s="4">
        <f>+IF(TA_ti!AH19*TA_ti!AH$49*TA_ti!$BF19=0,10000,TA_ti!AH19*TA_ti!AH$49*TA_ti!$BF19)</f>
        <v>10000</v>
      </c>
      <c r="AI19" s="4">
        <f>+IF(TA_ti!AI19*TA_ti!AI$49*TA_ti!$BF19=0,10000,TA_ti!AI19*TA_ti!AI$49*TA_ti!$BF19)</f>
        <v>10000</v>
      </c>
      <c r="AJ19" s="4">
        <f>+IF(TA_ti!AJ19*TA_ti!AJ$49*TA_ti!$BF19=0,10000,TA_ti!AJ19*TA_ti!AJ$49*TA_ti!$BF19)</f>
        <v>10000</v>
      </c>
      <c r="AK19" s="4">
        <f>+IF(TA_ti!AK19*TA_ti!AK$49*TA_ti!$BF19=0,10000,TA_ti!AK19*TA_ti!AK$49*TA_ti!$BF19)</f>
        <v>10000</v>
      </c>
      <c r="AL19" s="4">
        <f>+IF(TA_ti!AL19*TA_ti!AL$49*TA_ti!$BF19=0,10000,TA_ti!AL19*TA_ti!AL$49*TA_ti!$BF19)</f>
        <v>10000</v>
      </c>
      <c r="AM19" s="4">
        <f>+IF(TA_ti!AM19*TA_ti!AM$49*TA_ti!$BF19=0,10000,TA_ti!AM19*TA_ti!AM$49*TA_ti!$BF19)</f>
        <v>10000</v>
      </c>
      <c r="AN19" s="4">
        <f>+IF(TA_ti!AN19*TA_ti!AN$49*TA_ti!$BF19=0,10000,TA_ti!AN19*TA_ti!AN$49*TA_ti!$BF19)</f>
        <v>10000</v>
      </c>
      <c r="AO19" s="4">
        <f>+IF(TA_ti!AO19*TA_ti!AO$49*TA_ti!$BF19=0,10000,TA_ti!AO19*TA_ti!AO$49*TA_ti!$BF19)</f>
        <v>10000</v>
      </c>
      <c r="AP19" s="4">
        <f>+IF(TA_ti!AP19*TA_ti!AP$49*TA_ti!$BF19=0,10000,TA_ti!AP19*TA_ti!AP$49*TA_ti!$BF19)</f>
        <v>10000</v>
      </c>
      <c r="AQ19" s="4">
        <f>+IF(TA_ti!AQ19*TA_ti!AQ$49*TA_ti!$BF19=0,10000,TA_ti!AQ19*TA_ti!AQ$49*TA_ti!$BF19)</f>
        <v>10000</v>
      </c>
      <c r="AR19" s="4">
        <f>+IF(TA_ti!AR19*TA_ti!AR$49*TA_ti!$BF19=0,10000,TA_ti!AR19*TA_ti!AR$49*TA_ti!$BF19)</f>
        <v>10000</v>
      </c>
      <c r="AS19" s="4">
        <f>+IF(TA_ti!AS19*TA_ti!AS$49*TA_ti!$BF19=0,10000,TA_ti!AS19*TA_ti!AS$49*TA_ti!$BF19)</f>
        <v>10000</v>
      </c>
      <c r="AT19" s="4">
        <f>+IF(TA_ti!AT19*TA_ti!AT$49*TA_ti!$BF19=0,10000,TA_ti!AT19*TA_ti!AT$49*TA_ti!$BF19)</f>
        <v>10000</v>
      </c>
      <c r="AU19" s="4">
        <f>+IF(TA_ti!AU19*TA_ti!AU$49*TA_ti!$BF19=0,10000,TA_ti!AU19*TA_ti!AU$49*TA_ti!$BF19)</f>
        <v>10000</v>
      </c>
      <c r="AV19" s="4">
        <f>+IF(TA_ti!AV19*TA_ti!AV$49*TA_ti!$BF19=0,10000,TA_ti!AV19*TA_ti!AV$49*TA_ti!$BF19)</f>
        <v>10000</v>
      </c>
      <c r="AW19" s="4">
        <f>+IF(TA_ti!AW19*TA_ti!AW$49*TA_ti!$BF19=0,10000,TA_ti!AW19*TA_ti!AW$49*TA_ti!$BF19)</f>
        <v>10000</v>
      </c>
      <c r="AX19" s="4">
        <f>+IF(TA_ti!AX19*TA_ti!AX$49*TA_ti!$BF19=0,10000,TA_ti!AX19*TA_ti!AX$49*TA_ti!$BF19)</f>
        <v>10000</v>
      </c>
      <c r="AY19" s="4">
        <f>+IF(TA_ti!AY19*TA_ti!AY$49*TA_ti!$BF19=0,10000,TA_ti!AY19*TA_ti!AY$49*TA_ti!$BF19)</f>
        <v>10000</v>
      </c>
      <c r="AZ19" s="4">
        <f>+IF(TA_ti!AZ19*TA_ti!AZ$49*TA_ti!$BF19=0,10000,TA_ti!AZ19*TA_ti!AZ$49*TA_ti!$BF19)</f>
        <v>10000</v>
      </c>
      <c r="BA19" s="4">
        <f>+IF(TA_ti!BA19*TA_ti!BA$49*TA_ti!$BF19=0,10000,TA_ti!BA19*TA_ti!BA$49*TA_ti!$BF19)</f>
        <v>10000</v>
      </c>
      <c r="BB19" s="4">
        <f>+IF(TA_ti!BB19*TA_ti!BB$49*TA_ti!$BF19=0,10000,TA_ti!BB19*TA_ti!BB$49*TA_ti!$BF19)</f>
        <v>10000</v>
      </c>
      <c r="BC19" s="4">
        <f>+IF(TA_ti!BC19*TA_ti!BC$49*TA_ti!$BF19=0,10000,TA_ti!BC19*TA_ti!BC$49*TA_ti!$BF19)</f>
        <v>10000</v>
      </c>
    </row>
    <row r="20" spans="1:55" ht="18.75" customHeight="1" x14ac:dyDescent="0.25">
      <c r="A20" s="5" t="s">
        <v>71</v>
      </c>
      <c r="B20" s="4">
        <f>+IF(TA_ti!B20*TA_ti!B$49*TA_ti!$BF20=0,10000,TA_ti!B20*TA_ti!B$49*TA_ti!$BF20)</f>
        <v>10000</v>
      </c>
      <c r="C20" s="4">
        <f>+IF(TA_ti!C20*TA_ti!C$49*TA_ti!$BF20=0,10000,TA_ti!C20*TA_ti!C$49*TA_ti!$BF20)</f>
        <v>10000</v>
      </c>
      <c r="D20" s="4">
        <f>+IF(TA_ti!D20*TA_ti!D$49*TA_ti!$BF20=0,10000,TA_ti!D20*TA_ti!D$49*TA_ti!$BF20)</f>
        <v>10000</v>
      </c>
      <c r="E20" s="4">
        <f>+IF(TA_ti!E20*TA_ti!E$49*TA_ti!$BF20=0,10000,TA_ti!E20*TA_ti!E$49*TA_ti!$BF20)</f>
        <v>10000</v>
      </c>
      <c r="F20" s="4">
        <f>+IF(TA_ti!F20*TA_ti!F$49*TA_ti!$BF20=0,10000,TA_ti!F20*TA_ti!F$49*TA_ti!$BF20)</f>
        <v>10000</v>
      </c>
      <c r="G20" s="4">
        <f>+IF(TA_ti!G20*TA_ti!G$49*TA_ti!$BF20=0,10000,TA_ti!G20*TA_ti!G$49*TA_ti!$BF20)</f>
        <v>10000</v>
      </c>
      <c r="H20" s="4">
        <f>+IF(TA_ti!H20*TA_ti!H$49*TA_ti!$BF20=0,10000,TA_ti!H20*TA_ti!H$49*TA_ti!$BF20)</f>
        <v>10000</v>
      </c>
      <c r="I20" s="4">
        <f>+IF(TA_ti!I20*TA_ti!I$49*TA_ti!$BF20=0,10000,TA_ti!I20*TA_ti!I$49*TA_ti!$BF20)</f>
        <v>10000</v>
      </c>
      <c r="J20" s="4">
        <f>+IF(TA_ti!J20*TA_ti!J$49*TA_ti!$BF20=0,10000,TA_ti!J20*TA_ti!J$49*TA_ti!$BF20)</f>
        <v>10000</v>
      </c>
      <c r="K20" s="4">
        <f>+IF(TA_ti!K20*TA_ti!K$49*TA_ti!$BF20=0,10000,TA_ti!K20*TA_ti!K$49*TA_ti!$BF20)</f>
        <v>10000</v>
      </c>
      <c r="L20" s="4">
        <f>+IF(TA_ti!L20*TA_ti!L$49*TA_ti!$BF20=0,10000,TA_ti!L20*TA_ti!L$49*TA_ti!$BF20)</f>
        <v>10000</v>
      </c>
      <c r="M20" s="4">
        <f>+IF(TA_ti!M20*TA_ti!M$49*TA_ti!$BF20=0,10000,TA_ti!M20*TA_ti!M$49*TA_ti!$BF20)</f>
        <v>10000</v>
      </c>
      <c r="N20" s="4">
        <f>+IF(TA_ti!N20*TA_ti!N$49*TA_ti!$BF20=0,10000,TA_ti!N20*TA_ti!N$49*TA_ti!$BF20)</f>
        <v>10000</v>
      </c>
      <c r="O20" s="4">
        <f>+IF(TA_ti!O20*TA_ti!O$49*TA_ti!$BF20=0,10000,TA_ti!O20*TA_ti!O$49*TA_ti!$BF20)</f>
        <v>10000</v>
      </c>
      <c r="P20" s="4">
        <f>+IF(TA_ti!P20*TA_ti!P$49*TA_ti!$BF20=0,10000,TA_ti!P20*TA_ti!P$49*TA_ti!$BF20)</f>
        <v>10000</v>
      </c>
      <c r="Q20" s="4">
        <f>+IF(TA_ti!Q20*TA_ti!Q$49*TA_ti!$BF20=0,10000,TA_ti!Q20*TA_ti!Q$49*TA_ti!$BF20)</f>
        <v>10000</v>
      </c>
      <c r="R20" s="4">
        <f>+IF(TA_ti!R20*TA_ti!R$49*TA_ti!$BF20=0,10000,TA_ti!R20*TA_ti!R$49*TA_ti!$BF20)</f>
        <v>10000</v>
      </c>
      <c r="S20" s="4">
        <f>+IF(TA_ti!S20*TA_ti!S$49*TA_ti!$BF20=0,10000,TA_ti!S20*TA_ti!S$49*TA_ti!$BF20)</f>
        <v>10000</v>
      </c>
      <c r="T20" s="4">
        <f>+IF(TA_ti!T20*TA_ti!T$49*TA_ti!$BF20=0,10000,TA_ti!T20*TA_ti!T$49*TA_ti!$BF20)</f>
        <v>10000</v>
      </c>
      <c r="U20" s="4">
        <f>+IF(TA_ti!U20*TA_ti!U$49*TA_ti!$BF20=0,10000,TA_ti!U20*TA_ti!U$49*TA_ti!$BF20)</f>
        <v>10000</v>
      </c>
      <c r="V20" s="4">
        <f>+IF(TA_ti!V20*TA_ti!V$49*TA_ti!$BF20=0,10000,TA_ti!V20*TA_ti!V$49*TA_ti!$BF20)</f>
        <v>10000</v>
      </c>
      <c r="W20" s="4">
        <f>+IF(TA_ti!W20*TA_ti!W$49*TA_ti!$BF20=0,10000,TA_ti!W20*TA_ti!W$49*TA_ti!$BF20)</f>
        <v>10000</v>
      </c>
      <c r="X20" s="4">
        <f>+IF(TA_ti!X20*TA_ti!X$49*TA_ti!$BF20=0,10000,TA_ti!X20*TA_ti!X$49*TA_ti!$BF20)</f>
        <v>10000</v>
      </c>
      <c r="Y20" s="4">
        <f>+IF(TA_ti!Y20*TA_ti!Y$49*TA_ti!$BF20=0,10000,TA_ti!Y20*TA_ti!Y$49*TA_ti!$BF20)</f>
        <v>10000</v>
      </c>
      <c r="Z20" s="4">
        <f>+IF(TA_ti!Z20*TA_ti!Z$49*TA_ti!$BF20=0,10000,TA_ti!Z20*TA_ti!Z$49*TA_ti!$BF20)</f>
        <v>10000</v>
      </c>
      <c r="AA20" s="4">
        <f>+IF(TA_ti!AA20*TA_ti!AA$49*TA_ti!$BF20=0,10000,TA_ti!AA20*TA_ti!AA$49*TA_ti!$BF20)</f>
        <v>10000</v>
      </c>
      <c r="AB20" s="4">
        <f>+IF(TA_ti!AB20*TA_ti!AB$49*TA_ti!$BF20=0,10000,TA_ti!AB20*TA_ti!AB$49*TA_ti!$BF20)</f>
        <v>10000</v>
      </c>
      <c r="AC20" s="4">
        <f>+IF(TA_ti!AC20*TA_ti!AC$49*TA_ti!$BF20=0,10000,TA_ti!AC20*TA_ti!AC$49*TA_ti!$BF20)</f>
        <v>10000</v>
      </c>
      <c r="AD20" s="4">
        <f>+IF(TA_ti!AD20*TA_ti!AD$49*TA_ti!$BF20=0,10000,TA_ti!AD20*TA_ti!AD$49*TA_ti!$BF20)</f>
        <v>10000</v>
      </c>
      <c r="AE20" s="4">
        <f>+IF(TA_ti!AE20*TA_ti!AE$49*TA_ti!$BF20=0,10000,TA_ti!AE20*TA_ti!AE$49*TA_ti!$BF20)</f>
        <v>10000</v>
      </c>
      <c r="AF20" s="4">
        <f>+IF(TA_ti!AF20*TA_ti!AF$49*TA_ti!$BF20=0,10000,TA_ti!AF20*TA_ti!AF$49*TA_ti!$BF20)</f>
        <v>10000</v>
      </c>
      <c r="AG20" s="4">
        <f>+IF(TA_ti!AG20*TA_ti!AG$49*TA_ti!$BF20=0,10000,TA_ti!AG20*TA_ti!AG$49*TA_ti!$BF20)</f>
        <v>10000</v>
      </c>
      <c r="AH20" s="4">
        <f>+IF(TA_ti!AH20*TA_ti!AH$49*TA_ti!$BF20=0,10000,TA_ti!AH20*TA_ti!AH$49*TA_ti!$BF20)</f>
        <v>10000</v>
      </c>
      <c r="AI20" s="4">
        <f>+IF(TA_ti!AI20*TA_ti!AI$49*TA_ti!$BF20=0,10000,TA_ti!AI20*TA_ti!AI$49*TA_ti!$BF20)</f>
        <v>10000</v>
      </c>
      <c r="AJ20" s="4">
        <f>+IF(TA_ti!AJ20*TA_ti!AJ$49*TA_ti!$BF20=0,10000,TA_ti!AJ20*TA_ti!AJ$49*TA_ti!$BF20)</f>
        <v>10000</v>
      </c>
      <c r="AK20" s="4">
        <f>+IF(TA_ti!AK20*TA_ti!AK$49*TA_ti!$BF20=0,10000,TA_ti!AK20*TA_ti!AK$49*TA_ti!$BF20)</f>
        <v>10000</v>
      </c>
      <c r="AL20" s="4">
        <f>+IF(TA_ti!AL20*TA_ti!AL$49*TA_ti!$BF20=0,10000,TA_ti!AL20*TA_ti!AL$49*TA_ti!$BF20)</f>
        <v>10000</v>
      </c>
      <c r="AM20" s="4">
        <f>+IF(TA_ti!AM20*TA_ti!AM$49*TA_ti!$BF20=0,10000,TA_ti!AM20*TA_ti!AM$49*TA_ti!$BF20)</f>
        <v>10000</v>
      </c>
      <c r="AN20" s="4">
        <f>+IF(TA_ti!AN20*TA_ti!AN$49*TA_ti!$BF20=0,10000,TA_ti!AN20*TA_ti!AN$49*TA_ti!$BF20)</f>
        <v>10000</v>
      </c>
      <c r="AO20" s="4">
        <f>+IF(TA_ti!AO20*TA_ti!AO$49*TA_ti!$BF20=0,10000,TA_ti!AO20*TA_ti!AO$49*TA_ti!$BF20)</f>
        <v>10000</v>
      </c>
      <c r="AP20" s="4">
        <f>+IF(TA_ti!AP20*TA_ti!AP$49*TA_ti!$BF20=0,10000,TA_ti!AP20*TA_ti!AP$49*TA_ti!$BF20)</f>
        <v>10000</v>
      </c>
      <c r="AQ20" s="4">
        <f>+IF(TA_ti!AQ20*TA_ti!AQ$49*TA_ti!$BF20=0,10000,TA_ti!AQ20*TA_ti!AQ$49*TA_ti!$BF20)</f>
        <v>10000</v>
      </c>
      <c r="AR20" s="4">
        <f>+IF(TA_ti!AR20*TA_ti!AR$49*TA_ti!$BF20=0,10000,TA_ti!AR20*TA_ti!AR$49*TA_ti!$BF20)</f>
        <v>10000</v>
      </c>
      <c r="AS20" s="4">
        <f>+IF(TA_ti!AS20*TA_ti!AS$49*TA_ti!$BF20=0,10000,TA_ti!AS20*TA_ti!AS$49*TA_ti!$BF20)</f>
        <v>10000</v>
      </c>
      <c r="AT20" s="4">
        <f>+IF(TA_ti!AT20*TA_ti!AT$49*TA_ti!$BF20=0,10000,TA_ti!AT20*TA_ti!AT$49*TA_ti!$BF20)</f>
        <v>10000</v>
      </c>
      <c r="AU20" s="4">
        <f>+IF(TA_ti!AU20*TA_ti!AU$49*TA_ti!$BF20=0,10000,TA_ti!AU20*TA_ti!AU$49*TA_ti!$BF20)</f>
        <v>10000</v>
      </c>
      <c r="AV20" s="4">
        <f>+IF(TA_ti!AV20*TA_ti!AV$49*TA_ti!$BF20=0,10000,TA_ti!AV20*TA_ti!AV$49*TA_ti!$BF20)</f>
        <v>10000</v>
      </c>
      <c r="AW20" s="4">
        <f>+IF(TA_ti!AW20*TA_ti!AW$49*TA_ti!$BF20=0,10000,TA_ti!AW20*TA_ti!AW$49*TA_ti!$BF20)</f>
        <v>10000</v>
      </c>
      <c r="AX20" s="4">
        <f>+IF(TA_ti!AX20*TA_ti!AX$49*TA_ti!$BF20=0,10000,TA_ti!AX20*TA_ti!AX$49*TA_ti!$BF20)</f>
        <v>10000</v>
      </c>
      <c r="AY20" s="4">
        <f>+IF(TA_ti!AY20*TA_ti!AY$49*TA_ti!$BF20=0,10000,TA_ti!AY20*TA_ti!AY$49*TA_ti!$BF20)</f>
        <v>10000</v>
      </c>
      <c r="AZ20" s="4">
        <f>+IF(TA_ti!AZ20*TA_ti!AZ$49*TA_ti!$BF20=0,10000,TA_ti!AZ20*TA_ti!AZ$49*TA_ti!$BF20)</f>
        <v>10000</v>
      </c>
      <c r="BA20" s="4">
        <f>+IF(TA_ti!BA20*TA_ti!BA$49*TA_ti!$BF20=0,10000,TA_ti!BA20*TA_ti!BA$49*TA_ti!$BF20)</f>
        <v>10000</v>
      </c>
      <c r="BB20" s="4">
        <f>+IF(TA_ti!BB20*TA_ti!BB$49*TA_ti!$BF20=0,10000,TA_ti!BB20*TA_ti!BB$49*TA_ti!$BF20)</f>
        <v>10000</v>
      </c>
      <c r="BC20" s="4">
        <f>+IF(TA_ti!BC20*TA_ti!BC$49*TA_ti!$BF20=0,10000,TA_ti!BC20*TA_ti!BC$49*TA_ti!$BF20)</f>
        <v>10000</v>
      </c>
    </row>
    <row r="21" spans="1:55" ht="18.75" customHeight="1" x14ac:dyDescent="0.25">
      <c r="A21" s="5" t="s">
        <v>72</v>
      </c>
      <c r="B21" s="4">
        <f>+IF(TA_ti!B21*TA_ti!B$49*TA_ti!$BF21=0,10000,TA_ti!B21*TA_ti!B$49*TA_ti!$BF21)</f>
        <v>10000</v>
      </c>
      <c r="C21" s="4">
        <f>+IF(TA_ti!C21*TA_ti!C$49*TA_ti!$BF21=0,10000,TA_ti!C21*TA_ti!C$49*TA_ti!$BF21)</f>
        <v>10000</v>
      </c>
      <c r="D21" s="4">
        <f>+IF(TA_ti!D21*TA_ti!D$49*TA_ti!$BF21=0,10000,TA_ti!D21*TA_ti!D$49*TA_ti!$BF21)</f>
        <v>10000</v>
      </c>
      <c r="E21" s="4">
        <f>+IF(TA_ti!E21*TA_ti!E$49*TA_ti!$BF21=0,10000,TA_ti!E21*TA_ti!E$49*TA_ti!$BF21)</f>
        <v>10000</v>
      </c>
      <c r="F21" s="4">
        <f>+IF(TA_ti!F21*TA_ti!F$49*TA_ti!$BF21=0,10000,TA_ti!F21*TA_ti!F$49*TA_ti!$BF21)</f>
        <v>10000</v>
      </c>
      <c r="G21" s="4">
        <f>+IF(TA_ti!G21*TA_ti!G$49*TA_ti!$BF21=0,10000,TA_ti!G21*TA_ti!G$49*TA_ti!$BF21)</f>
        <v>10000</v>
      </c>
      <c r="H21" s="4">
        <f>+IF(TA_ti!H21*TA_ti!H$49*TA_ti!$BF21=0,10000,TA_ti!H21*TA_ti!H$49*TA_ti!$BF21)</f>
        <v>10000</v>
      </c>
      <c r="I21" s="4">
        <f>+IF(TA_ti!I21*TA_ti!I$49*TA_ti!$BF21=0,10000,TA_ti!I21*TA_ti!I$49*TA_ti!$BF21)</f>
        <v>10000</v>
      </c>
      <c r="J21" s="4">
        <f>+IF(TA_ti!J21*TA_ti!J$49*TA_ti!$BF21=0,10000,TA_ti!J21*TA_ti!J$49*TA_ti!$BF21)</f>
        <v>10000</v>
      </c>
      <c r="K21" s="4">
        <f>+IF(TA_ti!K21*TA_ti!K$49*TA_ti!$BF21=0,10000,TA_ti!K21*TA_ti!K$49*TA_ti!$BF21)</f>
        <v>10000</v>
      </c>
      <c r="L21" s="4">
        <f>+IF(TA_ti!L21*TA_ti!L$49*TA_ti!$BF21=0,10000,TA_ti!L21*TA_ti!L$49*TA_ti!$BF21)</f>
        <v>10000</v>
      </c>
      <c r="M21" s="4">
        <f>+IF(TA_ti!M21*TA_ti!M$49*TA_ti!$BF21=0,10000,TA_ti!M21*TA_ti!M$49*TA_ti!$BF21)</f>
        <v>10000</v>
      </c>
      <c r="N21" s="4">
        <f>+IF(TA_ti!N21*TA_ti!N$49*TA_ti!$BF21=0,10000,TA_ti!N21*TA_ti!N$49*TA_ti!$BF21)</f>
        <v>10000</v>
      </c>
      <c r="O21" s="4">
        <f>+IF(TA_ti!O21*TA_ti!O$49*TA_ti!$BF21=0,10000,TA_ti!O21*TA_ti!O$49*TA_ti!$BF21)</f>
        <v>10000</v>
      </c>
      <c r="P21" s="4">
        <f>+IF(TA_ti!P21*TA_ti!P$49*TA_ti!$BF21=0,10000,TA_ti!P21*TA_ti!P$49*TA_ti!$BF21)</f>
        <v>10000</v>
      </c>
      <c r="Q21" s="4">
        <f>+IF(TA_ti!Q21*TA_ti!Q$49*TA_ti!$BF21=0,10000,TA_ti!Q21*TA_ti!Q$49*TA_ti!$BF21)</f>
        <v>10000</v>
      </c>
      <c r="R21" s="4">
        <f>+IF(TA_ti!R21*TA_ti!R$49*TA_ti!$BF21=0,10000,TA_ti!R21*TA_ti!R$49*TA_ti!$BF21)</f>
        <v>10000</v>
      </c>
      <c r="S21" s="4">
        <f>+IF(TA_ti!S21*TA_ti!S$49*TA_ti!$BF21=0,10000,TA_ti!S21*TA_ti!S$49*TA_ti!$BF21)</f>
        <v>10000</v>
      </c>
      <c r="T21" s="4">
        <f>+IF(TA_ti!T21*TA_ti!T$49*TA_ti!$BF21=0,10000,TA_ti!T21*TA_ti!T$49*TA_ti!$BF21)</f>
        <v>10000</v>
      </c>
      <c r="U21" s="4">
        <f>+IF(TA_ti!U21*TA_ti!U$49*TA_ti!$BF21=0,10000,TA_ti!U21*TA_ti!U$49*TA_ti!$BF21)</f>
        <v>15</v>
      </c>
      <c r="V21" s="4">
        <f>+IF(TA_ti!V21*TA_ti!V$49*TA_ti!$BF21=0,10000,TA_ti!V21*TA_ti!V$49*TA_ti!$BF21)</f>
        <v>10000</v>
      </c>
      <c r="W21" s="4">
        <f>+IF(TA_ti!W21*TA_ti!W$49*TA_ti!$BF21=0,10000,TA_ti!W21*TA_ti!W$49*TA_ti!$BF21)</f>
        <v>10000</v>
      </c>
      <c r="X21" s="4">
        <f>+IF(TA_ti!X21*TA_ti!X$49*TA_ti!$BF21=0,10000,TA_ti!X21*TA_ti!X$49*TA_ti!$BF21)</f>
        <v>10000</v>
      </c>
      <c r="Y21" s="4">
        <f>+IF(TA_ti!Y21*TA_ti!Y$49*TA_ti!$BF21=0,10000,TA_ti!Y21*TA_ti!Y$49*TA_ti!$BF21)</f>
        <v>10000</v>
      </c>
      <c r="Z21" s="4">
        <f>+IF(TA_ti!Z21*TA_ti!Z$49*TA_ti!$BF21=0,10000,TA_ti!Z21*TA_ti!Z$49*TA_ti!$BF21)</f>
        <v>10000</v>
      </c>
      <c r="AA21" s="4">
        <f>+IF(TA_ti!AA21*TA_ti!AA$49*TA_ti!$BF21=0,10000,TA_ti!AA21*TA_ti!AA$49*TA_ti!$BF21)</f>
        <v>10000</v>
      </c>
      <c r="AB21" s="4">
        <f>+IF(TA_ti!AB21*TA_ti!AB$49*TA_ti!$BF21=0,10000,TA_ti!AB21*TA_ti!AB$49*TA_ti!$BF21)</f>
        <v>10000</v>
      </c>
      <c r="AC21" s="4">
        <f>+IF(TA_ti!AC21*TA_ti!AC$49*TA_ti!$BF21=0,10000,TA_ti!AC21*TA_ti!AC$49*TA_ti!$BF21)</f>
        <v>10000</v>
      </c>
      <c r="AD21" s="4">
        <f>+IF(TA_ti!AD21*TA_ti!AD$49*TA_ti!$BF21=0,10000,TA_ti!AD21*TA_ti!AD$49*TA_ti!$BF21)</f>
        <v>10000</v>
      </c>
      <c r="AE21" s="4">
        <f>+IF(TA_ti!AE21*TA_ti!AE$49*TA_ti!$BF21=0,10000,TA_ti!AE21*TA_ti!AE$49*TA_ti!$BF21)</f>
        <v>10000</v>
      </c>
      <c r="AF21" s="4">
        <f>+IF(TA_ti!AF21*TA_ti!AF$49*TA_ti!$BF21=0,10000,TA_ti!AF21*TA_ti!AF$49*TA_ti!$BF21)</f>
        <v>10000</v>
      </c>
      <c r="AG21" s="4">
        <f>+IF(TA_ti!AG21*TA_ti!AG$49*TA_ti!$BF21=0,10000,TA_ti!AG21*TA_ti!AG$49*TA_ti!$BF21)</f>
        <v>10000</v>
      </c>
      <c r="AH21" s="4">
        <f>+IF(TA_ti!AH21*TA_ti!AH$49*TA_ti!$BF21=0,10000,TA_ti!AH21*TA_ti!AH$49*TA_ti!$BF21)</f>
        <v>10000</v>
      </c>
      <c r="AI21" s="4">
        <f>+IF(TA_ti!AI21*TA_ti!AI$49*TA_ti!$BF21=0,10000,TA_ti!AI21*TA_ti!AI$49*TA_ti!$BF21)</f>
        <v>10000</v>
      </c>
      <c r="AJ21" s="4">
        <f>+IF(TA_ti!AJ21*TA_ti!AJ$49*TA_ti!$BF21=0,10000,TA_ti!AJ21*TA_ti!AJ$49*TA_ti!$BF21)</f>
        <v>10000</v>
      </c>
      <c r="AK21" s="4">
        <f>+IF(TA_ti!AK21*TA_ti!AK$49*TA_ti!$BF21=0,10000,TA_ti!AK21*TA_ti!AK$49*TA_ti!$BF21)</f>
        <v>10000</v>
      </c>
      <c r="AL21" s="4">
        <f>+IF(TA_ti!AL21*TA_ti!AL$49*TA_ti!$BF21=0,10000,TA_ti!AL21*TA_ti!AL$49*TA_ti!$BF21)</f>
        <v>10000</v>
      </c>
      <c r="AM21" s="4">
        <f>+IF(TA_ti!AM21*TA_ti!AM$49*TA_ti!$BF21=0,10000,TA_ti!AM21*TA_ti!AM$49*TA_ti!$BF21)</f>
        <v>10000</v>
      </c>
      <c r="AN21" s="4">
        <f>+IF(TA_ti!AN21*TA_ti!AN$49*TA_ti!$BF21=0,10000,TA_ti!AN21*TA_ti!AN$49*TA_ti!$BF21)</f>
        <v>10000</v>
      </c>
      <c r="AO21" s="4">
        <f>+IF(TA_ti!AO21*TA_ti!AO$49*TA_ti!$BF21=0,10000,TA_ti!AO21*TA_ti!AO$49*TA_ti!$BF21)</f>
        <v>10000</v>
      </c>
      <c r="AP21" s="4">
        <f>+IF(TA_ti!AP21*TA_ti!AP$49*TA_ti!$BF21=0,10000,TA_ti!AP21*TA_ti!AP$49*TA_ti!$BF21)</f>
        <v>10000</v>
      </c>
      <c r="AQ21" s="4">
        <f>+IF(TA_ti!AQ21*TA_ti!AQ$49*TA_ti!$BF21=0,10000,TA_ti!AQ21*TA_ti!AQ$49*TA_ti!$BF21)</f>
        <v>10000</v>
      </c>
      <c r="AR21" s="4">
        <f>+IF(TA_ti!AR21*TA_ti!AR$49*TA_ti!$BF21=0,10000,TA_ti!AR21*TA_ti!AR$49*TA_ti!$BF21)</f>
        <v>10000</v>
      </c>
      <c r="AS21" s="4">
        <f>+IF(TA_ti!AS21*TA_ti!AS$49*TA_ti!$BF21=0,10000,TA_ti!AS21*TA_ti!AS$49*TA_ti!$BF21)</f>
        <v>10000</v>
      </c>
      <c r="AT21" s="4">
        <f>+IF(TA_ti!AT21*TA_ti!AT$49*TA_ti!$BF21=0,10000,TA_ti!AT21*TA_ti!AT$49*TA_ti!$BF21)</f>
        <v>10000</v>
      </c>
      <c r="AU21" s="4">
        <f>+IF(TA_ti!AU21*TA_ti!AU$49*TA_ti!$BF21=0,10000,TA_ti!AU21*TA_ti!AU$49*TA_ti!$BF21)</f>
        <v>10000</v>
      </c>
      <c r="AV21" s="4">
        <f>+IF(TA_ti!AV21*TA_ti!AV$49*TA_ti!$BF21=0,10000,TA_ti!AV21*TA_ti!AV$49*TA_ti!$BF21)</f>
        <v>10000</v>
      </c>
      <c r="AW21" s="4">
        <f>+IF(TA_ti!AW21*TA_ti!AW$49*TA_ti!$BF21=0,10000,TA_ti!AW21*TA_ti!AW$49*TA_ti!$BF21)</f>
        <v>10000</v>
      </c>
      <c r="AX21" s="4">
        <f>+IF(TA_ti!AX21*TA_ti!AX$49*TA_ti!$BF21=0,10000,TA_ti!AX21*TA_ti!AX$49*TA_ti!$BF21)</f>
        <v>10000</v>
      </c>
      <c r="AY21" s="4">
        <f>+IF(TA_ti!AY21*TA_ti!AY$49*TA_ti!$BF21=0,10000,TA_ti!AY21*TA_ti!AY$49*TA_ti!$BF21)</f>
        <v>10000</v>
      </c>
      <c r="AZ21" s="4">
        <f>+IF(TA_ti!AZ21*TA_ti!AZ$49*TA_ti!$BF21=0,10000,TA_ti!AZ21*TA_ti!AZ$49*TA_ti!$BF21)</f>
        <v>10000</v>
      </c>
      <c r="BA21" s="4">
        <f>+IF(TA_ti!BA21*TA_ti!BA$49*TA_ti!$BF21=0,10000,TA_ti!BA21*TA_ti!BA$49*TA_ti!$BF21)</f>
        <v>10000</v>
      </c>
      <c r="BB21" s="4">
        <f>+IF(TA_ti!BB21*TA_ti!BB$49*TA_ti!$BF21=0,10000,TA_ti!BB21*TA_ti!BB$49*TA_ti!$BF21)</f>
        <v>10000</v>
      </c>
      <c r="BC21" s="4">
        <f>+IF(TA_ti!BC21*TA_ti!BC$49*TA_ti!$BF21=0,10000,TA_ti!BC21*TA_ti!BC$49*TA_ti!$BF21)</f>
        <v>10000</v>
      </c>
    </row>
    <row r="22" spans="1:55" ht="18.75" customHeight="1" x14ac:dyDescent="0.25">
      <c r="A22" s="5" t="s">
        <v>73</v>
      </c>
      <c r="B22" s="4">
        <f>+IF(TA_ti!B22*TA_ti!B$49*TA_ti!$BF22=0,10000,TA_ti!B22*TA_ti!B$49*TA_ti!$BF22)</f>
        <v>10000</v>
      </c>
      <c r="C22" s="4">
        <f>+IF(TA_ti!C22*TA_ti!C$49*TA_ti!$BF22=0,10000,TA_ti!C22*TA_ti!C$49*TA_ti!$BF22)</f>
        <v>10000</v>
      </c>
      <c r="D22" s="4">
        <f>+IF(TA_ti!D22*TA_ti!D$49*TA_ti!$BF22=0,10000,TA_ti!D22*TA_ti!D$49*TA_ti!$BF22)</f>
        <v>10000</v>
      </c>
      <c r="E22" s="4">
        <f>+IF(TA_ti!E22*TA_ti!E$49*TA_ti!$BF22=0,10000,TA_ti!E22*TA_ti!E$49*TA_ti!$BF22)</f>
        <v>10000</v>
      </c>
      <c r="F22" s="4">
        <f>+IF(TA_ti!F22*TA_ti!F$49*TA_ti!$BF22=0,10000,TA_ti!F22*TA_ti!F$49*TA_ti!$BF22)</f>
        <v>10000</v>
      </c>
      <c r="G22" s="4">
        <f>+IF(TA_ti!G22*TA_ti!G$49*TA_ti!$BF22=0,10000,TA_ti!G22*TA_ti!G$49*TA_ti!$BF22)</f>
        <v>10000</v>
      </c>
      <c r="H22" s="4">
        <f>+IF(TA_ti!H22*TA_ti!H$49*TA_ti!$BF22=0,10000,TA_ti!H22*TA_ti!H$49*TA_ti!$BF22)</f>
        <v>10000</v>
      </c>
      <c r="I22" s="4">
        <f>+IF(TA_ti!I22*TA_ti!I$49*TA_ti!$BF22=0,10000,TA_ti!I22*TA_ti!I$49*TA_ti!$BF22)</f>
        <v>10000</v>
      </c>
      <c r="J22" s="4">
        <f>+IF(TA_ti!J22*TA_ti!J$49*TA_ti!$BF22=0,10000,TA_ti!J22*TA_ti!J$49*TA_ti!$BF22)</f>
        <v>10000</v>
      </c>
      <c r="K22" s="4">
        <f>+IF(TA_ti!K22*TA_ti!K$49*TA_ti!$BF22=0,10000,TA_ti!K22*TA_ti!K$49*TA_ti!$BF22)</f>
        <v>10000</v>
      </c>
      <c r="L22" s="4">
        <f>+IF(TA_ti!L22*TA_ti!L$49*TA_ti!$BF22=0,10000,TA_ti!L22*TA_ti!L$49*TA_ti!$BF22)</f>
        <v>10000</v>
      </c>
      <c r="M22" s="4">
        <f>+IF(TA_ti!M22*TA_ti!M$49*TA_ti!$BF22=0,10000,TA_ti!M22*TA_ti!M$49*TA_ti!$BF22)</f>
        <v>10000</v>
      </c>
      <c r="N22" s="4">
        <f>+IF(TA_ti!N22*TA_ti!N$49*TA_ti!$BF22=0,10000,TA_ti!N22*TA_ti!N$49*TA_ti!$BF22)</f>
        <v>10000</v>
      </c>
      <c r="O22" s="4">
        <f>+IF(TA_ti!O22*TA_ti!O$49*TA_ti!$BF22=0,10000,TA_ti!O22*TA_ti!O$49*TA_ti!$BF22)</f>
        <v>10000</v>
      </c>
      <c r="P22" s="4">
        <f>+IF(TA_ti!P22*TA_ti!P$49*TA_ti!$BF22=0,10000,TA_ti!P22*TA_ti!P$49*TA_ti!$BF22)</f>
        <v>10000</v>
      </c>
      <c r="Q22" s="4">
        <f>+IF(TA_ti!Q22*TA_ti!Q$49*TA_ti!$BF22=0,10000,TA_ti!Q22*TA_ti!Q$49*TA_ti!$BF22)</f>
        <v>10000</v>
      </c>
      <c r="R22" s="4">
        <f>+IF(TA_ti!R22*TA_ti!R$49*TA_ti!$BF22=0,10000,TA_ti!R22*TA_ti!R$49*TA_ti!$BF22)</f>
        <v>10000</v>
      </c>
      <c r="S22" s="4">
        <f>+IF(TA_ti!S22*TA_ti!S$49*TA_ti!$BF22=0,10000,TA_ti!S22*TA_ti!S$49*TA_ti!$BF22)</f>
        <v>10000</v>
      </c>
      <c r="T22" s="4">
        <f>+IF(TA_ti!T22*TA_ti!T$49*TA_ti!$BF22=0,10000,TA_ti!T22*TA_ti!T$49*TA_ti!$BF22)</f>
        <v>10000</v>
      </c>
      <c r="U22" s="4">
        <f>+IF(TA_ti!U22*TA_ti!U$49*TA_ti!$BF22=0,10000,TA_ti!U22*TA_ti!U$49*TA_ti!$BF22)</f>
        <v>10000</v>
      </c>
      <c r="V22" s="4">
        <f>+IF(TA_ti!V22*TA_ti!V$49*TA_ti!$BF22=0,10000,TA_ti!V22*TA_ti!V$49*TA_ti!$BF22)</f>
        <v>10000</v>
      </c>
      <c r="W22" s="4">
        <f>+IF(TA_ti!W22*TA_ti!W$49*TA_ti!$BF22=0,10000,TA_ti!W22*TA_ti!W$49*TA_ti!$BF22)</f>
        <v>10000</v>
      </c>
      <c r="X22" s="4">
        <f>+IF(TA_ti!X22*TA_ti!X$49*TA_ti!$BF22=0,10000,TA_ti!X22*TA_ti!X$49*TA_ti!$BF22)</f>
        <v>10000</v>
      </c>
      <c r="Y22" s="4">
        <f>+IF(TA_ti!Y22*TA_ti!Y$49*TA_ti!$BF22=0,10000,TA_ti!Y22*TA_ti!Y$49*TA_ti!$BF22)</f>
        <v>10000</v>
      </c>
      <c r="Z22" s="4">
        <f>+IF(TA_ti!Z22*TA_ti!Z$49*TA_ti!$BF22=0,10000,TA_ti!Z22*TA_ti!Z$49*TA_ti!$BF22)</f>
        <v>10000</v>
      </c>
      <c r="AA22" s="4">
        <f>+IF(TA_ti!AA22*TA_ti!AA$49*TA_ti!$BF22=0,10000,TA_ti!AA22*TA_ti!AA$49*TA_ti!$BF22)</f>
        <v>10000</v>
      </c>
      <c r="AB22" s="4">
        <f>+IF(TA_ti!AB22*TA_ti!AB$49*TA_ti!$BF22=0,10000,TA_ti!AB22*TA_ti!AB$49*TA_ti!$BF22)</f>
        <v>10000</v>
      </c>
      <c r="AC22" s="4">
        <f>+IF(TA_ti!AC22*TA_ti!AC$49*TA_ti!$BF22=0,10000,TA_ti!AC22*TA_ti!AC$49*TA_ti!$BF22)</f>
        <v>10000</v>
      </c>
      <c r="AD22" s="4">
        <f>+IF(TA_ti!AD22*TA_ti!AD$49*TA_ti!$BF22=0,10000,TA_ti!AD22*TA_ti!AD$49*TA_ti!$BF22)</f>
        <v>10000</v>
      </c>
      <c r="AE22" s="4">
        <f>+IF(TA_ti!AE22*TA_ti!AE$49*TA_ti!$BF22=0,10000,TA_ti!AE22*TA_ti!AE$49*TA_ti!$BF22)</f>
        <v>10000</v>
      </c>
      <c r="AF22" s="4">
        <f>+IF(TA_ti!AF22*TA_ti!AF$49*TA_ti!$BF22=0,10000,TA_ti!AF22*TA_ti!AF$49*TA_ti!$BF22)</f>
        <v>10000</v>
      </c>
      <c r="AG22" s="4">
        <f>+IF(TA_ti!AG22*TA_ti!AG$49*TA_ti!$BF22=0,10000,TA_ti!AG22*TA_ti!AG$49*TA_ti!$BF22)</f>
        <v>10000</v>
      </c>
      <c r="AH22" s="4">
        <f>+IF(TA_ti!AH22*TA_ti!AH$49*TA_ti!$BF22=0,10000,TA_ti!AH22*TA_ti!AH$49*TA_ti!$BF22)</f>
        <v>10000</v>
      </c>
      <c r="AI22" s="4">
        <f>+IF(TA_ti!AI22*TA_ti!AI$49*TA_ti!$BF22=0,10000,TA_ti!AI22*TA_ti!AI$49*TA_ti!$BF22)</f>
        <v>10000</v>
      </c>
      <c r="AJ22" s="4">
        <f>+IF(TA_ti!AJ22*TA_ti!AJ$49*TA_ti!$BF22=0,10000,TA_ti!AJ22*TA_ti!AJ$49*TA_ti!$BF22)</f>
        <v>10000</v>
      </c>
      <c r="AK22" s="4">
        <f>+IF(TA_ti!AK22*TA_ti!AK$49*TA_ti!$BF22=0,10000,TA_ti!AK22*TA_ti!AK$49*TA_ti!$BF22)</f>
        <v>10000</v>
      </c>
      <c r="AL22" s="4">
        <f>+IF(TA_ti!AL22*TA_ti!AL$49*TA_ti!$BF22=0,10000,TA_ti!AL22*TA_ti!AL$49*TA_ti!$BF22)</f>
        <v>10000</v>
      </c>
      <c r="AM22" s="4">
        <f>+IF(TA_ti!AM22*TA_ti!AM$49*TA_ti!$BF22=0,10000,TA_ti!AM22*TA_ti!AM$49*TA_ti!$BF22)</f>
        <v>10000</v>
      </c>
      <c r="AN22" s="4">
        <f>+IF(TA_ti!AN22*TA_ti!AN$49*TA_ti!$BF22=0,10000,TA_ti!AN22*TA_ti!AN$49*TA_ti!$BF22)</f>
        <v>10000</v>
      </c>
      <c r="AO22" s="4">
        <f>+IF(TA_ti!AO22*TA_ti!AO$49*TA_ti!$BF22=0,10000,TA_ti!AO22*TA_ti!AO$49*TA_ti!$BF22)</f>
        <v>10000</v>
      </c>
      <c r="AP22" s="4">
        <f>+IF(TA_ti!AP22*TA_ti!AP$49*TA_ti!$BF22=0,10000,TA_ti!AP22*TA_ti!AP$49*TA_ti!$BF22)</f>
        <v>10000</v>
      </c>
      <c r="AQ22" s="4">
        <f>+IF(TA_ti!AQ22*TA_ti!AQ$49*TA_ti!$BF22=0,10000,TA_ti!AQ22*TA_ti!AQ$49*TA_ti!$BF22)</f>
        <v>10000</v>
      </c>
      <c r="AR22" s="4">
        <f>+IF(TA_ti!AR22*TA_ti!AR$49*TA_ti!$BF22=0,10000,TA_ti!AR22*TA_ti!AR$49*TA_ti!$BF22)</f>
        <v>10000</v>
      </c>
      <c r="AS22" s="4">
        <f>+IF(TA_ti!AS22*TA_ti!AS$49*TA_ti!$BF22=0,10000,TA_ti!AS22*TA_ti!AS$49*TA_ti!$BF22)</f>
        <v>10000</v>
      </c>
      <c r="AT22" s="4">
        <f>+IF(TA_ti!AT22*TA_ti!AT$49*TA_ti!$BF22=0,10000,TA_ti!AT22*TA_ti!AT$49*TA_ti!$BF22)</f>
        <v>10000</v>
      </c>
      <c r="AU22" s="4">
        <f>+IF(TA_ti!AU22*TA_ti!AU$49*TA_ti!$BF22=0,10000,TA_ti!AU22*TA_ti!AU$49*TA_ti!$BF22)</f>
        <v>10000</v>
      </c>
      <c r="AV22" s="4">
        <f>+IF(TA_ti!AV22*TA_ti!AV$49*TA_ti!$BF22=0,10000,TA_ti!AV22*TA_ti!AV$49*TA_ti!$BF22)</f>
        <v>10000</v>
      </c>
      <c r="AW22" s="4">
        <f>+IF(TA_ti!AW22*TA_ti!AW$49*TA_ti!$BF22=0,10000,TA_ti!AW22*TA_ti!AW$49*TA_ti!$BF22)</f>
        <v>10000</v>
      </c>
      <c r="AX22" s="4">
        <f>+IF(TA_ti!AX22*TA_ti!AX$49*TA_ti!$BF22=0,10000,TA_ti!AX22*TA_ti!AX$49*TA_ti!$BF22)</f>
        <v>10000</v>
      </c>
      <c r="AY22" s="4">
        <f>+IF(TA_ti!AY22*TA_ti!AY$49*TA_ti!$BF22=0,10000,TA_ti!AY22*TA_ti!AY$49*TA_ti!$BF22)</f>
        <v>10000</v>
      </c>
      <c r="AZ22" s="4">
        <f>+IF(TA_ti!AZ22*TA_ti!AZ$49*TA_ti!$BF22=0,10000,TA_ti!AZ22*TA_ti!AZ$49*TA_ti!$BF22)</f>
        <v>10000</v>
      </c>
      <c r="BA22" s="4">
        <f>+IF(TA_ti!BA22*TA_ti!BA$49*TA_ti!$BF22=0,10000,TA_ti!BA22*TA_ti!BA$49*TA_ti!$BF22)</f>
        <v>10000</v>
      </c>
      <c r="BB22" s="4">
        <f>+IF(TA_ti!BB22*TA_ti!BB$49*TA_ti!$BF22=0,10000,TA_ti!BB22*TA_ti!BB$49*TA_ti!$BF22)</f>
        <v>10000</v>
      </c>
      <c r="BC22" s="4">
        <f>+IF(TA_ti!BC22*TA_ti!BC$49*TA_ti!$BF22=0,10000,TA_ti!BC22*TA_ti!BC$49*TA_ti!$BF22)</f>
        <v>10000</v>
      </c>
    </row>
    <row r="23" spans="1:55" ht="18.75" customHeight="1" x14ac:dyDescent="0.25">
      <c r="A23" s="5" t="s">
        <v>74</v>
      </c>
      <c r="B23" s="4">
        <f>+IF(TA_ti!B23*TA_ti!B$49*TA_ti!$BF23=0,10000,TA_ti!B23*TA_ti!B$49*TA_ti!$BF23)</f>
        <v>10000</v>
      </c>
      <c r="C23" s="4">
        <f>+IF(TA_ti!C23*TA_ti!C$49*TA_ti!$BF23=0,10000,TA_ti!C23*TA_ti!C$49*TA_ti!$BF23)</f>
        <v>10000</v>
      </c>
      <c r="D23" s="4">
        <f>+IF(TA_ti!D23*TA_ti!D$49*TA_ti!$BF23=0,10000,TA_ti!D23*TA_ti!D$49*TA_ti!$BF23)</f>
        <v>10000</v>
      </c>
      <c r="E23" s="4">
        <f>+IF(TA_ti!E23*TA_ti!E$49*TA_ti!$BF23=0,10000,TA_ti!E23*TA_ti!E$49*TA_ti!$BF23)</f>
        <v>10000</v>
      </c>
      <c r="F23" s="4">
        <f>+IF(TA_ti!F23*TA_ti!F$49*TA_ti!$BF23=0,10000,TA_ti!F23*TA_ti!F$49*TA_ti!$BF23)</f>
        <v>10000</v>
      </c>
      <c r="G23" s="4">
        <f>+IF(TA_ti!G23*TA_ti!G$49*TA_ti!$BF23=0,10000,TA_ti!G23*TA_ti!G$49*TA_ti!$BF23)</f>
        <v>10000</v>
      </c>
      <c r="H23" s="4">
        <f>+IF(TA_ti!H23*TA_ti!H$49*TA_ti!$BF23=0,10000,TA_ti!H23*TA_ti!H$49*TA_ti!$BF23)</f>
        <v>10000</v>
      </c>
      <c r="I23" s="4">
        <f>+IF(TA_ti!I23*TA_ti!I$49*TA_ti!$BF23=0,10000,TA_ti!I23*TA_ti!I$49*TA_ti!$BF23)</f>
        <v>10000</v>
      </c>
      <c r="J23" s="4">
        <f>+IF(TA_ti!J23*TA_ti!J$49*TA_ti!$BF23=0,10000,TA_ti!J23*TA_ti!J$49*TA_ti!$BF23)</f>
        <v>10000</v>
      </c>
      <c r="K23" s="4">
        <f>+IF(TA_ti!K23*TA_ti!K$49*TA_ti!$BF23=0,10000,TA_ti!K23*TA_ti!K$49*TA_ti!$BF23)</f>
        <v>10000</v>
      </c>
      <c r="L23" s="4">
        <f>+IF(TA_ti!L23*TA_ti!L$49*TA_ti!$BF23=0,10000,TA_ti!L23*TA_ti!L$49*TA_ti!$BF23)</f>
        <v>10000</v>
      </c>
      <c r="M23" s="4">
        <f>+IF(TA_ti!M23*TA_ti!M$49*TA_ti!$BF23=0,10000,TA_ti!M23*TA_ti!M$49*TA_ti!$BF23)</f>
        <v>10000</v>
      </c>
      <c r="N23" s="4">
        <f>+IF(TA_ti!N23*TA_ti!N$49*TA_ti!$BF23=0,10000,TA_ti!N23*TA_ti!N$49*TA_ti!$BF23)</f>
        <v>10000</v>
      </c>
      <c r="O23" s="4">
        <f>+IF(TA_ti!O23*TA_ti!O$49*TA_ti!$BF23=0,10000,TA_ti!O23*TA_ti!O$49*TA_ti!$BF23)</f>
        <v>10000</v>
      </c>
      <c r="P23" s="4">
        <f>+IF(TA_ti!P23*TA_ti!P$49*TA_ti!$BF23=0,10000,TA_ti!P23*TA_ti!P$49*TA_ti!$BF23)</f>
        <v>10000</v>
      </c>
      <c r="Q23" s="4">
        <f>+IF(TA_ti!Q23*TA_ti!Q$49*TA_ti!$BF23=0,10000,TA_ti!Q23*TA_ti!Q$49*TA_ti!$BF23)</f>
        <v>10000</v>
      </c>
      <c r="R23" s="4">
        <f>+IF(TA_ti!R23*TA_ti!R$49*TA_ti!$BF23=0,10000,TA_ti!R23*TA_ti!R$49*TA_ti!$BF23)</f>
        <v>10000</v>
      </c>
      <c r="S23" s="4">
        <f>+IF(TA_ti!S23*TA_ti!S$49*TA_ti!$BF23=0,10000,TA_ti!S23*TA_ti!S$49*TA_ti!$BF23)</f>
        <v>10000</v>
      </c>
      <c r="T23" s="4">
        <f>+IF(TA_ti!T23*TA_ti!T$49*TA_ti!$BF23=0,10000,TA_ti!T23*TA_ti!T$49*TA_ti!$BF23)</f>
        <v>10000</v>
      </c>
      <c r="U23" s="4">
        <f>+IF(TA_ti!U23*TA_ti!U$49*TA_ti!$BF23=0,10000,TA_ti!U23*TA_ti!U$49*TA_ti!$BF23)</f>
        <v>15</v>
      </c>
      <c r="V23" s="4">
        <f>+IF(TA_ti!V23*TA_ti!V$49*TA_ti!$BF23=0,10000,TA_ti!V23*TA_ti!V$49*TA_ti!$BF23)</f>
        <v>10000</v>
      </c>
      <c r="W23" s="4">
        <f>+IF(TA_ti!W23*TA_ti!W$49*TA_ti!$BF23=0,10000,TA_ti!W23*TA_ti!W$49*TA_ti!$BF23)</f>
        <v>10000</v>
      </c>
      <c r="X23" s="4">
        <f>+IF(TA_ti!X23*TA_ti!X$49*TA_ti!$BF23=0,10000,TA_ti!X23*TA_ti!X$49*TA_ti!$BF23)</f>
        <v>10000</v>
      </c>
      <c r="Y23" s="4">
        <f>+IF(TA_ti!Y23*TA_ti!Y$49*TA_ti!$BF23=0,10000,TA_ti!Y23*TA_ti!Y$49*TA_ti!$BF23)</f>
        <v>10000</v>
      </c>
      <c r="Z23" s="4">
        <f>+IF(TA_ti!Z23*TA_ti!Z$49*TA_ti!$BF23=0,10000,TA_ti!Z23*TA_ti!Z$49*TA_ti!$BF23)</f>
        <v>10000</v>
      </c>
      <c r="AA23" s="4">
        <f>+IF(TA_ti!AA23*TA_ti!AA$49*TA_ti!$BF23=0,10000,TA_ti!AA23*TA_ti!AA$49*TA_ti!$BF23)</f>
        <v>10000</v>
      </c>
      <c r="AB23" s="4">
        <f>+IF(TA_ti!AB23*TA_ti!AB$49*TA_ti!$BF23=0,10000,TA_ti!AB23*TA_ti!AB$49*TA_ti!$BF23)</f>
        <v>10000</v>
      </c>
      <c r="AC23" s="4">
        <f>+IF(TA_ti!AC23*TA_ti!AC$49*TA_ti!$BF23=0,10000,TA_ti!AC23*TA_ti!AC$49*TA_ti!$BF23)</f>
        <v>10000</v>
      </c>
      <c r="AD23" s="4">
        <f>+IF(TA_ti!AD23*TA_ti!AD$49*TA_ti!$BF23=0,10000,TA_ti!AD23*TA_ti!AD$49*TA_ti!$BF23)</f>
        <v>10000</v>
      </c>
      <c r="AE23" s="4">
        <f>+IF(TA_ti!AE23*TA_ti!AE$49*TA_ti!$BF23=0,10000,TA_ti!AE23*TA_ti!AE$49*TA_ti!$BF23)</f>
        <v>10000</v>
      </c>
      <c r="AF23" s="4">
        <f>+IF(TA_ti!AF23*TA_ti!AF$49*TA_ti!$BF23=0,10000,TA_ti!AF23*TA_ti!AF$49*TA_ti!$BF23)</f>
        <v>10000</v>
      </c>
      <c r="AG23" s="4">
        <f>+IF(TA_ti!AG23*TA_ti!AG$49*TA_ti!$BF23=0,10000,TA_ti!AG23*TA_ti!AG$49*TA_ti!$BF23)</f>
        <v>10000</v>
      </c>
      <c r="AH23" s="4">
        <f>+IF(TA_ti!AH23*TA_ti!AH$49*TA_ti!$BF23=0,10000,TA_ti!AH23*TA_ti!AH$49*TA_ti!$BF23)</f>
        <v>10000</v>
      </c>
      <c r="AI23" s="4">
        <f>+IF(TA_ti!AI23*TA_ti!AI$49*TA_ti!$BF23=0,10000,TA_ti!AI23*TA_ti!AI$49*TA_ti!$BF23)</f>
        <v>10000</v>
      </c>
      <c r="AJ23" s="4">
        <f>+IF(TA_ti!AJ23*TA_ti!AJ$49*TA_ti!$BF23=0,10000,TA_ti!AJ23*TA_ti!AJ$49*TA_ti!$BF23)</f>
        <v>10000</v>
      </c>
      <c r="AK23" s="4">
        <f>+IF(TA_ti!AK23*TA_ti!AK$49*TA_ti!$BF23=0,10000,TA_ti!AK23*TA_ti!AK$49*TA_ti!$BF23)</f>
        <v>10000</v>
      </c>
      <c r="AL23" s="4">
        <f>+IF(TA_ti!AL23*TA_ti!AL$49*TA_ti!$BF23=0,10000,TA_ti!AL23*TA_ti!AL$49*TA_ti!$BF23)</f>
        <v>10000</v>
      </c>
      <c r="AM23" s="4">
        <f>+IF(TA_ti!AM23*TA_ti!AM$49*TA_ti!$BF23=0,10000,TA_ti!AM23*TA_ti!AM$49*TA_ti!$BF23)</f>
        <v>10000</v>
      </c>
      <c r="AN23" s="4">
        <f>+IF(TA_ti!AN23*TA_ti!AN$49*TA_ti!$BF23=0,10000,TA_ti!AN23*TA_ti!AN$49*TA_ti!$BF23)</f>
        <v>10000</v>
      </c>
      <c r="AO23" s="4">
        <f>+IF(TA_ti!AO23*TA_ti!AO$49*TA_ti!$BF23=0,10000,TA_ti!AO23*TA_ti!AO$49*TA_ti!$BF23)</f>
        <v>10000</v>
      </c>
      <c r="AP23" s="4">
        <f>+IF(TA_ti!AP23*TA_ti!AP$49*TA_ti!$BF23=0,10000,TA_ti!AP23*TA_ti!AP$49*TA_ti!$BF23)</f>
        <v>10000</v>
      </c>
      <c r="AQ23" s="4">
        <f>+IF(TA_ti!AQ23*TA_ti!AQ$49*TA_ti!$BF23=0,10000,TA_ti!AQ23*TA_ti!AQ$49*TA_ti!$BF23)</f>
        <v>10000</v>
      </c>
      <c r="AR23" s="4">
        <f>+IF(TA_ti!AR23*TA_ti!AR$49*TA_ti!$BF23=0,10000,TA_ti!AR23*TA_ti!AR$49*TA_ti!$BF23)</f>
        <v>10000</v>
      </c>
      <c r="AS23" s="4">
        <f>+IF(TA_ti!AS23*TA_ti!AS$49*TA_ti!$BF23=0,10000,TA_ti!AS23*TA_ti!AS$49*TA_ti!$BF23)</f>
        <v>10000</v>
      </c>
      <c r="AT23" s="4">
        <f>+IF(TA_ti!AT23*TA_ti!AT$49*TA_ti!$BF23=0,10000,TA_ti!AT23*TA_ti!AT$49*TA_ti!$BF23)</f>
        <v>10000</v>
      </c>
      <c r="AU23" s="4">
        <f>+IF(TA_ti!AU23*TA_ti!AU$49*TA_ti!$BF23=0,10000,TA_ti!AU23*TA_ti!AU$49*TA_ti!$BF23)</f>
        <v>10000</v>
      </c>
      <c r="AV23" s="4">
        <f>+IF(TA_ti!AV23*TA_ti!AV$49*TA_ti!$BF23=0,10000,TA_ti!AV23*TA_ti!AV$49*TA_ti!$BF23)</f>
        <v>10000</v>
      </c>
      <c r="AW23" s="4">
        <f>+IF(TA_ti!AW23*TA_ti!AW$49*TA_ti!$BF23=0,10000,TA_ti!AW23*TA_ti!AW$49*TA_ti!$BF23)</f>
        <v>10000</v>
      </c>
      <c r="AX23" s="4">
        <f>+IF(TA_ti!AX23*TA_ti!AX$49*TA_ti!$BF23=0,10000,TA_ti!AX23*TA_ti!AX$49*TA_ti!$BF23)</f>
        <v>10000</v>
      </c>
      <c r="AY23" s="4">
        <f>+IF(TA_ti!AY23*TA_ti!AY$49*TA_ti!$BF23=0,10000,TA_ti!AY23*TA_ti!AY$49*TA_ti!$BF23)</f>
        <v>10000</v>
      </c>
      <c r="AZ23" s="4">
        <f>+IF(TA_ti!AZ23*TA_ti!AZ$49*TA_ti!$BF23=0,10000,TA_ti!AZ23*TA_ti!AZ$49*TA_ti!$BF23)</f>
        <v>10000</v>
      </c>
      <c r="BA23" s="4">
        <f>+IF(TA_ti!BA23*TA_ti!BA$49*TA_ti!$BF23=0,10000,TA_ti!BA23*TA_ti!BA$49*TA_ti!$BF23)</f>
        <v>10000</v>
      </c>
      <c r="BB23" s="4">
        <f>+IF(TA_ti!BB23*TA_ti!BB$49*TA_ti!$BF23=0,10000,TA_ti!BB23*TA_ti!BB$49*TA_ti!$BF23)</f>
        <v>10000</v>
      </c>
      <c r="BC23" s="4">
        <f>+IF(TA_ti!BC23*TA_ti!BC$49*TA_ti!$BF23=0,10000,TA_ti!BC23*TA_ti!BC$49*TA_ti!$BF23)</f>
        <v>10000</v>
      </c>
    </row>
    <row r="24" spans="1:55" ht="18.75" customHeight="1" x14ac:dyDescent="0.25">
      <c r="A24" s="5" t="s">
        <v>75</v>
      </c>
      <c r="B24" s="4">
        <f>+IF(TA_ti!B24*TA_ti!B$49*TA_ti!$BF24=0,10000,TA_ti!B24*TA_ti!B$49*TA_ti!$BF24)</f>
        <v>10000</v>
      </c>
      <c r="C24" s="4">
        <f>+IF(TA_ti!C24*TA_ti!C$49*TA_ti!$BF24=0,10000,TA_ti!C24*TA_ti!C$49*TA_ti!$BF24)</f>
        <v>10000</v>
      </c>
      <c r="D24" s="4">
        <f>+IF(TA_ti!D24*TA_ti!D$49*TA_ti!$BF24=0,10000,TA_ti!D24*TA_ti!D$49*TA_ti!$BF24)</f>
        <v>10000</v>
      </c>
      <c r="E24" s="4">
        <f>+IF(TA_ti!E24*TA_ti!E$49*TA_ti!$BF24=0,10000,TA_ti!E24*TA_ti!E$49*TA_ti!$BF24)</f>
        <v>10000</v>
      </c>
      <c r="F24" s="4">
        <f>+IF(TA_ti!F24*TA_ti!F$49*TA_ti!$BF24=0,10000,TA_ti!F24*TA_ti!F$49*TA_ti!$BF24)</f>
        <v>10000</v>
      </c>
      <c r="G24" s="4">
        <f>+IF(TA_ti!G24*TA_ti!G$49*TA_ti!$BF24=0,10000,TA_ti!G24*TA_ti!G$49*TA_ti!$BF24)</f>
        <v>10000</v>
      </c>
      <c r="H24" s="4">
        <f>+IF(TA_ti!H24*TA_ti!H$49*TA_ti!$BF24=0,10000,TA_ti!H24*TA_ti!H$49*TA_ti!$BF24)</f>
        <v>10000</v>
      </c>
      <c r="I24" s="4">
        <f>+IF(TA_ti!I24*TA_ti!I$49*TA_ti!$BF24=0,10000,TA_ti!I24*TA_ti!I$49*TA_ti!$BF24)</f>
        <v>10000</v>
      </c>
      <c r="J24" s="4">
        <f>+IF(TA_ti!J24*TA_ti!J$49*TA_ti!$BF24=0,10000,TA_ti!J24*TA_ti!J$49*TA_ti!$BF24)</f>
        <v>10000</v>
      </c>
      <c r="K24" s="4">
        <f>+IF(TA_ti!K24*TA_ti!K$49*TA_ti!$BF24=0,10000,TA_ti!K24*TA_ti!K$49*TA_ti!$BF24)</f>
        <v>10000</v>
      </c>
      <c r="L24" s="4">
        <f>+IF(TA_ti!L24*TA_ti!L$49*TA_ti!$BF24=0,10000,TA_ti!L24*TA_ti!L$49*TA_ti!$BF24)</f>
        <v>10000</v>
      </c>
      <c r="M24" s="4">
        <f>+IF(TA_ti!M24*TA_ti!M$49*TA_ti!$BF24=0,10000,TA_ti!M24*TA_ti!M$49*TA_ti!$BF24)</f>
        <v>10000</v>
      </c>
      <c r="N24" s="4">
        <f>+IF(TA_ti!N24*TA_ti!N$49*TA_ti!$BF24=0,10000,TA_ti!N24*TA_ti!N$49*TA_ti!$BF24)</f>
        <v>10000</v>
      </c>
      <c r="O24" s="4">
        <f>+IF(TA_ti!O24*TA_ti!O$49*TA_ti!$BF24=0,10000,TA_ti!O24*TA_ti!O$49*TA_ti!$BF24)</f>
        <v>10000</v>
      </c>
      <c r="P24" s="4">
        <f>+IF(TA_ti!P24*TA_ti!P$49*TA_ti!$BF24=0,10000,TA_ti!P24*TA_ti!P$49*TA_ti!$BF24)</f>
        <v>10000</v>
      </c>
      <c r="Q24" s="4">
        <f>+IF(TA_ti!Q24*TA_ti!Q$49*TA_ti!$BF24=0,10000,TA_ti!Q24*TA_ti!Q$49*TA_ti!$BF24)</f>
        <v>10000</v>
      </c>
      <c r="R24" s="4">
        <f>+IF(TA_ti!R24*TA_ti!R$49*TA_ti!$BF24=0,10000,TA_ti!R24*TA_ti!R$49*TA_ti!$BF24)</f>
        <v>10000</v>
      </c>
      <c r="S24" s="4">
        <f>+IF(TA_ti!S24*TA_ti!S$49*TA_ti!$BF24=0,10000,TA_ti!S24*TA_ti!S$49*TA_ti!$BF24)</f>
        <v>10000</v>
      </c>
      <c r="T24" s="4">
        <f>+IF(TA_ti!T24*TA_ti!T$49*TA_ti!$BF24=0,10000,TA_ti!T24*TA_ti!T$49*TA_ti!$BF24)</f>
        <v>10000</v>
      </c>
      <c r="U24" s="4">
        <f>+IF(TA_ti!U24*TA_ti!U$49*TA_ti!$BF24=0,10000,TA_ti!U24*TA_ti!U$49*TA_ti!$BF24)</f>
        <v>15</v>
      </c>
      <c r="V24" s="4">
        <f>+IF(TA_ti!V24*TA_ti!V$49*TA_ti!$BF24=0,10000,TA_ti!V24*TA_ti!V$49*TA_ti!$BF24)</f>
        <v>10000</v>
      </c>
      <c r="W24" s="4">
        <f>+IF(TA_ti!W24*TA_ti!W$49*TA_ti!$BF24=0,10000,TA_ti!W24*TA_ti!W$49*TA_ti!$BF24)</f>
        <v>10000</v>
      </c>
      <c r="X24" s="4">
        <f>+IF(TA_ti!X24*TA_ti!X$49*TA_ti!$BF24=0,10000,TA_ti!X24*TA_ti!X$49*TA_ti!$BF24)</f>
        <v>10000</v>
      </c>
      <c r="Y24" s="4">
        <f>+IF(TA_ti!Y24*TA_ti!Y$49*TA_ti!$BF24=0,10000,TA_ti!Y24*TA_ti!Y$49*TA_ti!$BF24)</f>
        <v>10000</v>
      </c>
      <c r="Z24" s="4">
        <f>+IF(TA_ti!Z24*TA_ti!Z$49*TA_ti!$BF24=0,10000,TA_ti!Z24*TA_ti!Z$49*TA_ti!$BF24)</f>
        <v>10000</v>
      </c>
      <c r="AA24" s="4">
        <f>+IF(TA_ti!AA24*TA_ti!AA$49*TA_ti!$BF24=0,10000,TA_ti!AA24*TA_ti!AA$49*TA_ti!$BF24)</f>
        <v>10000</v>
      </c>
      <c r="AB24" s="4">
        <f>+IF(TA_ti!AB24*TA_ti!AB$49*TA_ti!$BF24=0,10000,TA_ti!AB24*TA_ti!AB$49*TA_ti!$BF24)</f>
        <v>10000</v>
      </c>
      <c r="AC24" s="4">
        <f>+IF(TA_ti!AC24*TA_ti!AC$49*TA_ti!$BF24=0,10000,TA_ti!AC24*TA_ti!AC$49*TA_ti!$BF24)</f>
        <v>10000</v>
      </c>
      <c r="AD24" s="4">
        <f>+IF(TA_ti!AD24*TA_ti!AD$49*TA_ti!$BF24=0,10000,TA_ti!AD24*TA_ti!AD$49*TA_ti!$BF24)</f>
        <v>10000</v>
      </c>
      <c r="AE24" s="4">
        <f>+IF(TA_ti!AE24*TA_ti!AE$49*TA_ti!$BF24=0,10000,TA_ti!AE24*TA_ti!AE$49*TA_ti!$BF24)</f>
        <v>10000</v>
      </c>
      <c r="AF24" s="4">
        <f>+IF(TA_ti!AF24*TA_ti!AF$49*TA_ti!$BF24=0,10000,TA_ti!AF24*TA_ti!AF$49*TA_ti!$BF24)</f>
        <v>10000</v>
      </c>
      <c r="AG24" s="4">
        <f>+IF(TA_ti!AG24*TA_ti!AG$49*TA_ti!$BF24=0,10000,TA_ti!AG24*TA_ti!AG$49*TA_ti!$BF24)</f>
        <v>10000</v>
      </c>
      <c r="AH24" s="4">
        <f>+IF(TA_ti!AH24*TA_ti!AH$49*TA_ti!$BF24=0,10000,TA_ti!AH24*TA_ti!AH$49*TA_ti!$BF24)</f>
        <v>10000</v>
      </c>
      <c r="AI24" s="4">
        <f>+IF(TA_ti!AI24*TA_ti!AI$49*TA_ti!$BF24=0,10000,TA_ti!AI24*TA_ti!AI$49*TA_ti!$BF24)</f>
        <v>10000</v>
      </c>
      <c r="AJ24" s="4">
        <f>+IF(TA_ti!AJ24*TA_ti!AJ$49*TA_ti!$BF24=0,10000,TA_ti!AJ24*TA_ti!AJ$49*TA_ti!$BF24)</f>
        <v>10000</v>
      </c>
      <c r="AK24" s="4">
        <f>+IF(TA_ti!AK24*TA_ti!AK$49*TA_ti!$BF24=0,10000,TA_ti!AK24*TA_ti!AK$49*TA_ti!$BF24)</f>
        <v>10000</v>
      </c>
      <c r="AL24" s="4">
        <f>+IF(TA_ti!AL24*TA_ti!AL$49*TA_ti!$BF24=0,10000,TA_ti!AL24*TA_ti!AL$49*TA_ti!$BF24)</f>
        <v>10000</v>
      </c>
      <c r="AM24" s="4">
        <f>+IF(TA_ti!AM24*TA_ti!AM$49*TA_ti!$BF24=0,10000,TA_ti!AM24*TA_ti!AM$49*TA_ti!$BF24)</f>
        <v>10000</v>
      </c>
      <c r="AN24" s="4">
        <f>+IF(TA_ti!AN24*TA_ti!AN$49*TA_ti!$BF24=0,10000,TA_ti!AN24*TA_ti!AN$49*TA_ti!$BF24)</f>
        <v>10000</v>
      </c>
      <c r="AO24" s="4">
        <f>+IF(TA_ti!AO24*TA_ti!AO$49*TA_ti!$BF24=0,10000,TA_ti!AO24*TA_ti!AO$49*TA_ti!$BF24)</f>
        <v>10000</v>
      </c>
      <c r="AP24" s="4">
        <f>+IF(TA_ti!AP24*TA_ti!AP$49*TA_ti!$BF24=0,10000,TA_ti!AP24*TA_ti!AP$49*TA_ti!$BF24)</f>
        <v>10000</v>
      </c>
      <c r="AQ24" s="4">
        <f>+IF(TA_ti!AQ24*TA_ti!AQ$49*TA_ti!$BF24=0,10000,TA_ti!AQ24*TA_ti!AQ$49*TA_ti!$BF24)</f>
        <v>10000</v>
      </c>
      <c r="AR24" s="4">
        <f>+IF(TA_ti!AR24*TA_ti!AR$49*TA_ti!$BF24=0,10000,TA_ti!AR24*TA_ti!AR$49*TA_ti!$BF24)</f>
        <v>10000</v>
      </c>
      <c r="AS24" s="4">
        <f>+IF(TA_ti!AS24*TA_ti!AS$49*TA_ti!$BF24=0,10000,TA_ti!AS24*TA_ti!AS$49*TA_ti!$BF24)</f>
        <v>10000</v>
      </c>
      <c r="AT24" s="4">
        <f>+IF(TA_ti!AT24*TA_ti!AT$49*TA_ti!$BF24=0,10000,TA_ti!AT24*TA_ti!AT$49*TA_ti!$BF24)</f>
        <v>10000</v>
      </c>
      <c r="AU24" s="4">
        <f>+IF(TA_ti!AU24*TA_ti!AU$49*TA_ti!$BF24=0,10000,TA_ti!AU24*TA_ti!AU$49*TA_ti!$BF24)</f>
        <v>10000</v>
      </c>
      <c r="AV24" s="4">
        <f>+IF(TA_ti!AV24*TA_ti!AV$49*TA_ti!$BF24=0,10000,TA_ti!AV24*TA_ti!AV$49*TA_ti!$BF24)</f>
        <v>10000</v>
      </c>
      <c r="AW24" s="4">
        <f>+IF(TA_ti!AW24*TA_ti!AW$49*TA_ti!$BF24=0,10000,TA_ti!AW24*TA_ti!AW$49*TA_ti!$BF24)</f>
        <v>10000</v>
      </c>
      <c r="AX24" s="4">
        <f>+IF(TA_ti!AX24*TA_ti!AX$49*TA_ti!$BF24=0,10000,TA_ti!AX24*TA_ti!AX$49*TA_ti!$BF24)</f>
        <v>10000</v>
      </c>
      <c r="AY24" s="4">
        <f>+IF(TA_ti!AY24*TA_ti!AY$49*TA_ti!$BF24=0,10000,TA_ti!AY24*TA_ti!AY$49*TA_ti!$BF24)</f>
        <v>10000</v>
      </c>
      <c r="AZ24" s="4">
        <f>+IF(TA_ti!AZ24*TA_ti!AZ$49*TA_ti!$BF24=0,10000,TA_ti!AZ24*TA_ti!AZ$49*TA_ti!$BF24)</f>
        <v>10000</v>
      </c>
      <c r="BA24" s="4">
        <f>+IF(TA_ti!BA24*TA_ti!BA$49*TA_ti!$BF24=0,10000,TA_ti!BA24*TA_ti!BA$49*TA_ti!$BF24)</f>
        <v>10000</v>
      </c>
      <c r="BB24" s="4">
        <f>+IF(TA_ti!BB24*TA_ti!BB$49*TA_ti!$BF24=0,10000,TA_ti!BB24*TA_ti!BB$49*TA_ti!$BF24)</f>
        <v>10000</v>
      </c>
      <c r="BC24" s="4">
        <f>+IF(TA_ti!BC24*TA_ti!BC$49*TA_ti!$BF24=0,10000,TA_ti!BC24*TA_ti!BC$49*TA_ti!$BF24)</f>
        <v>10000</v>
      </c>
    </row>
    <row r="25" spans="1:55" ht="18.75" customHeight="1" x14ac:dyDescent="0.25">
      <c r="A25" s="5" t="s">
        <v>76</v>
      </c>
      <c r="B25" s="4">
        <f>+IF(TA_ti!B25*TA_ti!B$49*TA_ti!$BF25=0,10000,TA_ti!B25*TA_ti!B$49*TA_ti!$BF25)</f>
        <v>10000</v>
      </c>
      <c r="C25" s="4">
        <f>+IF(TA_ti!C25*TA_ti!C$49*TA_ti!$BF25=0,10000,TA_ti!C25*TA_ti!C$49*TA_ti!$BF25)</f>
        <v>10000</v>
      </c>
      <c r="D25" s="4">
        <f>+IF(TA_ti!D25*TA_ti!D$49*TA_ti!$BF25=0,10000,TA_ti!D25*TA_ti!D$49*TA_ti!$BF25)</f>
        <v>10000</v>
      </c>
      <c r="E25" s="4">
        <f>+IF(TA_ti!E25*TA_ti!E$49*TA_ti!$BF25=0,10000,TA_ti!E25*TA_ti!E$49*TA_ti!$BF25)</f>
        <v>10000</v>
      </c>
      <c r="F25" s="4">
        <f>+IF(TA_ti!F25*TA_ti!F$49*TA_ti!$BF25=0,10000,TA_ti!F25*TA_ti!F$49*TA_ti!$BF25)</f>
        <v>10000</v>
      </c>
      <c r="G25" s="4">
        <f>+IF(TA_ti!G25*TA_ti!G$49*TA_ti!$BF25=0,10000,TA_ti!G25*TA_ti!G$49*TA_ti!$BF25)</f>
        <v>10000</v>
      </c>
      <c r="H25" s="4">
        <f>+IF(TA_ti!H25*TA_ti!H$49*TA_ti!$BF25=0,10000,TA_ti!H25*TA_ti!H$49*TA_ti!$BF25)</f>
        <v>10000</v>
      </c>
      <c r="I25" s="4">
        <f>+IF(TA_ti!I25*TA_ti!I$49*TA_ti!$BF25=0,10000,TA_ti!I25*TA_ti!I$49*TA_ti!$BF25)</f>
        <v>10000</v>
      </c>
      <c r="J25" s="4">
        <f>+IF(TA_ti!J25*TA_ti!J$49*TA_ti!$BF25=0,10000,TA_ti!J25*TA_ti!J$49*TA_ti!$BF25)</f>
        <v>10000</v>
      </c>
      <c r="K25" s="4">
        <f>+IF(TA_ti!K25*TA_ti!K$49*TA_ti!$BF25=0,10000,TA_ti!K25*TA_ti!K$49*TA_ti!$BF25)</f>
        <v>10000</v>
      </c>
      <c r="L25" s="4">
        <f>+IF(TA_ti!L25*TA_ti!L$49*TA_ti!$BF25=0,10000,TA_ti!L25*TA_ti!L$49*TA_ti!$BF25)</f>
        <v>10000</v>
      </c>
      <c r="M25" s="4">
        <f>+IF(TA_ti!M25*TA_ti!M$49*TA_ti!$BF25=0,10000,TA_ti!M25*TA_ti!M$49*TA_ti!$BF25)</f>
        <v>10000</v>
      </c>
      <c r="N25" s="4">
        <f>+IF(TA_ti!N25*TA_ti!N$49*TA_ti!$BF25=0,10000,TA_ti!N25*TA_ti!N$49*TA_ti!$BF25)</f>
        <v>10000</v>
      </c>
      <c r="O25" s="4">
        <f>+IF(TA_ti!O25*TA_ti!O$49*TA_ti!$BF25=0,10000,TA_ti!O25*TA_ti!O$49*TA_ti!$BF25)</f>
        <v>10000</v>
      </c>
      <c r="P25" s="4">
        <f>+IF(TA_ti!P25*TA_ti!P$49*TA_ti!$BF25=0,10000,TA_ti!P25*TA_ti!P$49*TA_ti!$BF25)</f>
        <v>10000</v>
      </c>
      <c r="Q25" s="4">
        <f>+IF(TA_ti!Q25*TA_ti!Q$49*TA_ti!$BF25=0,10000,TA_ti!Q25*TA_ti!Q$49*TA_ti!$BF25)</f>
        <v>10000</v>
      </c>
      <c r="R25" s="4">
        <f>+IF(TA_ti!R25*TA_ti!R$49*TA_ti!$BF25=0,10000,TA_ti!R25*TA_ti!R$49*TA_ti!$BF25)</f>
        <v>10000</v>
      </c>
      <c r="S25" s="4">
        <f>+IF(TA_ti!S25*TA_ti!S$49*TA_ti!$BF25=0,10000,TA_ti!S25*TA_ti!S$49*TA_ti!$BF25)</f>
        <v>10000</v>
      </c>
      <c r="T25" s="4">
        <f>+IF(TA_ti!T25*TA_ti!T$49*TA_ti!$BF25=0,10000,TA_ti!T25*TA_ti!T$49*TA_ti!$BF25)</f>
        <v>10000</v>
      </c>
      <c r="U25" s="4">
        <f>+IF(TA_ti!U25*TA_ti!U$49*TA_ti!$BF25=0,10000,TA_ti!U25*TA_ti!U$49*TA_ti!$BF25)</f>
        <v>15</v>
      </c>
      <c r="V25" s="4">
        <f>+IF(TA_ti!V25*TA_ti!V$49*TA_ti!$BF25=0,10000,TA_ti!V25*TA_ti!V$49*TA_ti!$BF25)</f>
        <v>10000</v>
      </c>
      <c r="W25" s="4">
        <f>+IF(TA_ti!W25*TA_ti!W$49*TA_ti!$BF25=0,10000,TA_ti!W25*TA_ti!W$49*TA_ti!$BF25)</f>
        <v>10000</v>
      </c>
      <c r="X25" s="4">
        <f>+IF(TA_ti!X25*TA_ti!X$49*TA_ti!$BF25=0,10000,TA_ti!X25*TA_ti!X$49*TA_ti!$BF25)</f>
        <v>10000</v>
      </c>
      <c r="Y25" s="4">
        <f>+IF(TA_ti!Y25*TA_ti!Y$49*TA_ti!$BF25=0,10000,TA_ti!Y25*TA_ti!Y$49*TA_ti!$BF25)</f>
        <v>10000</v>
      </c>
      <c r="Z25" s="4">
        <f>+IF(TA_ti!Z25*TA_ti!Z$49*TA_ti!$BF25=0,10000,TA_ti!Z25*TA_ti!Z$49*TA_ti!$BF25)</f>
        <v>10000</v>
      </c>
      <c r="AA25" s="4">
        <f>+IF(TA_ti!AA25*TA_ti!AA$49*TA_ti!$BF25=0,10000,TA_ti!AA25*TA_ti!AA$49*TA_ti!$BF25)</f>
        <v>10000</v>
      </c>
      <c r="AB25" s="4">
        <f>+IF(TA_ti!AB25*TA_ti!AB$49*TA_ti!$BF25=0,10000,TA_ti!AB25*TA_ti!AB$49*TA_ti!$BF25)</f>
        <v>10000</v>
      </c>
      <c r="AC25" s="4">
        <f>+IF(TA_ti!AC25*TA_ti!AC$49*TA_ti!$BF25=0,10000,TA_ti!AC25*TA_ti!AC$49*TA_ti!$BF25)</f>
        <v>10000</v>
      </c>
      <c r="AD25" s="4">
        <f>+IF(TA_ti!AD25*TA_ti!AD$49*TA_ti!$BF25=0,10000,TA_ti!AD25*TA_ti!AD$49*TA_ti!$BF25)</f>
        <v>10000</v>
      </c>
      <c r="AE25" s="4">
        <f>+IF(TA_ti!AE25*TA_ti!AE$49*TA_ti!$BF25=0,10000,TA_ti!AE25*TA_ti!AE$49*TA_ti!$BF25)</f>
        <v>10000</v>
      </c>
      <c r="AF25" s="4">
        <f>+IF(TA_ti!AF25*TA_ti!AF$49*TA_ti!$BF25=0,10000,TA_ti!AF25*TA_ti!AF$49*TA_ti!$BF25)</f>
        <v>10000</v>
      </c>
      <c r="AG25" s="4">
        <f>+IF(TA_ti!AG25*TA_ti!AG$49*TA_ti!$BF25=0,10000,TA_ti!AG25*TA_ti!AG$49*TA_ti!$BF25)</f>
        <v>10000</v>
      </c>
      <c r="AH25" s="4">
        <f>+IF(TA_ti!AH25*TA_ti!AH$49*TA_ti!$BF25=0,10000,TA_ti!AH25*TA_ti!AH$49*TA_ti!$BF25)</f>
        <v>10000</v>
      </c>
      <c r="AI25" s="4">
        <f>+IF(TA_ti!AI25*TA_ti!AI$49*TA_ti!$BF25=0,10000,TA_ti!AI25*TA_ti!AI$49*TA_ti!$BF25)</f>
        <v>10000</v>
      </c>
      <c r="AJ25" s="4">
        <f>+IF(TA_ti!AJ25*TA_ti!AJ$49*TA_ti!$BF25=0,10000,TA_ti!AJ25*TA_ti!AJ$49*TA_ti!$BF25)</f>
        <v>10000</v>
      </c>
      <c r="AK25" s="4">
        <f>+IF(TA_ti!AK25*TA_ti!AK$49*TA_ti!$BF25=0,10000,TA_ti!AK25*TA_ti!AK$49*TA_ti!$BF25)</f>
        <v>10000</v>
      </c>
      <c r="AL25" s="4">
        <f>+IF(TA_ti!AL25*TA_ti!AL$49*TA_ti!$BF25=0,10000,TA_ti!AL25*TA_ti!AL$49*TA_ti!$BF25)</f>
        <v>10000</v>
      </c>
      <c r="AM25" s="4">
        <f>+IF(TA_ti!AM25*TA_ti!AM$49*TA_ti!$BF25=0,10000,TA_ti!AM25*TA_ti!AM$49*TA_ti!$BF25)</f>
        <v>10000</v>
      </c>
      <c r="AN25" s="4">
        <f>+IF(TA_ti!AN25*TA_ti!AN$49*TA_ti!$BF25=0,10000,TA_ti!AN25*TA_ti!AN$49*TA_ti!$BF25)</f>
        <v>10000</v>
      </c>
      <c r="AO25" s="4">
        <f>+IF(TA_ti!AO25*TA_ti!AO$49*TA_ti!$BF25=0,10000,TA_ti!AO25*TA_ti!AO$49*TA_ti!$BF25)</f>
        <v>10000</v>
      </c>
      <c r="AP25" s="4">
        <f>+IF(TA_ti!AP25*TA_ti!AP$49*TA_ti!$BF25=0,10000,TA_ti!AP25*TA_ti!AP$49*TA_ti!$BF25)</f>
        <v>10000</v>
      </c>
      <c r="AQ25" s="4">
        <f>+IF(TA_ti!AQ25*TA_ti!AQ$49*TA_ti!$BF25=0,10000,TA_ti!AQ25*TA_ti!AQ$49*TA_ti!$BF25)</f>
        <v>10000</v>
      </c>
      <c r="AR25" s="4">
        <f>+IF(TA_ti!AR25*TA_ti!AR$49*TA_ti!$BF25=0,10000,TA_ti!AR25*TA_ti!AR$49*TA_ti!$BF25)</f>
        <v>10000</v>
      </c>
      <c r="AS25" s="4">
        <f>+IF(TA_ti!AS25*TA_ti!AS$49*TA_ti!$BF25=0,10000,TA_ti!AS25*TA_ti!AS$49*TA_ti!$BF25)</f>
        <v>10000</v>
      </c>
      <c r="AT25" s="4">
        <f>+IF(TA_ti!AT25*TA_ti!AT$49*TA_ti!$BF25=0,10000,TA_ti!AT25*TA_ti!AT$49*TA_ti!$BF25)</f>
        <v>10000</v>
      </c>
      <c r="AU25" s="4">
        <f>+IF(TA_ti!AU25*TA_ti!AU$49*TA_ti!$BF25=0,10000,TA_ti!AU25*TA_ti!AU$49*TA_ti!$BF25)</f>
        <v>10000</v>
      </c>
      <c r="AV25" s="4">
        <f>+IF(TA_ti!AV25*TA_ti!AV$49*TA_ti!$BF25=0,10000,TA_ti!AV25*TA_ti!AV$49*TA_ti!$BF25)</f>
        <v>10000</v>
      </c>
      <c r="AW25" s="4">
        <f>+IF(TA_ti!AW25*TA_ti!AW$49*TA_ti!$BF25=0,10000,TA_ti!AW25*TA_ti!AW$49*TA_ti!$BF25)</f>
        <v>10000</v>
      </c>
      <c r="AX25" s="4">
        <f>+IF(TA_ti!AX25*TA_ti!AX$49*TA_ti!$BF25=0,10000,TA_ti!AX25*TA_ti!AX$49*TA_ti!$BF25)</f>
        <v>10000</v>
      </c>
      <c r="AY25" s="4">
        <f>+IF(TA_ti!AY25*TA_ti!AY$49*TA_ti!$BF25=0,10000,TA_ti!AY25*TA_ti!AY$49*TA_ti!$BF25)</f>
        <v>10000</v>
      </c>
      <c r="AZ25" s="4">
        <f>+IF(TA_ti!AZ25*TA_ti!AZ$49*TA_ti!$BF25=0,10000,TA_ti!AZ25*TA_ti!AZ$49*TA_ti!$BF25)</f>
        <v>10000</v>
      </c>
      <c r="BA25" s="4">
        <f>+IF(TA_ti!BA25*TA_ti!BA$49*TA_ti!$BF25=0,10000,TA_ti!BA25*TA_ti!BA$49*TA_ti!$BF25)</f>
        <v>10000</v>
      </c>
      <c r="BB25" s="4">
        <f>+IF(TA_ti!BB25*TA_ti!BB$49*TA_ti!$BF25=0,10000,TA_ti!BB25*TA_ti!BB$49*TA_ti!$BF25)</f>
        <v>10000</v>
      </c>
      <c r="BC25" s="4">
        <f>+IF(TA_ti!BC25*TA_ti!BC$49*TA_ti!$BF25=0,10000,TA_ti!BC25*TA_ti!BC$49*TA_ti!$BF25)</f>
        <v>10000</v>
      </c>
    </row>
    <row r="26" spans="1:55" ht="18.75" customHeight="1" x14ac:dyDescent="0.25">
      <c r="A26" s="5" t="s">
        <v>77</v>
      </c>
      <c r="B26" s="4">
        <f>+IF(TA_ti!B26*TA_ti!B$49*TA_ti!$BF26=0,10000,TA_ti!B26*TA_ti!B$49*TA_ti!$BF26)</f>
        <v>10000</v>
      </c>
      <c r="C26" s="4">
        <f>+IF(TA_ti!C26*TA_ti!C$49*TA_ti!$BF26=0,10000,TA_ti!C26*TA_ti!C$49*TA_ti!$BF26)</f>
        <v>10000</v>
      </c>
      <c r="D26" s="4">
        <f>+IF(TA_ti!D26*TA_ti!D$49*TA_ti!$BF26=0,10000,TA_ti!D26*TA_ti!D$49*TA_ti!$BF26)</f>
        <v>10000</v>
      </c>
      <c r="E26" s="4">
        <f>+IF(TA_ti!E26*TA_ti!E$49*TA_ti!$BF26=0,10000,TA_ti!E26*TA_ti!E$49*TA_ti!$BF26)</f>
        <v>10000</v>
      </c>
      <c r="F26" s="4">
        <f>+IF(TA_ti!F26*TA_ti!F$49*TA_ti!$BF26=0,10000,TA_ti!F26*TA_ti!F$49*TA_ti!$BF26)</f>
        <v>10000</v>
      </c>
      <c r="G26" s="4">
        <f>+IF(TA_ti!G26*TA_ti!G$49*TA_ti!$BF26=0,10000,TA_ti!G26*TA_ti!G$49*TA_ti!$BF26)</f>
        <v>10000</v>
      </c>
      <c r="H26" s="4">
        <f>+IF(TA_ti!H26*TA_ti!H$49*TA_ti!$BF26=0,10000,TA_ti!H26*TA_ti!H$49*TA_ti!$BF26)</f>
        <v>10000</v>
      </c>
      <c r="I26" s="4">
        <f>+IF(TA_ti!I26*TA_ti!I$49*TA_ti!$BF26=0,10000,TA_ti!I26*TA_ti!I$49*TA_ti!$BF26)</f>
        <v>10000</v>
      </c>
      <c r="J26" s="4">
        <f>+IF(TA_ti!J26*TA_ti!J$49*TA_ti!$BF26=0,10000,TA_ti!J26*TA_ti!J$49*TA_ti!$BF26)</f>
        <v>10000</v>
      </c>
      <c r="K26" s="4">
        <f>+IF(TA_ti!K26*TA_ti!K$49*TA_ti!$BF26=0,10000,TA_ti!K26*TA_ti!K$49*TA_ti!$BF26)</f>
        <v>10000</v>
      </c>
      <c r="L26" s="4">
        <f>+IF(TA_ti!L26*TA_ti!L$49*TA_ti!$BF26=0,10000,TA_ti!L26*TA_ti!L$49*TA_ti!$BF26)</f>
        <v>10000</v>
      </c>
      <c r="M26" s="4">
        <f>+IF(TA_ti!M26*TA_ti!M$49*TA_ti!$BF26=0,10000,TA_ti!M26*TA_ti!M$49*TA_ti!$BF26)</f>
        <v>10000</v>
      </c>
      <c r="N26" s="4">
        <f>+IF(TA_ti!N26*TA_ti!N$49*TA_ti!$BF26=0,10000,TA_ti!N26*TA_ti!N$49*TA_ti!$BF26)</f>
        <v>10000</v>
      </c>
      <c r="O26" s="4">
        <f>+IF(TA_ti!O26*TA_ti!O$49*TA_ti!$BF26=0,10000,TA_ti!O26*TA_ti!O$49*TA_ti!$BF26)</f>
        <v>10000</v>
      </c>
      <c r="P26" s="4">
        <f>+IF(TA_ti!P26*TA_ti!P$49*TA_ti!$BF26=0,10000,TA_ti!P26*TA_ti!P$49*TA_ti!$BF26)</f>
        <v>10000</v>
      </c>
      <c r="Q26" s="4">
        <f>+IF(TA_ti!Q26*TA_ti!Q$49*TA_ti!$BF26=0,10000,TA_ti!Q26*TA_ti!Q$49*TA_ti!$BF26)</f>
        <v>10000</v>
      </c>
      <c r="R26" s="4">
        <f>+IF(TA_ti!R26*TA_ti!R$49*TA_ti!$BF26=0,10000,TA_ti!R26*TA_ti!R$49*TA_ti!$BF26)</f>
        <v>10000</v>
      </c>
      <c r="S26" s="4">
        <f>+IF(TA_ti!S26*TA_ti!S$49*TA_ti!$BF26=0,10000,TA_ti!S26*TA_ti!S$49*TA_ti!$BF26)</f>
        <v>10000</v>
      </c>
      <c r="T26" s="4">
        <f>+IF(TA_ti!T26*TA_ti!T$49*TA_ti!$BF26=0,10000,TA_ti!T26*TA_ti!T$49*TA_ti!$BF26)</f>
        <v>10000</v>
      </c>
      <c r="U26" s="4">
        <f>+IF(TA_ti!U26*TA_ti!U$49*TA_ti!$BF26=0,10000,TA_ti!U26*TA_ti!U$49*TA_ti!$BF26)</f>
        <v>15</v>
      </c>
      <c r="V26" s="4">
        <f>+IF(TA_ti!V26*TA_ti!V$49*TA_ti!$BF26=0,10000,TA_ti!V26*TA_ti!V$49*TA_ti!$BF26)</f>
        <v>10000</v>
      </c>
      <c r="W26" s="4">
        <f>+IF(TA_ti!W26*TA_ti!W$49*TA_ti!$BF26=0,10000,TA_ti!W26*TA_ti!W$49*TA_ti!$BF26)</f>
        <v>10000</v>
      </c>
      <c r="X26" s="4">
        <f>+IF(TA_ti!X26*TA_ti!X$49*TA_ti!$BF26=0,10000,TA_ti!X26*TA_ti!X$49*TA_ti!$BF26)</f>
        <v>10000</v>
      </c>
      <c r="Y26" s="4">
        <f>+IF(TA_ti!Y26*TA_ti!Y$49*TA_ti!$BF26=0,10000,TA_ti!Y26*TA_ti!Y$49*TA_ti!$BF26)</f>
        <v>10000</v>
      </c>
      <c r="Z26" s="4">
        <f>+IF(TA_ti!Z26*TA_ti!Z$49*TA_ti!$BF26=0,10000,TA_ti!Z26*TA_ti!Z$49*TA_ti!$BF26)</f>
        <v>10000</v>
      </c>
      <c r="AA26" s="4">
        <f>+IF(TA_ti!AA26*TA_ti!AA$49*TA_ti!$BF26=0,10000,TA_ti!AA26*TA_ti!AA$49*TA_ti!$BF26)</f>
        <v>10000</v>
      </c>
      <c r="AB26" s="4">
        <f>+IF(TA_ti!AB26*TA_ti!AB$49*TA_ti!$BF26=0,10000,TA_ti!AB26*TA_ti!AB$49*TA_ti!$BF26)</f>
        <v>10000</v>
      </c>
      <c r="AC26" s="4">
        <f>+IF(TA_ti!AC26*TA_ti!AC$49*TA_ti!$BF26=0,10000,TA_ti!AC26*TA_ti!AC$49*TA_ti!$BF26)</f>
        <v>10000</v>
      </c>
      <c r="AD26" s="4">
        <f>+IF(TA_ti!AD26*TA_ti!AD$49*TA_ti!$BF26=0,10000,TA_ti!AD26*TA_ti!AD$49*TA_ti!$BF26)</f>
        <v>10000</v>
      </c>
      <c r="AE26" s="4">
        <f>+IF(TA_ti!AE26*TA_ti!AE$49*TA_ti!$BF26=0,10000,TA_ti!AE26*TA_ti!AE$49*TA_ti!$BF26)</f>
        <v>10000</v>
      </c>
      <c r="AF26" s="4">
        <f>+IF(TA_ti!AF26*TA_ti!AF$49*TA_ti!$BF26=0,10000,TA_ti!AF26*TA_ti!AF$49*TA_ti!$BF26)</f>
        <v>10000</v>
      </c>
      <c r="AG26" s="4">
        <f>+IF(TA_ti!AG26*TA_ti!AG$49*TA_ti!$BF26=0,10000,TA_ti!AG26*TA_ti!AG$49*TA_ti!$BF26)</f>
        <v>10000</v>
      </c>
      <c r="AH26" s="4">
        <f>+IF(TA_ti!AH26*TA_ti!AH$49*TA_ti!$BF26=0,10000,TA_ti!AH26*TA_ti!AH$49*TA_ti!$BF26)</f>
        <v>10000</v>
      </c>
      <c r="AI26" s="4">
        <f>+IF(TA_ti!AI26*TA_ti!AI$49*TA_ti!$BF26=0,10000,TA_ti!AI26*TA_ti!AI$49*TA_ti!$BF26)</f>
        <v>10000</v>
      </c>
      <c r="AJ26" s="4">
        <f>+IF(TA_ti!AJ26*TA_ti!AJ$49*TA_ti!$BF26=0,10000,TA_ti!AJ26*TA_ti!AJ$49*TA_ti!$BF26)</f>
        <v>10000</v>
      </c>
      <c r="AK26" s="4">
        <f>+IF(TA_ti!AK26*TA_ti!AK$49*TA_ti!$BF26=0,10000,TA_ti!AK26*TA_ti!AK$49*TA_ti!$BF26)</f>
        <v>10000</v>
      </c>
      <c r="AL26" s="4">
        <f>+IF(TA_ti!AL26*TA_ti!AL$49*TA_ti!$BF26=0,10000,TA_ti!AL26*TA_ti!AL$49*TA_ti!$BF26)</f>
        <v>10000</v>
      </c>
      <c r="AM26" s="4">
        <f>+IF(TA_ti!AM26*TA_ti!AM$49*TA_ti!$BF26=0,10000,TA_ti!AM26*TA_ti!AM$49*TA_ti!$BF26)</f>
        <v>10000</v>
      </c>
      <c r="AN26" s="4">
        <f>+IF(TA_ti!AN26*TA_ti!AN$49*TA_ti!$BF26=0,10000,TA_ti!AN26*TA_ti!AN$49*TA_ti!$BF26)</f>
        <v>10000</v>
      </c>
      <c r="AO26" s="4">
        <f>+IF(TA_ti!AO26*TA_ti!AO$49*TA_ti!$BF26=0,10000,TA_ti!AO26*TA_ti!AO$49*TA_ti!$BF26)</f>
        <v>10000</v>
      </c>
      <c r="AP26" s="4">
        <f>+IF(TA_ti!AP26*TA_ti!AP$49*TA_ti!$BF26=0,10000,TA_ti!AP26*TA_ti!AP$49*TA_ti!$BF26)</f>
        <v>10000</v>
      </c>
      <c r="AQ26" s="4">
        <f>+IF(TA_ti!AQ26*TA_ti!AQ$49*TA_ti!$BF26=0,10000,TA_ti!AQ26*TA_ti!AQ$49*TA_ti!$BF26)</f>
        <v>10000</v>
      </c>
      <c r="AR26" s="4">
        <f>+IF(TA_ti!AR26*TA_ti!AR$49*TA_ti!$BF26=0,10000,TA_ti!AR26*TA_ti!AR$49*TA_ti!$BF26)</f>
        <v>10000</v>
      </c>
      <c r="AS26" s="4">
        <f>+IF(TA_ti!AS26*TA_ti!AS$49*TA_ti!$BF26=0,10000,TA_ti!AS26*TA_ti!AS$49*TA_ti!$BF26)</f>
        <v>10000</v>
      </c>
      <c r="AT26" s="4">
        <f>+IF(TA_ti!AT26*TA_ti!AT$49*TA_ti!$BF26=0,10000,TA_ti!AT26*TA_ti!AT$49*TA_ti!$BF26)</f>
        <v>10000</v>
      </c>
      <c r="AU26" s="4">
        <f>+IF(TA_ti!AU26*TA_ti!AU$49*TA_ti!$BF26=0,10000,TA_ti!AU26*TA_ti!AU$49*TA_ti!$BF26)</f>
        <v>10000</v>
      </c>
      <c r="AV26" s="4">
        <f>+IF(TA_ti!AV26*TA_ti!AV$49*TA_ti!$BF26=0,10000,TA_ti!AV26*TA_ti!AV$49*TA_ti!$BF26)</f>
        <v>10000</v>
      </c>
      <c r="AW26" s="4">
        <f>+IF(TA_ti!AW26*TA_ti!AW$49*TA_ti!$BF26=0,10000,TA_ti!AW26*TA_ti!AW$49*TA_ti!$BF26)</f>
        <v>10000</v>
      </c>
      <c r="AX26" s="4">
        <f>+IF(TA_ti!AX26*TA_ti!AX$49*TA_ti!$BF26=0,10000,TA_ti!AX26*TA_ti!AX$49*TA_ti!$BF26)</f>
        <v>10000</v>
      </c>
      <c r="AY26" s="4">
        <f>+IF(TA_ti!AY26*TA_ti!AY$49*TA_ti!$BF26=0,10000,TA_ti!AY26*TA_ti!AY$49*TA_ti!$BF26)</f>
        <v>10000</v>
      </c>
      <c r="AZ26" s="4">
        <f>+IF(TA_ti!AZ26*TA_ti!AZ$49*TA_ti!$BF26=0,10000,TA_ti!AZ26*TA_ti!AZ$49*TA_ti!$BF26)</f>
        <v>10000</v>
      </c>
      <c r="BA26" s="4">
        <f>+IF(TA_ti!BA26*TA_ti!BA$49*TA_ti!$BF26=0,10000,TA_ti!BA26*TA_ti!BA$49*TA_ti!$BF26)</f>
        <v>10000</v>
      </c>
      <c r="BB26" s="4">
        <f>+IF(TA_ti!BB26*TA_ti!BB$49*TA_ti!$BF26=0,10000,TA_ti!BB26*TA_ti!BB$49*TA_ti!$BF26)</f>
        <v>10000</v>
      </c>
      <c r="BC26" s="4">
        <f>+IF(TA_ti!BC26*TA_ti!BC$49*TA_ti!$BF26=0,10000,TA_ti!BC26*TA_ti!BC$49*TA_ti!$BF26)</f>
        <v>10000</v>
      </c>
    </row>
    <row r="27" spans="1:55" ht="18.75" customHeight="1" x14ac:dyDescent="0.25">
      <c r="A27" s="5" t="s">
        <v>78</v>
      </c>
      <c r="B27" s="4">
        <f>+IF(TA_ti!B27*TA_ti!B$49*TA_ti!$BF27=0,10000,TA_ti!B27*TA_ti!B$49*TA_ti!$BF27)</f>
        <v>10000</v>
      </c>
      <c r="C27" s="4">
        <f>+IF(TA_ti!C27*TA_ti!C$49*TA_ti!$BF27=0,10000,TA_ti!C27*TA_ti!C$49*TA_ti!$BF27)</f>
        <v>10000</v>
      </c>
      <c r="D27" s="4">
        <f>+IF(TA_ti!D27*TA_ti!D$49*TA_ti!$BF27=0,10000,TA_ti!D27*TA_ti!D$49*TA_ti!$BF27)</f>
        <v>10000</v>
      </c>
      <c r="E27" s="4">
        <f>+IF(TA_ti!E27*TA_ti!E$49*TA_ti!$BF27=0,10000,TA_ti!E27*TA_ti!E$49*TA_ti!$BF27)</f>
        <v>10000</v>
      </c>
      <c r="F27" s="4">
        <f>+IF(TA_ti!F27*TA_ti!F$49*TA_ti!$BF27=0,10000,TA_ti!F27*TA_ti!F$49*TA_ti!$BF27)</f>
        <v>10000</v>
      </c>
      <c r="G27" s="4">
        <f>+IF(TA_ti!G27*TA_ti!G$49*TA_ti!$BF27=0,10000,TA_ti!G27*TA_ti!G$49*TA_ti!$BF27)</f>
        <v>10000</v>
      </c>
      <c r="H27" s="4">
        <f>+IF(TA_ti!H27*TA_ti!H$49*TA_ti!$BF27=0,10000,TA_ti!H27*TA_ti!H$49*TA_ti!$BF27)</f>
        <v>10000</v>
      </c>
      <c r="I27" s="4">
        <f>+IF(TA_ti!I27*TA_ti!I$49*TA_ti!$BF27=0,10000,TA_ti!I27*TA_ti!I$49*TA_ti!$BF27)</f>
        <v>10000</v>
      </c>
      <c r="J27" s="4">
        <f>+IF(TA_ti!J27*TA_ti!J$49*TA_ti!$BF27=0,10000,TA_ti!J27*TA_ti!J$49*TA_ti!$BF27)</f>
        <v>10000</v>
      </c>
      <c r="K27" s="4">
        <f>+IF(TA_ti!K27*TA_ti!K$49*TA_ti!$BF27=0,10000,TA_ti!K27*TA_ti!K$49*TA_ti!$BF27)</f>
        <v>10000</v>
      </c>
      <c r="L27" s="4">
        <f>+IF(TA_ti!L27*TA_ti!L$49*TA_ti!$BF27=0,10000,TA_ti!L27*TA_ti!L$49*TA_ti!$BF27)</f>
        <v>10000</v>
      </c>
      <c r="M27" s="4">
        <f>+IF(TA_ti!M27*TA_ti!M$49*TA_ti!$BF27=0,10000,TA_ti!M27*TA_ti!M$49*TA_ti!$BF27)</f>
        <v>10000</v>
      </c>
      <c r="N27" s="4">
        <f>+IF(TA_ti!N27*TA_ti!N$49*TA_ti!$BF27=0,10000,TA_ti!N27*TA_ti!N$49*TA_ti!$BF27)</f>
        <v>10000</v>
      </c>
      <c r="O27" s="4">
        <f>+IF(TA_ti!O27*TA_ti!O$49*TA_ti!$BF27=0,10000,TA_ti!O27*TA_ti!O$49*TA_ti!$BF27)</f>
        <v>10000</v>
      </c>
      <c r="P27" s="4">
        <f>+IF(TA_ti!P27*TA_ti!P$49*TA_ti!$BF27=0,10000,TA_ti!P27*TA_ti!P$49*TA_ti!$BF27)</f>
        <v>10000</v>
      </c>
      <c r="Q27" s="4">
        <f>+IF(TA_ti!Q27*TA_ti!Q$49*TA_ti!$BF27=0,10000,TA_ti!Q27*TA_ti!Q$49*TA_ti!$BF27)</f>
        <v>10000</v>
      </c>
      <c r="R27" s="4">
        <f>+IF(TA_ti!R27*TA_ti!R$49*TA_ti!$BF27=0,10000,TA_ti!R27*TA_ti!R$49*TA_ti!$BF27)</f>
        <v>10000</v>
      </c>
      <c r="S27" s="4">
        <f>+IF(TA_ti!S27*TA_ti!S$49*TA_ti!$BF27=0,10000,TA_ti!S27*TA_ti!S$49*TA_ti!$BF27)</f>
        <v>10000</v>
      </c>
      <c r="T27" s="4">
        <f>+IF(TA_ti!T27*TA_ti!T$49*TA_ti!$BF27=0,10000,TA_ti!T27*TA_ti!T$49*TA_ti!$BF27)</f>
        <v>10000</v>
      </c>
      <c r="U27" s="4">
        <f>+IF(TA_ti!U27*TA_ti!U$49*TA_ti!$BF27=0,10000,TA_ti!U27*TA_ti!U$49*TA_ti!$BF27)</f>
        <v>15</v>
      </c>
      <c r="V27" s="4">
        <f>+IF(TA_ti!V27*TA_ti!V$49*TA_ti!$BF27=0,10000,TA_ti!V27*TA_ti!V$49*TA_ti!$BF27)</f>
        <v>10000</v>
      </c>
      <c r="W27" s="4">
        <f>+IF(TA_ti!W27*TA_ti!W$49*TA_ti!$BF27=0,10000,TA_ti!W27*TA_ti!W$49*TA_ti!$BF27)</f>
        <v>10000</v>
      </c>
      <c r="X27" s="4">
        <f>+IF(TA_ti!X27*TA_ti!X$49*TA_ti!$BF27=0,10000,TA_ti!X27*TA_ti!X$49*TA_ti!$BF27)</f>
        <v>10000</v>
      </c>
      <c r="Y27" s="4">
        <f>+IF(TA_ti!Y27*TA_ti!Y$49*TA_ti!$BF27=0,10000,TA_ti!Y27*TA_ti!Y$49*TA_ti!$BF27)</f>
        <v>10000</v>
      </c>
      <c r="Z27" s="4">
        <f>+IF(TA_ti!Z27*TA_ti!Z$49*TA_ti!$BF27=0,10000,TA_ti!Z27*TA_ti!Z$49*TA_ti!$BF27)</f>
        <v>10000</v>
      </c>
      <c r="AA27" s="4">
        <f>+IF(TA_ti!AA27*TA_ti!AA$49*TA_ti!$BF27=0,10000,TA_ti!AA27*TA_ti!AA$49*TA_ti!$BF27)</f>
        <v>10000</v>
      </c>
      <c r="AB27" s="4">
        <f>+IF(TA_ti!AB27*TA_ti!AB$49*TA_ti!$BF27=0,10000,TA_ti!AB27*TA_ti!AB$49*TA_ti!$BF27)</f>
        <v>10000</v>
      </c>
      <c r="AC27" s="4">
        <f>+IF(TA_ti!AC27*TA_ti!AC$49*TA_ti!$BF27=0,10000,TA_ti!AC27*TA_ti!AC$49*TA_ti!$BF27)</f>
        <v>10000</v>
      </c>
      <c r="AD27" s="4">
        <f>+IF(TA_ti!AD27*TA_ti!AD$49*TA_ti!$BF27=0,10000,TA_ti!AD27*TA_ti!AD$49*TA_ti!$BF27)</f>
        <v>10000</v>
      </c>
      <c r="AE27" s="4">
        <f>+IF(TA_ti!AE27*TA_ti!AE$49*TA_ti!$BF27=0,10000,TA_ti!AE27*TA_ti!AE$49*TA_ti!$BF27)</f>
        <v>10000</v>
      </c>
      <c r="AF27" s="4">
        <f>+IF(TA_ti!AF27*TA_ti!AF$49*TA_ti!$BF27=0,10000,TA_ti!AF27*TA_ti!AF$49*TA_ti!$BF27)</f>
        <v>10000</v>
      </c>
      <c r="AG27" s="4">
        <f>+IF(TA_ti!AG27*TA_ti!AG$49*TA_ti!$BF27=0,10000,TA_ti!AG27*TA_ti!AG$49*TA_ti!$BF27)</f>
        <v>10000</v>
      </c>
      <c r="AH27" s="4">
        <f>+IF(TA_ti!AH27*TA_ti!AH$49*TA_ti!$BF27=0,10000,TA_ti!AH27*TA_ti!AH$49*TA_ti!$BF27)</f>
        <v>10000</v>
      </c>
      <c r="AI27" s="4">
        <f>+IF(TA_ti!AI27*TA_ti!AI$49*TA_ti!$BF27=0,10000,TA_ti!AI27*TA_ti!AI$49*TA_ti!$BF27)</f>
        <v>10000</v>
      </c>
      <c r="AJ27" s="4">
        <f>+IF(TA_ti!AJ27*TA_ti!AJ$49*TA_ti!$BF27=0,10000,TA_ti!AJ27*TA_ti!AJ$49*TA_ti!$BF27)</f>
        <v>10000</v>
      </c>
      <c r="AK27" s="4">
        <f>+IF(TA_ti!AK27*TA_ti!AK$49*TA_ti!$BF27=0,10000,TA_ti!AK27*TA_ti!AK$49*TA_ti!$BF27)</f>
        <v>10000</v>
      </c>
      <c r="AL27" s="4">
        <f>+IF(TA_ti!AL27*TA_ti!AL$49*TA_ti!$BF27=0,10000,TA_ti!AL27*TA_ti!AL$49*TA_ti!$BF27)</f>
        <v>10000</v>
      </c>
      <c r="AM27" s="4">
        <f>+IF(TA_ti!AM27*TA_ti!AM$49*TA_ti!$BF27=0,10000,TA_ti!AM27*TA_ti!AM$49*TA_ti!$BF27)</f>
        <v>10000</v>
      </c>
      <c r="AN27" s="4">
        <f>+IF(TA_ti!AN27*TA_ti!AN$49*TA_ti!$BF27=0,10000,TA_ti!AN27*TA_ti!AN$49*TA_ti!$BF27)</f>
        <v>10000</v>
      </c>
      <c r="AO27" s="4">
        <f>+IF(TA_ti!AO27*TA_ti!AO$49*TA_ti!$BF27=0,10000,TA_ti!AO27*TA_ti!AO$49*TA_ti!$BF27)</f>
        <v>10000</v>
      </c>
      <c r="AP27" s="4">
        <f>+IF(TA_ti!AP27*TA_ti!AP$49*TA_ti!$BF27=0,10000,TA_ti!AP27*TA_ti!AP$49*TA_ti!$BF27)</f>
        <v>10000</v>
      </c>
      <c r="AQ27" s="4">
        <f>+IF(TA_ti!AQ27*TA_ti!AQ$49*TA_ti!$BF27=0,10000,TA_ti!AQ27*TA_ti!AQ$49*TA_ti!$BF27)</f>
        <v>10000</v>
      </c>
      <c r="AR27" s="4">
        <f>+IF(TA_ti!AR27*TA_ti!AR$49*TA_ti!$BF27=0,10000,TA_ti!AR27*TA_ti!AR$49*TA_ti!$BF27)</f>
        <v>10000</v>
      </c>
      <c r="AS27" s="4">
        <f>+IF(TA_ti!AS27*TA_ti!AS$49*TA_ti!$BF27=0,10000,TA_ti!AS27*TA_ti!AS$49*TA_ti!$BF27)</f>
        <v>10000</v>
      </c>
      <c r="AT27" s="4">
        <f>+IF(TA_ti!AT27*TA_ti!AT$49*TA_ti!$BF27=0,10000,TA_ti!AT27*TA_ti!AT$49*TA_ti!$BF27)</f>
        <v>10000</v>
      </c>
      <c r="AU27" s="4">
        <f>+IF(TA_ti!AU27*TA_ti!AU$49*TA_ti!$BF27=0,10000,TA_ti!AU27*TA_ti!AU$49*TA_ti!$BF27)</f>
        <v>10000</v>
      </c>
      <c r="AV27" s="4">
        <f>+IF(TA_ti!AV27*TA_ti!AV$49*TA_ti!$BF27=0,10000,TA_ti!AV27*TA_ti!AV$49*TA_ti!$BF27)</f>
        <v>10000</v>
      </c>
      <c r="AW27" s="4">
        <f>+IF(TA_ti!AW27*TA_ti!AW$49*TA_ti!$BF27=0,10000,TA_ti!AW27*TA_ti!AW$49*TA_ti!$BF27)</f>
        <v>10000</v>
      </c>
      <c r="AX27" s="4">
        <f>+IF(TA_ti!AX27*TA_ti!AX$49*TA_ti!$BF27=0,10000,TA_ti!AX27*TA_ti!AX$49*TA_ti!$BF27)</f>
        <v>10000</v>
      </c>
      <c r="AY27" s="4">
        <f>+IF(TA_ti!AY27*TA_ti!AY$49*TA_ti!$BF27=0,10000,TA_ti!AY27*TA_ti!AY$49*TA_ti!$BF27)</f>
        <v>10000</v>
      </c>
      <c r="AZ27" s="4">
        <f>+IF(TA_ti!AZ27*TA_ti!AZ$49*TA_ti!$BF27=0,10000,TA_ti!AZ27*TA_ti!AZ$49*TA_ti!$BF27)</f>
        <v>10000</v>
      </c>
      <c r="BA27" s="4">
        <f>+IF(TA_ti!BA27*TA_ti!BA$49*TA_ti!$BF27=0,10000,TA_ti!BA27*TA_ti!BA$49*TA_ti!$BF27)</f>
        <v>10000</v>
      </c>
      <c r="BB27" s="4">
        <f>+IF(TA_ti!BB27*TA_ti!BB$49*TA_ti!$BF27=0,10000,TA_ti!BB27*TA_ti!BB$49*TA_ti!$BF27)</f>
        <v>10000</v>
      </c>
      <c r="BC27" s="4">
        <f>+IF(TA_ti!BC27*TA_ti!BC$49*TA_ti!$BF27=0,10000,TA_ti!BC27*TA_ti!BC$49*TA_ti!$BF27)</f>
        <v>10000</v>
      </c>
    </row>
    <row r="28" spans="1:55" ht="18.75" customHeight="1" x14ac:dyDescent="0.25">
      <c r="A28" s="5" t="s">
        <v>79</v>
      </c>
      <c r="B28" s="4">
        <f>+IF(TA_ti!B28*TA_ti!B$49*TA_ti!$BF28=0,10000,TA_ti!B28*TA_ti!B$49*TA_ti!$BF28)</f>
        <v>10000</v>
      </c>
      <c r="C28" s="4">
        <f>+IF(TA_ti!C28*TA_ti!C$49*TA_ti!$BF28=0,10000,TA_ti!C28*TA_ti!C$49*TA_ti!$BF28)</f>
        <v>10000</v>
      </c>
      <c r="D28" s="4">
        <f>+IF(TA_ti!D28*TA_ti!D$49*TA_ti!$BF28=0,10000,TA_ti!D28*TA_ti!D$49*TA_ti!$BF28)</f>
        <v>10000</v>
      </c>
      <c r="E28" s="4">
        <f>+IF(TA_ti!E28*TA_ti!E$49*TA_ti!$BF28=0,10000,TA_ti!E28*TA_ti!E$49*TA_ti!$BF28)</f>
        <v>10000</v>
      </c>
      <c r="F28" s="4">
        <f>+IF(TA_ti!F28*TA_ti!F$49*TA_ti!$BF28=0,10000,TA_ti!F28*TA_ti!F$49*TA_ti!$BF28)</f>
        <v>10000</v>
      </c>
      <c r="G28" s="4">
        <f>+IF(TA_ti!G28*TA_ti!G$49*TA_ti!$BF28=0,10000,TA_ti!G28*TA_ti!G$49*TA_ti!$BF28)</f>
        <v>10000</v>
      </c>
      <c r="H28" s="4">
        <f>+IF(TA_ti!H28*TA_ti!H$49*TA_ti!$BF28=0,10000,TA_ti!H28*TA_ti!H$49*TA_ti!$BF28)</f>
        <v>10000</v>
      </c>
      <c r="I28" s="4">
        <f>+IF(TA_ti!I28*TA_ti!I$49*TA_ti!$BF28=0,10000,TA_ti!I28*TA_ti!I$49*TA_ti!$BF28)</f>
        <v>10000</v>
      </c>
      <c r="J28" s="4">
        <f>+IF(TA_ti!J28*TA_ti!J$49*TA_ti!$BF28=0,10000,TA_ti!J28*TA_ti!J$49*TA_ti!$BF28)</f>
        <v>10000</v>
      </c>
      <c r="K28" s="4">
        <f>+IF(TA_ti!K28*TA_ti!K$49*TA_ti!$BF28=0,10000,TA_ti!K28*TA_ti!K$49*TA_ti!$BF28)</f>
        <v>10000</v>
      </c>
      <c r="L28" s="4">
        <f>+IF(TA_ti!L28*TA_ti!L$49*TA_ti!$BF28=0,10000,TA_ti!L28*TA_ti!L$49*TA_ti!$BF28)</f>
        <v>10000</v>
      </c>
      <c r="M28" s="4">
        <f>+IF(TA_ti!M28*TA_ti!M$49*TA_ti!$BF28=0,10000,TA_ti!M28*TA_ti!M$49*TA_ti!$BF28)</f>
        <v>10000</v>
      </c>
      <c r="N28" s="4">
        <f>+IF(TA_ti!N28*TA_ti!N$49*TA_ti!$BF28=0,10000,TA_ti!N28*TA_ti!N$49*TA_ti!$BF28)</f>
        <v>10000</v>
      </c>
      <c r="O28" s="4">
        <f>+IF(TA_ti!O28*TA_ti!O$49*TA_ti!$BF28=0,10000,TA_ti!O28*TA_ti!O$49*TA_ti!$BF28)</f>
        <v>10000</v>
      </c>
      <c r="P28" s="4">
        <f>+IF(TA_ti!P28*TA_ti!P$49*TA_ti!$BF28=0,10000,TA_ti!P28*TA_ti!P$49*TA_ti!$BF28)</f>
        <v>10000</v>
      </c>
      <c r="Q28" s="4">
        <f>+IF(TA_ti!Q28*TA_ti!Q$49*TA_ti!$BF28=0,10000,TA_ti!Q28*TA_ti!Q$49*TA_ti!$BF28)</f>
        <v>10000</v>
      </c>
      <c r="R28" s="4">
        <f>+IF(TA_ti!R28*TA_ti!R$49*TA_ti!$BF28=0,10000,TA_ti!R28*TA_ti!R$49*TA_ti!$BF28)</f>
        <v>10000</v>
      </c>
      <c r="S28" s="4">
        <f>+IF(TA_ti!S28*TA_ti!S$49*TA_ti!$BF28=0,10000,TA_ti!S28*TA_ti!S$49*TA_ti!$BF28)</f>
        <v>10000</v>
      </c>
      <c r="T28" s="4">
        <f>+IF(TA_ti!T28*TA_ti!T$49*TA_ti!$BF28=0,10000,TA_ti!T28*TA_ti!T$49*TA_ti!$BF28)</f>
        <v>10000</v>
      </c>
      <c r="U28" s="4">
        <f>+IF(TA_ti!U28*TA_ti!U$49*TA_ti!$BF28=0,10000,TA_ti!U28*TA_ti!U$49*TA_ti!$BF28)</f>
        <v>15</v>
      </c>
      <c r="V28" s="4">
        <f>+IF(TA_ti!V28*TA_ti!V$49*TA_ti!$BF28=0,10000,TA_ti!V28*TA_ti!V$49*TA_ti!$BF28)</f>
        <v>10000</v>
      </c>
      <c r="W28" s="4">
        <f>+IF(TA_ti!W28*TA_ti!W$49*TA_ti!$BF28=0,10000,TA_ti!W28*TA_ti!W$49*TA_ti!$BF28)</f>
        <v>10000</v>
      </c>
      <c r="X28" s="4">
        <f>+IF(TA_ti!X28*TA_ti!X$49*TA_ti!$BF28=0,10000,TA_ti!X28*TA_ti!X$49*TA_ti!$BF28)</f>
        <v>10000</v>
      </c>
      <c r="Y28" s="4">
        <f>+IF(TA_ti!Y28*TA_ti!Y$49*TA_ti!$BF28=0,10000,TA_ti!Y28*TA_ti!Y$49*TA_ti!$BF28)</f>
        <v>10000</v>
      </c>
      <c r="Z28" s="4">
        <f>+IF(TA_ti!Z28*TA_ti!Z$49*TA_ti!$BF28=0,10000,TA_ti!Z28*TA_ti!Z$49*TA_ti!$BF28)</f>
        <v>10000</v>
      </c>
      <c r="AA28" s="4">
        <f>+IF(TA_ti!AA28*TA_ti!AA$49*TA_ti!$BF28=0,10000,TA_ti!AA28*TA_ti!AA$49*TA_ti!$BF28)</f>
        <v>10000</v>
      </c>
      <c r="AB28" s="4">
        <f>+IF(TA_ti!AB28*TA_ti!AB$49*TA_ti!$BF28=0,10000,TA_ti!AB28*TA_ti!AB$49*TA_ti!$BF28)</f>
        <v>10000</v>
      </c>
      <c r="AC28" s="4">
        <f>+IF(TA_ti!AC28*TA_ti!AC$49*TA_ti!$BF28=0,10000,TA_ti!AC28*TA_ti!AC$49*TA_ti!$BF28)</f>
        <v>10000</v>
      </c>
      <c r="AD28" s="4">
        <f>+IF(TA_ti!AD28*TA_ti!AD$49*TA_ti!$BF28=0,10000,TA_ti!AD28*TA_ti!AD$49*TA_ti!$BF28)</f>
        <v>10000</v>
      </c>
      <c r="AE28" s="4">
        <f>+IF(TA_ti!AE28*TA_ti!AE$49*TA_ti!$BF28=0,10000,TA_ti!AE28*TA_ti!AE$49*TA_ti!$BF28)</f>
        <v>10000</v>
      </c>
      <c r="AF28" s="4">
        <f>+IF(TA_ti!AF28*TA_ti!AF$49*TA_ti!$BF28=0,10000,TA_ti!AF28*TA_ti!AF$49*TA_ti!$BF28)</f>
        <v>10000</v>
      </c>
      <c r="AG28" s="4">
        <f>+IF(TA_ti!AG28*TA_ti!AG$49*TA_ti!$BF28=0,10000,TA_ti!AG28*TA_ti!AG$49*TA_ti!$BF28)</f>
        <v>10000</v>
      </c>
      <c r="AH28" s="4">
        <f>+IF(TA_ti!AH28*TA_ti!AH$49*TA_ti!$BF28=0,10000,TA_ti!AH28*TA_ti!AH$49*TA_ti!$BF28)</f>
        <v>10000</v>
      </c>
      <c r="AI28" s="4">
        <f>+IF(TA_ti!AI28*TA_ti!AI$49*TA_ti!$BF28=0,10000,TA_ti!AI28*TA_ti!AI$49*TA_ti!$BF28)</f>
        <v>10000</v>
      </c>
      <c r="AJ28" s="4">
        <f>+IF(TA_ti!AJ28*TA_ti!AJ$49*TA_ti!$BF28=0,10000,TA_ti!AJ28*TA_ti!AJ$49*TA_ti!$BF28)</f>
        <v>10000</v>
      </c>
      <c r="AK28" s="4">
        <f>+IF(TA_ti!AK28*TA_ti!AK$49*TA_ti!$BF28=0,10000,TA_ti!AK28*TA_ti!AK$49*TA_ti!$BF28)</f>
        <v>10000</v>
      </c>
      <c r="AL28" s="4">
        <f>+IF(TA_ti!AL28*TA_ti!AL$49*TA_ti!$BF28=0,10000,TA_ti!AL28*TA_ti!AL$49*TA_ti!$BF28)</f>
        <v>10000</v>
      </c>
      <c r="AM28" s="4">
        <f>+IF(TA_ti!AM28*TA_ti!AM$49*TA_ti!$BF28=0,10000,TA_ti!AM28*TA_ti!AM$49*TA_ti!$BF28)</f>
        <v>10000</v>
      </c>
      <c r="AN28" s="4">
        <f>+IF(TA_ti!AN28*TA_ti!AN$49*TA_ti!$BF28=0,10000,TA_ti!AN28*TA_ti!AN$49*TA_ti!$BF28)</f>
        <v>10000</v>
      </c>
      <c r="AO28" s="4">
        <f>+IF(TA_ti!AO28*TA_ti!AO$49*TA_ti!$BF28=0,10000,TA_ti!AO28*TA_ti!AO$49*TA_ti!$BF28)</f>
        <v>10000</v>
      </c>
      <c r="AP28" s="4">
        <f>+IF(TA_ti!AP28*TA_ti!AP$49*TA_ti!$BF28=0,10000,TA_ti!AP28*TA_ti!AP$49*TA_ti!$BF28)</f>
        <v>10000</v>
      </c>
      <c r="AQ28" s="4">
        <f>+IF(TA_ti!AQ28*TA_ti!AQ$49*TA_ti!$BF28=0,10000,TA_ti!AQ28*TA_ti!AQ$49*TA_ti!$BF28)</f>
        <v>10000</v>
      </c>
      <c r="AR28" s="4">
        <f>+IF(TA_ti!AR28*TA_ti!AR$49*TA_ti!$BF28=0,10000,TA_ti!AR28*TA_ti!AR$49*TA_ti!$BF28)</f>
        <v>10000</v>
      </c>
      <c r="AS28" s="4">
        <f>+IF(TA_ti!AS28*TA_ti!AS$49*TA_ti!$BF28=0,10000,TA_ti!AS28*TA_ti!AS$49*TA_ti!$BF28)</f>
        <v>10000</v>
      </c>
      <c r="AT28" s="4">
        <f>+IF(TA_ti!AT28*TA_ti!AT$49*TA_ti!$BF28=0,10000,TA_ti!AT28*TA_ti!AT$49*TA_ti!$BF28)</f>
        <v>10000</v>
      </c>
      <c r="AU28" s="4">
        <f>+IF(TA_ti!AU28*TA_ti!AU$49*TA_ti!$BF28=0,10000,TA_ti!AU28*TA_ti!AU$49*TA_ti!$BF28)</f>
        <v>10000</v>
      </c>
      <c r="AV28" s="4">
        <f>+IF(TA_ti!AV28*TA_ti!AV$49*TA_ti!$BF28=0,10000,TA_ti!AV28*TA_ti!AV$49*TA_ti!$BF28)</f>
        <v>10000</v>
      </c>
      <c r="AW28" s="4">
        <f>+IF(TA_ti!AW28*TA_ti!AW$49*TA_ti!$BF28=0,10000,TA_ti!AW28*TA_ti!AW$49*TA_ti!$BF28)</f>
        <v>10000</v>
      </c>
      <c r="AX28" s="4">
        <f>+IF(TA_ti!AX28*TA_ti!AX$49*TA_ti!$BF28=0,10000,TA_ti!AX28*TA_ti!AX$49*TA_ti!$BF28)</f>
        <v>10000</v>
      </c>
      <c r="AY28" s="4">
        <f>+IF(TA_ti!AY28*TA_ti!AY$49*TA_ti!$BF28=0,10000,TA_ti!AY28*TA_ti!AY$49*TA_ti!$BF28)</f>
        <v>10000</v>
      </c>
      <c r="AZ28" s="4">
        <f>+IF(TA_ti!AZ28*TA_ti!AZ$49*TA_ti!$BF28=0,10000,TA_ti!AZ28*TA_ti!AZ$49*TA_ti!$BF28)</f>
        <v>10000</v>
      </c>
      <c r="BA28" s="4">
        <f>+IF(TA_ti!BA28*TA_ti!BA$49*TA_ti!$BF28=0,10000,TA_ti!BA28*TA_ti!BA$49*TA_ti!$BF28)</f>
        <v>10000</v>
      </c>
      <c r="BB28" s="4">
        <f>+IF(TA_ti!BB28*TA_ti!BB$49*TA_ti!$BF28=0,10000,TA_ti!BB28*TA_ti!BB$49*TA_ti!$BF28)</f>
        <v>10000</v>
      </c>
      <c r="BC28" s="4">
        <f>+IF(TA_ti!BC28*TA_ti!BC$49*TA_ti!$BF28=0,10000,TA_ti!BC28*TA_ti!BC$49*TA_ti!$BF28)</f>
        <v>10000</v>
      </c>
    </row>
    <row r="29" spans="1:55" ht="18.75" customHeight="1" x14ac:dyDescent="0.25">
      <c r="A29" s="5" t="s">
        <v>80</v>
      </c>
      <c r="B29" s="4">
        <f>+IF(TA_ti!B29*TA_ti!B$49*TA_ti!$BF29=0,10000,TA_ti!B29*TA_ti!B$49*TA_ti!$BF29)</f>
        <v>10000</v>
      </c>
      <c r="C29" s="4">
        <f>+IF(TA_ti!C29*TA_ti!C$49*TA_ti!$BF29=0,10000,TA_ti!C29*TA_ti!C$49*TA_ti!$BF29)</f>
        <v>10000</v>
      </c>
      <c r="D29" s="4">
        <f>+IF(TA_ti!D29*TA_ti!D$49*TA_ti!$BF29=0,10000,TA_ti!D29*TA_ti!D$49*TA_ti!$BF29)</f>
        <v>10000</v>
      </c>
      <c r="E29" s="4">
        <f>+IF(TA_ti!E29*TA_ti!E$49*TA_ti!$BF29=0,10000,TA_ti!E29*TA_ti!E$49*TA_ti!$BF29)</f>
        <v>10000</v>
      </c>
      <c r="F29" s="4">
        <f>+IF(TA_ti!F29*TA_ti!F$49*TA_ti!$BF29=0,10000,TA_ti!F29*TA_ti!F$49*TA_ti!$BF29)</f>
        <v>10000</v>
      </c>
      <c r="G29" s="4">
        <f>+IF(TA_ti!G29*TA_ti!G$49*TA_ti!$BF29=0,10000,TA_ti!G29*TA_ti!G$49*TA_ti!$BF29)</f>
        <v>10000</v>
      </c>
      <c r="H29" s="4">
        <f>+IF(TA_ti!H29*TA_ti!H$49*TA_ti!$BF29=0,10000,TA_ti!H29*TA_ti!H$49*TA_ti!$BF29)</f>
        <v>10000</v>
      </c>
      <c r="I29" s="4">
        <f>+IF(TA_ti!I29*TA_ti!I$49*TA_ti!$BF29=0,10000,TA_ti!I29*TA_ti!I$49*TA_ti!$BF29)</f>
        <v>10000</v>
      </c>
      <c r="J29" s="4">
        <f>+IF(TA_ti!J29*TA_ti!J$49*TA_ti!$BF29=0,10000,TA_ti!J29*TA_ti!J$49*TA_ti!$BF29)</f>
        <v>10000</v>
      </c>
      <c r="K29" s="4">
        <f>+IF(TA_ti!K29*TA_ti!K$49*TA_ti!$BF29=0,10000,TA_ti!K29*TA_ti!K$49*TA_ti!$BF29)</f>
        <v>10000</v>
      </c>
      <c r="L29" s="4">
        <f>+IF(TA_ti!L29*TA_ti!L$49*TA_ti!$BF29=0,10000,TA_ti!L29*TA_ti!L$49*TA_ti!$BF29)</f>
        <v>10000</v>
      </c>
      <c r="M29" s="4">
        <f>+IF(TA_ti!M29*TA_ti!M$49*TA_ti!$BF29=0,10000,TA_ti!M29*TA_ti!M$49*TA_ti!$BF29)</f>
        <v>10000</v>
      </c>
      <c r="N29" s="4">
        <f>+IF(TA_ti!N29*TA_ti!N$49*TA_ti!$BF29=0,10000,TA_ti!N29*TA_ti!N$49*TA_ti!$BF29)</f>
        <v>10000</v>
      </c>
      <c r="O29" s="4">
        <f>+IF(TA_ti!O29*TA_ti!O$49*TA_ti!$BF29=0,10000,TA_ti!O29*TA_ti!O$49*TA_ti!$BF29)</f>
        <v>10000</v>
      </c>
      <c r="P29" s="4">
        <f>+IF(TA_ti!P29*TA_ti!P$49*TA_ti!$BF29=0,10000,TA_ti!P29*TA_ti!P$49*TA_ti!$BF29)</f>
        <v>10000</v>
      </c>
      <c r="Q29" s="4">
        <f>+IF(TA_ti!Q29*TA_ti!Q$49*TA_ti!$BF29=0,10000,TA_ti!Q29*TA_ti!Q$49*TA_ti!$BF29)</f>
        <v>10000</v>
      </c>
      <c r="R29" s="4">
        <f>+IF(TA_ti!R29*TA_ti!R$49*TA_ti!$BF29=0,10000,TA_ti!R29*TA_ti!R$49*TA_ti!$BF29)</f>
        <v>10000</v>
      </c>
      <c r="S29" s="4">
        <f>+IF(TA_ti!S29*TA_ti!S$49*TA_ti!$BF29=0,10000,TA_ti!S29*TA_ti!S$49*TA_ti!$BF29)</f>
        <v>10000</v>
      </c>
      <c r="T29" s="4">
        <f>+IF(TA_ti!T29*TA_ti!T$49*TA_ti!$BF29=0,10000,TA_ti!T29*TA_ti!T$49*TA_ti!$BF29)</f>
        <v>10000</v>
      </c>
      <c r="U29" s="4">
        <f>+IF(TA_ti!U29*TA_ti!U$49*TA_ti!$BF29=0,10000,TA_ti!U29*TA_ti!U$49*TA_ti!$BF29)</f>
        <v>10000</v>
      </c>
      <c r="V29" s="4">
        <f>+IF(TA_ti!V29*TA_ti!V$49*TA_ti!$BF29=0,10000,TA_ti!V29*TA_ti!V$49*TA_ti!$BF29)</f>
        <v>10000</v>
      </c>
      <c r="W29" s="4">
        <f>+IF(TA_ti!W29*TA_ti!W$49*TA_ti!$BF29=0,10000,TA_ti!W29*TA_ti!W$49*TA_ti!$BF29)</f>
        <v>10000</v>
      </c>
      <c r="X29" s="4">
        <f>+IF(TA_ti!X29*TA_ti!X$49*TA_ti!$BF29=0,10000,TA_ti!X29*TA_ti!X$49*TA_ti!$BF29)</f>
        <v>10000</v>
      </c>
      <c r="Y29" s="4">
        <f>+IF(TA_ti!Y29*TA_ti!Y$49*TA_ti!$BF29=0,10000,TA_ti!Y29*TA_ti!Y$49*TA_ti!$BF29)</f>
        <v>10000</v>
      </c>
      <c r="Z29" s="4">
        <f>+IF(TA_ti!Z29*TA_ti!Z$49*TA_ti!$BF29=0,10000,TA_ti!Z29*TA_ti!Z$49*TA_ti!$BF29)</f>
        <v>10000</v>
      </c>
      <c r="AA29" s="4">
        <f>+IF(TA_ti!AA29*TA_ti!AA$49*TA_ti!$BF29=0,10000,TA_ti!AA29*TA_ti!AA$49*TA_ti!$BF29)</f>
        <v>10000</v>
      </c>
      <c r="AB29" s="4">
        <f>+IF(TA_ti!AB29*TA_ti!AB$49*TA_ti!$BF29=0,10000,TA_ti!AB29*TA_ti!AB$49*TA_ti!$BF29)</f>
        <v>10000</v>
      </c>
      <c r="AC29" s="4">
        <f>+IF(TA_ti!AC29*TA_ti!AC$49*TA_ti!$BF29=0,10000,TA_ti!AC29*TA_ti!AC$49*TA_ti!$BF29)</f>
        <v>10000</v>
      </c>
      <c r="AD29" s="4">
        <f>+IF(TA_ti!AD29*TA_ti!AD$49*TA_ti!$BF29=0,10000,TA_ti!AD29*TA_ti!AD$49*TA_ti!$BF29)</f>
        <v>10000</v>
      </c>
      <c r="AE29" s="4">
        <f>+IF(TA_ti!AE29*TA_ti!AE$49*TA_ti!$BF29=0,10000,TA_ti!AE29*TA_ti!AE$49*TA_ti!$BF29)</f>
        <v>10000</v>
      </c>
      <c r="AF29" s="4">
        <f>+IF(TA_ti!AF29*TA_ti!AF$49*TA_ti!$BF29=0,10000,TA_ti!AF29*TA_ti!AF$49*TA_ti!$BF29)</f>
        <v>10000</v>
      </c>
      <c r="AG29" s="4">
        <f>+IF(TA_ti!AG29*TA_ti!AG$49*TA_ti!$BF29=0,10000,TA_ti!AG29*TA_ti!AG$49*TA_ti!$BF29)</f>
        <v>10000</v>
      </c>
      <c r="AH29" s="4">
        <f>+IF(TA_ti!AH29*TA_ti!AH$49*TA_ti!$BF29=0,10000,TA_ti!AH29*TA_ti!AH$49*TA_ti!$BF29)</f>
        <v>10000</v>
      </c>
      <c r="AI29" s="4">
        <f>+IF(TA_ti!AI29*TA_ti!AI$49*TA_ti!$BF29=0,10000,TA_ti!AI29*TA_ti!AI$49*TA_ti!$BF29)</f>
        <v>10000</v>
      </c>
      <c r="AJ29" s="4">
        <f>+IF(TA_ti!AJ29*TA_ti!AJ$49*TA_ti!$BF29=0,10000,TA_ti!AJ29*TA_ti!AJ$49*TA_ti!$BF29)</f>
        <v>10000</v>
      </c>
      <c r="AK29" s="4">
        <f>+IF(TA_ti!AK29*TA_ti!AK$49*TA_ti!$BF29=0,10000,TA_ti!AK29*TA_ti!AK$49*TA_ti!$BF29)</f>
        <v>10000</v>
      </c>
      <c r="AL29" s="4">
        <f>+IF(TA_ti!AL29*TA_ti!AL$49*TA_ti!$BF29=0,10000,TA_ti!AL29*TA_ti!AL$49*TA_ti!$BF29)</f>
        <v>10000</v>
      </c>
      <c r="AM29" s="4">
        <f>+IF(TA_ti!AM29*TA_ti!AM$49*TA_ti!$BF29=0,10000,TA_ti!AM29*TA_ti!AM$49*TA_ti!$BF29)</f>
        <v>10000</v>
      </c>
      <c r="AN29" s="4">
        <f>+IF(TA_ti!AN29*TA_ti!AN$49*TA_ti!$BF29=0,10000,TA_ti!AN29*TA_ti!AN$49*TA_ti!$BF29)</f>
        <v>10000</v>
      </c>
      <c r="AO29" s="4">
        <f>+IF(TA_ti!AO29*TA_ti!AO$49*TA_ti!$BF29=0,10000,TA_ti!AO29*TA_ti!AO$49*TA_ti!$BF29)</f>
        <v>10000</v>
      </c>
      <c r="AP29" s="4">
        <f>+IF(TA_ti!AP29*TA_ti!AP$49*TA_ti!$BF29=0,10000,TA_ti!AP29*TA_ti!AP$49*TA_ti!$BF29)</f>
        <v>10000</v>
      </c>
      <c r="AQ29" s="4">
        <f>+IF(TA_ti!AQ29*TA_ti!AQ$49*TA_ti!$BF29=0,10000,TA_ti!AQ29*TA_ti!AQ$49*TA_ti!$BF29)</f>
        <v>10000</v>
      </c>
      <c r="AR29" s="4">
        <f>+IF(TA_ti!AR29*TA_ti!AR$49*TA_ti!$BF29=0,10000,TA_ti!AR29*TA_ti!AR$49*TA_ti!$BF29)</f>
        <v>10000</v>
      </c>
      <c r="AS29" s="4">
        <f>+IF(TA_ti!AS29*TA_ti!AS$49*TA_ti!$BF29=0,10000,TA_ti!AS29*TA_ti!AS$49*TA_ti!$BF29)</f>
        <v>10000</v>
      </c>
      <c r="AT29" s="4">
        <f>+IF(TA_ti!AT29*TA_ti!AT$49*TA_ti!$BF29=0,10000,TA_ti!AT29*TA_ti!AT$49*TA_ti!$BF29)</f>
        <v>10000</v>
      </c>
      <c r="AU29" s="4">
        <f>+IF(TA_ti!AU29*TA_ti!AU$49*TA_ti!$BF29=0,10000,TA_ti!AU29*TA_ti!AU$49*TA_ti!$BF29)</f>
        <v>10000</v>
      </c>
      <c r="AV29" s="4">
        <f>+IF(TA_ti!AV29*TA_ti!AV$49*TA_ti!$BF29=0,10000,TA_ti!AV29*TA_ti!AV$49*TA_ti!$BF29)</f>
        <v>10000</v>
      </c>
      <c r="AW29" s="4">
        <f>+IF(TA_ti!AW29*TA_ti!AW$49*TA_ti!$BF29=0,10000,TA_ti!AW29*TA_ti!AW$49*TA_ti!$BF29)</f>
        <v>10000</v>
      </c>
      <c r="AX29" s="4">
        <f>+IF(TA_ti!AX29*TA_ti!AX$49*TA_ti!$BF29=0,10000,TA_ti!AX29*TA_ti!AX$49*TA_ti!$BF29)</f>
        <v>10000</v>
      </c>
      <c r="AY29" s="4">
        <f>+IF(TA_ti!AY29*TA_ti!AY$49*TA_ti!$BF29=0,10000,TA_ti!AY29*TA_ti!AY$49*TA_ti!$BF29)</f>
        <v>10000</v>
      </c>
      <c r="AZ29" s="4">
        <f>+IF(TA_ti!AZ29*TA_ti!AZ$49*TA_ti!$BF29=0,10000,TA_ti!AZ29*TA_ti!AZ$49*TA_ti!$BF29)</f>
        <v>10000</v>
      </c>
      <c r="BA29" s="4">
        <f>+IF(TA_ti!BA29*TA_ti!BA$49*TA_ti!$BF29=0,10000,TA_ti!BA29*TA_ti!BA$49*TA_ti!$BF29)</f>
        <v>10000</v>
      </c>
      <c r="BB29" s="4">
        <f>+IF(TA_ti!BB29*TA_ti!BB$49*TA_ti!$BF29=0,10000,TA_ti!BB29*TA_ti!BB$49*TA_ti!$BF29)</f>
        <v>10000</v>
      </c>
      <c r="BC29" s="4">
        <f>+IF(TA_ti!BC29*TA_ti!BC$49*TA_ti!$BF29=0,10000,TA_ti!BC29*TA_ti!BC$49*TA_ti!$BF29)</f>
        <v>10000</v>
      </c>
    </row>
    <row r="30" spans="1:55" ht="18.75" customHeight="1" x14ac:dyDescent="0.25">
      <c r="A30" s="5" t="s">
        <v>81</v>
      </c>
      <c r="B30" s="4">
        <f>+IF(TA_ti!B30*TA_ti!B$49*TA_ti!$BF30=0,10000,TA_ti!B30*TA_ti!B$49*TA_ti!$BF30)</f>
        <v>10000</v>
      </c>
      <c r="C30" s="4">
        <f>+IF(TA_ti!C30*TA_ti!C$49*TA_ti!$BF30=0,10000,TA_ti!C30*TA_ti!C$49*TA_ti!$BF30)</f>
        <v>10000</v>
      </c>
      <c r="D30" s="4">
        <f>+IF(TA_ti!D30*TA_ti!D$49*TA_ti!$BF30=0,10000,TA_ti!D30*TA_ti!D$49*TA_ti!$BF30)</f>
        <v>10000</v>
      </c>
      <c r="E30" s="4">
        <f>+IF(TA_ti!E30*TA_ti!E$49*TA_ti!$BF30=0,10000,TA_ti!E30*TA_ti!E$49*TA_ti!$BF30)</f>
        <v>10000</v>
      </c>
      <c r="F30" s="4">
        <f>+IF(TA_ti!F30*TA_ti!F$49*TA_ti!$BF30=0,10000,TA_ti!F30*TA_ti!F$49*TA_ti!$BF30)</f>
        <v>10000</v>
      </c>
      <c r="G30" s="4">
        <f>+IF(TA_ti!G30*TA_ti!G$49*TA_ti!$BF30=0,10000,TA_ti!G30*TA_ti!G$49*TA_ti!$BF30)</f>
        <v>10000</v>
      </c>
      <c r="H30" s="4">
        <f>+IF(TA_ti!H30*TA_ti!H$49*TA_ti!$BF30=0,10000,TA_ti!H30*TA_ti!H$49*TA_ti!$BF30)</f>
        <v>10000</v>
      </c>
      <c r="I30" s="4">
        <f>+IF(TA_ti!I30*TA_ti!I$49*TA_ti!$BF30=0,10000,TA_ti!I30*TA_ti!I$49*TA_ti!$BF30)</f>
        <v>10000</v>
      </c>
      <c r="J30" s="4">
        <f>+IF(TA_ti!J30*TA_ti!J$49*TA_ti!$BF30=0,10000,TA_ti!J30*TA_ti!J$49*TA_ti!$BF30)</f>
        <v>10000</v>
      </c>
      <c r="K30" s="4">
        <f>+IF(TA_ti!K30*TA_ti!K$49*TA_ti!$BF30=0,10000,TA_ti!K30*TA_ti!K$49*TA_ti!$BF30)</f>
        <v>10000</v>
      </c>
      <c r="L30" s="4">
        <f>+IF(TA_ti!L30*TA_ti!L$49*TA_ti!$BF30=0,10000,TA_ti!L30*TA_ti!L$49*TA_ti!$BF30)</f>
        <v>10000</v>
      </c>
      <c r="M30" s="4">
        <f>+IF(TA_ti!M30*TA_ti!M$49*TA_ti!$BF30=0,10000,TA_ti!M30*TA_ti!M$49*TA_ti!$BF30)</f>
        <v>10000</v>
      </c>
      <c r="N30" s="4">
        <f>+IF(TA_ti!N30*TA_ti!N$49*TA_ti!$BF30=0,10000,TA_ti!N30*TA_ti!N$49*TA_ti!$BF30)</f>
        <v>10000</v>
      </c>
      <c r="O30" s="4">
        <f>+IF(TA_ti!O30*TA_ti!O$49*TA_ti!$BF30=0,10000,TA_ti!O30*TA_ti!O$49*TA_ti!$BF30)</f>
        <v>10000</v>
      </c>
      <c r="P30" s="4">
        <f>+IF(TA_ti!P30*TA_ti!P$49*TA_ti!$BF30=0,10000,TA_ti!P30*TA_ti!P$49*TA_ti!$BF30)</f>
        <v>10000</v>
      </c>
      <c r="Q30" s="4">
        <f>+IF(TA_ti!Q30*TA_ti!Q$49*TA_ti!$BF30=0,10000,TA_ti!Q30*TA_ti!Q$49*TA_ti!$BF30)</f>
        <v>10000</v>
      </c>
      <c r="R30" s="4">
        <f>+IF(TA_ti!R30*TA_ti!R$49*TA_ti!$BF30=0,10000,TA_ti!R30*TA_ti!R$49*TA_ti!$BF30)</f>
        <v>10000</v>
      </c>
      <c r="S30" s="4">
        <f>+IF(TA_ti!S30*TA_ti!S$49*TA_ti!$BF30=0,10000,TA_ti!S30*TA_ti!S$49*TA_ti!$BF30)</f>
        <v>10000</v>
      </c>
      <c r="T30" s="4">
        <f>+IF(TA_ti!T30*TA_ti!T$49*TA_ti!$BF30=0,10000,TA_ti!T30*TA_ti!T$49*TA_ti!$BF30)</f>
        <v>10000</v>
      </c>
      <c r="U30" s="4">
        <f>+IF(TA_ti!U30*TA_ti!U$49*TA_ti!$BF30=0,10000,TA_ti!U30*TA_ti!U$49*TA_ti!$BF30)</f>
        <v>10000</v>
      </c>
      <c r="V30" s="4">
        <f>+IF(TA_ti!V30*TA_ti!V$49*TA_ti!$BF30=0,10000,TA_ti!V30*TA_ti!V$49*TA_ti!$BF30)</f>
        <v>10000</v>
      </c>
      <c r="W30" s="4">
        <f>+IF(TA_ti!W30*TA_ti!W$49*TA_ti!$BF30=0,10000,TA_ti!W30*TA_ti!W$49*TA_ti!$BF30)</f>
        <v>10000</v>
      </c>
      <c r="X30" s="4">
        <f>+IF(TA_ti!X30*TA_ti!X$49*TA_ti!$BF30=0,10000,TA_ti!X30*TA_ti!X$49*TA_ti!$BF30)</f>
        <v>10000</v>
      </c>
      <c r="Y30" s="4">
        <f>+IF(TA_ti!Y30*TA_ti!Y$49*TA_ti!$BF30=0,10000,TA_ti!Y30*TA_ti!Y$49*TA_ti!$BF30)</f>
        <v>10000</v>
      </c>
      <c r="Z30" s="4">
        <f>+IF(TA_ti!Z30*TA_ti!Z$49*TA_ti!$BF30=0,10000,TA_ti!Z30*TA_ti!Z$49*TA_ti!$BF30)</f>
        <v>10000</v>
      </c>
      <c r="AA30" s="4">
        <f>+IF(TA_ti!AA30*TA_ti!AA$49*TA_ti!$BF30=0,10000,TA_ti!AA30*TA_ti!AA$49*TA_ti!$BF30)</f>
        <v>10000</v>
      </c>
      <c r="AB30" s="4">
        <f>+IF(TA_ti!AB30*TA_ti!AB$49*TA_ti!$BF30=0,10000,TA_ti!AB30*TA_ti!AB$49*TA_ti!$BF30)</f>
        <v>10000</v>
      </c>
      <c r="AC30" s="4">
        <f>+IF(TA_ti!AC30*TA_ti!AC$49*TA_ti!$BF30=0,10000,TA_ti!AC30*TA_ti!AC$49*TA_ti!$BF30)</f>
        <v>10000</v>
      </c>
      <c r="AD30" s="4">
        <f>+IF(TA_ti!AD30*TA_ti!AD$49*TA_ti!$BF30=0,10000,TA_ti!AD30*TA_ti!AD$49*TA_ti!$BF30)</f>
        <v>10000</v>
      </c>
      <c r="AE30" s="4">
        <f>+IF(TA_ti!AE30*TA_ti!AE$49*TA_ti!$BF30=0,10000,TA_ti!AE30*TA_ti!AE$49*TA_ti!$BF30)</f>
        <v>10000</v>
      </c>
      <c r="AF30" s="4">
        <f>+IF(TA_ti!AF30*TA_ti!AF$49*TA_ti!$BF30=0,10000,TA_ti!AF30*TA_ti!AF$49*TA_ti!$BF30)</f>
        <v>10000</v>
      </c>
      <c r="AG30" s="4">
        <f>+IF(TA_ti!AG30*TA_ti!AG$49*TA_ti!$BF30=0,10000,TA_ti!AG30*TA_ti!AG$49*TA_ti!$BF30)</f>
        <v>10000</v>
      </c>
      <c r="AH30" s="4">
        <f>+IF(TA_ti!AH30*TA_ti!AH$49*TA_ti!$BF30=0,10000,TA_ti!AH30*TA_ti!AH$49*TA_ti!$BF30)</f>
        <v>10000</v>
      </c>
      <c r="AI30" s="4">
        <f>+IF(TA_ti!AI30*TA_ti!AI$49*TA_ti!$BF30=0,10000,TA_ti!AI30*TA_ti!AI$49*TA_ti!$BF30)</f>
        <v>10000</v>
      </c>
      <c r="AJ30" s="4">
        <f>+IF(TA_ti!AJ30*TA_ti!AJ$49*TA_ti!$BF30=0,10000,TA_ti!AJ30*TA_ti!AJ$49*TA_ti!$BF30)</f>
        <v>10000</v>
      </c>
      <c r="AK30" s="4">
        <f>+IF(TA_ti!AK30*TA_ti!AK$49*TA_ti!$BF30=0,10000,TA_ti!AK30*TA_ti!AK$49*TA_ti!$BF30)</f>
        <v>10000</v>
      </c>
      <c r="AL30" s="4">
        <f>+IF(TA_ti!AL30*TA_ti!AL$49*TA_ti!$BF30=0,10000,TA_ti!AL30*TA_ti!AL$49*TA_ti!$BF30)</f>
        <v>10000</v>
      </c>
      <c r="AM30" s="4">
        <f>+IF(TA_ti!AM30*TA_ti!AM$49*TA_ti!$BF30=0,10000,TA_ti!AM30*TA_ti!AM$49*TA_ti!$BF30)</f>
        <v>10000</v>
      </c>
      <c r="AN30" s="4">
        <f>+IF(TA_ti!AN30*TA_ti!AN$49*TA_ti!$BF30=0,10000,TA_ti!AN30*TA_ti!AN$49*TA_ti!$BF30)</f>
        <v>10000</v>
      </c>
      <c r="AO30" s="4">
        <f>+IF(TA_ti!AO30*TA_ti!AO$49*TA_ti!$BF30=0,10000,TA_ti!AO30*TA_ti!AO$49*TA_ti!$BF30)</f>
        <v>10000</v>
      </c>
      <c r="AP30" s="4">
        <f>+IF(TA_ti!AP30*TA_ti!AP$49*TA_ti!$BF30=0,10000,TA_ti!AP30*TA_ti!AP$49*TA_ti!$BF30)</f>
        <v>10000</v>
      </c>
      <c r="AQ30" s="4">
        <f>+IF(TA_ti!AQ30*TA_ti!AQ$49*TA_ti!$BF30=0,10000,TA_ti!AQ30*TA_ti!AQ$49*TA_ti!$BF30)</f>
        <v>10000</v>
      </c>
      <c r="AR30" s="4">
        <f>+IF(TA_ti!AR30*TA_ti!AR$49*TA_ti!$BF30=0,10000,TA_ti!AR30*TA_ti!AR$49*TA_ti!$BF30)</f>
        <v>10000</v>
      </c>
      <c r="AS30" s="4">
        <f>+IF(TA_ti!AS30*TA_ti!AS$49*TA_ti!$BF30=0,10000,TA_ti!AS30*TA_ti!AS$49*TA_ti!$BF30)</f>
        <v>10000</v>
      </c>
      <c r="AT30" s="4">
        <f>+IF(TA_ti!AT30*TA_ti!AT$49*TA_ti!$BF30=0,10000,TA_ti!AT30*TA_ti!AT$49*TA_ti!$BF30)</f>
        <v>10000</v>
      </c>
      <c r="AU30" s="4">
        <f>+IF(TA_ti!AU30*TA_ti!AU$49*TA_ti!$BF30=0,10000,TA_ti!AU30*TA_ti!AU$49*TA_ti!$BF30)</f>
        <v>10000</v>
      </c>
      <c r="AV30" s="4">
        <f>+IF(TA_ti!AV30*TA_ti!AV$49*TA_ti!$BF30=0,10000,TA_ti!AV30*TA_ti!AV$49*TA_ti!$BF30)</f>
        <v>10000</v>
      </c>
      <c r="AW30" s="4">
        <f>+IF(TA_ti!AW30*TA_ti!AW$49*TA_ti!$BF30=0,10000,TA_ti!AW30*TA_ti!AW$49*TA_ti!$BF30)</f>
        <v>10000</v>
      </c>
      <c r="AX30" s="4">
        <f>+IF(TA_ti!AX30*TA_ti!AX$49*TA_ti!$BF30=0,10000,TA_ti!AX30*TA_ti!AX$49*TA_ti!$BF30)</f>
        <v>10000</v>
      </c>
      <c r="AY30" s="4">
        <f>+IF(TA_ti!AY30*TA_ti!AY$49*TA_ti!$BF30=0,10000,TA_ti!AY30*TA_ti!AY$49*TA_ti!$BF30)</f>
        <v>10000</v>
      </c>
      <c r="AZ30" s="4">
        <f>+IF(TA_ti!AZ30*TA_ti!AZ$49*TA_ti!$BF30=0,10000,TA_ti!AZ30*TA_ti!AZ$49*TA_ti!$BF30)</f>
        <v>10000</v>
      </c>
      <c r="BA30" s="4">
        <f>+IF(TA_ti!BA30*TA_ti!BA$49*TA_ti!$BF30=0,10000,TA_ti!BA30*TA_ti!BA$49*TA_ti!$BF30)</f>
        <v>10000</v>
      </c>
      <c r="BB30" s="4">
        <f>+IF(TA_ti!BB30*TA_ti!BB$49*TA_ti!$BF30=0,10000,TA_ti!BB30*TA_ti!BB$49*TA_ti!$BF30)</f>
        <v>10000</v>
      </c>
      <c r="BC30" s="4">
        <f>+IF(TA_ti!BC30*TA_ti!BC$49*TA_ti!$BF30=0,10000,TA_ti!BC30*TA_ti!BC$49*TA_ti!$BF30)</f>
        <v>10000</v>
      </c>
    </row>
    <row r="31" spans="1:55" ht="18.75" customHeight="1" x14ac:dyDescent="0.25">
      <c r="A31" s="5" t="s">
        <v>82</v>
      </c>
      <c r="B31" s="4">
        <f>+IF(TA_ti!B31*TA_ti!B$49*TA_ti!$BF31=0,10000,TA_ti!B31*TA_ti!B$49*TA_ti!$BF31)</f>
        <v>10000</v>
      </c>
      <c r="C31" s="4">
        <f>+IF(TA_ti!C31*TA_ti!C$49*TA_ti!$BF31=0,10000,TA_ti!C31*TA_ti!C$49*TA_ti!$BF31)</f>
        <v>10000</v>
      </c>
      <c r="D31" s="4">
        <f>+IF(TA_ti!D31*TA_ti!D$49*TA_ti!$BF31=0,10000,TA_ti!D31*TA_ti!D$49*TA_ti!$BF31)</f>
        <v>10000</v>
      </c>
      <c r="E31" s="4">
        <f>+IF(TA_ti!E31*TA_ti!E$49*TA_ti!$BF31=0,10000,TA_ti!E31*TA_ti!E$49*TA_ti!$BF31)</f>
        <v>10000</v>
      </c>
      <c r="F31" s="4">
        <f>+IF(TA_ti!F31*TA_ti!F$49*TA_ti!$BF31=0,10000,TA_ti!F31*TA_ti!F$49*TA_ti!$BF31)</f>
        <v>10000</v>
      </c>
      <c r="G31" s="4">
        <f>+IF(TA_ti!G31*TA_ti!G$49*TA_ti!$BF31=0,10000,TA_ti!G31*TA_ti!G$49*TA_ti!$BF31)</f>
        <v>10000</v>
      </c>
      <c r="H31" s="4">
        <f>+IF(TA_ti!H31*TA_ti!H$49*TA_ti!$BF31=0,10000,TA_ti!H31*TA_ti!H$49*TA_ti!$BF31)</f>
        <v>10000</v>
      </c>
      <c r="I31" s="4">
        <f>+IF(TA_ti!I31*TA_ti!I$49*TA_ti!$BF31=0,10000,TA_ti!I31*TA_ti!I$49*TA_ti!$BF31)</f>
        <v>10000</v>
      </c>
      <c r="J31" s="4">
        <f>+IF(TA_ti!J31*TA_ti!J$49*TA_ti!$BF31=0,10000,TA_ti!J31*TA_ti!J$49*TA_ti!$BF31)</f>
        <v>10000</v>
      </c>
      <c r="K31" s="4">
        <f>+IF(TA_ti!K31*TA_ti!K$49*TA_ti!$BF31=0,10000,TA_ti!K31*TA_ti!K$49*TA_ti!$BF31)</f>
        <v>10000</v>
      </c>
      <c r="L31" s="4">
        <f>+IF(TA_ti!L31*TA_ti!L$49*TA_ti!$BF31=0,10000,TA_ti!L31*TA_ti!L$49*TA_ti!$BF31)</f>
        <v>10000</v>
      </c>
      <c r="M31" s="4">
        <f>+IF(TA_ti!M31*TA_ti!M$49*TA_ti!$BF31=0,10000,TA_ti!M31*TA_ti!M$49*TA_ti!$BF31)</f>
        <v>10000</v>
      </c>
      <c r="N31" s="4">
        <f>+IF(TA_ti!N31*TA_ti!N$49*TA_ti!$BF31=0,10000,TA_ti!N31*TA_ti!N$49*TA_ti!$BF31)</f>
        <v>10000</v>
      </c>
      <c r="O31" s="4">
        <f>+IF(TA_ti!O31*TA_ti!O$49*TA_ti!$BF31=0,10000,TA_ti!O31*TA_ti!O$49*TA_ti!$BF31)</f>
        <v>10000</v>
      </c>
      <c r="P31" s="4">
        <f>+IF(TA_ti!P31*TA_ti!P$49*TA_ti!$BF31=0,10000,TA_ti!P31*TA_ti!P$49*TA_ti!$BF31)</f>
        <v>10000</v>
      </c>
      <c r="Q31" s="4">
        <f>+IF(TA_ti!Q31*TA_ti!Q$49*TA_ti!$BF31=0,10000,TA_ti!Q31*TA_ti!Q$49*TA_ti!$BF31)</f>
        <v>10000</v>
      </c>
      <c r="R31" s="4">
        <f>+IF(TA_ti!R31*TA_ti!R$49*TA_ti!$BF31=0,10000,TA_ti!R31*TA_ti!R$49*TA_ti!$BF31)</f>
        <v>10000</v>
      </c>
      <c r="S31" s="4">
        <f>+IF(TA_ti!S31*TA_ti!S$49*TA_ti!$BF31=0,10000,TA_ti!S31*TA_ti!S$49*TA_ti!$BF31)</f>
        <v>10000</v>
      </c>
      <c r="T31" s="4">
        <f>+IF(TA_ti!T31*TA_ti!T$49*TA_ti!$BF31=0,10000,TA_ti!T31*TA_ti!T$49*TA_ti!$BF31)</f>
        <v>10000</v>
      </c>
      <c r="U31" s="4">
        <f>+IF(TA_ti!U31*TA_ti!U$49*TA_ti!$BF31=0,10000,TA_ti!U31*TA_ti!U$49*TA_ti!$BF31)</f>
        <v>10000</v>
      </c>
      <c r="V31" s="4">
        <f>+IF(TA_ti!V31*TA_ti!V$49*TA_ti!$BF31=0,10000,TA_ti!V31*TA_ti!V$49*TA_ti!$BF31)</f>
        <v>10000</v>
      </c>
      <c r="W31" s="4">
        <f>+IF(TA_ti!W31*TA_ti!W$49*TA_ti!$BF31=0,10000,TA_ti!W31*TA_ti!W$49*TA_ti!$BF31)</f>
        <v>10000</v>
      </c>
      <c r="X31" s="4">
        <f>+IF(TA_ti!X31*TA_ti!X$49*TA_ti!$BF31=0,10000,TA_ti!X31*TA_ti!X$49*TA_ti!$BF31)</f>
        <v>10000</v>
      </c>
      <c r="Y31" s="4">
        <f>+IF(TA_ti!Y31*TA_ti!Y$49*TA_ti!$BF31=0,10000,TA_ti!Y31*TA_ti!Y$49*TA_ti!$BF31)</f>
        <v>10000</v>
      </c>
      <c r="Z31" s="4">
        <f>+IF(TA_ti!Z31*TA_ti!Z$49*TA_ti!$BF31=0,10000,TA_ti!Z31*TA_ti!Z$49*TA_ti!$BF31)</f>
        <v>10000</v>
      </c>
      <c r="AA31" s="4">
        <f>+IF(TA_ti!AA31*TA_ti!AA$49*TA_ti!$BF31=0,10000,TA_ti!AA31*TA_ti!AA$49*TA_ti!$BF31)</f>
        <v>10000</v>
      </c>
      <c r="AB31" s="4">
        <f>+IF(TA_ti!AB31*TA_ti!AB$49*TA_ti!$BF31=0,10000,TA_ti!AB31*TA_ti!AB$49*TA_ti!$BF31)</f>
        <v>10000</v>
      </c>
      <c r="AC31" s="4">
        <f>+IF(TA_ti!AC31*TA_ti!AC$49*TA_ti!$BF31=0,10000,TA_ti!AC31*TA_ti!AC$49*TA_ti!$BF31)</f>
        <v>10000</v>
      </c>
      <c r="AD31" s="4">
        <f>+IF(TA_ti!AD31*TA_ti!AD$49*TA_ti!$BF31=0,10000,TA_ti!AD31*TA_ti!AD$49*TA_ti!$BF31)</f>
        <v>10000</v>
      </c>
      <c r="AE31" s="4">
        <f>+IF(TA_ti!AE31*TA_ti!AE$49*TA_ti!$BF31=0,10000,TA_ti!AE31*TA_ti!AE$49*TA_ti!$BF31)</f>
        <v>10000</v>
      </c>
      <c r="AF31" s="4">
        <f>+IF(TA_ti!AF31*TA_ti!AF$49*TA_ti!$BF31=0,10000,TA_ti!AF31*TA_ti!AF$49*TA_ti!$BF31)</f>
        <v>10000</v>
      </c>
      <c r="AG31" s="4">
        <f>+IF(TA_ti!AG31*TA_ti!AG$49*TA_ti!$BF31=0,10000,TA_ti!AG31*TA_ti!AG$49*TA_ti!$BF31)</f>
        <v>10000</v>
      </c>
      <c r="AH31" s="4">
        <f>+IF(TA_ti!AH31*TA_ti!AH$49*TA_ti!$BF31=0,10000,TA_ti!AH31*TA_ti!AH$49*TA_ti!$BF31)</f>
        <v>10000</v>
      </c>
      <c r="AI31" s="4">
        <f>+IF(TA_ti!AI31*TA_ti!AI$49*TA_ti!$BF31=0,10000,TA_ti!AI31*TA_ti!AI$49*TA_ti!$BF31)</f>
        <v>10000</v>
      </c>
      <c r="AJ31" s="4">
        <f>+IF(TA_ti!AJ31*TA_ti!AJ$49*TA_ti!$BF31=0,10000,TA_ti!AJ31*TA_ti!AJ$49*TA_ti!$BF31)</f>
        <v>10000</v>
      </c>
      <c r="AK31" s="4">
        <f>+IF(TA_ti!AK31*TA_ti!AK$49*TA_ti!$BF31=0,10000,TA_ti!AK31*TA_ti!AK$49*TA_ti!$BF31)</f>
        <v>10000</v>
      </c>
      <c r="AL31" s="4">
        <f>+IF(TA_ti!AL31*TA_ti!AL$49*TA_ti!$BF31=0,10000,TA_ti!AL31*TA_ti!AL$49*TA_ti!$BF31)</f>
        <v>10000</v>
      </c>
      <c r="AM31" s="4">
        <f>+IF(TA_ti!AM31*TA_ti!AM$49*TA_ti!$BF31=0,10000,TA_ti!AM31*TA_ti!AM$49*TA_ti!$BF31)</f>
        <v>10000</v>
      </c>
      <c r="AN31" s="4">
        <f>+IF(TA_ti!AN31*TA_ti!AN$49*TA_ti!$BF31=0,10000,TA_ti!AN31*TA_ti!AN$49*TA_ti!$BF31)</f>
        <v>10000</v>
      </c>
      <c r="AO31" s="4">
        <f>+IF(TA_ti!AO31*TA_ti!AO$49*TA_ti!$BF31=0,10000,TA_ti!AO31*TA_ti!AO$49*TA_ti!$BF31)</f>
        <v>10000</v>
      </c>
      <c r="AP31" s="4">
        <f>+IF(TA_ti!AP31*TA_ti!AP$49*TA_ti!$BF31=0,10000,TA_ti!AP31*TA_ti!AP$49*TA_ti!$BF31)</f>
        <v>10000</v>
      </c>
      <c r="AQ31" s="4">
        <f>+IF(TA_ti!AQ31*TA_ti!AQ$49*TA_ti!$BF31=0,10000,TA_ti!AQ31*TA_ti!AQ$49*TA_ti!$BF31)</f>
        <v>10000</v>
      </c>
      <c r="AR31" s="4">
        <f>+IF(TA_ti!AR31*TA_ti!AR$49*TA_ti!$BF31=0,10000,TA_ti!AR31*TA_ti!AR$49*TA_ti!$BF31)</f>
        <v>10000</v>
      </c>
      <c r="AS31" s="4">
        <f>+IF(TA_ti!AS31*TA_ti!AS$49*TA_ti!$BF31=0,10000,TA_ti!AS31*TA_ti!AS$49*TA_ti!$BF31)</f>
        <v>10000</v>
      </c>
      <c r="AT31" s="4">
        <f>+IF(TA_ti!AT31*TA_ti!AT$49*TA_ti!$BF31=0,10000,TA_ti!AT31*TA_ti!AT$49*TA_ti!$BF31)</f>
        <v>10000</v>
      </c>
      <c r="AU31" s="4">
        <f>+IF(TA_ti!AU31*TA_ti!AU$49*TA_ti!$BF31=0,10000,TA_ti!AU31*TA_ti!AU$49*TA_ti!$BF31)</f>
        <v>10000</v>
      </c>
      <c r="AV31" s="4">
        <f>+IF(TA_ti!AV31*TA_ti!AV$49*TA_ti!$BF31=0,10000,TA_ti!AV31*TA_ti!AV$49*TA_ti!$BF31)</f>
        <v>10000</v>
      </c>
      <c r="AW31" s="4">
        <f>+IF(TA_ti!AW31*TA_ti!AW$49*TA_ti!$BF31=0,10000,TA_ti!AW31*TA_ti!AW$49*TA_ti!$BF31)</f>
        <v>10000</v>
      </c>
      <c r="AX31" s="4">
        <f>+IF(TA_ti!AX31*TA_ti!AX$49*TA_ti!$BF31=0,10000,TA_ti!AX31*TA_ti!AX$49*TA_ti!$BF31)</f>
        <v>10000</v>
      </c>
      <c r="AY31" s="4">
        <f>+IF(TA_ti!AY31*TA_ti!AY$49*TA_ti!$BF31=0,10000,TA_ti!AY31*TA_ti!AY$49*TA_ti!$BF31)</f>
        <v>10000</v>
      </c>
      <c r="AZ31" s="4">
        <f>+IF(TA_ti!AZ31*TA_ti!AZ$49*TA_ti!$BF31=0,10000,TA_ti!AZ31*TA_ti!AZ$49*TA_ti!$BF31)</f>
        <v>10000</v>
      </c>
      <c r="BA31" s="4">
        <f>+IF(TA_ti!BA31*TA_ti!BA$49*TA_ti!$BF31=0,10000,TA_ti!BA31*TA_ti!BA$49*TA_ti!$BF31)</f>
        <v>10000</v>
      </c>
      <c r="BB31" s="4">
        <f>+IF(TA_ti!BB31*TA_ti!BB$49*TA_ti!$BF31=0,10000,TA_ti!BB31*TA_ti!BB$49*TA_ti!$BF31)</f>
        <v>10000</v>
      </c>
      <c r="BC31" s="4">
        <f>+IF(TA_ti!BC31*TA_ti!BC$49*TA_ti!$BF31=0,10000,TA_ti!BC31*TA_ti!BC$49*TA_ti!$BF31)</f>
        <v>10000</v>
      </c>
    </row>
    <row r="32" spans="1:55" ht="18.75" customHeight="1" x14ac:dyDescent="0.25">
      <c r="A32" s="5" t="s">
        <v>83</v>
      </c>
      <c r="B32" s="4">
        <f>+IF(TA_ti!B32*TA_ti!B$49*TA_ti!$BF32=0,10000,TA_ti!B32*TA_ti!B$49*TA_ti!$BF32)</f>
        <v>10000</v>
      </c>
      <c r="C32" s="4">
        <f>+IF(TA_ti!C32*TA_ti!C$49*TA_ti!$BF32=0,10000,TA_ti!C32*TA_ti!C$49*TA_ti!$BF32)</f>
        <v>10000</v>
      </c>
      <c r="D32" s="4">
        <f>+IF(TA_ti!D32*TA_ti!D$49*TA_ti!$BF32=0,10000,TA_ti!D32*TA_ti!D$49*TA_ti!$BF32)</f>
        <v>10000</v>
      </c>
      <c r="E32" s="4">
        <f>+IF(TA_ti!E32*TA_ti!E$49*TA_ti!$BF32=0,10000,TA_ti!E32*TA_ti!E$49*TA_ti!$BF32)</f>
        <v>10000</v>
      </c>
      <c r="F32" s="4">
        <f>+IF(TA_ti!F32*TA_ti!F$49*TA_ti!$BF32=0,10000,TA_ti!F32*TA_ti!F$49*TA_ti!$BF32)</f>
        <v>10000</v>
      </c>
      <c r="G32" s="4">
        <f>+IF(TA_ti!G32*TA_ti!G$49*TA_ti!$BF32=0,10000,TA_ti!G32*TA_ti!G$49*TA_ti!$BF32)</f>
        <v>10000</v>
      </c>
      <c r="H32" s="4">
        <f>+IF(TA_ti!H32*TA_ti!H$49*TA_ti!$BF32=0,10000,TA_ti!H32*TA_ti!H$49*TA_ti!$BF32)</f>
        <v>10000</v>
      </c>
      <c r="I32" s="4">
        <f>+IF(TA_ti!I32*TA_ti!I$49*TA_ti!$BF32=0,10000,TA_ti!I32*TA_ti!I$49*TA_ti!$BF32)</f>
        <v>10000</v>
      </c>
      <c r="J32" s="4">
        <f>+IF(TA_ti!J32*TA_ti!J$49*TA_ti!$BF32=0,10000,TA_ti!J32*TA_ti!J$49*TA_ti!$BF32)</f>
        <v>10000</v>
      </c>
      <c r="K32" s="4">
        <f>+IF(TA_ti!K32*TA_ti!K$49*TA_ti!$BF32=0,10000,TA_ti!K32*TA_ti!K$49*TA_ti!$BF32)</f>
        <v>10000</v>
      </c>
      <c r="L32" s="4">
        <f>+IF(TA_ti!L32*TA_ti!L$49*TA_ti!$BF32=0,10000,TA_ti!L32*TA_ti!L$49*TA_ti!$BF32)</f>
        <v>10000</v>
      </c>
      <c r="M32" s="4">
        <f>+IF(TA_ti!M32*TA_ti!M$49*TA_ti!$BF32=0,10000,TA_ti!M32*TA_ti!M$49*TA_ti!$BF32)</f>
        <v>10000</v>
      </c>
      <c r="N32" s="4">
        <f>+IF(TA_ti!N32*TA_ti!N$49*TA_ti!$BF32=0,10000,TA_ti!N32*TA_ti!N$49*TA_ti!$BF32)</f>
        <v>10000</v>
      </c>
      <c r="O32" s="4">
        <f>+IF(TA_ti!O32*TA_ti!O$49*TA_ti!$BF32=0,10000,TA_ti!O32*TA_ti!O$49*TA_ti!$BF32)</f>
        <v>10000</v>
      </c>
      <c r="P32" s="4">
        <f>+IF(TA_ti!P32*TA_ti!P$49*TA_ti!$BF32=0,10000,TA_ti!P32*TA_ti!P$49*TA_ti!$BF32)</f>
        <v>10000</v>
      </c>
      <c r="Q32" s="4">
        <f>+IF(TA_ti!Q32*TA_ti!Q$49*TA_ti!$BF32=0,10000,TA_ti!Q32*TA_ti!Q$49*TA_ti!$BF32)</f>
        <v>10000</v>
      </c>
      <c r="R32" s="4">
        <f>+IF(TA_ti!R32*TA_ti!R$49*TA_ti!$BF32=0,10000,TA_ti!R32*TA_ti!R$49*TA_ti!$BF32)</f>
        <v>10000</v>
      </c>
      <c r="S32" s="4">
        <f>+IF(TA_ti!S32*TA_ti!S$49*TA_ti!$BF32=0,10000,TA_ti!S32*TA_ti!S$49*TA_ti!$BF32)</f>
        <v>10000</v>
      </c>
      <c r="T32" s="4">
        <f>+IF(TA_ti!T32*TA_ti!T$49*TA_ti!$BF32=0,10000,TA_ti!T32*TA_ti!T$49*TA_ti!$BF32)</f>
        <v>10000</v>
      </c>
      <c r="U32" s="4">
        <f>+IF(TA_ti!U32*TA_ti!U$49*TA_ti!$BF32=0,10000,TA_ti!U32*TA_ti!U$49*TA_ti!$BF32)</f>
        <v>10000</v>
      </c>
      <c r="V32" s="4">
        <f>+IF(TA_ti!V32*TA_ti!V$49*TA_ti!$BF32=0,10000,TA_ti!V32*TA_ti!V$49*TA_ti!$BF32)</f>
        <v>10000</v>
      </c>
      <c r="W32" s="4">
        <f>+IF(TA_ti!W32*TA_ti!W$49*TA_ti!$BF32=0,10000,TA_ti!W32*TA_ti!W$49*TA_ti!$BF32)</f>
        <v>10000</v>
      </c>
      <c r="X32" s="4">
        <f>+IF(TA_ti!X32*TA_ti!X$49*TA_ti!$BF32=0,10000,TA_ti!X32*TA_ti!X$49*TA_ti!$BF32)</f>
        <v>10000</v>
      </c>
      <c r="Y32" s="4">
        <f>+IF(TA_ti!Y32*TA_ti!Y$49*TA_ti!$BF32=0,10000,TA_ti!Y32*TA_ti!Y$49*TA_ti!$BF32)</f>
        <v>10000</v>
      </c>
      <c r="Z32" s="4">
        <f>+IF(TA_ti!Z32*TA_ti!Z$49*TA_ti!$BF32=0,10000,TA_ti!Z32*TA_ti!Z$49*TA_ti!$BF32)</f>
        <v>10000</v>
      </c>
      <c r="AA32" s="4">
        <f>+IF(TA_ti!AA32*TA_ti!AA$49*TA_ti!$BF32=0,10000,TA_ti!AA32*TA_ti!AA$49*TA_ti!$BF32)</f>
        <v>10000</v>
      </c>
      <c r="AB32" s="4">
        <f>+IF(TA_ti!AB32*TA_ti!AB$49*TA_ti!$BF32=0,10000,TA_ti!AB32*TA_ti!AB$49*TA_ti!$BF32)</f>
        <v>10000</v>
      </c>
      <c r="AC32" s="4">
        <f>+IF(TA_ti!AC32*TA_ti!AC$49*TA_ti!$BF32=0,10000,TA_ti!AC32*TA_ti!AC$49*TA_ti!$BF32)</f>
        <v>10000</v>
      </c>
      <c r="AD32" s="4">
        <f>+IF(TA_ti!AD32*TA_ti!AD$49*TA_ti!$BF32=0,10000,TA_ti!AD32*TA_ti!AD$49*TA_ti!$BF32)</f>
        <v>10000</v>
      </c>
      <c r="AE32" s="4">
        <f>+IF(TA_ti!AE32*TA_ti!AE$49*TA_ti!$BF32=0,10000,TA_ti!AE32*TA_ti!AE$49*TA_ti!$BF32)</f>
        <v>10000</v>
      </c>
      <c r="AF32" s="4">
        <f>+IF(TA_ti!AF32*TA_ti!AF$49*TA_ti!$BF32=0,10000,TA_ti!AF32*TA_ti!AF$49*TA_ti!$BF32)</f>
        <v>10000</v>
      </c>
      <c r="AG32" s="4">
        <f>+IF(TA_ti!AG32*TA_ti!AG$49*TA_ti!$BF32=0,10000,TA_ti!AG32*TA_ti!AG$49*TA_ti!$BF32)</f>
        <v>10000</v>
      </c>
      <c r="AH32" s="4">
        <f>+IF(TA_ti!AH32*TA_ti!AH$49*TA_ti!$BF32=0,10000,TA_ti!AH32*TA_ti!AH$49*TA_ti!$BF32)</f>
        <v>10000</v>
      </c>
      <c r="AI32" s="4">
        <f>+IF(TA_ti!AI32*TA_ti!AI$49*TA_ti!$BF32=0,10000,TA_ti!AI32*TA_ti!AI$49*TA_ti!$BF32)</f>
        <v>10000</v>
      </c>
      <c r="AJ32" s="4">
        <f>+IF(TA_ti!AJ32*TA_ti!AJ$49*TA_ti!$BF32=0,10000,TA_ti!AJ32*TA_ti!AJ$49*TA_ti!$BF32)</f>
        <v>10000</v>
      </c>
      <c r="AK32" s="4">
        <f>+IF(TA_ti!AK32*TA_ti!AK$49*TA_ti!$BF32=0,10000,TA_ti!AK32*TA_ti!AK$49*TA_ti!$BF32)</f>
        <v>10000</v>
      </c>
      <c r="AL32" s="4">
        <f>+IF(TA_ti!AL32*TA_ti!AL$49*TA_ti!$BF32=0,10000,TA_ti!AL32*TA_ti!AL$49*TA_ti!$BF32)</f>
        <v>10000</v>
      </c>
      <c r="AM32" s="4">
        <f>+IF(TA_ti!AM32*TA_ti!AM$49*TA_ti!$BF32=0,10000,TA_ti!AM32*TA_ti!AM$49*TA_ti!$BF32)</f>
        <v>10000</v>
      </c>
      <c r="AN32" s="4">
        <f>+IF(TA_ti!AN32*TA_ti!AN$49*TA_ti!$BF32=0,10000,TA_ti!AN32*TA_ti!AN$49*TA_ti!$BF32)</f>
        <v>10000</v>
      </c>
      <c r="AO32" s="4">
        <f>+IF(TA_ti!AO32*TA_ti!AO$49*TA_ti!$BF32=0,10000,TA_ti!AO32*TA_ti!AO$49*TA_ti!$BF32)</f>
        <v>10000</v>
      </c>
      <c r="AP32" s="4">
        <f>+IF(TA_ti!AP32*TA_ti!AP$49*TA_ti!$BF32=0,10000,TA_ti!AP32*TA_ti!AP$49*TA_ti!$BF32)</f>
        <v>10000</v>
      </c>
      <c r="AQ32" s="4">
        <f>+IF(TA_ti!AQ32*TA_ti!AQ$49*TA_ti!$BF32=0,10000,TA_ti!AQ32*TA_ti!AQ$49*TA_ti!$BF32)</f>
        <v>10000</v>
      </c>
      <c r="AR32" s="4">
        <f>+IF(TA_ti!AR32*TA_ti!AR$49*TA_ti!$BF32=0,10000,TA_ti!AR32*TA_ti!AR$49*TA_ti!$BF32)</f>
        <v>10000</v>
      </c>
      <c r="AS32" s="4">
        <f>+IF(TA_ti!AS32*TA_ti!AS$49*TA_ti!$BF32=0,10000,TA_ti!AS32*TA_ti!AS$49*TA_ti!$BF32)</f>
        <v>10000</v>
      </c>
      <c r="AT32" s="4">
        <f>+IF(TA_ti!AT32*TA_ti!AT$49*TA_ti!$BF32=0,10000,TA_ti!AT32*TA_ti!AT$49*TA_ti!$BF32)</f>
        <v>10000</v>
      </c>
      <c r="AU32" s="4">
        <f>+IF(TA_ti!AU32*TA_ti!AU$49*TA_ti!$BF32=0,10000,TA_ti!AU32*TA_ti!AU$49*TA_ti!$BF32)</f>
        <v>10000</v>
      </c>
      <c r="AV32" s="4">
        <f>+IF(TA_ti!AV32*TA_ti!AV$49*TA_ti!$BF32=0,10000,TA_ti!AV32*TA_ti!AV$49*TA_ti!$BF32)</f>
        <v>10000</v>
      </c>
      <c r="AW32" s="4">
        <f>+IF(TA_ti!AW32*TA_ti!AW$49*TA_ti!$BF32=0,10000,TA_ti!AW32*TA_ti!AW$49*TA_ti!$BF32)</f>
        <v>10000</v>
      </c>
      <c r="AX32" s="4">
        <f>+IF(TA_ti!AX32*TA_ti!AX$49*TA_ti!$BF32=0,10000,TA_ti!AX32*TA_ti!AX$49*TA_ti!$BF32)</f>
        <v>10000</v>
      </c>
      <c r="AY32" s="4">
        <f>+IF(TA_ti!AY32*TA_ti!AY$49*TA_ti!$BF32=0,10000,TA_ti!AY32*TA_ti!AY$49*TA_ti!$BF32)</f>
        <v>10000</v>
      </c>
      <c r="AZ32" s="4">
        <f>+IF(TA_ti!AZ32*TA_ti!AZ$49*TA_ti!$BF32=0,10000,TA_ti!AZ32*TA_ti!AZ$49*TA_ti!$BF32)</f>
        <v>10000</v>
      </c>
      <c r="BA32" s="4">
        <f>+IF(TA_ti!BA32*TA_ti!BA$49*TA_ti!$BF32=0,10000,TA_ti!BA32*TA_ti!BA$49*TA_ti!$BF32)</f>
        <v>10000</v>
      </c>
      <c r="BB32" s="4">
        <f>+IF(TA_ti!BB32*TA_ti!BB$49*TA_ti!$BF32=0,10000,TA_ti!BB32*TA_ti!BB$49*TA_ti!$BF32)</f>
        <v>10000</v>
      </c>
      <c r="BC32" s="4">
        <f>+IF(TA_ti!BC32*TA_ti!BC$49*TA_ti!$BF32=0,10000,TA_ti!BC32*TA_ti!BC$49*TA_ti!$BF32)</f>
        <v>10000</v>
      </c>
    </row>
    <row r="33" spans="1:55" ht="18.75" customHeight="1" x14ac:dyDescent="0.25">
      <c r="A33" s="5" t="s">
        <v>84</v>
      </c>
      <c r="B33" s="4">
        <f>+IF(TA_ti!B33*TA_ti!B$49*TA_ti!$BF33=0,10000,TA_ti!B33*TA_ti!B$49*TA_ti!$BF33)</f>
        <v>10000</v>
      </c>
      <c r="C33" s="4">
        <f>+IF(TA_ti!C33*TA_ti!C$49*TA_ti!$BF33=0,10000,TA_ti!C33*TA_ti!C$49*TA_ti!$BF33)</f>
        <v>10000</v>
      </c>
      <c r="D33" s="4">
        <f>+IF(TA_ti!D33*TA_ti!D$49*TA_ti!$BF33=0,10000,TA_ti!D33*TA_ti!D$49*TA_ti!$BF33)</f>
        <v>10000</v>
      </c>
      <c r="E33" s="4">
        <f>+IF(TA_ti!E33*TA_ti!E$49*TA_ti!$BF33=0,10000,TA_ti!E33*TA_ti!E$49*TA_ti!$BF33)</f>
        <v>10000</v>
      </c>
      <c r="F33" s="4">
        <f>+IF(TA_ti!F33*TA_ti!F$49*TA_ti!$BF33=0,10000,TA_ti!F33*TA_ti!F$49*TA_ti!$BF33)</f>
        <v>10000</v>
      </c>
      <c r="G33" s="4">
        <f>+IF(TA_ti!G33*TA_ti!G$49*TA_ti!$BF33=0,10000,TA_ti!G33*TA_ti!G$49*TA_ti!$BF33)</f>
        <v>10000</v>
      </c>
      <c r="H33" s="4">
        <f>+IF(TA_ti!H33*TA_ti!H$49*TA_ti!$BF33=0,10000,TA_ti!H33*TA_ti!H$49*TA_ti!$BF33)</f>
        <v>10000</v>
      </c>
      <c r="I33" s="4">
        <f>+IF(TA_ti!I33*TA_ti!I$49*TA_ti!$BF33=0,10000,TA_ti!I33*TA_ti!I$49*TA_ti!$BF33)</f>
        <v>10000</v>
      </c>
      <c r="J33" s="4">
        <f>+IF(TA_ti!J33*TA_ti!J$49*TA_ti!$BF33=0,10000,TA_ti!J33*TA_ti!J$49*TA_ti!$BF33)</f>
        <v>10000</v>
      </c>
      <c r="K33" s="4">
        <f>+IF(TA_ti!K33*TA_ti!K$49*TA_ti!$BF33=0,10000,TA_ti!K33*TA_ti!K$49*TA_ti!$BF33)</f>
        <v>10000</v>
      </c>
      <c r="L33" s="4">
        <f>+IF(TA_ti!L33*TA_ti!L$49*TA_ti!$BF33=0,10000,TA_ti!L33*TA_ti!L$49*TA_ti!$BF33)</f>
        <v>10000</v>
      </c>
      <c r="M33" s="4">
        <f>+IF(TA_ti!M33*TA_ti!M$49*TA_ti!$BF33=0,10000,TA_ti!M33*TA_ti!M$49*TA_ti!$BF33)</f>
        <v>10000</v>
      </c>
      <c r="N33" s="4">
        <f>+IF(TA_ti!N33*TA_ti!N$49*TA_ti!$BF33=0,10000,TA_ti!N33*TA_ti!N$49*TA_ti!$BF33)</f>
        <v>10000</v>
      </c>
      <c r="O33" s="4">
        <f>+IF(TA_ti!O33*TA_ti!O$49*TA_ti!$BF33=0,10000,TA_ti!O33*TA_ti!O$49*TA_ti!$BF33)</f>
        <v>10000</v>
      </c>
      <c r="P33" s="4">
        <f>+IF(TA_ti!P33*TA_ti!P$49*TA_ti!$BF33=0,10000,TA_ti!P33*TA_ti!P$49*TA_ti!$BF33)</f>
        <v>10000</v>
      </c>
      <c r="Q33" s="4">
        <f>+IF(TA_ti!Q33*TA_ti!Q$49*TA_ti!$BF33=0,10000,TA_ti!Q33*TA_ti!Q$49*TA_ti!$BF33)</f>
        <v>10000</v>
      </c>
      <c r="R33" s="4">
        <f>+IF(TA_ti!R33*TA_ti!R$49*TA_ti!$BF33=0,10000,TA_ti!R33*TA_ti!R$49*TA_ti!$BF33)</f>
        <v>10000</v>
      </c>
      <c r="S33" s="4">
        <f>+IF(TA_ti!S33*TA_ti!S$49*TA_ti!$BF33=0,10000,TA_ti!S33*TA_ti!S$49*TA_ti!$BF33)</f>
        <v>10000</v>
      </c>
      <c r="T33" s="4">
        <f>+IF(TA_ti!T33*TA_ti!T$49*TA_ti!$BF33=0,10000,TA_ti!T33*TA_ti!T$49*TA_ti!$BF33)</f>
        <v>10000</v>
      </c>
      <c r="U33" s="4">
        <f>+IF(TA_ti!U33*TA_ti!U$49*TA_ti!$BF33=0,10000,TA_ti!U33*TA_ti!U$49*TA_ti!$BF33)</f>
        <v>10000</v>
      </c>
      <c r="V33" s="4">
        <f>+IF(TA_ti!V33*TA_ti!V$49*TA_ti!$BF33=0,10000,TA_ti!V33*TA_ti!V$49*TA_ti!$BF33)</f>
        <v>10000</v>
      </c>
      <c r="W33" s="4">
        <f>+IF(TA_ti!W33*TA_ti!W$49*TA_ti!$BF33=0,10000,TA_ti!W33*TA_ti!W$49*TA_ti!$BF33)</f>
        <v>10000</v>
      </c>
      <c r="X33" s="4">
        <f>+IF(TA_ti!X33*TA_ti!X$49*TA_ti!$BF33=0,10000,TA_ti!X33*TA_ti!X$49*TA_ti!$BF33)</f>
        <v>10000</v>
      </c>
      <c r="Y33" s="4">
        <f>+IF(TA_ti!Y33*TA_ti!Y$49*TA_ti!$BF33=0,10000,TA_ti!Y33*TA_ti!Y$49*TA_ti!$BF33)</f>
        <v>10000</v>
      </c>
      <c r="Z33" s="4">
        <f>+IF(TA_ti!Z33*TA_ti!Z$49*TA_ti!$BF33=0,10000,TA_ti!Z33*TA_ti!Z$49*TA_ti!$BF33)</f>
        <v>10000</v>
      </c>
      <c r="AA33" s="4">
        <f>+IF(TA_ti!AA33*TA_ti!AA$49*TA_ti!$BF33=0,10000,TA_ti!AA33*TA_ti!AA$49*TA_ti!$BF33)</f>
        <v>10000</v>
      </c>
      <c r="AB33" s="4">
        <f>+IF(TA_ti!AB33*TA_ti!AB$49*TA_ti!$BF33=0,10000,TA_ti!AB33*TA_ti!AB$49*TA_ti!$BF33)</f>
        <v>10000</v>
      </c>
      <c r="AC33" s="4">
        <f>+IF(TA_ti!AC33*TA_ti!AC$49*TA_ti!$BF33=0,10000,TA_ti!AC33*TA_ti!AC$49*TA_ti!$BF33)</f>
        <v>10000</v>
      </c>
      <c r="AD33" s="4">
        <f>+IF(TA_ti!AD33*TA_ti!AD$49*TA_ti!$BF33=0,10000,TA_ti!AD33*TA_ti!AD$49*TA_ti!$BF33)</f>
        <v>10000</v>
      </c>
      <c r="AE33" s="4">
        <f>+IF(TA_ti!AE33*TA_ti!AE$49*TA_ti!$BF33=0,10000,TA_ti!AE33*TA_ti!AE$49*TA_ti!$BF33)</f>
        <v>10000</v>
      </c>
      <c r="AF33" s="4">
        <f>+IF(TA_ti!AF33*TA_ti!AF$49*TA_ti!$BF33=0,10000,TA_ti!AF33*TA_ti!AF$49*TA_ti!$BF33)</f>
        <v>10000</v>
      </c>
      <c r="AG33" s="4">
        <f>+IF(TA_ti!AG33*TA_ti!AG$49*TA_ti!$BF33=0,10000,TA_ti!AG33*TA_ti!AG$49*TA_ti!$BF33)</f>
        <v>10000</v>
      </c>
      <c r="AH33" s="4">
        <f>+IF(TA_ti!AH33*TA_ti!AH$49*TA_ti!$BF33=0,10000,TA_ti!AH33*TA_ti!AH$49*TA_ti!$BF33)</f>
        <v>10000</v>
      </c>
      <c r="AI33" s="4">
        <f>+IF(TA_ti!AI33*TA_ti!AI$49*TA_ti!$BF33=0,10000,TA_ti!AI33*TA_ti!AI$49*TA_ti!$BF33)</f>
        <v>10000</v>
      </c>
      <c r="AJ33" s="4">
        <f>+IF(TA_ti!AJ33*TA_ti!AJ$49*TA_ti!$BF33=0,10000,TA_ti!AJ33*TA_ti!AJ$49*TA_ti!$BF33)</f>
        <v>10000</v>
      </c>
      <c r="AK33" s="4">
        <f>+IF(TA_ti!AK33*TA_ti!AK$49*TA_ti!$BF33=0,10000,TA_ti!AK33*TA_ti!AK$49*TA_ti!$BF33)</f>
        <v>10000</v>
      </c>
      <c r="AL33" s="4">
        <f>+IF(TA_ti!AL33*TA_ti!AL$49*TA_ti!$BF33=0,10000,TA_ti!AL33*TA_ti!AL$49*TA_ti!$BF33)</f>
        <v>10000</v>
      </c>
      <c r="AM33" s="4">
        <f>+IF(TA_ti!AM33*TA_ti!AM$49*TA_ti!$BF33=0,10000,TA_ti!AM33*TA_ti!AM$49*TA_ti!$BF33)</f>
        <v>10000</v>
      </c>
      <c r="AN33" s="4">
        <f>+IF(TA_ti!AN33*TA_ti!AN$49*TA_ti!$BF33=0,10000,TA_ti!AN33*TA_ti!AN$49*TA_ti!$BF33)</f>
        <v>10000</v>
      </c>
      <c r="AO33" s="4">
        <f>+IF(TA_ti!AO33*TA_ti!AO$49*TA_ti!$BF33=0,10000,TA_ti!AO33*TA_ti!AO$49*TA_ti!$BF33)</f>
        <v>10000</v>
      </c>
      <c r="AP33" s="4">
        <f>+IF(TA_ti!AP33*TA_ti!AP$49*TA_ti!$BF33=0,10000,TA_ti!AP33*TA_ti!AP$49*TA_ti!$BF33)</f>
        <v>10000</v>
      </c>
      <c r="AQ33" s="4">
        <f>+IF(TA_ti!AQ33*TA_ti!AQ$49*TA_ti!$BF33=0,10000,TA_ti!AQ33*TA_ti!AQ$49*TA_ti!$BF33)</f>
        <v>10000</v>
      </c>
      <c r="AR33" s="4">
        <f>+IF(TA_ti!AR33*TA_ti!AR$49*TA_ti!$BF33=0,10000,TA_ti!AR33*TA_ti!AR$49*TA_ti!$BF33)</f>
        <v>10000</v>
      </c>
      <c r="AS33" s="4">
        <f>+IF(TA_ti!AS33*TA_ti!AS$49*TA_ti!$BF33=0,10000,TA_ti!AS33*TA_ti!AS$49*TA_ti!$BF33)</f>
        <v>10000</v>
      </c>
      <c r="AT33" s="4">
        <f>+IF(TA_ti!AT33*TA_ti!AT$49*TA_ti!$BF33=0,10000,TA_ti!AT33*TA_ti!AT$49*TA_ti!$BF33)</f>
        <v>10000</v>
      </c>
      <c r="AU33" s="4">
        <f>+IF(TA_ti!AU33*TA_ti!AU$49*TA_ti!$BF33=0,10000,TA_ti!AU33*TA_ti!AU$49*TA_ti!$BF33)</f>
        <v>10000</v>
      </c>
      <c r="AV33" s="4">
        <f>+IF(TA_ti!AV33*TA_ti!AV$49*TA_ti!$BF33=0,10000,TA_ti!AV33*TA_ti!AV$49*TA_ti!$BF33)</f>
        <v>10000</v>
      </c>
      <c r="AW33" s="4">
        <f>+IF(TA_ti!AW33*TA_ti!AW$49*TA_ti!$BF33=0,10000,TA_ti!AW33*TA_ti!AW$49*TA_ti!$BF33)</f>
        <v>10000</v>
      </c>
      <c r="AX33" s="4">
        <f>+IF(TA_ti!AX33*TA_ti!AX$49*TA_ti!$BF33=0,10000,TA_ti!AX33*TA_ti!AX$49*TA_ti!$BF33)</f>
        <v>10000</v>
      </c>
      <c r="AY33" s="4">
        <f>+IF(TA_ti!AY33*TA_ti!AY$49*TA_ti!$BF33=0,10000,TA_ti!AY33*TA_ti!AY$49*TA_ti!$BF33)</f>
        <v>10000</v>
      </c>
      <c r="AZ33" s="4">
        <f>+IF(TA_ti!AZ33*TA_ti!AZ$49*TA_ti!$BF33=0,10000,TA_ti!AZ33*TA_ti!AZ$49*TA_ti!$BF33)</f>
        <v>10000</v>
      </c>
      <c r="BA33" s="4">
        <f>+IF(TA_ti!BA33*TA_ti!BA$49*TA_ti!$BF33=0,10000,TA_ti!BA33*TA_ti!BA$49*TA_ti!$BF33)</f>
        <v>10000</v>
      </c>
      <c r="BB33" s="4">
        <f>+IF(TA_ti!BB33*TA_ti!BB$49*TA_ti!$BF33=0,10000,TA_ti!BB33*TA_ti!BB$49*TA_ti!$BF33)</f>
        <v>10000</v>
      </c>
      <c r="BC33" s="4">
        <f>+IF(TA_ti!BC33*TA_ti!BC$49*TA_ti!$BF33=0,10000,TA_ti!BC33*TA_ti!BC$49*TA_ti!$BF33)</f>
        <v>10000</v>
      </c>
    </row>
    <row r="34" spans="1:55" ht="18.75" customHeight="1" x14ac:dyDescent="0.25">
      <c r="A34" s="5" t="s">
        <v>85</v>
      </c>
      <c r="B34" s="4">
        <f>+IF(TA_ti!B34*TA_ti!B$49*TA_ti!$BF34=0,10000,TA_ti!B34*TA_ti!B$49*TA_ti!$BF34)</f>
        <v>10000</v>
      </c>
      <c r="C34" s="4">
        <f>+IF(TA_ti!C34*TA_ti!C$49*TA_ti!$BF34=0,10000,TA_ti!C34*TA_ti!C$49*TA_ti!$BF34)</f>
        <v>10000</v>
      </c>
      <c r="D34" s="4">
        <f>+IF(TA_ti!D34*TA_ti!D$49*TA_ti!$BF34=0,10000,TA_ti!D34*TA_ti!D$49*TA_ti!$BF34)</f>
        <v>10000</v>
      </c>
      <c r="E34" s="4">
        <f>+IF(TA_ti!E34*TA_ti!E$49*TA_ti!$BF34=0,10000,TA_ti!E34*TA_ti!E$49*TA_ti!$BF34)</f>
        <v>10000</v>
      </c>
      <c r="F34" s="4">
        <f>+IF(TA_ti!F34*TA_ti!F$49*TA_ti!$BF34=0,10000,TA_ti!F34*TA_ti!F$49*TA_ti!$BF34)</f>
        <v>10000</v>
      </c>
      <c r="G34" s="4">
        <f>+IF(TA_ti!G34*TA_ti!G$49*TA_ti!$BF34=0,10000,TA_ti!G34*TA_ti!G$49*TA_ti!$BF34)</f>
        <v>10000</v>
      </c>
      <c r="H34" s="4">
        <f>+IF(TA_ti!H34*TA_ti!H$49*TA_ti!$BF34=0,10000,TA_ti!H34*TA_ti!H$49*TA_ti!$BF34)</f>
        <v>10000</v>
      </c>
      <c r="I34" s="4">
        <f>+IF(TA_ti!I34*TA_ti!I$49*TA_ti!$BF34=0,10000,TA_ti!I34*TA_ti!I$49*TA_ti!$BF34)</f>
        <v>10000</v>
      </c>
      <c r="J34" s="4">
        <f>+IF(TA_ti!J34*TA_ti!J$49*TA_ti!$BF34=0,10000,TA_ti!J34*TA_ti!J$49*TA_ti!$BF34)</f>
        <v>10000</v>
      </c>
      <c r="K34" s="4">
        <f>+IF(TA_ti!K34*TA_ti!K$49*TA_ti!$BF34=0,10000,TA_ti!K34*TA_ti!K$49*TA_ti!$BF34)</f>
        <v>10000</v>
      </c>
      <c r="L34" s="4">
        <f>+IF(TA_ti!L34*TA_ti!L$49*TA_ti!$BF34=0,10000,TA_ti!L34*TA_ti!L$49*TA_ti!$BF34)</f>
        <v>10000</v>
      </c>
      <c r="M34" s="4">
        <f>+IF(TA_ti!M34*TA_ti!M$49*TA_ti!$BF34=0,10000,TA_ti!M34*TA_ti!M$49*TA_ti!$BF34)</f>
        <v>10000</v>
      </c>
      <c r="N34" s="4">
        <f>+IF(TA_ti!N34*TA_ti!N$49*TA_ti!$BF34=0,10000,TA_ti!N34*TA_ti!N$49*TA_ti!$BF34)</f>
        <v>10000</v>
      </c>
      <c r="O34" s="4">
        <f>+IF(TA_ti!O34*TA_ti!O$49*TA_ti!$BF34=0,10000,TA_ti!O34*TA_ti!O$49*TA_ti!$BF34)</f>
        <v>10000</v>
      </c>
      <c r="P34" s="4">
        <f>+IF(TA_ti!P34*TA_ti!P$49*TA_ti!$BF34=0,10000,TA_ti!P34*TA_ti!P$49*TA_ti!$BF34)</f>
        <v>10000</v>
      </c>
      <c r="Q34" s="4">
        <f>+IF(TA_ti!Q34*TA_ti!Q$49*TA_ti!$BF34=0,10000,TA_ti!Q34*TA_ti!Q$49*TA_ti!$BF34)</f>
        <v>10000</v>
      </c>
      <c r="R34" s="4">
        <f>+IF(TA_ti!R34*TA_ti!R$49*TA_ti!$BF34=0,10000,TA_ti!R34*TA_ti!R$49*TA_ti!$BF34)</f>
        <v>10000</v>
      </c>
      <c r="S34" s="4">
        <f>+IF(TA_ti!S34*TA_ti!S$49*TA_ti!$BF34=0,10000,TA_ti!S34*TA_ti!S$49*TA_ti!$BF34)</f>
        <v>10000</v>
      </c>
      <c r="T34" s="4">
        <f>+IF(TA_ti!T34*TA_ti!T$49*TA_ti!$BF34=0,10000,TA_ti!T34*TA_ti!T$49*TA_ti!$BF34)</f>
        <v>10000</v>
      </c>
      <c r="U34" s="4">
        <f>+IF(TA_ti!U34*TA_ti!U$49*TA_ti!$BF34=0,10000,TA_ti!U34*TA_ti!U$49*TA_ti!$BF34)</f>
        <v>10000</v>
      </c>
      <c r="V34" s="4">
        <f>+IF(TA_ti!V34*TA_ti!V$49*TA_ti!$BF34=0,10000,TA_ti!V34*TA_ti!V$49*TA_ti!$BF34)</f>
        <v>10000</v>
      </c>
      <c r="W34" s="4">
        <f>+IF(TA_ti!W34*TA_ti!W$49*TA_ti!$BF34=0,10000,TA_ti!W34*TA_ti!W$49*TA_ti!$BF34)</f>
        <v>10000</v>
      </c>
      <c r="X34" s="4">
        <f>+IF(TA_ti!X34*TA_ti!X$49*TA_ti!$BF34=0,10000,TA_ti!X34*TA_ti!X$49*TA_ti!$BF34)</f>
        <v>10000</v>
      </c>
      <c r="Y34" s="4">
        <f>+IF(TA_ti!Y34*TA_ti!Y$49*TA_ti!$BF34=0,10000,TA_ti!Y34*TA_ti!Y$49*TA_ti!$BF34)</f>
        <v>10000</v>
      </c>
      <c r="Z34" s="4">
        <f>+IF(TA_ti!Z34*TA_ti!Z$49*TA_ti!$BF34=0,10000,TA_ti!Z34*TA_ti!Z$49*TA_ti!$BF34)</f>
        <v>10000</v>
      </c>
      <c r="AA34" s="4">
        <f>+IF(TA_ti!AA34*TA_ti!AA$49*TA_ti!$BF34=0,10000,TA_ti!AA34*TA_ti!AA$49*TA_ti!$BF34)</f>
        <v>10000</v>
      </c>
      <c r="AB34" s="4">
        <f>+IF(TA_ti!AB34*TA_ti!AB$49*TA_ti!$BF34=0,10000,TA_ti!AB34*TA_ti!AB$49*TA_ti!$BF34)</f>
        <v>10000</v>
      </c>
      <c r="AC34" s="4">
        <f>+IF(TA_ti!AC34*TA_ti!AC$49*TA_ti!$BF34=0,10000,TA_ti!AC34*TA_ti!AC$49*TA_ti!$BF34)</f>
        <v>10000</v>
      </c>
      <c r="AD34" s="4">
        <f>+IF(TA_ti!AD34*TA_ti!AD$49*TA_ti!$BF34=0,10000,TA_ti!AD34*TA_ti!AD$49*TA_ti!$BF34)</f>
        <v>10000</v>
      </c>
      <c r="AE34" s="4">
        <f>+IF(TA_ti!AE34*TA_ti!AE$49*TA_ti!$BF34=0,10000,TA_ti!AE34*TA_ti!AE$49*TA_ti!$BF34)</f>
        <v>10000</v>
      </c>
      <c r="AF34" s="4">
        <f>+IF(TA_ti!AF34*TA_ti!AF$49*TA_ti!$BF34=0,10000,TA_ti!AF34*TA_ti!AF$49*TA_ti!$BF34)</f>
        <v>10000</v>
      </c>
      <c r="AG34" s="4">
        <f>+IF(TA_ti!AG34*TA_ti!AG$49*TA_ti!$BF34=0,10000,TA_ti!AG34*TA_ti!AG$49*TA_ti!$BF34)</f>
        <v>10000</v>
      </c>
      <c r="AH34" s="4">
        <f>+IF(TA_ti!AH34*TA_ti!AH$49*TA_ti!$BF34=0,10000,TA_ti!AH34*TA_ti!AH$49*TA_ti!$BF34)</f>
        <v>10000</v>
      </c>
      <c r="AI34" s="4">
        <f>+IF(TA_ti!AI34*TA_ti!AI$49*TA_ti!$BF34=0,10000,TA_ti!AI34*TA_ti!AI$49*TA_ti!$BF34)</f>
        <v>10000</v>
      </c>
      <c r="AJ34" s="4">
        <f>+IF(TA_ti!AJ34*TA_ti!AJ$49*TA_ti!$BF34=0,10000,TA_ti!AJ34*TA_ti!AJ$49*TA_ti!$BF34)</f>
        <v>10000</v>
      </c>
      <c r="AK34" s="4">
        <f>+IF(TA_ti!AK34*TA_ti!AK$49*TA_ti!$BF34=0,10000,TA_ti!AK34*TA_ti!AK$49*TA_ti!$BF34)</f>
        <v>10000</v>
      </c>
      <c r="AL34" s="4">
        <f>+IF(TA_ti!AL34*TA_ti!AL$49*TA_ti!$BF34=0,10000,TA_ti!AL34*TA_ti!AL$49*TA_ti!$BF34)</f>
        <v>10000</v>
      </c>
      <c r="AM34" s="4">
        <f>+IF(TA_ti!AM34*TA_ti!AM$49*TA_ti!$BF34=0,10000,TA_ti!AM34*TA_ti!AM$49*TA_ti!$BF34)</f>
        <v>10000</v>
      </c>
      <c r="AN34" s="4">
        <f>+IF(TA_ti!AN34*TA_ti!AN$49*TA_ti!$BF34=0,10000,TA_ti!AN34*TA_ti!AN$49*TA_ti!$BF34)</f>
        <v>10000</v>
      </c>
      <c r="AO34" s="4">
        <f>+IF(TA_ti!AO34*TA_ti!AO$49*TA_ti!$BF34=0,10000,TA_ti!AO34*TA_ti!AO$49*TA_ti!$BF34)</f>
        <v>10000</v>
      </c>
      <c r="AP34" s="4">
        <f>+IF(TA_ti!AP34*TA_ti!AP$49*TA_ti!$BF34=0,10000,TA_ti!AP34*TA_ti!AP$49*TA_ti!$BF34)</f>
        <v>10000</v>
      </c>
      <c r="AQ34" s="4">
        <f>+IF(TA_ti!AQ34*TA_ti!AQ$49*TA_ti!$BF34=0,10000,TA_ti!AQ34*TA_ti!AQ$49*TA_ti!$BF34)</f>
        <v>10000</v>
      </c>
      <c r="AR34" s="4">
        <f>+IF(TA_ti!AR34*TA_ti!AR$49*TA_ti!$BF34=0,10000,TA_ti!AR34*TA_ti!AR$49*TA_ti!$BF34)</f>
        <v>10000</v>
      </c>
      <c r="AS34" s="4">
        <f>+IF(TA_ti!AS34*TA_ti!AS$49*TA_ti!$BF34=0,10000,TA_ti!AS34*TA_ti!AS$49*TA_ti!$BF34)</f>
        <v>10000</v>
      </c>
      <c r="AT34" s="4">
        <f>+IF(TA_ti!AT34*TA_ti!AT$49*TA_ti!$BF34=0,10000,TA_ti!AT34*TA_ti!AT$49*TA_ti!$BF34)</f>
        <v>10000</v>
      </c>
      <c r="AU34" s="4">
        <f>+IF(TA_ti!AU34*TA_ti!AU$49*TA_ti!$BF34=0,10000,TA_ti!AU34*TA_ti!AU$49*TA_ti!$BF34)</f>
        <v>10000</v>
      </c>
      <c r="AV34" s="4">
        <f>+IF(TA_ti!AV34*TA_ti!AV$49*TA_ti!$BF34=0,10000,TA_ti!AV34*TA_ti!AV$49*TA_ti!$BF34)</f>
        <v>10000</v>
      </c>
      <c r="AW34" s="4">
        <f>+IF(TA_ti!AW34*TA_ti!AW$49*TA_ti!$BF34=0,10000,TA_ti!AW34*TA_ti!AW$49*TA_ti!$BF34)</f>
        <v>10000</v>
      </c>
      <c r="AX34" s="4">
        <f>+IF(TA_ti!AX34*TA_ti!AX$49*TA_ti!$BF34=0,10000,TA_ti!AX34*TA_ti!AX$49*TA_ti!$BF34)</f>
        <v>10000</v>
      </c>
      <c r="AY34" s="4">
        <f>+IF(TA_ti!AY34*TA_ti!AY$49*TA_ti!$BF34=0,10000,TA_ti!AY34*TA_ti!AY$49*TA_ti!$BF34)</f>
        <v>10000</v>
      </c>
      <c r="AZ34" s="4">
        <f>+IF(TA_ti!AZ34*TA_ti!AZ$49*TA_ti!$BF34=0,10000,TA_ti!AZ34*TA_ti!AZ$49*TA_ti!$BF34)</f>
        <v>10000</v>
      </c>
      <c r="BA34" s="4">
        <f>+IF(TA_ti!BA34*TA_ti!BA$49*TA_ti!$BF34=0,10000,TA_ti!BA34*TA_ti!BA$49*TA_ti!$BF34)</f>
        <v>10000</v>
      </c>
      <c r="BB34" s="4">
        <f>+IF(TA_ti!BB34*TA_ti!BB$49*TA_ti!$BF34=0,10000,TA_ti!BB34*TA_ti!BB$49*TA_ti!$BF34)</f>
        <v>10000</v>
      </c>
      <c r="BC34" s="4">
        <f>+IF(TA_ti!BC34*TA_ti!BC$49*TA_ti!$BF34=0,10000,TA_ti!BC34*TA_ti!BC$49*TA_ti!$BF34)</f>
        <v>10000</v>
      </c>
    </row>
    <row r="35" spans="1:55" ht="18.75" customHeight="1" x14ac:dyDescent="0.25">
      <c r="A35" s="5" t="s">
        <v>86</v>
      </c>
      <c r="B35" s="4">
        <f>+IF(TA_ti!B35*TA_ti!B$49*TA_ti!$BF35=0,10000,TA_ti!B35*TA_ti!B$49*TA_ti!$BF35)</f>
        <v>10000</v>
      </c>
      <c r="C35" s="4">
        <f>+IF(TA_ti!C35*TA_ti!C$49*TA_ti!$BF35=0,10000,TA_ti!C35*TA_ti!C$49*TA_ti!$BF35)</f>
        <v>10000</v>
      </c>
      <c r="D35" s="4">
        <f>+IF(TA_ti!D35*TA_ti!D$49*TA_ti!$BF35=0,10000,TA_ti!D35*TA_ti!D$49*TA_ti!$BF35)</f>
        <v>10000</v>
      </c>
      <c r="E35" s="4">
        <f>+IF(TA_ti!E35*TA_ti!E$49*TA_ti!$BF35=0,10000,TA_ti!E35*TA_ti!E$49*TA_ti!$BF35)</f>
        <v>10000</v>
      </c>
      <c r="F35" s="4">
        <f>+IF(TA_ti!F35*TA_ti!F$49*TA_ti!$BF35=0,10000,TA_ti!F35*TA_ti!F$49*TA_ti!$BF35)</f>
        <v>10000</v>
      </c>
      <c r="G35" s="4">
        <f>+IF(TA_ti!G35*TA_ti!G$49*TA_ti!$BF35=0,10000,TA_ti!G35*TA_ti!G$49*TA_ti!$BF35)</f>
        <v>10000</v>
      </c>
      <c r="H35" s="4">
        <f>+IF(TA_ti!H35*TA_ti!H$49*TA_ti!$BF35=0,10000,TA_ti!H35*TA_ti!H$49*TA_ti!$BF35)</f>
        <v>10000</v>
      </c>
      <c r="I35" s="4">
        <f>+IF(TA_ti!I35*TA_ti!I$49*TA_ti!$BF35=0,10000,TA_ti!I35*TA_ti!I$49*TA_ti!$BF35)</f>
        <v>10000</v>
      </c>
      <c r="J35" s="4">
        <f>+IF(TA_ti!J35*TA_ti!J$49*TA_ti!$BF35=0,10000,TA_ti!J35*TA_ti!J$49*TA_ti!$BF35)</f>
        <v>10000</v>
      </c>
      <c r="K35" s="4">
        <f>+IF(TA_ti!K35*TA_ti!K$49*TA_ti!$BF35=0,10000,TA_ti!K35*TA_ti!K$49*TA_ti!$BF35)</f>
        <v>12</v>
      </c>
      <c r="L35" s="4">
        <f>+IF(TA_ti!L35*TA_ti!L$49*TA_ti!$BF35=0,10000,TA_ti!L35*TA_ti!L$49*TA_ti!$BF35)</f>
        <v>10000</v>
      </c>
      <c r="M35" s="4">
        <f>+IF(TA_ti!M35*TA_ti!M$49*TA_ti!$BF35=0,10000,TA_ti!M35*TA_ti!M$49*TA_ti!$BF35)</f>
        <v>10000</v>
      </c>
      <c r="N35" s="4">
        <f>+IF(TA_ti!N35*TA_ti!N$49*TA_ti!$BF35=0,10000,TA_ti!N35*TA_ti!N$49*TA_ti!$BF35)</f>
        <v>10000</v>
      </c>
      <c r="O35" s="4">
        <f>+IF(TA_ti!O35*TA_ti!O$49*TA_ti!$BF35=0,10000,TA_ti!O35*TA_ti!O$49*TA_ti!$BF35)</f>
        <v>10000</v>
      </c>
      <c r="P35" s="4">
        <f>+IF(TA_ti!P35*TA_ti!P$49*TA_ti!$BF35=0,10000,TA_ti!P35*TA_ti!P$49*TA_ti!$BF35)</f>
        <v>10000</v>
      </c>
      <c r="Q35" s="4">
        <f>+IF(TA_ti!Q35*TA_ti!Q$49*TA_ti!$BF35=0,10000,TA_ti!Q35*TA_ti!Q$49*TA_ti!$BF35)</f>
        <v>10000</v>
      </c>
      <c r="R35" s="4">
        <f>+IF(TA_ti!R35*TA_ti!R$49*TA_ti!$BF35=0,10000,TA_ti!R35*TA_ti!R$49*TA_ti!$BF35)</f>
        <v>10000</v>
      </c>
      <c r="S35" s="4">
        <f>+IF(TA_ti!S35*TA_ti!S$49*TA_ti!$BF35=0,10000,TA_ti!S35*TA_ti!S$49*TA_ti!$BF35)</f>
        <v>10000</v>
      </c>
      <c r="T35" s="4">
        <f>+IF(TA_ti!T35*TA_ti!T$49*TA_ti!$BF35=0,10000,TA_ti!T35*TA_ti!T$49*TA_ti!$BF35)</f>
        <v>10000</v>
      </c>
      <c r="U35" s="4">
        <f>+IF(TA_ti!U35*TA_ti!U$49*TA_ti!$BF35=0,10000,TA_ti!U35*TA_ti!U$49*TA_ti!$BF35)</f>
        <v>10000</v>
      </c>
      <c r="V35" s="4">
        <f>+IF(TA_ti!V35*TA_ti!V$49*TA_ti!$BF35=0,10000,TA_ti!V35*TA_ti!V$49*TA_ti!$BF35)</f>
        <v>10000</v>
      </c>
      <c r="W35" s="4">
        <f>+IF(TA_ti!W35*TA_ti!W$49*TA_ti!$BF35=0,10000,TA_ti!W35*TA_ti!W$49*TA_ti!$BF35)</f>
        <v>10000</v>
      </c>
      <c r="X35" s="4">
        <f>+IF(TA_ti!X35*TA_ti!X$49*TA_ti!$BF35=0,10000,TA_ti!X35*TA_ti!X$49*TA_ti!$BF35)</f>
        <v>10000</v>
      </c>
      <c r="Y35" s="4">
        <f>+IF(TA_ti!Y35*TA_ti!Y$49*TA_ti!$BF35=0,10000,TA_ti!Y35*TA_ti!Y$49*TA_ti!$BF35)</f>
        <v>10000</v>
      </c>
      <c r="Z35" s="4">
        <f>+IF(TA_ti!Z35*TA_ti!Z$49*TA_ti!$BF35=0,10000,TA_ti!Z35*TA_ti!Z$49*TA_ti!$BF35)</f>
        <v>10000</v>
      </c>
      <c r="AA35" s="4">
        <f>+IF(TA_ti!AA35*TA_ti!AA$49*TA_ti!$BF35=0,10000,TA_ti!AA35*TA_ti!AA$49*TA_ti!$BF35)</f>
        <v>10000</v>
      </c>
      <c r="AB35" s="4">
        <f>+IF(TA_ti!AB35*TA_ti!AB$49*TA_ti!$BF35=0,10000,TA_ti!AB35*TA_ti!AB$49*TA_ti!$BF35)</f>
        <v>10000</v>
      </c>
      <c r="AC35" s="4">
        <f>+IF(TA_ti!AC35*TA_ti!AC$49*TA_ti!$BF35=0,10000,TA_ti!AC35*TA_ti!AC$49*TA_ti!$BF35)</f>
        <v>10000</v>
      </c>
      <c r="AD35" s="4">
        <f>+IF(TA_ti!AD35*TA_ti!AD$49*TA_ti!$BF35=0,10000,TA_ti!AD35*TA_ti!AD$49*TA_ti!$BF35)</f>
        <v>10000</v>
      </c>
      <c r="AE35" s="4">
        <f>+IF(TA_ti!AE35*TA_ti!AE$49*TA_ti!$BF35=0,10000,TA_ti!AE35*TA_ti!AE$49*TA_ti!$BF35)</f>
        <v>10000</v>
      </c>
      <c r="AF35" s="4">
        <f>+IF(TA_ti!AF35*TA_ti!AF$49*TA_ti!$BF35=0,10000,TA_ti!AF35*TA_ti!AF$49*TA_ti!$BF35)</f>
        <v>10000</v>
      </c>
      <c r="AG35" s="4">
        <f>+IF(TA_ti!AG35*TA_ti!AG$49*TA_ti!$BF35=0,10000,TA_ti!AG35*TA_ti!AG$49*TA_ti!$BF35)</f>
        <v>10000</v>
      </c>
      <c r="AH35" s="4">
        <f>+IF(TA_ti!AH35*TA_ti!AH$49*TA_ti!$BF35=0,10000,TA_ti!AH35*TA_ti!AH$49*TA_ti!$BF35)</f>
        <v>10000</v>
      </c>
      <c r="AI35" s="4">
        <f>+IF(TA_ti!AI35*TA_ti!AI$49*TA_ti!$BF35=0,10000,TA_ti!AI35*TA_ti!AI$49*TA_ti!$BF35)</f>
        <v>10000</v>
      </c>
      <c r="AJ35" s="4">
        <f>+IF(TA_ti!AJ35*TA_ti!AJ$49*TA_ti!$BF35=0,10000,TA_ti!AJ35*TA_ti!AJ$49*TA_ti!$BF35)</f>
        <v>10000</v>
      </c>
      <c r="AK35" s="4">
        <f>+IF(TA_ti!AK35*TA_ti!AK$49*TA_ti!$BF35=0,10000,TA_ti!AK35*TA_ti!AK$49*TA_ti!$BF35)</f>
        <v>10000</v>
      </c>
      <c r="AL35" s="4">
        <f>+IF(TA_ti!AL35*TA_ti!AL$49*TA_ti!$BF35=0,10000,TA_ti!AL35*TA_ti!AL$49*TA_ti!$BF35)</f>
        <v>10000</v>
      </c>
      <c r="AM35" s="4">
        <f>+IF(TA_ti!AM35*TA_ti!AM$49*TA_ti!$BF35=0,10000,TA_ti!AM35*TA_ti!AM$49*TA_ti!$BF35)</f>
        <v>10000</v>
      </c>
      <c r="AN35" s="4">
        <f>+IF(TA_ti!AN35*TA_ti!AN$49*TA_ti!$BF35=0,10000,TA_ti!AN35*TA_ti!AN$49*TA_ti!$BF35)</f>
        <v>10000</v>
      </c>
      <c r="AO35" s="4">
        <f>+IF(TA_ti!AO35*TA_ti!AO$49*TA_ti!$BF35=0,10000,TA_ti!AO35*TA_ti!AO$49*TA_ti!$BF35)</f>
        <v>10000</v>
      </c>
      <c r="AP35" s="4">
        <f>+IF(TA_ti!AP35*TA_ti!AP$49*TA_ti!$BF35=0,10000,TA_ti!AP35*TA_ti!AP$49*TA_ti!$BF35)</f>
        <v>10000</v>
      </c>
      <c r="AQ35" s="4">
        <f>+IF(TA_ti!AQ35*TA_ti!AQ$49*TA_ti!$BF35=0,10000,TA_ti!AQ35*TA_ti!AQ$49*TA_ti!$BF35)</f>
        <v>10000</v>
      </c>
      <c r="AR35" s="4">
        <f>+IF(TA_ti!AR35*TA_ti!AR$49*TA_ti!$BF35=0,10000,TA_ti!AR35*TA_ti!AR$49*TA_ti!$BF35)</f>
        <v>10000</v>
      </c>
      <c r="AS35" s="4">
        <f>+IF(TA_ti!AS35*TA_ti!AS$49*TA_ti!$BF35=0,10000,TA_ti!AS35*TA_ti!AS$49*TA_ti!$BF35)</f>
        <v>10000</v>
      </c>
      <c r="AT35" s="4">
        <f>+IF(TA_ti!AT35*TA_ti!AT$49*TA_ti!$BF35=0,10000,TA_ti!AT35*TA_ti!AT$49*TA_ti!$BF35)</f>
        <v>10000</v>
      </c>
      <c r="AU35" s="4">
        <f>+IF(TA_ti!AU35*TA_ti!AU$49*TA_ti!$BF35=0,10000,TA_ti!AU35*TA_ti!AU$49*TA_ti!$BF35)</f>
        <v>10000</v>
      </c>
      <c r="AV35" s="4">
        <f>+IF(TA_ti!AV35*TA_ti!AV$49*TA_ti!$BF35=0,10000,TA_ti!AV35*TA_ti!AV$49*TA_ti!$BF35)</f>
        <v>10000</v>
      </c>
      <c r="AW35" s="4">
        <f>+IF(TA_ti!AW35*TA_ti!AW$49*TA_ti!$BF35=0,10000,TA_ti!AW35*TA_ti!AW$49*TA_ti!$BF35)</f>
        <v>10000</v>
      </c>
      <c r="AX35" s="4">
        <f>+IF(TA_ti!AX35*TA_ti!AX$49*TA_ti!$BF35=0,10000,TA_ti!AX35*TA_ti!AX$49*TA_ti!$BF35)</f>
        <v>10000</v>
      </c>
      <c r="AY35" s="4">
        <f>+IF(TA_ti!AY35*TA_ti!AY$49*TA_ti!$BF35=0,10000,TA_ti!AY35*TA_ti!AY$49*TA_ti!$BF35)</f>
        <v>10000</v>
      </c>
      <c r="AZ35" s="4">
        <f>+IF(TA_ti!AZ35*TA_ti!AZ$49*TA_ti!$BF35=0,10000,TA_ti!AZ35*TA_ti!AZ$49*TA_ti!$BF35)</f>
        <v>10000</v>
      </c>
      <c r="BA35" s="4">
        <f>+IF(TA_ti!BA35*TA_ti!BA$49*TA_ti!$BF35=0,10000,TA_ti!BA35*TA_ti!BA$49*TA_ti!$BF35)</f>
        <v>10000</v>
      </c>
      <c r="BB35" s="4">
        <f>+IF(TA_ti!BB35*TA_ti!BB$49*TA_ti!$BF35=0,10000,TA_ti!BB35*TA_ti!BB$49*TA_ti!$BF35)</f>
        <v>10000</v>
      </c>
      <c r="BC35" s="4">
        <f>+IF(TA_ti!BC35*TA_ti!BC$49*TA_ti!$BF35=0,10000,TA_ti!BC35*TA_ti!BC$49*TA_ti!$BF35)</f>
        <v>10000</v>
      </c>
    </row>
    <row r="36" spans="1:55" ht="18.75" customHeight="1" x14ac:dyDescent="0.25">
      <c r="A36" s="5" t="s">
        <v>87</v>
      </c>
      <c r="B36" s="4">
        <f>+IF(TA_ti!B36*TA_ti!B$49*TA_ti!$BF36=0,10000,TA_ti!B36*TA_ti!B$49*TA_ti!$BF36)</f>
        <v>10000</v>
      </c>
      <c r="C36" s="4">
        <f>+IF(TA_ti!C36*TA_ti!C$49*TA_ti!$BF36=0,10000,TA_ti!C36*TA_ti!C$49*TA_ti!$BF36)</f>
        <v>10000</v>
      </c>
      <c r="D36" s="4">
        <f>+IF(TA_ti!D36*TA_ti!D$49*TA_ti!$BF36=0,10000,TA_ti!D36*TA_ti!D$49*TA_ti!$BF36)</f>
        <v>10000</v>
      </c>
      <c r="E36" s="4">
        <f>+IF(TA_ti!E36*TA_ti!E$49*TA_ti!$BF36=0,10000,TA_ti!E36*TA_ti!E$49*TA_ti!$BF36)</f>
        <v>10000</v>
      </c>
      <c r="F36" s="4">
        <f>+IF(TA_ti!F36*TA_ti!F$49*TA_ti!$BF36=0,10000,TA_ti!F36*TA_ti!F$49*TA_ti!$BF36)</f>
        <v>10000</v>
      </c>
      <c r="G36" s="4">
        <f>+IF(TA_ti!G36*TA_ti!G$49*TA_ti!$BF36=0,10000,TA_ti!G36*TA_ti!G$49*TA_ti!$BF36)</f>
        <v>10000</v>
      </c>
      <c r="H36" s="4">
        <f>+IF(TA_ti!H36*TA_ti!H$49*TA_ti!$BF36=0,10000,TA_ti!H36*TA_ti!H$49*TA_ti!$BF36)</f>
        <v>10000</v>
      </c>
      <c r="I36" s="4">
        <f>+IF(TA_ti!I36*TA_ti!I$49*TA_ti!$BF36=0,10000,TA_ti!I36*TA_ti!I$49*TA_ti!$BF36)</f>
        <v>10000</v>
      </c>
      <c r="J36" s="4">
        <f>+IF(TA_ti!J36*TA_ti!J$49*TA_ti!$BF36=0,10000,TA_ti!J36*TA_ti!J$49*TA_ti!$BF36)</f>
        <v>10000</v>
      </c>
      <c r="K36" s="4">
        <f>+IF(TA_ti!K36*TA_ti!K$49*TA_ti!$BF36=0,10000,TA_ti!K36*TA_ti!K$49*TA_ti!$BF36)</f>
        <v>10000</v>
      </c>
      <c r="L36" s="4">
        <f>+IF(TA_ti!L36*TA_ti!L$49*TA_ti!$BF36=0,10000,TA_ti!L36*TA_ti!L$49*TA_ti!$BF36)</f>
        <v>10000</v>
      </c>
      <c r="M36" s="4">
        <f>+IF(TA_ti!M36*TA_ti!M$49*TA_ti!$BF36=0,10000,TA_ti!M36*TA_ti!M$49*TA_ti!$BF36)</f>
        <v>10000</v>
      </c>
      <c r="N36" s="4">
        <f>+IF(TA_ti!N36*TA_ti!N$49*TA_ti!$BF36=0,10000,TA_ti!N36*TA_ti!N$49*TA_ti!$BF36)</f>
        <v>10000</v>
      </c>
      <c r="O36" s="4">
        <f>+IF(TA_ti!O36*TA_ti!O$49*TA_ti!$BF36=0,10000,TA_ti!O36*TA_ti!O$49*TA_ti!$BF36)</f>
        <v>10000</v>
      </c>
      <c r="P36" s="4">
        <f>+IF(TA_ti!P36*TA_ti!P$49*TA_ti!$BF36=0,10000,TA_ti!P36*TA_ti!P$49*TA_ti!$BF36)</f>
        <v>10000</v>
      </c>
      <c r="Q36" s="4">
        <f>+IF(TA_ti!Q36*TA_ti!Q$49*TA_ti!$BF36=0,10000,TA_ti!Q36*TA_ti!Q$49*TA_ti!$BF36)</f>
        <v>10000</v>
      </c>
      <c r="R36" s="4">
        <f>+IF(TA_ti!R36*TA_ti!R$49*TA_ti!$BF36=0,10000,TA_ti!R36*TA_ti!R$49*TA_ti!$BF36)</f>
        <v>10000</v>
      </c>
      <c r="S36" s="4">
        <f>+IF(TA_ti!S36*TA_ti!S$49*TA_ti!$BF36=0,10000,TA_ti!S36*TA_ti!S$49*TA_ti!$BF36)</f>
        <v>10000</v>
      </c>
      <c r="T36" s="4">
        <f>+IF(TA_ti!T36*TA_ti!T$49*TA_ti!$BF36=0,10000,TA_ti!T36*TA_ti!T$49*TA_ti!$BF36)</f>
        <v>10000</v>
      </c>
      <c r="U36" s="4">
        <f>+IF(TA_ti!U36*TA_ti!U$49*TA_ti!$BF36=0,10000,TA_ti!U36*TA_ti!U$49*TA_ti!$BF36)</f>
        <v>10000</v>
      </c>
      <c r="V36" s="4">
        <f>+IF(TA_ti!V36*TA_ti!V$49*TA_ti!$BF36=0,10000,TA_ti!V36*TA_ti!V$49*TA_ti!$BF36)</f>
        <v>10000</v>
      </c>
      <c r="W36" s="4">
        <f>+IF(TA_ti!W36*TA_ti!W$49*TA_ti!$BF36=0,10000,TA_ti!W36*TA_ti!W$49*TA_ti!$BF36)</f>
        <v>10000</v>
      </c>
      <c r="X36" s="4">
        <f>+IF(TA_ti!X36*TA_ti!X$49*TA_ti!$BF36=0,10000,TA_ti!X36*TA_ti!X$49*TA_ti!$BF36)</f>
        <v>10000</v>
      </c>
      <c r="Y36" s="4">
        <f>+IF(TA_ti!Y36*TA_ti!Y$49*TA_ti!$BF36=0,10000,TA_ti!Y36*TA_ti!Y$49*TA_ti!$BF36)</f>
        <v>10000</v>
      </c>
      <c r="Z36" s="4">
        <f>+IF(TA_ti!Z36*TA_ti!Z$49*TA_ti!$BF36=0,10000,TA_ti!Z36*TA_ti!Z$49*TA_ti!$BF36)</f>
        <v>10000</v>
      </c>
      <c r="AA36" s="4">
        <f>+IF(TA_ti!AA36*TA_ti!AA$49*TA_ti!$BF36=0,10000,TA_ti!AA36*TA_ti!AA$49*TA_ti!$BF36)</f>
        <v>10000</v>
      </c>
      <c r="AB36" s="4">
        <f>+IF(TA_ti!AB36*TA_ti!AB$49*TA_ti!$BF36=0,10000,TA_ti!AB36*TA_ti!AB$49*TA_ti!$BF36)</f>
        <v>10000</v>
      </c>
      <c r="AC36" s="4">
        <f>+IF(TA_ti!AC36*TA_ti!AC$49*TA_ti!$BF36=0,10000,TA_ti!AC36*TA_ti!AC$49*TA_ti!$BF36)</f>
        <v>10000</v>
      </c>
      <c r="AD36" s="4">
        <f>+IF(TA_ti!AD36*TA_ti!AD$49*TA_ti!$BF36=0,10000,TA_ti!AD36*TA_ti!AD$49*TA_ti!$BF36)</f>
        <v>10000</v>
      </c>
      <c r="AE36" s="4">
        <f>+IF(TA_ti!AE36*TA_ti!AE$49*TA_ti!$BF36=0,10000,TA_ti!AE36*TA_ti!AE$49*TA_ti!$BF36)</f>
        <v>10000</v>
      </c>
      <c r="AF36" s="4">
        <f>+IF(TA_ti!AF36*TA_ti!AF$49*TA_ti!$BF36=0,10000,TA_ti!AF36*TA_ti!AF$49*TA_ti!$BF36)</f>
        <v>10000</v>
      </c>
      <c r="AG36" s="4">
        <f>+IF(TA_ti!AG36*TA_ti!AG$49*TA_ti!$BF36=0,10000,TA_ti!AG36*TA_ti!AG$49*TA_ti!$BF36)</f>
        <v>10000</v>
      </c>
      <c r="AH36" s="4">
        <f>+IF(TA_ti!AH36*TA_ti!AH$49*TA_ti!$BF36=0,10000,TA_ti!AH36*TA_ti!AH$49*TA_ti!$BF36)</f>
        <v>10000</v>
      </c>
      <c r="AI36" s="4">
        <f>+IF(TA_ti!AI36*TA_ti!AI$49*TA_ti!$BF36=0,10000,TA_ti!AI36*TA_ti!AI$49*TA_ti!$BF36)</f>
        <v>10000</v>
      </c>
      <c r="AJ36" s="4">
        <f>+IF(TA_ti!AJ36*TA_ti!AJ$49*TA_ti!$BF36=0,10000,TA_ti!AJ36*TA_ti!AJ$49*TA_ti!$BF36)</f>
        <v>10000</v>
      </c>
      <c r="AK36" s="4">
        <f>+IF(TA_ti!AK36*TA_ti!AK$49*TA_ti!$BF36=0,10000,TA_ti!AK36*TA_ti!AK$49*TA_ti!$BF36)</f>
        <v>10000</v>
      </c>
      <c r="AL36" s="4">
        <f>+IF(TA_ti!AL36*TA_ti!AL$49*TA_ti!$BF36=0,10000,TA_ti!AL36*TA_ti!AL$49*TA_ti!$BF36)</f>
        <v>10000</v>
      </c>
      <c r="AM36" s="4">
        <f>+IF(TA_ti!AM36*TA_ti!AM$49*TA_ti!$BF36=0,10000,TA_ti!AM36*TA_ti!AM$49*TA_ti!$BF36)</f>
        <v>10000</v>
      </c>
      <c r="AN36" s="4">
        <f>+IF(TA_ti!AN36*TA_ti!AN$49*TA_ti!$BF36=0,10000,TA_ti!AN36*TA_ti!AN$49*TA_ti!$BF36)</f>
        <v>10000</v>
      </c>
      <c r="AO36" s="4">
        <f>+IF(TA_ti!AO36*TA_ti!AO$49*TA_ti!$BF36=0,10000,TA_ti!AO36*TA_ti!AO$49*TA_ti!$BF36)</f>
        <v>10000</v>
      </c>
      <c r="AP36" s="4">
        <f>+IF(TA_ti!AP36*TA_ti!AP$49*TA_ti!$BF36=0,10000,TA_ti!AP36*TA_ti!AP$49*TA_ti!$BF36)</f>
        <v>10000</v>
      </c>
      <c r="AQ36" s="4">
        <f>+IF(TA_ti!AQ36*TA_ti!AQ$49*TA_ti!$BF36=0,10000,TA_ti!AQ36*TA_ti!AQ$49*TA_ti!$BF36)</f>
        <v>10000</v>
      </c>
      <c r="AR36" s="4">
        <f>+IF(TA_ti!AR36*TA_ti!AR$49*TA_ti!$BF36=0,10000,TA_ti!AR36*TA_ti!AR$49*TA_ti!$BF36)</f>
        <v>10000</v>
      </c>
      <c r="AS36" s="4">
        <f>+IF(TA_ti!AS36*TA_ti!AS$49*TA_ti!$BF36=0,10000,TA_ti!AS36*TA_ti!AS$49*TA_ti!$BF36)</f>
        <v>10000</v>
      </c>
      <c r="AT36" s="4">
        <f>+IF(TA_ti!AT36*TA_ti!AT$49*TA_ti!$BF36=0,10000,TA_ti!AT36*TA_ti!AT$49*TA_ti!$BF36)</f>
        <v>10000</v>
      </c>
      <c r="AU36" s="4">
        <f>+IF(TA_ti!AU36*TA_ti!AU$49*TA_ti!$BF36=0,10000,TA_ti!AU36*TA_ti!AU$49*TA_ti!$BF36)</f>
        <v>10000</v>
      </c>
      <c r="AV36" s="4">
        <f>+IF(TA_ti!AV36*TA_ti!AV$49*TA_ti!$BF36=0,10000,TA_ti!AV36*TA_ti!AV$49*TA_ti!$BF36)</f>
        <v>10000</v>
      </c>
      <c r="AW36" s="4">
        <f>+IF(TA_ti!AW36*TA_ti!AW$49*TA_ti!$BF36=0,10000,TA_ti!AW36*TA_ti!AW$49*TA_ti!$BF36)</f>
        <v>10000</v>
      </c>
      <c r="AX36" s="4">
        <f>+IF(TA_ti!AX36*TA_ti!AX$49*TA_ti!$BF36=0,10000,TA_ti!AX36*TA_ti!AX$49*TA_ti!$BF36)</f>
        <v>10000</v>
      </c>
      <c r="AY36" s="4">
        <f>+IF(TA_ti!AY36*TA_ti!AY$49*TA_ti!$BF36=0,10000,TA_ti!AY36*TA_ti!AY$49*TA_ti!$BF36)</f>
        <v>10000</v>
      </c>
      <c r="AZ36" s="4">
        <f>+IF(TA_ti!AZ36*TA_ti!AZ$49*TA_ti!$BF36=0,10000,TA_ti!AZ36*TA_ti!AZ$49*TA_ti!$BF36)</f>
        <v>10000</v>
      </c>
      <c r="BA36" s="4">
        <f>+IF(TA_ti!BA36*TA_ti!BA$49*TA_ti!$BF36=0,10000,TA_ti!BA36*TA_ti!BA$49*TA_ti!$BF36)</f>
        <v>10000</v>
      </c>
      <c r="BB36" s="4">
        <f>+IF(TA_ti!BB36*TA_ti!BB$49*TA_ti!$BF36=0,10000,TA_ti!BB36*TA_ti!BB$49*TA_ti!$BF36)</f>
        <v>10000</v>
      </c>
      <c r="BC36" s="4">
        <f>+IF(TA_ti!BC36*TA_ti!BC$49*TA_ti!$BF36=0,10000,TA_ti!BC36*TA_ti!BC$49*TA_ti!$BF36)</f>
        <v>10000</v>
      </c>
    </row>
    <row r="37" spans="1:55" ht="18.75" customHeight="1" x14ac:dyDescent="0.25">
      <c r="A37" s="5" t="s">
        <v>88</v>
      </c>
      <c r="B37" s="4">
        <f>+IF(TA_ti!B37*TA_ti!B$49*TA_ti!$BF37=0,10000,TA_ti!B37*TA_ti!B$49*TA_ti!$BF37)</f>
        <v>10000</v>
      </c>
      <c r="C37" s="4">
        <f>+IF(TA_ti!C37*TA_ti!C$49*TA_ti!$BF37=0,10000,TA_ti!C37*TA_ti!C$49*TA_ti!$BF37)</f>
        <v>10000</v>
      </c>
      <c r="D37" s="4">
        <f>+IF(TA_ti!D37*TA_ti!D$49*TA_ti!$BF37=0,10000,TA_ti!D37*TA_ti!D$49*TA_ti!$BF37)</f>
        <v>10000</v>
      </c>
      <c r="E37" s="4">
        <f>+IF(TA_ti!E37*TA_ti!E$49*TA_ti!$BF37=0,10000,TA_ti!E37*TA_ti!E$49*TA_ti!$BF37)</f>
        <v>10000</v>
      </c>
      <c r="F37" s="4">
        <f>+IF(TA_ti!F37*TA_ti!F$49*TA_ti!$BF37=0,10000,TA_ti!F37*TA_ti!F$49*TA_ti!$BF37)</f>
        <v>10000</v>
      </c>
      <c r="G37" s="4">
        <f>+IF(TA_ti!G37*TA_ti!G$49*TA_ti!$BF37=0,10000,TA_ti!G37*TA_ti!G$49*TA_ti!$BF37)</f>
        <v>10000</v>
      </c>
      <c r="H37" s="4">
        <f>+IF(TA_ti!H37*TA_ti!H$49*TA_ti!$BF37=0,10000,TA_ti!H37*TA_ti!H$49*TA_ti!$BF37)</f>
        <v>10000</v>
      </c>
      <c r="I37" s="4">
        <f>+IF(TA_ti!I37*TA_ti!I$49*TA_ti!$BF37=0,10000,TA_ti!I37*TA_ti!I$49*TA_ti!$BF37)</f>
        <v>10000</v>
      </c>
      <c r="J37" s="4">
        <f>+IF(TA_ti!J37*TA_ti!J$49*TA_ti!$BF37=0,10000,TA_ti!J37*TA_ti!J$49*TA_ti!$BF37)</f>
        <v>10000</v>
      </c>
      <c r="K37" s="4">
        <f>+IF(TA_ti!K37*TA_ti!K$49*TA_ti!$BF37=0,10000,TA_ti!K37*TA_ti!K$49*TA_ti!$BF37)</f>
        <v>10000</v>
      </c>
      <c r="L37" s="4">
        <f>+IF(TA_ti!L37*TA_ti!L$49*TA_ti!$BF37=0,10000,TA_ti!L37*TA_ti!L$49*TA_ti!$BF37)</f>
        <v>10000</v>
      </c>
      <c r="M37" s="4">
        <f>+IF(TA_ti!M37*TA_ti!M$49*TA_ti!$BF37=0,10000,TA_ti!M37*TA_ti!M$49*TA_ti!$BF37)</f>
        <v>10000</v>
      </c>
      <c r="N37" s="4">
        <f>+IF(TA_ti!N37*TA_ti!N$49*TA_ti!$BF37=0,10000,TA_ti!N37*TA_ti!N$49*TA_ti!$BF37)</f>
        <v>10000</v>
      </c>
      <c r="O37" s="4">
        <f>+IF(TA_ti!O37*TA_ti!O$49*TA_ti!$BF37=0,10000,TA_ti!O37*TA_ti!O$49*TA_ti!$BF37)</f>
        <v>10000</v>
      </c>
      <c r="P37" s="4">
        <f>+IF(TA_ti!P37*TA_ti!P$49*TA_ti!$BF37=0,10000,TA_ti!P37*TA_ti!P$49*TA_ti!$BF37)</f>
        <v>10000</v>
      </c>
      <c r="Q37" s="4">
        <f>+IF(TA_ti!Q37*TA_ti!Q$49*TA_ti!$BF37=0,10000,TA_ti!Q37*TA_ti!Q$49*TA_ti!$BF37)</f>
        <v>10000</v>
      </c>
      <c r="R37" s="4">
        <f>+IF(TA_ti!R37*TA_ti!R$49*TA_ti!$BF37=0,10000,TA_ti!R37*TA_ti!R$49*TA_ti!$BF37)</f>
        <v>10000</v>
      </c>
      <c r="S37" s="4">
        <f>+IF(TA_ti!S37*TA_ti!S$49*TA_ti!$BF37=0,10000,TA_ti!S37*TA_ti!S$49*TA_ti!$BF37)</f>
        <v>10000</v>
      </c>
      <c r="T37" s="4">
        <f>+IF(TA_ti!T37*TA_ti!T$49*TA_ti!$BF37=0,10000,TA_ti!T37*TA_ti!T$49*TA_ti!$BF37)</f>
        <v>10000</v>
      </c>
      <c r="U37" s="4">
        <f>+IF(TA_ti!U37*TA_ti!U$49*TA_ti!$BF37=0,10000,TA_ti!U37*TA_ti!U$49*TA_ti!$BF37)</f>
        <v>10000</v>
      </c>
      <c r="V37" s="4">
        <f>+IF(TA_ti!V37*TA_ti!V$49*TA_ti!$BF37=0,10000,TA_ti!V37*TA_ti!V$49*TA_ti!$BF37)</f>
        <v>10000</v>
      </c>
      <c r="W37" s="4">
        <f>+IF(TA_ti!W37*TA_ti!W$49*TA_ti!$BF37=0,10000,TA_ti!W37*TA_ti!W$49*TA_ti!$BF37)</f>
        <v>10000</v>
      </c>
      <c r="X37" s="4">
        <f>+IF(TA_ti!X37*TA_ti!X$49*TA_ti!$BF37=0,10000,TA_ti!X37*TA_ti!X$49*TA_ti!$BF37)</f>
        <v>10000</v>
      </c>
      <c r="Y37" s="4">
        <f>+IF(TA_ti!Y37*TA_ti!Y$49*TA_ti!$BF37=0,10000,TA_ti!Y37*TA_ti!Y$49*TA_ti!$BF37)</f>
        <v>10000</v>
      </c>
      <c r="Z37" s="4">
        <f>+IF(TA_ti!Z37*TA_ti!Z$49*TA_ti!$BF37=0,10000,TA_ti!Z37*TA_ti!Z$49*TA_ti!$BF37)</f>
        <v>10000</v>
      </c>
      <c r="AA37" s="4">
        <f>+IF(TA_ti!AA37*TA_ti!AA$49*TA_ti!$BF37=0,10000,TA_ti!AA37*TA_ti!AA$49*TA_ti!$BF37)</f>
        <v>10000</v>
      </c>
      <c r="AB37" s="4">
        <f>+IF(TA_ti!AB37*TA_ti!AB$49*TA_ti!$BF37=0,10000,TA_ti!AB37*TA_ti!AB$49*TA_ti!$BF37)</f>
        <v>10000</v>
      </c>
      <c r="AC37" s="4">
        <f>+IF(TA_ti!AC37*TA_ti!AC$49*TA_ti!$BF37=0,10000,TA_ti!AC37*TA_ti!AC$49*TA_ti!$BF37)</f>
        <v>10000</v>
      </c>
      <c r="AD37" s="4">
        <f>+IF(TA_ti!AD37*TA_ti!AD$49*TA_ti!$BF37=0,10000,TA_ti!AD37*TA_ti!AD$49*TA_ti!$BF37)</f>
        <v>10000</v>
      </c>
      <c r="AE37" s="4">
        <f>+IF(TA_ti!AE37*TA_ti!AE$49*TA_ti!$BF37=0,10000,TA_ti!AE37*TA_ti!AE$49*TA_ti!$BF37)</f>
        <v>10000</v>
      </c>
      <c r="AF37" s="4">
        <f>+IF(TA_ti!AF37*TA_ti!AF$49*TA_ti!$BF37=0,10000,TA_ti!AF37*TA_ti!AF$49*TA_ti!$BF37)</f>
        <v>10000</v>
      </c>
      <c r="AG37" s="4">
        <f>+IF(TA_ti!AG37*TA_ti!AG$49*TA_ti!$BF37=0,10000,TA_ti!AG37*TA_ti!AG$49*TA_ti!$BF37)</f>
        <v>10000</v>
      </c>
      <c r="AH37" s="4">
        <f>+IF(TA_ti!AH37*TA_ti!AH$49*TA_ti!$BF37=0,10000,TA_ti!AH37*TA_ti!AH$49*TA_ti!$BF37)</f>
        <v>10000</v>
      </c>
      <c r="AI37" s="4">
        <f>+IF(TA_ti!AI37*TA_ti!AI$49*TA_ti!$BF37=0,10000,TA_ti!AI37*TA_ti!AI$49*TA_ti!$BF37)</f>
        <v>10000</v>
      </c>
      <c r="AJ37" s="4">
        <f>+IF(TA_ti!AJ37*TA_ti!AJ$49*TA_ti!$BF37=0,10000,TA_ti!AJ37*TA_ti!AJ$49*TA_ti!$BF37)</f>
        <v>10000</v>
      </c>
      <c r="AK37" s="4">
        <f>+IF(TA_ti!AK37*TA_ti!AK$49*TA_ti!$BF37=0,10000,TA_ti!AK37*TA_ti!AK$49*TA_ti!$BF37)</f>
        <v>10000</v>
      </c>
      <c r="AL37" s="4">
        <f>+IF(TA_ti!AL37*TA_ti!AL$49*TA_ti!$BF37=0,10000,TA_ti!AL37*TA_ti!AL$49*TA_ti!$BF37)</f>
        <v>10000</v>
      </c>
      <c r="AM37" s="4">
        <f>+IF(TA_ti!AM37*TA_ti!AM$49*TA_ti!$BF37=0,10000,TA_ti!AM37*TA_ti!AM$49*TA_ti!$BF37)</f>
        <v>10000</v>
      </c>
      <c r="AN37" s="4">
        <f>+IF(TA_ti!AN37*TA_ti!AN$49*TA_ti!$BF37=0,10000,TA_ti!AN37*TA_ti!AN$49*TA_ti!$BF37)</f>
        <v>10000</v>
      </c>
      <c r="AO37" s="4">
        <f>+IF(TA_ti!AO37*TA_ti!AO$49*TA_ti!$BF37=0,10000,TA_ti!AO37*TA_ti!AO$49*TA_ti!$BF37)</f>
        <v>10000</v>
      </c>
      <c r="AP37" s="4">
        <f>+IF(TA_ti!AP37*TA_ti!AP$49*TA_ti!$BF37=0,10000,TA_ti!AP37*TA_ti!AP$49*TA_ti!$BF37)</f>
        <v>10000</v>
      </c>
      <c r="AQ37" s="4">
        <f>+IF(TA_ti!AQ37*TA_ti!AQ$49*TA_ti!$BF37=0,10000,TA_ti!AQ37*TA_ti!AQ$49*TA_ti!$BF37)</f>
        <v>10000</v>
      </c>
      <c r="AR37" s="4">
        <f>+IF(TA_ti!AR37*TA_ti!AR$49*TA_ti!$BF37=0,10000,TA_ti!AR37*TA_ti!AR$49*TA_ti!$BF37)</f>
        <v>10000</v>
      </c>
      <c r="AS37" s="4">
        <f>+IF(TA_ti!AS37*TA_ti!AS$49*TA_ti!$BF37=0,10000,TA_ti!AS37*TA_ti!AS$49*TA_ti!$BF37)</f>
        <v>10000</v>
      </c>
      <c r="AT37" s="4">
        <f>+IF(TA_ti!AT37*TA_ti!AT$49*TA_ti!$BF37=0,10000,TA_ti!AT37*TA_ti!AT$49*TA_ti!$BF37)</f>
        <v>10000</v>
      </c>
      <c r="AU37" s="4">
        <f>+IF(TA_ti!AU37*TA_ti!AU$49*TA_ti!$BF37=0,10000,TA_ti!AU37*TA_ti!AU$49*TA_ti!$BF37)</f>
        <v>10000</v>
      </c>
      <c r="AV37" s="4">
        <f>+IF(TA_ti!AV37*TA_ti!AV$49*TA_ti!$BF37=0,10000,TA_ti!AV37*TA_ti!AV$49*TA_ti!$BF37)</f>
        <v>10000</v>
      </c>
      <c r="AW37" s="4">
        <f>+IF(TA_ti!AW37*TA_ti!AW$49*TA_ti!$BF37=0,10000,TA_ti!AW37*TA_ti!AW$49*TA_ti!$BF37)</f>
        <v>10000</v>
      </c>
      <c r="AX37" s="4">
        <f>+IF(TA_ti!AX37*TA_ti!AX$49*TA_ti!$BF37=0,10000,TA_ti!AX37*TA_ti!AX$49*TA_ti!$BF37)</f>
        <v>10000</v>
      </c>
      <c r="AY37" s="4">
        <f>+IF(TA_ti!AY37*TA_ti!AY$49*TA_ti!$BF37=0,10000,TA_ti!AY37*TA_ti!AY$49*TA_ti!$BF37)</f>
        <v>10000</v>
      </c>
      <c r="AZ37" s="4">
        <f>+IF(TA_ti!AZ37*TA_ti!AZ$49*TA_ti!$BF37=0,10000,TA_ti!AZ37*TA_ti!AZ$49*TA_ti!$BF37)</f>
        <v>10000</v>
      </c>
      <c r="BA37" s="4">
        <f>+IF(TA_ti!BA37*TA_ti!BA$49*TA_ti!$BF37=0,10000,TA_ti!BA37*TA_ti!BA$49*TA_ti!$BF37)</f>
        <v>10000</v>
      </c>
      <c r="BB37" s="4">
        <f>+IF(TA_ti!BB37*TA_ti!BB$49*TA_ti!$BF37=0,10000,TA_ti!BB37*TA_ti!BB$49*TA_ti!$BF37)</f>
        <v>10000</v>
      </c>
      <c r="BC37" s="4">
        <f>+IF(TA_ti!BC37*TA_ti!BC$49*TA_ti!$BF37=0,10000,TA_ti!BC37*TA_ti!BC$49*TA_ti!$BF37)</f>
        <v>10000</v>
      </c>
    </row>
    <row r="38" spans="1:55" ht="18.75" customHeight="1" x14ac:dyDescent="0.25">
      <c r="A38" s="5" t="s">
        <v>89</v>
      </c>
      <c r="B38" s="4">
        <f>+IF(TA_ti!B38*TA_ti!B$49*TA_ti!$BF38=0,10000,TA_ti!B38*TA_ti!B$49*TA_ti!$BF38)</f>
        <v>10000</v>
      </c>
      <c r="C38" s="4">
        <f>+IF(TA_ti!C38*TA_ti!C$49*TA_ti!$BF38=0,10000,TA_ti!C38*TA_ti!C$49*TA_ti!$BF38)</f>
        <v>10000</v>
      </c>
      <c r="D38" s="4">
        <f>+IF(TA_ti!D38*TA_ti!D$49*TA_ti!$BF38=0,10000,TA_ti!D38*TA_ti!D$49*TA_ti!$BF38)</f>
        <v>10000</v>
      </c>
      <c r="E38" s="4">
        <f>+IF(TA_ti!E38*TA_ti!E$49*TA_ti!$BF38=0,10000,TA_ti!E38*TA_ti!E$49*TA_ti!$BF38)</f>
        <v>10000</v>
      </c>
      <c r="F38" s="4">
        <f>+IF(TA_ti!F38*TA_ti!F$49*TA_ti!$BF38=0,10000,TA_ti!F38*TA_ti!F$49*TA_ti!$BF38)</f>
        <v>10000</v>
      </c>
      <c r="G38" s="4">
        <f>+IF(TA_ti!G38*TA_ti!G$49*TA_ti!$BF38=0,10000,TA_ti!G38*TA_ti!G$49*TA_ti!$BF38)</f>
        <v>10000</v>
      </c>
      <c r="H38" s="4">
        <f>+IF(TA_ti!H38*TA_ti!H$49*TA_ti!$BF38=0,10000,TA_ti!H38*TA_ti!H$49*TA_ti!$BF38)</f>
        <v>10000</v>
      </c>
      <c r="I38" s="4">
        <f>+IF(TA_ti!I38*TA_ti!I$49*TA_ti!$BF38=0,10000,TA_ti!I38*TA_ti!I$49*TA_ti!$BF38)</f>
        <v>10000</v>
      </c>
      <c r="J38" s="4">
        <f>+IF(TA_ti!J38*TA_ti!J$49*TA_ti!$BF38=0,10000,TA_ti!J38*TA_ti!J$49*TA_ti!$BF38)</f>
        <v>10000</v>
      </c>
      <c r="K38" s="4">
        <f>+IF(TA_ti!K38*TA_ti!K$49*TA_ti!$BF38=0,10000,TA_ti!K38*TA_ti!K$49*TA_ti!$BF38)</f>
        <v>10000</v>
      </c>
      <c r="L38" s="4">
        <f>+IF(TA_ti!L38*TA_ti!L$49*TA_ti!$BF38=0,10000,TA_ti!L38*TA_ti!L$49*TA_ti!$BF38)</f>
        <v>10000</v>
      </c>
      <c r="M38" s="4">
        <f>+IF(TA_ti!M38*TA_ti!M$49*TA_ti!$BF38=0,10000,TA_ti!M38*TA_ti!M$49*TA_ti!$BF38)</f>
        <v>10000</v>
      </c>
      <c r="N38" s="4">
        <f>+IF(TA_ti!N38*TA_ti!N$49*TA_ti!$BF38=0,10000,TA_ti!N38*TA_ti!N$49*TA_ti!$BF38)</f>
        <v>10000</v>
      </c>
      <c r="O38" s="4">
        <f>+IF(TA_ti!O38*TA_ti!O$49*TA_ti!$BF38=0,10000,TA_ti!O38*TA_ti!O$49*TA_ti!$BF38)</f>
        <v>10000</v>
      </c>
      <c r="P38" s="4">
        <f>+IF(TA_ti!P38*TA_ti!P$49*TA_ti!$BF38=0,10000,TA_ti!P38*TA_ti!P$49*TA_ti!$BF38)</f>
        <v>10000</v>
      </c>
      <c r="Q38" s="4">
        <f>+IF(TA_ti!Q38*TA_ti!Q$49*TA_ti!$BF38=0,10000,TA_ti!Q38*TA_ti!Q$49*TA_ti!$BF38)</f>
        <v>10000</v>
      </c>
      <c r="R38" s="4">
        <f>+IF(TA_ti!R38*TA_ti!R$49*TA_ti!$BF38=0,10000,TA_ti!R38*TA_ti!R$49*TA_ti!$BF38)</f>
        <v>10000</v>
      </c>
      <c r="S38" s="4">
        <f>+IF(TA_ti!S38*TA_ti!S$49*TA_ti!$BF38=0,10000,TA_ti!S38*TA_ti!S$49*TA_ti!$BF38)</f>
        <v>10000</v>
      </c>
      <c r="T38" s="4">
        <f>+IF(TA_ti!T38*TA_ti!T$49*TA_ti!$BF38=0,10000,TA_ti!T38*TA_ti!T$49*TA_ti!$BF38)</f>
        <v>10000</v>
      </c>
      <c r="U38" s="4">
        <f>+IF(TA_ti!U38*TA_ti!U$49*TA_ti!$BF38=0,10000,TA_ti!U38*TA_ti!U$49*TA_ti!$BF38)</f>
        <v>10000</v>
      </c>
      <c r="V38" s="4">
        <f>+IF(TA_ti!V38*TA_ti!V$49*TA_ti!$BF38=0,10000,TA_ti!V38*TA_ti!V$49*TA_ti!$BF38)</f>
        <v>10000</v>
      </c>
      <c r="W38" s="4">
        <f>+IF(TA_ti!W38*TA_ti!W$49*TA_ti!$BF38=0,10000,TA_ti!W38*TA_ti!W$49*TA_ti!$BF38)</f>
        <v>10000</v>
      </c>
      <c r="X38" s="4">
        <f>+IF(TA_ti!X38*TA_ti!X$49*TA_ti!$BF38=0,10000,TA_ti!X38*TA_ti!X$49*TA_ti!$BF38)</f>
        <v>10000</v>
      </c>
      <c r="Y38" s="4">
        <f>+IF(TA_ti!Y38*TA_ti!Y$49*TA_ti!$BF38=0,10000,TA_ti!Y38*TA_ti!Y$49*TA_ti!$BF38)</f>
        <v>10000</v>
      </c>
      <c r="Z38" s="4">
        <f>+IF(TA_ti!Z38*TA_ti!Z$49*TA_ti!$BF38=0,10000,TA_ti!Z38*TA_ti!Z$49*TA_ti!$BF38)</f>
        <v>10000</v>
      </c>
      <c r="AA38" s="4">
        <f>+IF(TA_ti!AA38*TA_ti!AA$49*TA_ti!$BF38=0,10000,TA_ti!AA38*TA_ti!AA$49*TA_ti!$BF38)</f>
        <v>10000</v>
      </c>
      <c r="AB38" s="4">
        <f>+IF(TA_ti!AB38*TA_ti!AB$49*TA_ti!$BF38=0,10000,TA_ti!AB38*TA_ti!AB$49*TA_ti!$BF38)</f>
        <v>10000</v>
      </c>
      <c r="AC38" s="4">
        <f>+IF(TA_ti!AC38*TA_ti!AC$49*TA_ti!$BF38=0,10000,TA_ti!AC38*TA_ti!AC$49*TA_ti!$BF38)</f>
        <v>10000</v>
      </c>
      <c r="AD38" s="4">
        <f>+IF(TA_ti!AD38*TA_ti!AD$49*TA_ti!$BF38=0,10000,TA_ti!AD38*TA_ti!AD$49*TA_ti!$BF38)</f>
        <v>10000</v>
      </c>
      <c r="AE38" s="4">
        <f>+IF(TA_ti!AE38*TA_ti!AE$49*TA_ti!$BF38=0,10000,TA_ti!AE38*TA_ti!AE$49*TA_ti!$BF38)</f>
        <v>10000</v>
      </c>
      <c r="AF38" s="4">
        <f>+IF(TA_ti!AF38*TA_ti!AF$49*TA_ti!$BF38=0,10000,TA_ti!AF38*TA_ti!AF$49*TA_ti!$BF38)</f>
        <v>10000</v>
      </c>
      <c r="AG38" s="4">
        <f>+IF(TA_ti!AG38*TA_ti!AG$49*TA_ti!$BF38=0,10000,TA_ti!AG38*TA_ti!AG$49*TA_ti!$BF38)</f>
        <v>10000</v>
      </c>
      <c r="AH38" s="4">
        <f>+IF(TA_ti!AH38*TA_ti!AH$49*TA_ti!$BF38=0,10000,TA_ti!AH38*TA_ti!AH$49*TA_ti!$BF38)</f>
        <v>10000</v>
      </c>
      <c r="AI38" s="4">
        <f>+IF(TA_ti!AI38*TA_ti!AI$49*TA_ti!$BF38=0,10000,TA_ti!AI38*TA_ti!AI$49*TA_ti!$BF38)</f>
        <v>10000</v>
      </c>
      <c r="AJ38" s="4">
        <f>+IF(TA_ti!AJ38*TA_ti!AJ$49*TA_ti!$BF38=0,10000,TA_ti!AJ38*TA_ti!AJ$49*TA_ti!$BF38)</f>
        <v>10000</v>
      </c>
      <c r="AK38" s="4">
        <f>+IF(TA_ti!AK38*TA_ti!AK$49*TA_ti!$BF38=0,10000,TA_ti!AK38*TA_ti!AK$49*TA_ti!$BF38)</f>
        <v>10000</v>
      </c>
      <c r="AL38" s="4">
        <f>+IF(TA_ti!AL38*TA_ti!AL$49*TA_ti!$BF38=0,10000,TA_ti!AL38*TA_ti!AL$49*TA_ti!$BF38)</f>
        <v>10000</v>
      </c>
      <c r="AM38" s="4">
        <f>+IF(TA_ti!AM38*TA_ti!AM$49*TA_ti!$BF38=0,10000,TA_ti!AM38*TA_ti!AM$49*TA_ti!$BF38)</f>
        <v>10000</v>
      </c>
      <c r="AN38" s="4">
        <f>+IF(TA_ti!AN38*TA_ti!AN$49*TA_ti!$BF38=0,10000,TA_ti!AN38*TA_ti!AN$49*TA_ti!$BF38)</f>
        <v>10000</v>
      </c>
      <c r="AO38" s="4">
        <f>+IF(TA_ti!AO38*TA_ti!AO$49*TA_ti!$BF38=0,10000,TA_ti!AO38*TA_ti!AO$49*TA_ti!$BF38)</f>
        <v>10000</v>
      </c>
      <c r="AP38" s="4">
        <f>+IF(TA_ti!AP38*TA_ti!AP$49*TA_ti!$BF38=0,10000,TA_ti!AP38*TA_ti!AP$49*TA_ti!$BF38)</f>
        <v>10000</v>
      </c>
      <c r="AQ38" s="4">
        <f>+IF(TA_ti!AQ38*TA_ti!AQ$49*TA_ti!$BF38=0,10000,TA_ti!AQ38*TA_ti!AQ$49*TA_ti!$BF38)</f>
        <v>10000</v>
      </c>
      <c r="AR38" s="4">
        <f>+IF(TA_ti!AR38*TA_ti!AR$49*TA_ti!$BF38=0,10000,TA_ti!AR38*TA_ti!AR$49*TA_ti!$BF38)</f>
        <v>10000</v>
      </c>
      <c r="AS38" s="4">
        <f>+IF(TA_ti!AS38*TA_ti!AS$49*TA_ti!$BF38=0,10000,TA_ti!AS38*TA_ti!AS$49*TA_ti!$BF38)</f>
        <v>10000</v>
      </c>
      <c r="AT38" s="4">
        <f>+IF(TA_ti!AT38*TA_ti!AT$49*TA_ti!$BF38=0,10000,TA_ti!AT38*TA_ti!AT$49*TA_ti!$BF38)</f>
        <v>10000</v>
      </c>
      <c r="AU38" s="4">
        <f>+IF(TA_ti!AU38*TA_ti!AU$49*TA_ti!$BF38=0,10000,TA_ti!AU38*TA_ti!AU$49*TA_ti!$BF38)</f>
        <v>10000</v>
      </c>
      <c r="AV38" s="4">
        <f>+IF(TA_ti!AV38*TA_ti!AV$49*TA_ti!$BF38=0,10000,TA_ti!AV38*TA_ti!AV$49*TA_ti!$BF38)</f>
        <v>10000</v>
      </c>
      <c r="AW38" s="4">
        <f>+IF(TA_ti!AW38*TA_ti!AW$49*TA_ti!$BF38=0,10000,TA_ti!AW38*TA_ti!AW$49*TA_ti!$BF38)</f>
        <v>10000</v>
      </c>
      <c r="AX38" s="4">
        <f>+IF(TA_ti!AX38*TA_ti!AX$49*TA_ti!$BF38=0,10000,TA_ti!AX38*TA_ti!AX$49*TA_ti!$BF38)</f>
        <v>10000</v>
      </c>
      <c r="AY38" s="4">
        <f>+IF(TA_ti!AY38*TA_ti!AY$49*TA_ti!$BF38=0,10000,TA_ti!AY38*TA_ti!AY$49*TA_ti!$BF38)</f>
        <v>10000</v>
      </c>
      <c r="AZ38" s="4">
        <f>+IF(TA_ti!AZ38*TA_ti!AZ$49*TA_ti!$BF38=0,10000,TA_ti!AZ38*TA_ti!AZ$49*TA_ti!$BF38)</f>
        <v>10000</v>
      </c>
      <c r="BA38" s="4">
        <f>+IF(TA_ti!BA38*TA_ti!BA$49*TA_ti!$BF38=0,10000,TA_ti!BA38*TA_ti!BA$49*TA_ti!$BF38)</f>
        <v>10000</v>
      </c>
      <c r="BB38" s="4">
        <f>+IF(TA_ti!BB38*TA_ti!BB$49*TA_ti!$BF38=0,10000,TA_ti!BB38*TA_ti!BB$49*TA_ti!$BF38)</f>
        <v>10000</v>
      </c>
      <c r="BC38" s="4">
        <f>+IF(TA_ti!BC38*TA_ti!BC$49*TA_ti!$BF38=0,10000,TA_ti!BC38*TA_ti!BC$49*TA_ti!$BF38)</f>
        <v>10000</v>
      </c>
    </row>
    <row r="39" spans="1:55" ht="18.75" customHeight="1" x14ac:dyDescent="0.25">
      <c r="A39" s="5" t="s">
        <v>90</v>
      </c>
      <c r="B39" s="4">
        <f>+IF(TA_ti!B39*TA_ti!B$49*TA_ti!$BF39=0,10000,TA_ti!B39*TA_ti!B$49*TA_ti!$BF39)</f>
        <v>10000</v>
      </c>
      <c r="C39" s="4">
        <f>+IF(TA_ti!C39*TA_ti!C$49*TA_ti!$BF39=0,10000,TA_ti!C39*TA_ti!C$49*TA_ti!$BF39)</f>
        <v>10000</v>
      </c>
      <c r="D39" s="4">
        <f>+IF(TA_ti!D39*TA_ti!D$49*TA_ti!$BF39=0,10000,TA_ti!D39*TA_ti!D$49*TA_ti!$BF39)</f>
        <v>10000</v>
      </c>
      <c r="E39" s="4">
        <f>+IF(TA_ti!E39*TA_ti!E$49*TA_ti!$BF39=0,10000,TA_ti!E39*TA_ti!E$49*TA_ti!$BF39)</f>
        <v>10000</v>
      </c>
      <c r="F39" s="4">
        <f>+IF(TA_ti!F39*TA_ti!F$49*TA_ti!$BF39=0,10000,TA_ti!F39*TA_ti!F$49*TA_ti!$BF39)</f>
        <v>10000</v>
      </c>
      <c r="G39" s="4">
        <f>+IF(TA_ti!G39*TA_ti!G$49*TA_ti!$BF39=0,10000,TA_ti!G39*TA_ti!G$49*TA_ti!$BF39)</f>
        <v>10000</v>
      </c>
      <c r="H39" s="4">
        <f>+IF(TA_ti!H39*TA_ti!H$49*TA_ti!$BF39=0,10000,TA_ti!H39*TA_ti!H$49*TA_ti!$BF39)</f>
        <v>10000</v>
      </c>
      <c r="I39" s="4">
        <f>+IF(TA_ti!I39*TA_ti!I$49*TA_ti!$BF39=0,10000,TA_ti!I39*TA_ti!I$49*TA_ti!$BF39)</f>
        <v>10000</v>
      </c>
      <c r="J39" s="4">
        <f>+IF(TA_ti!J39*TA_ti!J$49*TA_ti!$BF39=0,10000,TA_ti!J39*TA_ti!J$49*TA_ti!$BF39)</f>
        <v>10000</v>
      </c>
      <c r="K39" s="4">
        <f>+IF(TA_ti!K39*TA_ti!K$49*TA_ti!$BF39=0,10000,TA_ti!K39*TA_ti!K$49*TA_ti!$BF39)</f>
        <v>10000</v>
      </c>
      <c r="L39" s="4">
        <f>+IF(TA_ti!L39*TA_ti!L$49*TA_ti!$BF39=0,10000,TA_ti!L39*TA_ti!L$49*TA_ti!$BF39)</f>
        <v>10000</v>
      </c>
      <c r="M39" s="4">
        <f>+IF(TA_ti!M39*TA_ti!M$49*TA_ti!$BF39=0,10000,TA_ti!M39*TA_ti!M$49*TA_ti!$BF39)</f>
        <v>10000</v>
      </c>
      <c r="N39" s="4">
        <f>+IF(TA_ti!N39*TA_ti!N$49*TA_ti!$BF39=0,10000,TA_ti!N39*TA_ti!N$49*TA_ti!$BF39)</f>
        <v>10000</v>
      </c>
      <c r="O39" s="4">
        <f>+IF(TA_ti!O39*TA_ti!O$49*TA_ti!$BF39=0,10000,TA_ti!O39*TA_ti!O$49*TA_ti!$BF39)</f>
        <v>10000</v>
      </c>
      <c r="P39" s="4">
        <f>+IF(TA_ti!P39*TA_ti!P$49*TA_ti!$BF39=0,10000,TA_ti!P39*TA_ti!P$49*TA_ti!$BF39)</f>
        <v>10000</v>
      </c>
      <c r="Q39" s="4">
        <f>+IF(TA_ti!Q39*TA_ti!Q$49*TA_ti!$BF39=0,10000,TA_ti!Q39*TA_ti!Q$49*TA_ti!$BF39)</f>
        <v>10000</v>
      </c>
      <c r="R39" s="4">
        <f>+IF(TA_ti!R39*TA_ti!R$49*TA_ti!$BF39=0,10000,TA_ti!R39*TA_ti!R$49*TA_ti!$BF39)</f>
        <v>10000</v>
      </c>
      <c r="S39" s="4">
        <f>+IF(TA_ti!S39*TA_ti!S$49*TA_ti!$BF39=0,10000,TA_ti!S39*TA_ti!S$49*TA_ti!$BF39)</f>
        <v>10000</v>
      </c>
      <c r="T39" s="4">
        <f>+IF(TA_ti!T39*TA_ti!T$49*TA_ti!$BF39=0,10000,TA_ti!T39*TA_ti!T$49*TA_ti!$BF39)</f>
        <v>10000</v>
      </c>
      <c r="U39" s="4">
        <f>+IF(TA_ti!U39*TA_ti!U$49*TA_ti!$BF39=0,10000,TA_ti!U39*TA_ti!U$49*TA_ti!$BF39)</f>
        <v>10000</v>
      </c>
      <c r="V39" s="4">
        <f>+IF(TA_ti!V39*TA_ti!V$49*TA_ti!$BF39=0,10000,TA_ti!V39*TA_ti!V$49*TA_ti!$BF39)</f>
        <v>10000</v>
      </c>
      <c r="W39" s="4">
        <f>+IF(TA_ti!W39*TA_ti!W$49*TA_ti!$BF39=0,10000,TA_ti!W39*TA_ti!W$49*TA_ti!$BF39)</f>
        <v>10000</v>
      </c>
      <c r="X39" s="4">
        <f>+IF(TA_ti!X39*TA_ti!X$49*TA_ti!$BF39=0,10000,TA_ti!X39*TA_ti!X$49*TA_ti!$BF39)</f>
        <v>10000</v>
      </c>
      <c r="Y39" s="4">
        <f>+IF(TA_ti!Y39*TA_ti!Y$49*TA_ti!$BF39=0,10000,TA_ti!Y39*TA_ti!Y$49*TA_ti!$BF39)</f>
        <v>10000</v>
      </c>
      <c r="Z39" s="4">
        <f>+IF(TA_ti!Z39*TA_ti!Z$49*TA_ti!$BF39=0,10000,TA_ti!Z39*TA_ti!Z$49*TA_ti!$BF39)</f>
        <v>10000</v>
      </c>
      <c r="AA39" s="4">
        <f>+IF(TA_ti!AA39*TA_ti!AA$49*TA_ti!$BF39=0,10000,TA_ti!AA39*TA_ti!AA$49*TA_ti!$BF39)</f>
        <v>10000</v>
      </c>
      <c r="AB39" s="4">
        <f>+IF(TA_ti!AB39*TA_ti!AB$49*TA_ti!$BF39=0,10000,TA_ti!AB39*TA_ti!AB$49*TA_ti!$BF39)</f>
        <v>10000</v>
      </c>
      <c r="AC39" s="4">
        <f>+IF(TA_ti!AC39*TA_ti!AC$49*TA_ti!$BF39=0,10000,TA_ti!AC39*TA_ti!AC$49*TA_ti!$BF39)</f>
        <v>10000</v>
      </c>
      <c r="AD39" s="4">
        <f>+IF(TA_ti!AD39*TA_ti!AD$49*TA_ti!$BF39=0,10000,TA_ti!AD39*TA_ti!AD$49*TA_ti!$BF39)</f>
        <v>10000</v>
      </c>
      <c r="AE39" s="4">
        <f>+IF(TA_ti!AE39*TA_ti!AE$49*TA_ti!$BF39=0,10000,TA_ti!AE39*TA_ti!AE$49*TA_ti!$BF39)</f>
        <v>10000</v>
      </c>
      <c r="AF39" s="4">
        <f>+IF(TA_ti!AF39*TA_ti!AF$49*TA_ti!$BF39=0,10000,TA_ti!AF39*TA_ti!AF$49*TA_ti!$BF39)</f>
        <v>10000</v>
      </c>
      <c r="AG39" s="4">
        <f>+IF(TA_ti!AG39*TA_ti!AG$49*TA_ti!$BF39=0,10000,TA_ti!AG39*TA_ti!AG$49*TA_ti!$BF39)</f>
        <v>10000</v>
      </c>
      <c r="AH39" s="4">
        <f>+IF(TA_ti!AH39*TA_ti!AH$49*TA_ti!$BF39=0,10000,TA_ti!AH39*TA_ti!AH$49*TA_ti!$BF39)</f>
        <v>10000</v>
      </c>
      <c r="AI39" s="4">
        <f>+IF(TA_ti!AI39*TA_ti!AI$49*TA_ti!$BF39=0,10000,TA_ti!AI39*TA_ti!AI$49*TA_ti!$BF39)</f>
        <v>10000</v>
      </c>
      <c r="AJ39" s="4">
        <f>+IF(TA_ti!AJ39*TA_ti!AJ$49*TA_ti!$BF39=0,10000,TA_ti!AJ39*TA_ti!AJ$49*TA_ti!$BF39)</f>
        <v>10000</v>
      </c>
      <c r="AK39" s="4">
        <f>+IF(TA_ti!AK39*TA_ti!AK$49*TA_ti!$BF39=0,10000,TA_ti!AK39*TA_ti!AK$49*TA_ti!$BF39)</f>
        <v>10000</v>
      </c>
      <c r="AL39" s="4">
        <f>+IF(TA_ti!AL39*TA_ti!AL$49*TA_ti!$BF39=0,10000,TA_ti!AL39*TA_ti!AL$49*TA_ti!$BF39)</f>
        <v>10000</v>
      </c>
      <c r="AM39" s="4">
        <f>+IF(TA_ti!AM39*TA_ti!AM$49*TA_ti!$BF39=0,10000,TA_ti!AM39*TA_ti!AM$49*TA_ti!$BF39)</f>
        <v>10000</v>
      </c>
      <c r="AN39" s="4">
        <f>+IF(TA_ti!AN39*TA_ti!AN$49*TA_ti!$BF39=0,10000,TA_ti!AN39*TA_ti!AN$49*TA_ti!$BF39)</f>
        <v>10000</v>
      </c>
      <c r="AO39" s="4">
        <f>+IF(TA_ti!AO39*TA_ti!AO$49*TA_ti!$BF39=0,10000,TA_ti!AO39*TA_ti!AO$49*TA_ti!$BF39)</f>
        <v>10000</v>
      </c>
      <c r="AP39" s="4">
        <f>+IF(TA_ti!AP39*TA_ti!AP$49*TA_ti!$BF39=0,10000,TA_ti!AP39*TA_ti!AP$49*TA_ti!$BF39)</f>
        <v>10000</v>
      </c>
      <c r="AQ39" s="4">
        <f>+IF(TA_ti!AQ39*TA_ti!AQ$49*TA_ti!$BF39=0,10000,TA_ti!AQ39*TA_ti!AQ$49*TA_ti!$BF39)</f>
        <v>10000</v>
      </c>
      <c r="AR39" s="4">
        <f>+IF(TA_ti!AR39*TA_ti!AR$49*TA_ti!$BF39=0,10000,TA_ti!AR39*TA_ti!AR$49*TA_ti!$BF39)</f>
        <v>10000</v>
      </c>
      <c r="AS39" s="4">
        <f>+IF(TA_ti!AS39*TA_ti!AS$49*TA_ti!$BF39=0,10000,TA_ti!AS39*TA_ti!AS$49*TA_ti!$BF39)</f>
        <v>10000</v>
      </c>
      <c r="AT39" s="4">
        <f>+IF(TA_ti!AT39*TA_ti!AT$49*TA_ti!$BF39=0,10000,TA_ti!AT39*TA_ti!AT$49*TA_ti!$BF39)</f>
        <v>10000</v>
      </c>
      <c r="AU39" s="4">
        <f>+IF(TA_ti!AU39*TA_ti!AU$49*TA_ti!$BF39=0,10000,TA_ti!AU39*TA_ti!AU$49*TA_ti!$BF39)</f>
        <v>10000</v>
      </c>
      <c r="AV39" s="4">
        <f>+IF(TA_ti!AV39*TA_ti!AV$49*TA_ti!$BF39=0,10000,TA_ti!AV39*TA_ti!AV$49*TA_ti!$BF39)</f>
        <v>10000</v>
      </c>
      <c r="AW39" s="4">
        <f>+IF(TA_ti!AW39*TA_ti!AW$49*TA_ti!$BF39=0,10000,TA_ti!AW39*TA_ti!AW$49*TA_ti!$BF39)</f>
        <v>10000</v>
      </c>
      <c r="AX39" s="4">
        <f>+IF(TA_ti!AX39*TA_ti!AX$49*TA_ti!$BF39=0,10000,TA_ti!AX39*TA_ti!AX$49*TA_ti!$BF39)</f>
        <v>10000</v>
      </c>
      <c r="AY39" s="4">
        <f>+IF(TA_ti!AY39*TA_ti!AY$49*TA_ti!$BF39=0,10000,TA_ti!AY39*TA_ti!AY$49*TA_ti!$BF39)</f>
        <v>10000</v>
      </c>
      <c r="AZ39" s="4">
        <f>+IF(TA_ti!AZ39*TA_ti!AZ$49*TA_ti!$BF39=0,10000,TA_ti!AZ39*TA_ti!AZ$49*TA_ti!$BF39)</f>
        <v>10000</v>
      </c>
      <c r="BA39" s="4">
        <f>+IF(TA_ti!BA39*TA_ti!BA$49*TA_ti!$BF39=0,10000,TA_ti!BA39*TA_ti!BA$49*TA_ti!$BF39)</f>
        <v>10000</v>
      </c>
      <c r="BB39" s="4">
        <f>+IF(TA_ti!BB39*TA_ti!BB$49*TA_ti!$BF39=0,10000,TA_ti!BB39*TA_ti!BB$49*TA_ti!$BF39)</f>
        <v>10000</v>
      </c>
      <c r="BC39" s="4">
        <f>+IF(TA_ti!BC39*TA_ti!BC$49*TA_ti!$BF39=0,10000,TA_ti!BC39*TA_ti!BC$49*TA_ti!$BF39)</f>
        <v>10000</v>
      </c>
    </row>
    <row r="40" spans="1:55" ht="18.75" customHeight="1" x14ac:dyDescent="0.25">
      <c r="A40" s="5" t="s">
        <v>91</v>
      </c>
      <c r="B40" s="4">
        <f>+IF(TA_ti!B40*TA_ti!B$49*TA_ti!$BF40=0,10000,TA_ti!B40*TA_ti!B$49*TA_ti!$BF40)</f>
        <v>10000</v>
      </c>
      <c r="C40" s="4">
        <f>+IF(TA_ti!C40*TA_ti!C$49*TA_ti!$BF40=0,10000,TA_ti!C40*TA_ti!C$49*TA_ti!$BF40)</f>
        <v>10000</v>
      </c>
      <c r="D40" s="4">
        <f>+IF(TA_ti!D40*TA_ti!D$49*TA_ti!$BF40=0,10000,TA_ti!D40*TA_ti!D$49*TA_ti!$BF40)</f>
        <v>10000</v>
      </c>
      <c r="E40" s="4">
        <f>+IF(TA_ti!E40*TA_ti!E$49*TA_ti!$BF40=0,10000,TA_ti!E40*TA_ti!E$49*TA_ti!$BF40)</f>
        <v>10000</v>
      </c>
      <c r="F40" s="4">
        <f>+IF(TA_ti!F40*TA_ti!F$49*TA_ti!$BF40=0,10000,TA_ti!F40*TA_ti!F$49*TA_ti!$BF40)</f>
        <v>10000</v>
      </c>
      <c r="G40" s="4">
        <f>+IF(TA_ti!G40*TA_ti!G$49*TA_ti!$BF40=0,10000,TA_ti!G40*TA_ti!G$49*TA_ti!$BF40)</f>
        <v>10000</v>
      </c>
      <c r="H40" s="4">
        <f>+IF(TA_ti!H40*TA_ti!H$49*TA_ti!$BF40=0,10000,TA_ti!H40*TA_ti!H$49*TA_ti!$BF40)</f>
        <v>10000</v>
      </c>
      <c r="I40" s="4">
        <f>+IF(TA_ti!I40*TA_ti!I$49*TA_ti!$BF40=0,10000,TA_ti!I40*TA_ti!I$49*TA_ti!$BF40)</f>
        <v>10000</v>
      </c>
      <c r="J40" s="4">
        <f>+IF(TA_ti!J40*TA_ti!J$49*TA_ti!$BF40=0,10000,TA_ti!J40*TA_ti!J$49*TA_ti!$BF40)</f>
        <v>10000</v>
      </c>
      <c r="K40" s="4">
        <f>+IF(TA_ti!K40*TA_ti!K$49*TA_ti!$BF40=0,10000,TA_ti!K40*TA_ti!K$49*TA_ti!$BF40)</f>
        <v>10000</v>
      </c>
      <c r="L40" s="4">
        <f>+IF(TA_ti!L40*TA_ti!L$49*TA_ti!$BF40=0,10000,TA_ti!L40*TA_ti!L$49*TA_ti!$BF40)</f>
        <v>10000</v>
      </c>
      <c r="M40" s="4">
        <f>+IF(TA_ti!M40*TA_ti!M$49*TA_ti!$BF40=0,10000,TA_ti!M40*TA_ti!M$49*TA_ti!$BF40)</f>
        <v>10000</v>
      </c>
      <c r="N40" s="4">
        <f>+IF(TA_ti!N40*TA_ti!N$49*TA_ti!$BF40=0,10000,TA_ti!N40*TA_ti!N$49*TA_ti!$BF40)</f>
        <v>10000</v>
      </c>
      <c r="O40" s="4">
        <f>+IF(TA_ti!O40*TA_ti!O$49*TA_ti!$BF40=0,10000,TA_ti!O40*TA_ti!O$49*TA_ti!$BF40)</f>
        <v>10000</v>
      </c>
      <c r="P40" s="4">
        <f>+IF(TA_ti!P40*TA_ti!P$49*TA_ti!$BF40=0,10000,TA_ti!P40*TA_ti!P$49*TA_ti!$BF40)</f>
        <v>10000</v>
      </c>
      <c r="Q40" s="4">
        <f>+IF(TA_ti!Q40*TA_ti!Q$49*TA_ti!$BF40=0,10000,TA_ti!Q40*TA_ti!Q$49*TA_ti!$BF40)</f>
        <v>10000</v>
      </c>
      <c r="R40" s="4">
        <f>+IF(TA_ti!R40*TA_ti!R$49*TA_ti!$BF40=0,10000,TA_ti!R40*TA_ti!R$49*TA_ti!$BF40)</f>
        <v>10000</v>
      </c>
      <c r="S40" s="4">
        <f>+IF(TA_ti!S40*TA_ti!S$49*TA_ti!$BF40=0,10000,TA_ti!S40*TA_ti!S$49*TA_ti!$BF40)</f>
        <v>10000</v>
      </c>
      <c r="T40" s="4">
        <f>+IF(TA_ti!T40*TA_ti!T$49*TA_ti!$BF40=0,10000,TA_ti!T40*TA_ti!T$49*TA_ti!$BF40)</f>
        <v>10000</v>
      </c>
      <c r="U40" s="4">
        <f>+IF(TA_ti!U40*TA_ti!U$49*TA_ti!$BF40=0,10000,TA_ti!U40*TA_ti!U$49*TA_ti!$BF40)</f>
        <v>10000</v>
      </c>
      <c r="V40" s="4">
        <f>+IF(TA_ti!V40*TA_ti!V$49*TA_ti!$BF40=0,10000,TA_ti!V40*TA_ti!V$49*TA_ti!$BF40)</f>
        <v>10000</v>
      </c>
      <c r="W40" s="4">
        <f>+IF(TA_ti!W40*TA_ti!W$49*TA_ti!$BF40=0,10000,TA_ti!W40*TA_ti!W$49*TA_ti!$BF40)</f>
        <v>10000</v>
      </c>
      <c r="X40" s="4">
        <f>+IF(TA_ti!X40*TA_ti!X$49*TA_ti!$BF40=0,10000,TA_ti!X40*TA_ti!X$49*TA_ti!$BF40)</f>
        <v>10000</v>
      </c>
      <c r="Y40" s="4">
        <f>+IF(TA_ti!Y40*TA_ti!Y$49*TA_ti!$BF40=0,10000,TA_ti!Y40*TA_ti!Y$49*TA_ti!$BF40)</f>
        <v>10000</v>
      </c>
      <c r="Z40" s="4">
        <f>+IF(TA_ti!Z40*TA_ti!Z$49*TA_ti!$BF40=0,10000,TA_ti!Z40*TA_ti!Z$49*TA_ti!$BF40)</f>
        <v>10000</v>
      </c>
      <c r="AA40" s="4">
        <f>+IF(TA_ti!AA40*TA_ti!AA$49*TA_ti!$BF40=0,10000,TA_ti!AA40*TA_ti!AA$49*TA_ti!$BF40)</f>
        <v>10000</v>
      </c>
      <c r="AB40" s="4">
        <f>+IF(TA_ti!AB40*TA_ti!AB$49*TA_ti!$BF40=0,10000,TA_ti!AB40*TA_ti!AB$49*TA_ti!$BF40)</f>
        <v>10000</v>
      </c>
      <c r="AC40" s="4">
        <f>+IF(TA_ti!AC40*TA_ti!AC$49*TA_ti!$BF40=0,10000,TA_ti!AC40*TA_ti!AC$49*TA_ti!$BF40)</f>
        <v>10000</v>
      </c>
      <c r="AD40" s="4">
        <f>+IF(TA_ti!AD40*TA_ti!AD$49*TA_ti!$BF40=0,10000,TA_ti!AD40*TA_ti!AD$49*TA_ti!$BF40)</f>
        <v>10000</v>
      </c>
      <c r="AE40" s="4">
        <f>+IF(TA_ti!AE40*TA_ti!AE$49*TA_ti!$BF40=0,10000,TA_ti!AE40*TA_ti!AE$49*TA_ti!$BF40)</f>
        <v>10000</v>
      </c>
      <c r="AF40" s="4">
        <f>+IF(TA_ti!AF40*TA_ti!AF$49*TA_ti!$BF40=0,10000,TA_ti!AF40*TA_ti!AF$49*TA_ti!$BF40)</f>
        <v>10000</v>
      </c>
      <c r="AG40" s="4">
        <f>+IF(TA_ti!AG40*TA_ti!AG$49*TA_ti!$BF40=0,10000,TA_ti!AG40*TA_ti!AG$49*TA_ti!$BF40)</f>
        <v>10000</v>
      </c>
      <c r="AH40" s="4">
        <f>+IF(TA_ti!AH40*TA_ti!AH$49*TA_ti!$BF40=0,10000,TA_ti!AH40*TA_ti!AH$49*TA_ti!$BF40)</f>
        <v>10000</v>
      </c>
      <c r="AI40" s="4">
        <f>+IF(TA_ti!AI40*TA_ti!AI$49*TA_ti!$BF40=0,10000,TA_ti!AI40*TA_ti!AI$49*TA_ti!$BF40)</f>
        <v>10000</v>
      </c>
      <c r="AJ40" s="4">
        <f>+IF(TA_ti!AJ40*TA_ti!AJ$49*TA_ti!$BF40=0,10000,TA_ti!AJ40*TA_ti!AJ$49*TA_ti!$BF40)</f>
        <v>10000</v>
      </c>
      <c r="AK40" s="4">
        <f>+IF(TA_ti!AK40*TA_ti!AK$49*TA_ti!$BF40=0,10000,TA_ti!AK40*TA_ti!AK$49*TA_ti!$BF40)</f>
        <v>10000</v>
      </c>
      <c r="AL40" s="4">
        <f>+IF(TA_ti!AL40*TA_ti!AL$49*TA_ti!$BF40=0,10000,TA_ti!AL40*TA_ti!AL$49*TA_ti!$BF40)</f>
        <v>10000</v>
      </c>
      <c r="AM40" s="4">
        <f>+IF(TA_ti!AM40*TA_ti!AM$49*TA_ti!$BF40=0,10000,TA_ti!AM40*TA_ti!AM$49*TA_ti!$BF40)</f>
        <v>10000</v>
      </c>
      <c r="AN40" s="4">
        <f>+IF(TA_ti!AN40*TA_ti!AN$49*TA_ti!$BF40=0,10000,TA_ti!AN40*TA_ti!AN$49*TA_ti!$BF40)</f>
        <v>10000</v>
      </c>
      <c r="AO40" s="4">
        <f>+IF(TA_ti!AO40*TA_ti!AO$49*TA_ti!$BF40=0,10000,TA_ti!AO40*TA_ti!AO$49*TA_ti!$BF40)</f>
        <v>10000</v>
      </c>
      <c r="AP40" s="4">
        <f>+IF(TA_ti!AP40*TA_ti!AP$49*TA_ti!$BF40=0,10000,TA_ti!AP40*TA_ti!AP$49*TA_ti!$BF40)</f>
        <v>10000</v>
      </c>
      <c r="AQ40" s="4">
        <f>+IF(TA_ti!AQ40*TA_ti!AQ$49*TA_ti!$BF40=0,10000,TA_ti!AQ40*TA_ti!AQ$49*TA_ti!$BF40)</f>
        <v>10000</v>
      </c>
      <c r="AR40" s="4">
        <f>+IF(TA_ti!AR40*TA_ti!AR$49*TA_ti!$BF40=0,10000,TA_ti!AR40*TA_ti!AR$49*TA_ti!$BF40)</f>
        <v>10000</v>
      </c>
      <c r="AS40" s="4">
        <f>+IF(TA_ti!AS40*TA_ti!AS$49*TA_ti!$BF40=0,10000,TA_ti!AS40*TA_ti!AS$49*TA_ti!$BF40)</f>
        <v>10000</v>
      </c>
      <c r="AT40" s="4">
        <f>+IF(TA_ti!AT40*TA_ti!AT$49*TA_ti!$BF40=0,10000,TA_ti!AT40*TA_ti!AT$49*TA_ti!$BF40)</f>
        <v>10000</v>
      </c>
      <c r="AU40" s="4">
        <f>+IF(TA_ti!AU40*TA_ti!AU$49*TA_ti!$BF40=0,10000,TA_ti!AU40*TA_ti!AU$49*TA_ti!$BF40)</f>
        <v>10000</v>
      </c>
      <c r="AV40" s="4">
        <f>+IF(TA_ti!AV40*TA_ti!AV$49*TA_ti!$BF40=0,10000,TA_ti!AV40*TA_ti!AV$49*TA_ti!$BF40)</f>
        <v>10000</v>
      </c>
      <c r="AW40" s="4">
        <f>+IF(TA_ti!AW40*TA_ti!AW$49*TA_ti!$BF40=0,10000,TA_ti!AW40*TA_ti!AW$49*TA_ti!$BF40)</f>
        <v>10000</v>
      </c>
      <c r="AX40" s="4">
        <f>+IF(TA_ti!AX40*TA_ti!AX$49*TA_ti!$BF40=0,10000,TA_ti!AX40*TA_ti!AX$49*TA_ti!$BF40)</f>
        <v>10000</v>
      </c>
      <c r="AY40" s="4">
        <f>+IF(TA_ti!AY40*TA_ti!AY$49*TA_ti!$BF40=0,10000,TA_ti!AY40*TA_ti!AY$49*TA_ti!$BF40)</f>
        <v>10000</v>
      </c>
      <c r="AZ40" s="4">
        <f>+IF(TA_ti!AZ40*TA_ti!AZ$49*TA_ti!$BF40=0,10000,TA_ti!AZ40*TA_ti!AZ$49*TA_ti!$BF40)</f>
        <v>10000</v>
      </c>
      <c r="BA40" s="4">
        <f>+IF(TA_ti!BA40*TA_ti!BA$49*TA_ti!$BF40=0,10000,TA_ti!BA40*TA_ti!BA$49*TA_ti!$BF40)</f>
        <v>10000</v>
      </c>
      <c r="BB40" s="4">
        <f>+IF(TA_ti!BB40*TA_ti!BB$49*TA_ti!$BF40=0,10000,TA_ti!BB40*TA_ti!BB$49*TA_ti!$BF40)</f>
        <v>10000</v>
      </c>
      <c r="BC40" s="4">
        <f>+IF(TA_ti!BC40*TA_ti!BC$49*TA_ti!$BF40=0,10000,TA_ti!BC40*TA_ti!BC$49*TA_ti!$BF40)</f>
        <v>10000</v>
      </c>
    </row>
    <row r="41" spans="1:55" ht="18.75" customHeight="1" x14ac:dyDescent="0.25">
      <c r="A41" s="5" t="s">
        <v>92</v>
      </c>
      <c r="B41" s="4">
        <f>+IF(TA_ti!B41*TA_ti!B$49*TA_ti!$BF41=0,10000,TA_ti!B41*TA_ti!B$49*TA_ti!$BF41)</f>
        <v>10000</v>
      </c>
      <c r="C41" s="4">
        <f>+IF(TA_ti!C41*TA_ti!C$49*TA_ti!$BF41=0,10000,TA_ti!C41*TA_ti!C$49*TA_ti!$BF41)</f>
        <v>10000</v>
      </c>
      <c r="D41" s="4">
        <f>+IF(TA_ti!D41*TA_ti!D$49*TA_ti!$BF41=0,10000,TA_ti!D41*TA_ti!D$49*TA_ti!$BF41)</f>
        <v>10000</v>
      </c>
      <c r="E41" s="4">
        <f>+IF(TA_ti!E41*TA_ti!E$49*TA_ti!$BF41=0,10000,TA_ti!E41*TA_ti!E$49*TA_ti!$BF41)</f>
        <v>10000</v>
      </c>
      <c r="F41" s="4">
        <f>+IF(TA_ti!F41*TA_ti!F$49*TA_ti!$BF41=0,10000,TA_ti!F41*TA_ti!F$49*TA_ti!$BF41)</f>
        <v>10000</v>
      </c>
      <c r="G41" s="4">
        <f>+IF(TA_ti!G41*TA_ti!G$49*TA_ti!$BF41=0,10000,TA_ti!G41*TA_ti!G$49*TA_ti!$BF41)</f>
        <v>10000</v>
      </c>
      <c r="H41" s="4">
        <f>+IF(TA_ti!H41*TA_ti!H$49*TA_ti!$BF41=0,10000,TA_ti!H41*TA_ti!H$49*TA_ti!$BF41)</f>
        <v>10000</v>
      </c>
      <c r="I41" s="4">
        <f>+IF(TA_ti!I41*TA_ti!I$49*TA_ti!$BF41=0,10000,TA_ti!I41*TA_ti!I$49*TA_ti!$BF41)</f>
        <v>10000</v>
      </c>
      <c r="J41" s="4">
        <f>+IF(TA_ti!J41*TA_ti!J$49*TA_ti!$BF41=0,10000,TA_ti!J41*TA_ti!J$49*TA_ti!$BF41)</f>
        <v>10000</v>
      </c>
      <c r="K41" s="4">
        <f>+IF(TA_ti!K41*TA_ti!K$49*TA_ti!$BF41=0,10000,TA_ti!K41*TA_ti!K$49*TA_ti!$BF41)</f>
        <v>10000</v>
      </c>
      <c r="L41" s="4">
        <f>+IF(TA_ti!L41*TA_ti!L$49*TA_ti!$BF41=0,10000,TA_ti!L41*TA_ti!L$49*TA_ti!$BF41)</f>
        <v>10000</v>
      </c>
      <c r="M41" s="4">
        <f>+IF(TA_ti!M41*TA_ti!M$49*TA_ti!$BF41=0,10000,TA_ti!M41*TA_ti!M$49*TA_ti!$BF41)</f>
        <v>10000</v>
      </c>
      <c r="N41" s="4">
        <f>+IF(TA_ti!N41*TA_ti!N$49*TA_ti!$BF41=0,10000,TA_ti!N41*TA_ti!N$49*TA_ti!$BF41)</f>
        <v>10000</v>
      </c>
      <c r="O41" s="4">
        <f>+IF(TA_ti!O41*TA_ti!O$49*TA_ti!$BF41=0,10000,TA_ti!O41*TA_ti!O$49*TA_ti!$BF41)</f>
        <v>10000</v>
      </c>
      <c r="P41" s="4">
        <f>+IF(TA_ti!P41*TA_ti!P$49*TA_ti!$BF41=0,10000,TA_ti!P41*TA_ti!P$49*TA_ti!$BF41)</f>
        <v>10000</v>
      </c>
      <c r="Q41" s="4">
        <f>+IF(TA_ti!Q41*TA_ti!Q$49*TA_ti!$BF41=0,10000,TA_ti!Q41*TA_ti!Q$49*TA_ti!$BF41)</f>
        <v>10000</v>
      </c>
      <c r="R41" s="4">
        <f>+IF(TA_ti!R41*TA_ti!R$49*TA_ti!$BF41=0,10000,TA_ti!R41*TA_ti!R$49*TA_ti!$BF41)</f>
        <v>10000</v>
      </c>
      <c r="S41" s="4">
        <f>+IF(TA_ti!S41*TA_ti!S$49*TA_ti!$BF41=0,10000,TA_ti!S41*TA_ti!S$49*TA_ti!$BF41)</f>
        <v>10000</v>
      </c>
      <c r="T41" s="4">
        <f>+IF(TA_ti!T41*TA_ti!T$49*TA_ti!$BF41=0,10000,TA_ti!T41*TA_ti!T$49*TA_ti!$BF41)</f>
        <v>10000</v>
      </c>
      <c r="U41" s="4">
        <f>+IF(TA_ti!U41*TA_ti!U$49*TA_ti!$BF41=0,10000,TA_ti!U41*TA_ti!U$49*TA_ti!$BF41)</f>
        <v>15</v>
      </c>
      <c r="V41" s="4">
        <f>+IF(TA_ti!V41*TA_ti!V$49*TA_ti!$BF41=0,10000,TA_ti!V41*TA_ti!V$49*TA_ti!$BF41)</f>
        <v>10000</v>
      </c>
      <c r="W41" s="4">
        <f>+IF(TA_ti!W41*TA_ti!W$49*TA_ti!$BF41=0,10000,TA_ti!W41*TA_ti!W$49*TA_ti!$BF41)</f>
        <v>10000</v>
      </c>
      <c r="X41" s="4">
        <f>+IF(TA_ti!X41*TA_ti!X$49*TA_ti!$BF41=0,10000,TA_ti!X41*TA_ti!X$49*TA_ti!$BF41)</f>
        <v>10000</v>
      </c>
      <c r="Y41" s="4">
        <f>+IF(TA_ti!Y41*TA_ti!Y$49*TA_ti!$BF41=0,10000,TA_ti!Y41*TA_ti!Y$49*TA_ti!$BF41)</f>
        <v>10000</v>
      </c>
      <c r="Z41" s="4">
        <f>+IF(TA_ti!Z41*TA_ti!Z$49*TA_ti!$BF41=0,10000,TA_ti!Z41*TA_ti!Z$49*TA_ti!$BF41)</f>
        <v>10000</v>
      </c>
      <c r="AA41" s="4">
        <f>+IF(TA_ti!AA41*TA_ti!AA$49*TA_ti!$BF41=0,10000,TA_ti!AA41*TA_ti!AA$49*TA_ti!$BF41)</f>
        <v>10000</v>
      </c>
      <c r="AB41" s="4">
        <f>+IF(TA_ti!AB41*TA_ti!AB$49*TA_ti!$BF41=0,10000,TA_ti!AB41*TA_ti!AB$49*TA_ti!$BF41)</f>
        <v>10000</v>
      </c>
      <c r="AC41" s="4">
        <f>+IF(TA_ti!AC41*TA_ti!AC$49*TA_ti!$BF41=0,10000,TA_ti!AC41*TA_ti!AC$49*TA_ti!$BF41)</f>
        <v>10000</v>
      </c>
      <c r="AD41" s="4">
        <f>+IF(TA_ti!AD41*TA_ti!AD$49*TA_ti!$BF41=0,10000,TA_ti!AD41*TA_ti!AD$49*TA_ti!$BF41)</f>
        <v>10000</v>
      </c>
      <c r="AE41" s="4">
        <f>+IF(TA_ti!AE41*TA_ti!AE$49*TA_ti!$BF41=0,10000,TA_ti!AE41*TA_ti!AE$49*TA_ti!$BF41)</f>
        <v>10000</v>
      </c>
      <c r="AF41" s="4">
        <f>+IF(TA_ti!AF41*TA_ti!AF$49*TA_ti!$BF41=0,10000,TA_ti!AF41*TA_ti!AF$49*TA_ti!$BF41)</f>
        <v>10000</v>
      </c>
      <c r="AG41" s="4">
        <f>+IF(TA_ti!AG41*TA_ti!AG$49*TA_ti!$BF41=0,10000,TA_ti!AG41*TA_ti!AG$49*TA_ti!$BF41)</f>
        <v>10000</v>
      </c>
      <c r="AH41" s="4">
        <f>+IF(TA_ti!AH41*TA_ti!AH$49*TA_ti!$BF41=0,10000,TA_ti!AH41*TA_ti!AH$49*TA_ti!$BF41)</f>
        <v>10000</v>
      </c>
      <c r="AI41" s="4">
        <f>+IF(TA_ti!AI41*TA_ti!AI$49*TA_ti!$BF41=0,10000,TA_ti!AI41*TA_ti!AI$49*TA_ti!$BF41)</f>
        <v>10000</v>
      </c>
      <c r="AJ41" s="4">
        <f>+IF(TA_ti!AJ41*TA_ti!AJ$49*TA_ti!$BF41=0,10000,TA_ti!AJ41*TA_ti!AJ$49*TA_ti!$BF41)</f>
        <v>10000</v>
      </c>
      <c r="AK41" s="4">
        <f>+IF(TA_ti!AK41*TA_ti!AK$49*TA_ti!$BF41=0,10000,TA_ti!AK41*TA_ti!AK$49*TA_ti!$BF41)</f>
        <v>10000</v>
      </c>
      <c r="AL41" s="4">
        <f>+IF(TA_ti!AL41*TA_ti!AL$49*TA_ti!$BF41=0,10000,TA_ti!AL41*TA_ti!AL$49*TA_ti!$BF41)</f>
        <v>10000</v>
      </c>
      <c r="AM41" s="4">
        <f>+IF(TA_ti!AM41*TA_ti!AM$49*TA_ti!$BF41=0,10000,TA_ti!AM41*TA_ti!AM$49*TA_ti!$BF41)</f>
        <v>10000</v>
      </c>
      <c r="AN41" s="4">
        <f>+IF(TA_ti!AN41*TA_ti!AN$49*TA_ti!$BF41=0,10000,TA_ti!AN41*TA_ti!AN$49*TA_ti!$BF41)</f>
        <v>10000</v>
      </c>
      <c r="AO41" s="4">
        <f>+IF(TA_ti!AO41*TA_ti!AO$49*TA_ti!$BF41=0,10000,TA_ti!AO41*TA_ti!AO$49*TA_ti!$BF41)</f>
        <v>10000</v>
      </c>
      <c r="AP41" s="4">
        <f>+IF(TA_ti!AP41*TA_ti!AP$49*TA_ti!$BF41=0,10000,TA_ti!AP41*TA_ti!AP$49*TA_ti!$BF41)</f>
        <v>10000</v>
      </c>
      <c r="AQ41" s="4">
        <f>+IF(TA_ti!AQ41*TA_ti!AQ$49*TA_ti!$BF41=0,10000,TA_ti!AQ41*TA_ti!AQ$49*TA_ti!$BF41)</f>
        <v>10000</v>
      </c>
      <c r="AR41" s="4">
        <f>+IF(TA_ti!AR41*TA_ti!AR$49*TA_ti!$BF41=0,10000,TA_ti!AR41*TA_ti!AR$49*TA_ti!$BF41)</f>
        <v>10000</v>
      </c>
      <c r="AS41" s="4">
        <f>+IF(TA_ti!AS41*TA_ti!AS$49*TA_ti!$BF41=0,10000,TA_ti!AS41*TA_ti!AS$49*TA_ti!$BF41)</f>
        <v>10000</v>
      </c>
      <c r="AT41" s="4">
        <f>+IF(TA_ti!AT41*TA_ti!AT$49*TA_ti!$BF41=0,10000,TA_ti!AT41*TA_ti!AT$49*TA_ti!$BF41)</f>
        <v>10000</v>
      </c>
      <c r="AU41" s="4">
        <f>+IF(TA_ti!AU41*TA_ti!AU$49*TA_ti!$BF41=0,10000,TA_ti!AU41*TA_ti!AU$49*TA_ti!$BF41)</f>
        <v>10000</v>
      </c>
      <c r="AV41" s="4">
        <f>+IF(TA_ti!AV41*TA_ti!AV$49*TA_ti!$BF41=0,10000,TA_ti!AV41*TA_ti!AV$49*TA_ti!$BF41)</f>
        <v>10000</v>
      </c>
      <c r="AW41" s="4">
        <f>+IF(TA_ti!AW41*TA_ti!AW$49*TA_ti!$BF41=0,10000,TA_ti!AW41*TA_ti!AW$49*TA_ti!$BF41)</f>
        <v>10000</v>
      </c>
      <c r="AX41" s="4">
        <f>+IF(TA_ti!AX41*TA_ti!AX$49*TA_ti!$BF41=0,10000,TA_ti!AX41*TA_ti!AX$49*TA_ti!$BF41)</f>
        <v>10000</v>
      </c>
      <c r="AY41" s="4">
        <f>+IF(TA_ti!AY41*TA_ti!AY$49*TA_ti!$BF41=0,10000,TA_ti!AY41*TA_ti!AY$49*TA_ti!$BF41)</f>
        <v>10000</v>
      </c>
      <c r="AZ41" s="4">
        <f>+IF(TA_ti!AZ41*TA_ti!AZ$49*TA_ti!$BF41=0,10000,TA_ti!AZ41*TA_ti!AZ$49*TA_ti!$BF41)</f>
        <v>10000</v>
      </c>
      <c r="BA41" s="4">
        <f>+IF(TA_ti!BA41*TA_ti!BA$49*TA_ti!$BF41=0,10000,TA_ti!BA41*TA_ti!BA$49*TA_ti!$BF41)</f>
        <v>10000</v>
      </c>
      <c r="BB41" s="4">
        <f>+IF(TA_ti!BB41*TA_ti!BB$49*TA_ti!$BF41=0,10000,TA_ti!BB41*TA_ti!BB$49*TA_ti!$BF41)</f>
        <v>10000</v>
      </c>
      <c r="BC41" s="4">
        <f>+IF(TA_ti!BC41*TA_ti!BC$49*TA_ti!$BF41=0,10000,TA_ti!BC41*TA_ti!BC$49*TA_ti!$BF41)</f>
        <v>10000</v>
      </c>
    </row>
    <row r="42" spans="1:55" ht="18.75" customHeight="1" x14ac:dyDescent="0.25">
      <c r="A42" s="5" t="s">
        <v>93</v>
      </c>
      <c r="B42" s="4">
        <f>+IF(TA_ti!B42*TA_ti!B$49*TA_ti!$BF42=0,10000,TA_ti!B42*TA_ti!B$49*TA_ti!$BF42)</f>
        <v>10000</v>
      </c>
      <c r="C42" s="4">
        <f>+IF(TA_ti!C42*TA_ti!C$49*TA_ti!$BF42=0,10000,TA_ti!C42*TA_ti!C$49*TA_ti!$BF42)</f>
        <v>10000</v>
      </c>
      <c r="D42" s="4">
        <f>+IF(TA_ti!D42*TA_ti!D$49*TA_ti!$BF42=0,10000,TA_ti!D42*TA_ti!D$49*TA_ti!$BF42)</f>
        <v>10000</v>
      </c>
      <c r="E42" s="4">
        <f>+IF(TA_ti!E42*TA_ti!E$49*TA_ti!$BF42=0,10000,TA_ti!E42*TA_ti!E$49*TA_ti!$BF42)</f>
        <v>10000</v>
      </c>
      <c r="F42" s="4">
        <f>+IF(TA_ti!F42*TA_ti!F$49*TA_ti!$BF42=0,10000,TA_ti!F42*TA_ti!F$49*TA_ti!$BF42)</f>
        <v>10000</v>
      </c>
      <c r="G42" s="4">
        <f>+IF(TA_ti!G42*TA_ti!G$49*TA_ti!$BF42=0,10000,TA_ti!G42*TA_ti!G$49*TA_ti!$BF42)</f>
        <v>10000</v>
      </c>
      <c r="H42" s="4">
        <f>+IF(TA_ti!H42*TA_ti!H$49*TA_ti!$BF42=0,10000,TA_ti!H42*TA_ti!H$49*TA_ti!$BF42)</f>
        <v>10000</v>
      </c>
      <c r="I42" s="4">
        <f>+IF(TA_ti!I42*TA_ti!I$49*TA_ti!$BF42=0,10000,TA_ti!I42*TA_ti!I$49*TA_ti!$BF42)</f>
        <v>10000</v>
      </c>
      <c r="J42" s="4">
        <f>+IF(TA_ti!J42*TA_ti!J$49*TA_ti!$BF42=0,10000,TA_ti!J42*TA_ti!J$49*TA_ti!$BF42)</f>
        <v>10000</v>
      </c>
      <c r="K42" s="4">
        <f>+IF(TA_ti!K42*TA_ti!K$49*TA_ti!$BF42=0,10000,TA_ti!K42*TA_ti!K$49*TA_ti!$BF42)</f>
        <v>10000</v>
      </c>
      <c r="L42" s="4">
        <f>+IF(TA_ti!L42*TA_ti!L$49*TA_ti!$BF42=0,10000,TA_ti!L42*TA_ti!L$49*TA_ti!$BF42)</f>
        <v>10000</v>
      </c>
      <c r="M42" s="4">
        <f>+IF(TA_ti!M42*TA_ti!M$49*TA_ti!$BF42=0,10000,TA_ti!M42*TA_ti!M$49*TA_ti!$BF42)</f>
        <v>10000</v>
      </c>
      <c r="N42" s="4">
        <f>+IF(TA_ti!N42*TA_ti!N$49*TA_ti!$BF42=0,10000,TA_ti!N42*TA_ti!N$49*TA_ti!$BF42)</f>
        <v>10000</v>
      </c>
      <c r="O42" s="4">
        <f>+IF(TA_ti!O42*TA_ti!O$49*TA_ti!$BF42=0,10000,TA_ti!O42*TA_ti!O$49*TA_ti!$BF42)</f>
        <v>10000</v>
      </c>
      <c r="P42" s="4">
        <f>+IF(TA_ti!P42*TA_ti!P$49*TA_ti!$BF42=0,10000,TA_ti!P42*TA_ti!P$49*TA_ti!$BF42)</f>
        <v>10000</v>
      </c>
      <c r="Q42" s="4">
        <f>+IF(TA_ti!Q42*TA_ti!Q$49*TA_ti!$BF42=0,10000,TA_ti!Q42*TA_ti!Q$49*TA_ti!$BF42)</f>
        <v>10000</v>
      </c>
      <c r="R42" s="4">
        <f>+IF(TA_ti!R42*TA_ti!R$49*TA_ti!$BF42=0,10000,TA_ti!R42*TA_ti!R$49*TA_ti!$BF42)</f>
        <v>10000</v>
      </c>
      <c r="S42" s="4">
        <f>+IF(TA_ti!S42*TA_ti!S$49*TA_ti!$BF42=0,10000,TA_ti!S42*TA_ti!S$49*TA_ti!$BF42)</f>
        <v>10000</v>
      </c>
      <c r="T42" s="4">
        <f>+IF(TA_ti!T42*TA_ti!T$49*TA_ti!$BF42=0,10000,TA_ti!T42*TA_ti!T$49*TA_ti!$BF42)</f>
        <v>10000</v>
      </c>
      <c r="U42" s="4">
        <f>+IF(TA_ti!U42*TA_ti!U$49*TA_ti!$BF42=0,10000,TA_ti!U42*TA_ti!U$49*TA_ti!$BF42)</f>
        <v>10000</v>
      </c>
      <c r="V42" s="4">
        <f>+IF(TA_ti!V42*TA_ti!V$49*TA_ti!$BF42=0,10000,TA_ti!V42*TA_ti!V$49*TA_ti!$BF42)</f>
        <v>10000</v>
      </c>
      <c r="W42" s="4">
        <f>+IF(TA_ti!W42*TA_ti!W$49*TA_ti!$BF42=0,10000,TA_ti!W42*TA_ti!W$49*TA_ti!$BF42)</f>
        <v>10000</v>
      </c>
      <c r="X42" s="4">
        <f>+IF(TA_ti!X42*TA_ti!X$49*TA_ti!$BF42=0,10000,TA_ti!X42*TA_ti!X$49*TA_ti!$BF42)</f>
        <v>10000</v>
      </c>
      <c r="Y42" s="4">
        <f>+IF(TA_ti!Y42*TA_ti!Y$49*TA_ti!$BF42=0,10000,TA_ti!Y42*TA_ti!Y$49*TA_ti!$BF42)</f>
        <v>10000</v>
      </c>
      <c r="Z42" s="4">
        <f>+IF(TA_ti!Z42*TA_ti!Z$49*TA_ti!$BF42=0,10000,TA_ti!Z42*TA_ti!Z$49*TA_ti!$BF42)</f>
        <v>10000</v>
      </c>
      <c r="AA42" s="4">
        <f>+IF(TA_ti!AA42*TA_ti!AA$49*TA_ti!$BF42=0,10000,TA_ti!AA42*TA_ti!AA$49*TA_ti!$BF42)</f>
        <v>10000</v>
      </c>
      <c r="AB42" s="4">
        <f>+IF(TA_ti!AB42*TA_ti!AB$49*TA_ti!$BF42=0,10000,TA_ti!AB42*TA_ti!AB$49*TA_ti!$BF42)</f>
        <v>10000</v>
      </c>
      <c r="AC42" s="4">
        <f>+IF(TA_ti!AC42*TA_ti!AC$49*TA_ti!$BF42=0,10000,TA_ti!AC42*TA_ti!AC$49*TA_ti!$BF42)</f>
        <v>10000</v>
      </c>
      <c r="AD42" s="4">
        <f>+IF(TA_ti!AD42*TA_ti!AD$49*TA_ti!$BF42=0,10000,TA_ti!AD42*TA_ti!AD$49*TA_ti!$BF42)</f>
        <v>10000</v>
      </c>
      <c r="AE42" s="4">
        <f>+IF(TA_ti!AE42*TA_ti!AE$49*TA_ti!$BF42=0,10000,TA_ti!AE42*TA_ti!AE$49*TA_ti!$BF42)</f>
        <v>10000</v>
      </c>
      <c r="AF42" s="4">
        <f>+IF(TA_ti!AF42*TA_ti!AF$49*TA_ti!$BF42=0,10000,TA_ti!AF42*TA_ti!AF$49*TA_ti!$BF42)</f>
        <v>10000</v>
      </c>
      <c r="AG42" s="4">
        <f>+IF(TA_ti!AG42*TA_ti!AG$49*TA_ti!$BF42=0,10000,TA_ti!AG42*TA_ti!AG$49*TA_ti!$BF42)</f>
        <v>10000</v>
      </c>
      <c r="AH42" s="4">
        <f>+IF(TA_ti!AH42*TA_ti!AH$49*TA_ti!$BF42=0,10000,TA_ti!AH42*TA_ti!AH$49*TA_ti!$BF42)</f>
        <v>10000</v>
      </c>
      <c r="AI42" s="4">
        <f>+IF(TA_ti!AI42*TA_ti!AI$49*TA_ti!$BF42=0,10000,TA_ti!AI42*TA_ti!AI$49*TA_ti!$BF42)</f>
        <v>10000</v>
      </c>
      <c r="AJ42" s="4">
        <f>+IF(TA_ti!AJ42*TA_ti!AJ$49*TA_ti!$BF42=0,10000,TA_ti!AJ42*TA_ti!AJ$49*TA_ti!$BF42)</f>
        <v>10000</v>
      </c>
      <c r="AK42" s="4">
        <f>+IF(TA_ti!AK42*TA_ti!AK$49*TA_ti!$BF42=0,10000,TA_ti!AK42*TA_ti!AK$49*TA_ti!$BF42)</f>
        <v>10000</v>
      </c>
      <c r="AL42" s="4">
        <f>+IF(TA_ti!AL42*TA_ti!AL$49*TA_ti!$BF42=0,10000,TA_ti!AL42*TA_ti!AL$49*TA_ti!$BF42)</f>
        <v>10000</v>
      </c>
      <c r="AM42" s="4">
        <f>+IF(TA_ti!AM42*TA_ti!AM$49*TA_ti!$BF42=0,10000,TA_ti!AM42*TA_ti!AM$49*TA_ti!$BF42)</f>
        <v>10000</v>
      </c>
      <c r="AN42" s="4">
        <f>+IF(TA_ti!AN42*TA_ti!AN$49*TA_ti!$BF42=0,10000,TA_ti!AN42*TA_ti!AN$49*TA_ti!$BF42)</f>
        <v>10000</v>
      </c>
      <c r="AO42" s="4">
        <f>+IF(TA_ti!AO42*TA_ti!AO$49*TA_ti!$BF42=0,10000,TA_ti!AO42*TA_ti!AO$49*TA_ti!$BF42)</f>
        <v>10000</v>
      </c>
      <c r="AP42" s="4">
        <f>+IF(TA_ti!AP42*TA_ti!AP$49*TA_ti!$BF42=0,10000,TA_ti!AP42*TA_ti!AP$49*TA_ti!$BF42)</f>
        <v>10000</v>
      </c>
      <c r="AQ42" s="4">
        <f>+IF(TA_ti!AQ42*TA_ti!AQ$49*TA_ti!$BF42=0,10000,TA_ti!AQ42*TA_ti!AQ$49*TA_ti!$BF42)</f>
        <v>10000</v>
      </c>
      <c r="AR42" s="4">
        <f>+IF(TA_ti!AR42*TA_ti!AR$49*TA_ti!$BF42=0,10000,TA_ti!AR42*TA_ti!AR$49*TA_ti!$BF42)</f>
        <v>10000</v>
      </c>
      <c r="AS42" s="4">
        <f>+IF(TA_ti!AS42*TA_ti!AS$49*TA_ti!$BF42=0,10000,TA_ti!AS42*TA_ti!AS$49*TA_ti!$BF42)</f>
        <v>10000</v>
      </c>
      <c r="AT42" s="4">
        <f>+IF(TA_ti!AT42*TA_ti!AT$49*TA_ti!$BF42=0,10000,TA_ti!AT42*TA_ti!AT$49*TA_ti!$BF42)</f>
        <v>10000</v>
      </c>
      <c r="AU42" s="4">
        <f>+IF(TA_ti!AU42*TA_ti!AU$49*TA_ti!$BF42=0,10000,TA_ti!AU42*TA_ti!AU$49*TA_ti!$BF42)</f>
        <v>10000</v>
      </c>
      <c r="AV42" s="4">
        <f>+IF(TA_ti!AV42*TA_ti!AV$49*TA_ti!$BF42=0,10000,TA_ti!AV42*TA_ti!AV$49*TA_ti!$BF42)</f>
        <v>10000</v>
      </c>
      <c r="AW42" s="4">
        <f>+IF(TA_ti!AW42*TA_ti!AW$49*TA_ti!$BF42=0,10000,TA_ti!AW42*TA_ti!AW$49*TA_ti!$BF42)</f>
        <v>10000</v>
      </c>
      <c r="AX42" s="4">
        <f>+IF(TA_ti!AX42*TA_ti!AX$49*TA_ti!$BF42=0,10000,TA_ti!AX42*TA_ti!AX$49*TA_ti!$BF42)</f>
        <v>10000</v>
      </c>
      <c r="AY42" s="4">
        <f>+IF(TA_ti!AY42*TA_ti!AY$49*TA_ti!$BF42=0,10000,TA_ti!AY42*TA_ti!AY$49*TA_ti!$BF42)</f>
        <v>10000</v>
      </c>
      <c r="AZ42" s="4">
        <f>+IF(TA_ti!AZ42*TA_ti!AZ$49*TA_ti!$BF42=0,10000,TA_ti!AZ42*TA_ti!AZ$49*TA_ti!$BF42)</f>
        <v>10000</v>
      </c>
      <c r="BA42" s="4">
        <f>+IF(TA_ti!BA42*TA_ti!BA$49*TA_ti!$BF42=0,10000,TA_ti!BA42*TA_ti!BA$49*TA_ti!$BF42)</f>
        <v>10000</v>
      </c>
      <c r="BB42" s="4">
        <f>+IF(TA_ti!BB42*TA_ti!BB$49*TA_ti!$BF42=0,10000,TA_ti!BB42*TA_ti!BB$49*TA_ti!$BF42)</f>
        <v>10000</v>
      </c>
      <c r="BC42" s="4">
        <f>+IF(TA_ti!BC42*TA_ti!BC$49*TA_ti!$BF42=0,10000,TA_ti!BC42*TA_ti!BC$49*TA_ti!$BF42)</f>
        <v>10000</v>
      </c>
    </row>
    <row r="43" spans="1:55" ht="18.75" customHeight="1" x14ac:dyDescent="0.25">
      <c r="A43" s="5" t="s">
        <v>94</v>
      </c>
      <c r="B43" s="4">
        <f>+IF(TA_ti!B43*TA_ti!B$49*TA_ti!$BF43=0,10000,TA_ti!B43*TA_ti!B$49*TA_ti!$BF43)</f>
        <v>10000</v>
      </c>
      <c r="C43" s="4">
        <f>+IF(TA_ti!C43*TA_ti!C$49*TA_ti!$BF43=0,10000,TA_ti!C43*TA_ti!C$49*TA_ti!$BF43)</f>
        <v>10000</v>
      </c>
      <c r="D43" s="4">
        <f>+IF(TA_ti!D43*TA_ti!D$49*TA_ti!$BF43=0,10000,TA_ti!D43*TA_ti!D$49*TA_ti!$BF43)</f>
        <v>10000</v>
      </c>
      <c r="E43" s="4">
        <f>+IF(TA_ti!E43*TA_ti!E$49*TA_ti!$BF43=0,10000,TA_ti!E43*TA_ti!E$49*TA_ti!$BF43)</f>
        <v>10000</v>
      </c>
      <c r="F43" s="4">
        <f>+IF(TA_ti!F43*TA_ti!F$49*TA_ti!$BF43=0,10000,TA_ti!F43*TA_ti!F$49*TA_ti!$BF43)</f>
        <v>10000</v>
      </c>
      <c r="G43" s="4">
        <f>+IF(TA_ti!G43*TA_ti!G$49*TA_ti!$BF43=0,10000,TA_ti!G43*TA_ti!G$49*TA_ti!$BF43)</f>
        <v>10000</v>
      </c>
      <c r="H43" s="4">
        <f>+IF(TA_ti!H43*TA_ti!H$49*TA_ti!$BF43=0,10000,TA_ti!H43*TA_ti!H$49*TA_ti!$BF43)</f>
        <v>10000</v>
      </c>
      <c r="I43" s="4">
        <f>+IF(TA_ti!I43*TA_ti!I$49*TA_ti!$BF43=0,10000,TA_ti!I43*TA_ti!I$49*TA_ti!$BF43)</f>
        <v>10000</v>
      </c>
      <c r="J43" s="4">
        <f>+IF(TA_ti!J43*TA_ti!J$49*TA_ti!$BF43=0,10000,TA_ti!J43*TA_ti!J$49*TA_ti!$BF43)</f>
        <v>10000</v>
      </c>
      <c r="K43" s="4">
        <f>+IF(TA_ti!K43*TA_ti!K$49*TA_ti!$BF43=0,10000,TA_ti!K43*TA_ti!K$49*TA_ti!$BF43)</f>
        <v>12</v>
      </c>
      <c r="L43" s="4">
        <f>+IF(TA_ti!L43*TA_ti!L$49*TA_ti!$BF43=0,10000,TA_ti!L43*TA_ti!L$49*TA_ti!$BF43)</f>
        <v>10000</v>
      </c>
      <c r="M43" s="4">
        <f>+IF(TA_ti!M43*TA_ti!M$49*TA_ti!$BF43=0,10000,TA_ti!M43*TA_ti!M$49*TA_ti!$BF43)</f>
        <v>10000</v>
      </c>
      <c r="N43" s="4">
        <f>+IF(TA_ti!N43*TA_ti!N$49*TA_ti!$BF43=0,10000,TA_ti!N43*TA_ti!N$49*TA_ti!$BF43)</f>
        <v>10000</v>
      </c>
      <c r="O43" s="4">
        <f>+IF(TA_ti!O43*TA_ti!O$49*TA_ti!$BF43=0,10000,TA_ti!O43*TA_ti!O$49*TA_ti!$BF43)</f>
        <v>10000</v>
      </c>
      <c r="P43" s="4">
        <f>+IF(TA_ti!P43*TA_ti!P$49*TA_ti!$BF43=0,10000,TA_ti!P43*TA_ti!P$49*TA_ti!$BF43)</f>
        <v>10000</v>
      </c>
      <c r="Q43" s="4">
        <f>+IF(TA_ti!Q43*TA_ti!Q$49*TA_ti!$BF43=0,10000,TA_ti!Q43*TA_ti!Q$49*TA_ti!$BF43)</f>
        <v>10000</v>
      </c>
      <c r="R43" s="4">
        <f>+IF(TA_ti!R43*TA_ti!R$49*TA_ti!$BF43=0,10000,TA_ti!R43*TA_ti!R$49*TA_ti!$BF43)</f>
        <v>10000</v>
      </c>
      <c r="S43" s="4">
        <f>+IF(TA_ti!S43*TA_ti!S$49*TA_ti!$BF43=0,10000,TA_ti!S43*TA_ti!S$49*TA_ti!$BF43)</f>
        <v>10000</v>
      </c>
      <c r="T43" s="4">
        <f>+IF(TA_ti!T43*TA_ti!T$49*TA_ti!$BF43=0,10000,TA_ti!T43*TA_ti!T$49*TA_ti!$BF43)</f>
        <v>10000</v>
      </c>
      <c r="U43" s="4">
        <f>+IF(TA_ti!U43*TA_ti!U$49*TA_ti!$BF43=0,10000,TA_ti!U43*TA_ti!U$49*TA_ti!$BF43)</f>
        <v>10000</v>
      </c>
      <c r="V43" s="4">
        <f>+IF(TA_ti!V43*TA_ti!V$49*TA_ti!$BF43=0,10000,TA_ti!V43*TA_ti!V$49*TA_ti!$BF43)</f>
        <v>10000</v>
      </c>
      <c r="W43" s="4">
        <f>+IF(TA_ti!W43*TA_ti!W$49*TA_ti!$BF43=0,10000,TA_ti!W43*TA_ti!W$49*TA_ti!$BF43)</f>
        <v>10000</v>
      </c>
      <c r="X43" s="4">
        <f>+IF(TA_ti!X43*TA_ti!X$49*TA_ti!$BF43=0,10000,TA_ti!X43*TA_ti!X$49*TA_ti!$BF43)</f>
        <v>10000</v>
      </c>
      <c r="Y43" s="4">
        <f>+IF(TA_ti!Y43*TA_ti!Y$49*TA_ti!$BF43=0,10000,TA_ti!Y43*TA_ti!Y$49*TA_ti!$BF43)</f>
        <v>10000</v>
      </c>
      <c r="Z43" s="4">
        <f>+IF(TA_ti!Z43*TA_ti!Z$49*TA_ti!$BF43=0,10000,TA_ti!Z43*TA_ti!Z$49*TA_ti!$BF43)</f>
        <v>10000</v>
      </c>
      <c r="AA43" s="4">
        <f>+IF(TA_ti!AA43*TA_ti!AA$49*TA_ti!$BF43=0,10000,TA_ti!AA43*TA_ti!AA$49*TA_ti!$BF43)</f>
        <v>10000</v>
      </c>
      <c r="AB43" s="4">
        <f>+IF(TA_ti!AB43*TA_ti!AB$49*TA_ti!$BF43=0,10000,TA_ti!AB43*TA_ti!AB$49*TA_ti!$BF43)</f>
        <v>10000</v>
      </c>
      <c r="AC43" s="4">
        <f>+IF(TA_ti!AC43*TA_ti!AC$49*TA_ti!$BF43=0,10000,TA_ti!AC43*TA_ti!AC$49*TA_ti!$BF43)</f>
        <v>10000</v>
      </c>
      <c r="AD43" s="4">
        <f>+IF(TA_ti!AD43*TA_ti!AD$49*TA_ti!$BF43=0,10000,TA_ti!AD43*TA_ti!AD$49*TA_ti!$BF43)</f>
        <v>10000</v>
      </c>
      <c r="AE43" s="4">
        <f>+IF(TA_ti!AE43*TA_ti!AE$49*TA_ti!$BF43=0,10000,TA_ti!AE43*TA_ti!AE$49*TA_ti!$BF43)</f>
        <v>10000</v>
      </c>
      <c r="AF43" s="4">
        <f>+IF(TA_ti!AF43*TA_ti!AF$49*TA_ti!$BF43=0,10000,TA_ti!AF43*TA_ti!AF$49*TA_ti!$BF43)</f>
        <v>10000</v>
      </c>
      <c r="AG43" s="4">
        <f>+IF(TA_ti!AG43*TA_ti!AG$49*TA_ti!$BF43=0,10000,TA_ti!AG43*TA_ti!AG$49*TA_ti!$BF43)</f>
        <v>10000</v>
      </c>
      <c r="AH43" s="4">
        <f>+IF(TA_ti!AH43*TA_ti!AH$49*TA_ti!$BF43=0,10000,TA_ti!AH43*TA_ti!AH$49*TA_ti!$BF43)</f>
        <v>10000</v>
      </c>
      <c r="AI43" s="4">
        <f>+IF(TA_ti!AI43*TA_ti!AI$49*TA_ti!$BF43=0,10000,TA_ti!AI43*TA_ti!AI$49*TA_ti!$BF43)</f>
        <v>10000</v>
      </c>
      <c r="AJ43" s="4">
        <f>+IF(TA_ti!AJ43*TA_ti!AJ$49*TA_ti!$BF43=0,10000,TA_ti!AJ43*TA_ti!AJ$49*TA_ti!$BF43)</f>
        <v>10000</v>
      </c>
      <c r="AK43" s="4">
        <f>+IF(TA_ti!AK43*TA_ti!AK$49*TA_ti!$BF43=0,10000,TA_ti!AK43*TA_ti!AK$49*TA_ti!$BF43)</f>
        <v>10000</v>
      </c>
      <c r="AL43" s="4">
        <f>+IF(TA_ti!AL43*TA_ti!AL$49*TA_ti!$BF43=0,10000,TA_ti!AL43*TA_ti!AL$49*TA_ti!$BF43)</f>
        <v>10000</v>
      </c>
      <c r="AM43" s="4">
        <f>+IF(TA_ti!AM43*TA_ti!AM$49*TA_ti!$BF43=0,10000,TA_ti!AM43*TA_ti!AM$49*TA_ti!$BF43)</f>
        <v>10000</v>
      </c>
      <c r="AN43" s="4">
        <f>+IF(TA_ti!AN43*TA_ti!AN$49*TA_ti!$BF43=0,10000,TA_ti!AN43*TA_ti!AN$49*TA_ti!$BF43)</f>
        <v>10000</v>
      </c>
      <c r="AO43" s="4">
        <f>+IF(TA_ti!AO43*TA_ti!AO$49*TA_ti!$BF43=0,10000,TA_ti!AO43*TA_ti!AO$49*TA_ti!$BF43)</f>
        <v>10000</v>
      </c>
      <c r="AP43" s="4">
        <f>+IF(TA_ti!AP43*TA_ti!AP$49*TA_ti!$BF43=0,10000,TA_ti!AP43*TA_ti!AP$49*TA_ti!$BF43)</f>
        <v>10000</v>
      </c>
      <c r="AQ43" s="4">
        <f>+IF(TA_ti!AQ43*TA_ti!AQ$49*TA_ti!$BF43=0,10000,TA_ti!AQ43*TA_ti!AQ$49*TA_ti!$BF43)</f>
        <v>10000</v>
      </c>
      <c r="AR43" s="4">
        <f>+IF(TA_ti!AR43*TA_ti!AR$49*TA_ti!$BF43=0,10000,TA_ti!AR43*TA_ti!AR$49*TA_ti!$BF43)</f>
        <v>10000</v>
      </c>
      <c r="AS43" s="4">
        <f>+IF(TA_ti!AS43*TA_ti!AS$49*TA_ti!$BF43=0,10000,TA_ti!AS43*TA_ti!AS$49*TA_ti!$BF43)</f>
        <v>10000</v>
      </c>
      <c r="AT43" s="4">
        <f>+IF(TA_ti!AT43*TA_ti!AT$49*TA_ti!$BF43=0,10000,TA_ti!AT43*TA_ti!AT$49*TA_ti!$BF43)</f>
        <v>10000</v>
      </c>
      <c r="AU43" s="4">
        <f>+IF(TA_ti!AU43*TA_ti!AU$49*TA_ti!$BF43=0,10000,TA_ti!AU43*TA_ti!AU$49*TA_ti!$BF43)</f>
        <v>10000</v>
      </c>
      <c r="AV43" s="4">
        <f>+IF(TA_ti!AV43*TA_ti!AV$49*TA_ti!$BF43=0,10000,TA_ti!AV43*TA_ti!AV$49*TA_ti!$BF43)</f>
        <v>10000</v>
      </c>
      <c r="AW43" s="4">
        <f>+IF(TA_ti!AW43*TA_ti!AW$49*TA_ti!$BF43=0,10000,TA_ti!AW43*TA_ti!AW$49*TA_ti!$BF43)</f>
        <v>10000</v>
      </c>
      <c r="AX43" s="4">
        <f>+IF(TA_ti!AX43*TA_ti!AX$49*TA_ti!$BF43=0,10000,TA_ti!AX43*TA_ti!AX$49*TA_ti!$BF43)</f>
        <v>10000</v>
      </c>
      <c r="AY43" s="4">
        <f>+IF(TA_ti!AY43*TA_ti!AY$49*TA_ti!$BF43=0,10000,TA_ti!AY43*TA_ti!AY$49*TA_ti!$BF43)</f>
        <v>10000</v>
      </c>
      <c r="AZ43" s="4">
        <f>+IF(TA_ti!AZ43*TA_ti!AZ$49*TA_ti!$BF43=0,10000,TA_ti!AZ43*TA_ti!AZ$49*TA_ti!$BF43)</f>
        <v>10000</v>
      </c>
      <c r="BA43" s="4">
        <f>+IF(TA_ti!BA43*TA_ti!BA$49*TA_ti!$BF43=0,10000,TA_ti!BA43*TA_ti!BA$49*TA_ti!$BF43)</f>
        <v>10000</v>
      </c>
      <c r="BB43" s="4">
        <f>+IF(TA_ti!BB43*TA_ti!BB$49*TA_ti!$BF43=0,10000,TA_ti!BB43*TA_ti!BB$49*TA_ti!$BF43)</f>
        <v>10000</v>
      </c>
      <c r="BC43" s="4">
        <f>+IF(TA_ti!BC43*TA_ti!BC$49*TA_ti!$BF43=0,10000,TA_ti!BC43*TA_ti!BC$49*TA_ti!$BF43)</f>
        <v>10000</v>
      </c>
    </row>
    <row r="44" spans="1:55" ht="18.75" customHeight="1" x14ac:dyDescent="0.25">
      <c r="A44" s="5" t="s">
        <v>95</v>
      </c>
      <c r="B44" s="4">
        <f>+IF(TA_ti!B44*TA_ti!B$49*TA_ti!$BF44=0,10000,TA_ti!B44*TA_ti!B$49*TA_ti!$BF44)</f>
        <v>10000</v>
      </c>
      <c r="C44" s="4">
        <f>+IF(TA_ti!C44*TA_ti!C$49*TA_ti!$BF44=0,10000,TA_ti!C44*TA_ti!C$49*TA_ti!$BF44)</f>
        <v>10000</v>
      </c>
      <c r="D44" s="4">
        <f>+IF(TA_ti!D44*TA_ti!D$49*TA_ti!$BF44=0,10000,TA_ti!D44*TA_ti!D$49*TA_ti!$BF44)</f>
        <v>10000</v>
      </c>
      <c r="E44" s="4">
        <f>+IF(TA_ti!E44*TA_ti!E$49*TA_ti!$BF44=0,10000,TA_ti!E44*TA_ti!E$49*TA_ti!$BF44)</f>
        <v>10000</v>
      </c>
      <c r="F44" s="4">
        <f>+IF(TA_ti!F44*TA_ti!F$49*TA_ti!$BF44=0,10000,TA_ti!F44*TA_ti!F$49*TA_ti!$BF44)</f>
        <v>10000</v>
      </c>
      <c r="G44" s="4">
        <f>+IF(TA_ti!G44*TA_ti!G$49*TA_ti!$BF44=0,10000,TA_ti!G44*TA_ti!G$49*TA_ti!$BF44)</f>
        <v>10000</v>
      </c>
      <c r="H44" s="4">
        <f>+IF(TA_ti!H44*TA_ti!H$49*TA_ti!$BF44=0,10000,TA_ti!H44*TA_ti!H$49*TA_ti!$BF44)</f>
        <v>10000</v>
      </c>
      <c r="I44" s="4">
        <f>+IF(TA_ti!I44*TA_ti!I$49*TA_ti!$BF44=0,10000,TA_ti!I44*TA_ti!I$49*TA_ti!$BF44)</f>
        <v>10000</v>
      </c>
      <c r="J44" s="4">
        <f>+IF(TA_ti!J44*TA_ti!J$49*TA_ti!$BF44=0,10000,TA_ti!J44*TA_ti!J$49*TA_ti!$BF44)</f>
        <v>10000</v>
      </c>
      <c r="K44" s="4">
        <f>+IF(TA_ti!K44*TA_ti!K$49*TA_ti!$BF44=0,10000,TA_ti!K44*TA_ti!K$49*TA_ti!$BF44)</f>
        <v>12</v>
      </c>
      <c r="L44" s="4">
        <f>+IF(TA_ti!L44*TA_ti!L$49*TA_ti!$BF44=0,10000,TA_ti!L44*TA_ti!L$49*TA_ti!$BF44)</f>
        <v>10000</v>
      </c>
      <c r="M44" s="4">
        <f>+IF(TA_ti!M44*TA_ti!M$49*TA_ti!$BF44=0,10000,TA_ti!M44*TA_ti!M$49*TA_ti!$BF44)</f>
        <v>10000</v>
      </c>
      <c r="N44" s="4">
        <f>+IF(TA_ti!N44*TA_ti!N$49*TA_ti!$BF44=0,10000,TA_ti!N44*TA_ti!N$49*TA_ti!$BF44)</f>
        <v>10000</v>
      </c>
      <c r="O44" s="4">
        <f>+IF(TA_ti!O44*TA_ti!O$49*TA_ti!$BF44=0,10000,TA_ti!O44*TA_ti!O$49*TA_ti!$BF44)</f>
        <v>10000</v>
      </c>
      <c r="P44" s="4">
        <f>+IF(TA_ti!P44*TA_ti!P$49*TA_ti!$BF44=0,10000,TA_ti!P44*TA_ti!P$49*TA_ti!$BF44)</f>
        <v>10000</v>
      </c>
      <c r="Q44" s="4">
        <f>+IF(TA_ti!Q44*TA_ti!Q$49*TA_ti!$BF44=0,10000,TA_ti!Q44*TA_ti!Q$49*TA_ti!$BF44)</f>
        <v>10000</v>
      </c>
      <c r="R44" s="4">
        <f>+IF(TA_ti!R44*TA_ti!R$49*TA_ti!$BF44=0,10000,TA_ti!R44*TA_ti!R$49*TA_ti!$BF44)</f>
        <v>10000</v>
      </c>
      <c r="S44" s="4">
        <f>+IF(TA_ti!S44*TA_ti!S$49*TA_ti!$BF44=0,10000,TA_ti!S44*TA_ti!S$49*TA_ti!$BF44)</f>
        <v>10000</v>
      </c>
      <c r="T44" s="4">
        <f>+IF(TA_ti!T44*TA_ti!T$49*TA_ti!$BF44=0,10000,TA_ti!T44*TA_ti!T$49*TA_ti!$BF44)</f>
        <v>10000</v>
      </c>
      <c r="U44" s="4">
        <f>+IF(TA_ti!U44*TA_ti!U$49*TA_ti!$BF44=0,10000,TA_ti!U44*TA_ti!U$49*TA_ti!$BF44)</f>
        <v>10000</v>
      </c>
      <c r="V44" s="4">
        <f>+IF(TA_ti!V44*TA_ti!V$49*TA_ti!$BF44=0,10000,TA_ti!V44*TA_ti!V$49*TA_ti!$BF44)</f>
        <v>10000</v>
      </c>
      <c r="W44" s="4">
        <f>+IF(TA_ti!W44*TA_ti!W$49*TA_ti!$BF44=0,10000,TA_ti!W44*TA_ti!W$49*TA_ti!$BF44)</f>
        <v>10000</v>
      </c>
      <c r="X44" s="4">
        <f>+IF(TA_ti!X44*TA_ti!X$49*TA_ti!$BF44=0,10000,TA_ti!X44*TA_ti!X$49*TA_ti!$BF44)</f>
        <v>10000</v>
      </c>
      <c r="Y44" s="4">
        <f>+IF(TA_ti!Y44*TA_ti!Y$49*TA_ti!$BF44=0,10000,TA_ti!Y44*TA_ti!Y$49*TA_ti!$BF44)</f>
        <v>10000</v>
      </c>
      <c r="Z44" s="4">
        <f>+IF(TA_ti!Z44*TA_ti!Z$49*TA_ti!$BF44=0,10000,TA_ti!Z44*TA_ti!Z$49*TA_ti!$BF44)</f>
        <v>10000</v>
      </c>
      <c r="AA44" s="4">
        <f>+IF(TA_ti!AA44*TA_ti!AA$49*TA_ti!$BF44=0,10000,TA_ti!AA44*TA_ti!AA$49*TA_ti!$BF44)</f>
        <v>10000</v>
      </c>
      <c r="AB44" s="4">
        <f>+IF(TA_ti!AB44*TA_ti!AB$49*TA_ti!$BF44=0,10000,TA_ti!AB44*TA_ti!AB$49*TA_ti!$BF44)</f>
        <v>10000</v>
      </c>
      <c r="AC44" s="4">
        <f>+IF(TA_ti!AC44*TA_ti!AC$49*TA_ti!$BF44=0,10000,TA_ti!AC44*TA_ti!AC$49*TA_ti!$BF44)</f>
        <v>10000</v>
      </c>
      <c r="AD44" s="4">
        <f>+IF(TA_ti!AD44*TA_ti!AD$49*TA_ti!$BF44=0,10000,TA_ti!AD44*TA_ti!AD$49*TA_ti!$BF44)</f>
        <v>10000</v>
      </c>
      <c r="AE44" s="4">
        <f>+IF(TA_ti!AE44*TA_ti!AE$49*TA_ti!$BF44=0,10000,TA_ti!AE44*TA_ti!AE$49*TA_ti!$BF44)</f>
        <v>10000</v>
      </c>
      <c r="AF44" s="4">
        <f>+IF(TA_ti!AF44*TA_ti!AF$49*TA_ti!$BF44=0,10000,TA_ti!AF44*TA_ti!AF$49*TA_ti!$BF44)</f>
        <v>10000</v>
      </c>
      <c r="AG44" s="4">
        <f>+IF(TA_ti!AG44*TA_ti!AG$49*TA_ti!$BF44=0,10000,TA_ti!AG44*TA_ti!AG$49*TA_ti!$BF44)</f>
        <v>10000</v>
      </c>
      <c r="AH44" s="4">
        <f>+IF(TA_ti!AH44*TA_ti!AH$49*TA_ti!$BF44=0,10000,TA_ti!AH44*TA_ti!AH$49*TA_ti!$BF44)</f>
        <v>10000</v>
      </c>
      <c r="AI44" s="4">
        <f>+IF(TA_ti!AI44*TA_ti!AI$49*TA_ti!$BF44=0,10000,TA_ti!AI44*TA_ti!AI$49*TA_ti!$BF44)</f>
        <v>10000</v>
      </c>
      <c r="AJ44" s="4">
        <f>+IF(TA_ti!AJ44*TA_ti!AJ$49*TA_ti!$BF44=0,10000,TA_ti!AJ44*TA_ti!AJ$49*TA_ti!$BF44)</f>
        <v>10000</v>
      </c>
      <c r="AK44" s="4">
        <f>+IF(TA_ti!AK44*TA_ti!AK$49*TA_ti!$BF44=0,10000,TA_ti!AK44*TA_ti!AK$49*TA_ti!$BF44)</f>
        <v>10000</v>
      </c>
      <c r="AL44" s="4">
        <f>+IF(TA_ti!AL44*TA_ti!AL$49*TA_ti!$BF44=0,10000,TA_ti!AL44*TA_ti!AL$49*TA_ti!$BF44)</f>
        <v>10000</v>
      </c>
      <c r="AM44" s="4">
        <f>+IF(TA_ti!AM44*TA_ti!AM$49*TA_ti!$BF44=0,10000,TA_ti!AM44*TA_ti!AM$49*TA_ti!$BF44)</f>
        <v>10000</v>
      </c>
      <c r="AN44" s="4">
        <f>+IF(TA_ti!AN44*TA_ti!AN$49*TA_ti!$BF44=0,10000,TA_ti!AN44*TA_ti!AN$49*TA_ti!$BF44)</f>
        <v>10000</v>
      </c>
      <c r="AO44" s="4">
        <f>+IF(TA_ti!AO44*TA_ti!AO$49*TA_ti!$BF44=0,10000,TA_ti!AO44*TA_ti!AO$49*TA_ti!$BF44)</f>
        <v>10000</v>
      </c>
      <c r="AP44" s="4">
        <f>+IF(TA_ti!AP44*TA_ti!AP$49*TA_ti!$BF44=0,10000,TA_ti!AP44*TA_ti!AP$49*TA_ti!$BF44)</f>
        <v>10000</v>
      </c>
      <c r="AQ44" s="4">
        <f>+IF(TA_ti!AQ44*TA_ti!AQ$49*TA_ti!$BF44=0,10000,TA_ti!AQ44*TA_ti!AQ$49*TA_ti!$BF44)</f>
        <v>10000</v>
      </c>
      <c r="AR44" s="4">
        <f>+IF(TA_ti!AR44*TA_ti!AR$49*TA_ti!$BF44=0,10000,TA_ti!AR44*TA_ti!AR$49*TA_ti!$BF44)</f>
        <v>10000</v>
      </c>
      <c r="AS44" s="4">
        <f>+IF(TA_ti!AS44*TA_ti!AS$49*TA_ti!$BF44=0,10000,TA_ti!AS44*TA_ti!AS$49*TA_ti!$BF44)</f>
        <v>10000</v>
      </c>
      <c r="AT44" s="4">
        <f>+IF(TA_ti!AT44*TA_ti!AT$49*TA_ti!$BF44=0,10000,TA_ti!AT44*TA_ti!AT$49*TA_ti!$BF44)</f>
        <v>10000</v>
      </c>
      <c r="AU44" s="4">
        <f>+IF(TA_ti!AU44*TA_ti!AU$49*TA_ti!$BF44=0,10000,TA_ti!AU44*TA_ti!AU$49*TA_ti!$BF44)</f>
        <v>10000</v>
      </c>
      <c r="AV44" s="4">
        <f>+IF(TA_ti!AV44*TA_ti!AV$49*TA_ti!$BF44=0,10000,TA_ti!AV44*TA_ti!AV$49*TA_ti!$BF44)</f>
        <v>10000</v>
      </c>
      <c r="AW44" s="4">
        <f>+IF(TA_ti!AW44*TA_ti!AW$49*TA_ti!$BF44=0,10000,TA_ti!AW44*TA_ti!AW$49*TA_ti!$BF44)</f>
        <v>10000</v>
      </c>
      <c r="AX44" s="4">
        <f>+IF(TA_ti!AX44*TA_ti!AX$49*TA_ti!$BF44=0,10000,TA_ti!AX44*TA_ti!AX$49*TA_ti!$BF44)</f>
        <v>10000</v>
      </c>
      <c r="AY44" s="4">
        <f>+IF(TA_ti!AY44*TA_ti!AY$49*TA_ti!$BF44=0,10000,TA_ti!AY44*TA_ti!AY$49*TA_ti!$BF44)</f>
        <v>10000</v>
      </c>
      <c r="AZ44" s="4">
        <f>+IF(TA_ti!AZ44*TA_ti!AZ$49*TA_ti!$BF44=0,10000,TA_ti!AZ44*TA_ti!AZ$49*TA_ti!$BF44)</f>
        <v>10000</v>
      </c>
      <c r="BA44" s="4">
        <f>+IF(TA_ti!BA44*TA_ti!BA$49*TA_ti!$BF44=0,10000,TA_ti!BA44*TA_ti!BA$49*TA_ti!$BF44)</f>
        <v>10000</v>
      </c>
      <c r="BB44" s="4">
        <f>+IF(TA_ti!BB44*TA_ti!BB$49*TA_ti!$BF44=0,10000,TA_ti!BB44*TA_ti!BB$49*TA_ti!$BF44)</f>
        <v>10000</v>
      </c>
      <c r="BC44" s="4">
        <f>+IF(TA_ti!BC44*TA_ti!BC$49*TA_ti!$BF44=0,10000,TA_ti!BC44*TA_ti!BC$49*TA_ti!$BF44)</f>
        <v>10000</v>
      </c>
    </row>
    <row r="45" spans="1:55" ht="18.75" customHeight="1" x14ac:dyDescent="0.25">
      <c r="A45" s="5" t="s">
        <v>96</v>
      </c>
      <c r="B45" s="4">
        <f>+IF(TA_ti!B45*TA_ti!B$49*TA_ti!$BF45=0,10000,TA_ti!B45*TA_ti!B$49*TA_ti!$BF45)</f>
        <v>10000</v>
      </c>
      <c r="C45" s="4">
        <f>+IF(TA_ti!C45*TA_ti!C$49*TA_ti!$BF45=0,10000,TA_ti!C45*TA_ti!C$49*TA_ti!$BF45)</f>
        <v>10000</v>
      </c>
      <c r="D45" s="4">
        <f>+IF(TA_ti!D45*TA_ti!D$49*TA_ti!$BF45=0,10000,TA_ti!D45*TA_ti!D$49*TA_ti!$BF45)</f>
        <v>10000</v>
      </c>
      <c r="E45" s="4">
        <f>+IF(TA_ti!E45*TA_ti!E$49*TA_ti!$BF45=0,10000,TA_ti!E45*TA_ti!E$49*TA_ti!$BF45)</f>
        <v>10000</v>
      </c>
      <c r="F45" s="4">
        <f>+IF(TA_ti!F45*TA_ti!F$49*TA_ti!$BF45=0,10000,TA_ti!F45*TA_ti!F$49*TA_ti!$BF45)</f>
        <v>10000</v>
      </c>
      <c r="G45" s="4">
        <f>+IF(TA_ti!G45*TA_ti!G$49*TA_ti!$BF45=0,10000,TA_ti!G45*TA_ti!G$49*TA_ti!$BF45)</f>
        <v>10000</v>
      </c>
      <c r="H45" s="4">
        <f>+IF(TA_ti!H45*TA_ti!H$49*TA_ti!$BF45=0,10000,TA_ti!H45*TA_ti!H$49*TA_ti!$BF45)</f>
        <v>10000</v>
      </c>
      <c r="I45" s="4">
        <f>+IF(TA_ti!I45*TA_ti!I$49*TA_ti!$BF45=0,10000,TA_ti!I45*TA_ti!I$49*TA_ti!$BF45)</f>
        <v>10000</v>
      </c>
      <c r="J45" s="4">
        <f>+IF(TA_ti!J45*TA_ti!J$49*TA_ti!$BF45=0,10000,TA_ti!J45*TA_ti!J$49*TA_ti!$BF45)</f>
        <v>10000</v>
      </c>
      <c r="K45" s="4">
        <f>+IF(TA_ti!K45*TA_ti!K$49*TA_ti!$BF45=0,10000,TA_ti!K45*TA_ti!K$49*TA_ti!$BF45)</f>
        <v>12</v>
      </c>
      <c r="L45" s="4">
        <f>+IF(TA_ti!L45*TA_ti!L$49*TA_ti!$BF45=0,10000,TA_ti!L45*TA_ti!L$49*TA_ti!$BF45)</f>
        <v>10000</v>
      </c>
      <c r="M45" s="4">
        <f>+IF(TA_ti!M45*TA_ti!M$49*TA_ti!$BF45=0,10000,TA_ti!M45*TA_ti!M$49*TA_ti!$BF45)</f>
        <v>10000</v>
      </c>
      <c r="N45" s="4">
        <f>+IF(TA_ti!N45*TA_ti!N$49*TA_ti!$BF45=0,10000,TA_ti!N45*TA_ti!N$49*TA_ti!$BF45)</f>
        <v>10000</v>
      </c>
      <c r="O45" s="4">
        <f>+IF(TA_ti!O45*TA_ti!O$49*TA_ti!$BF45=0,10000,TA_ti!O45*TA_ti!O$49*TA_ti!$BF45)</f>
        <v>10000</v>
      </c>
      <c r="P45" s="4">
        <f>+IF(TA_ti!P45*TA_ti!P$49*TA_ti!$BF45=0,10000,TA_ti!P45*TA_ti!P$49*TA_ti!$BF45)</f>
        <v>10000</v>
      </c>
      <c r="Q45" s="4">
        <f>+IF(TA_ti!Q45*TA_ti!Q$49*TA_ti!$BF45=0,10000,TA_ti!Q45*TA_ti!Q$49*TA_ti!$BF45)</f>
        <v>10000</v>
      </c>
      <c r="R45" s="4">
        <f>+IF(TA_ti!R45*TA_ti!R$49*TA_ti!$BF45=0,10000,TA_ti!R45*TA_ti!R$49*TA_ti!$BF45)</f>
        <v>10000</v>
      </c>
      <c r="S45" s="4">
        <f>+IF(TA_ti!S45*TA_ti!S$49*TA_ti!$BF45=0,10000,TA_ti!S45*TA_ti!S$49*TA_ti!$BF45)</f>
        <v>10000</v>
      </c>
      <c r="T45" s="4">
        <f>+IF(TA_ti!T45*TA_ti!T$49*TA_ti!$BF45=0,10000,TA_ti!T45*TA_ti!T$49*TA_ti!$BF45)</f>
        <v>10000</v>
      </c>
      <c r="U45" s="4">
        <f>+IF(TA_ti!U45*TA_ti!U$49*TA_ti!$BF45=0,10000,TA_ti!U45*TA_ti!U$49*TA_ti!$BF45)</f>
        <v>10000</v>
      </c>
      <c r="V45" s="4">
        <f>+IF(TA_ti!V45*TA_ti!V$49*TA_ti!$BF45=0,10000,TA_ti!V45*TA_ti!V$49*TA_ti!$BF45)</f>
        <v>10000</v>
      </c>
      <c r="W45" s="4">
        <f>+IF(TA_ti!W45*TA_ti!W$49*TA_ti!$BF45=0,10000,TA_ti!W45*TA_ti!W$49*TA_ti!$BF45)</f>
        <v>10000</v>
      </c>
      <c r="X45" s="4">
        <f>+IF(TA_ti!X45*TA_ti!X$49*TA_ti!$BF45=0,10000,TA_ti!X45*TA_ti!X$49*TA_ti!$BF45)</f>
        <v>10000</v>
      </c>
      <c r="Y45" s="4">
        <f>+IF(TA_ti!Y45*TA_ti!Y$49*TA_ti!$BF45=0,10000,TA_ti!Y45*TA_ti!Y$49*TA_ti!$BF45)</f>
        <v>10000</v>
      </c>
      <c r="Z45" s="4">
        <f>+IF(TA_ti!Z45*TA_ti!Z$49*TA_ti!$BF45=0,10000,TA_ti!Z45*TA_ti!Z$49*TA_ti!$BF45)</f>
        <v>10000</v>
      </c>
      <c r="AA45" s="4">
        <f>+IF(TA_ti!AA45*TA_ti!AA$49*TA_ti!$BF45=0,10000,TA_ti!AA45*TA_ti!AA$49*TA_ti!$BF45)</f>
        <v>10000</v>
      </c>
      <c r="AB45" s="4">
        <f>+IF(TA_ti!AB45*TA_ti!AB$49*TA_ti!$BF45=0,10000,TA_ti!AB45*TA_ti!AB$49*TA_ti!$BF45)</f>
        <v>10000</v>
      </c>
      <c r="AC45" s="4">
        <f>+IF(TA_ti!AC45*TA_ti!AC$49*TA_ti!$BF45=0,10000,TA_ti!AC45*TA_ti!AC$49*TA_ti!$BF45)</f>
        <v>10000</v>
      </c>
      <c r="AD45" s="4">
        <f>+IF(TA_ti!AD45*TA_ti!AD$49*TA_ti!$BF45=0,10000,TA_ti!AD45*TA_ti!AD$49*TA_ti!$BF45)</f>
        <v>10000</v>
      </c>
      <c r="AE45" s="4">
        <f>+IF(TA_ti!AE45*TA_ti!AE$49*TA_ti!$BF45=0,10000,TA_ti!AE45*TA_ti!AE$49*TA_ti!$BF45)</f>
        <v>10000</v>
      </c>
      <c r="AF45" s="4">
        <f>+IF(TA_ti!AF45*TA_ti!AF$49*TA_ti!$BF45=0,10000,TA_ti!AF45*TA_ti!AF$49*TA_ti!$BF45)</f>
        <v>10000</v>
      </c>
      <c r="AG45" s="4">
        <f>+IF(TA_ti!AG45*TA_ti!AG$49*TA_ti!$BF45=0,10000,TA_ti!AG45*TA_ti!AG$49*TA_ti!$BF45)</f>
        <v>10000</v>
      </c>
      <c r="AH45" s="4">
        <f>+IF(TA_ti!AH45*TA_ti!AH$49*TA_ti!$BF45=0,10000,TA_ti!AH45*TA_ti!AH$49*TA_ti!$BF45)</f>
        <v>10000</v>
      </c>
      <c r="AI45" s="4">
        <f>+IF(TA_ti!AI45*TA_ti!AI$49*TA_ti!$BF45=0,10000,TA_ti!AI45*TA_ti!AI$49*TA_ti!$BF45)</f>
        <v>10000</v>
      </c>
      <c r="AJ45" s="4">
        <f>+IF(TA_ti!AJ45*TA_ti!AJ$49*TA_ti!$BF45=0,10000,TA_ti!AJ45*TA_ti!AJ$49*TA_ti!$BF45)</f>
        <v>10000</v>
      </c>
      <c r="AK45" s="4">
        <f>+IF(TA_ti!AK45*TA_ti!AK$49*TA_ti!$BF45=0,10000,TA_ti!AK45*TA_ti!AK$49*TA_ti!$BF45)</f>
        <v>10000</v>
      </c>
      <c r="AL45" s="4">
        <f>+IF(TA_ti!AL45*TA_ti!AL$49*TA_ti!$BF45=0,10000,TA_ti!AL45*TA_ti!AL$49*TA_ti!$BF45)</f>
        <v>10000</v>
      </c>
      <c r="AM45" s="4">
        <f>+IF(TA_ti!AM45*TA_ti!AM$49*TA_ti!$BF45=0,10000,TA_ti!AM45*TA_ti!AM$49*TA_ti!$BF45)</f>
        <v>10000</v>
      </c>
      <c r="AN45" s="4">
        <f>+IF(TA_ti!AN45*TA_ti!AN$49*TA_ti!$BF45=0,10000,TA_ti!AN45*TA_ti!AN$49*TA_ti!$BF45)</f>
        <v>10000</v>
      </c>
      <c r="AO45" s="4">
        <f>+IF(TA_ti!AO45*TA_ti!AO$49*TA_ti!$BF45=0,10000,TA_ti!AO45*TA_ti!AO$49*TA_ti!$BF45)</f>
        <v>10000</v>
      </c>
      <c r="AP45" s="4">
        <f>+IF(TA_ti!AP45*TA_ti!AP$49*TA_ti!$BF45=0,10000,TA_ti!AP45*TA_ti!AP$49*TA_ti!$BF45)</f>
        <v>10000</v>
      </c>
      <c r="AQ45" s="4">
        <f>+IF(TA_ti!AQ45*TA_ti!AQ$49*TA_ti!$BF45=0,10000,TA_ti!AQ45*TA_ti!AQ$49*TA_ti!$BF45)</f>
        <v>10000</v>
      </c>
      <c r="AR45" s="4">
        <f>+IF(TA_ti!AR45*TA_ti!AR$49*TA_ti!$BF45=0,10000,TA_ti!AR45*TA_ti!AR$49*TA_ti!$BF45)</f>
        <v>10000</v>
      </c>
      <c r="AS45" s="4">
        <f>+IF(TA_ti!AS45*TA_ti!AS$49*TA_ti!$BF45=0,10000,TA_ti!AS45*TA_ti!AS$49*TA_ti!$BF45)</f>
        <v>10000</v>
      </c>
      <c r="AT45" s="4">
        <f>+IF(TA_ti!AT45*TA_ti!AT$49*TA_ti!$BF45=0,10000,TA_ti!AT45*TA_ti!AT$49*TA_ti!$BF45)</f>
        <v>10000</v>
      </c>
      <c r="AU45" s="4">
        <f>+IF(TA_ti!AU45*TA_ti!AU$49*TA_ti!$BF45=0,10000,TA_ti!AU45*TA_ti!AU$49*TA_ti!$BF45)</f>
        <v>10000</v>
      </c>
      <c r="AV45" s="4">
        <f>+IF(TA_ti!AV45*TA_ti!AV$49*TA_ti!$BF45=0,10000,TA_ti!AV45*TA_ti!AV$49*TA_ti!$BF45)</f>
        <v>10000</v>
      </c>
      <c r="AW45" s="4">
        <f>+IF(TA_ti!AW45*TA_ti!AW$49*TA_ti!$BF45=0,10000,TA_ti!AW45*TA_ti!AW$49*TA_ti!$BF45)</f>
        <v>10000</v>
      </c>
      <c r="AX45" s="4">
        <f>+IF(TA_ti!AX45*TA_ti!AX$49*TA_ti!$BF45=0,10000,TA_ti!AX45*TA_ti!AX$49*TA_ti!$BF45)</f>
        <v>10000</v>
      </c>
      <c r="AY45" s="4">
        <f>+IF(TA_ti!AY45*TA_ti!AY$49*TA_ti!$BF45=0,10000,TA_ti!AY45*TA_ti!AY$49*TA_ti!$BF45)</f>
        <v>10000</v>
      </c>
      <c r="AZ45" s="4">
        <f>+IF(TA_ti!AZ45*TA_ti!AZ$49*TA_ti!$BF45=0,10000,TA_ti!AZ45*TA_ti!AZ$49*TA_ti!$BF45)</f>
        <v>10000</v>
      </c>
      <c r="BA45" s="4">
        <f>+IF(TA_ti!BA45*TA_ti!BA$49*TA_ti!$BF45=0,10000,TA_ti!BA45*TA_ti!BA$49*TA_ti!$BF45)</f>
        <v>10000</v>
      </c>
      <c r="BB45" s="4">
        <f>+IF(TA_ti!BB45*TA_ti!BB$49*TA_ti!$BF45=0,10000,TA_ti!BB45*TA_ti!BB$49*TA_ti!$BF45)</f>
        <v>10000</v>
      </c>
      <c r="BC45" s="4">
        <f>+IF(TA_ti!BC45*TA_ti!BC$49*TA_ti!$BF45=0,10000,TA_ti!BC45*TA_ti!BC$49*TA_ti!$BF45)</f>
        <v>10000</v>
      </c>
    </row>
    <row r="46" spans="1:55" ht="18.75" customHeight="1" x14ac:dyDescent="0.25">
      <c r="A46" s="6" t="s">
        <v>97</v>
      </c>
      <c r="B46" s="4">
        <f>+IF(TA_ti!B46*TA_ti!B$49*TA_ti!$BF46=0,10000,TA_ti!B46*TA_ti!B$49*TA_ti!$BF46)</f>
        <v>10000</v>
      </c>
      <c r="C46" s="4">
        <f>+IF(TA_ti!C46*TA_ti!C$49*TA_ti!$BF46=0,10000,TA_ti!C46*TA_ti!C$49*TA_ti!$BF46)</f>
        <v>10000</v>
      </c>
      <c r="D46" s="4">
        <f>+IF(TA_ti!D46*TA_ti!D$49*TA_ti!$BF46=0,10000,TA_ti!D46*TA_ti!D$49*TA_ti!$BF46)</f>
        <v>10000</v>
      </c>
      <c r="E46" s="4">
        <f>+IF(TA_ti!E46*TA_ti!E$49*TA_ti!$BF46=0,10000,TA_ti!E46*TA_ti!E$49*TA_ti!$BF46)</f>
        <v>10000</v>
      </c>
      <c r="F46" s="4">
        <f>+IF(TA_ti!F46*TA_ti!F$49*TA_ti!$BF46=0,10000,TA_ti!F46*TA_ti!F$49*TA_ti!$BF46)</f>
        <v>10000</v>
      </c>
      <c r="G46" s="4">
        <f>+IF(TA_ti!G46*TA_ti!G$49*TA_ti!$BF46=0,10000,TA_ti!G46*TA_ti!G$49*TA_ti!$BF46)</f>
        <v>10000</v>
      </c>
      <c r="H46" s="4">
        <f>+IF(TA_ti!H46*TA_ti!H$49*TA_ti!$BF46=0,10000,TA_ti!H46*TA_ti!H$49*TA_ti!$BF46)</f>
        <v>10000</v>
      </c>
      <c r="I46" s="4">
        <f>+IF(TA_ti!I46*TA_ti!I$49*TA_ti!$BF46=0,10000,TA_ti!I46*TA_ti!I$49*TA_ti!$BF46)</f>
        <v>10000</v>
      </c>
      <c r="J46" s="4">
        <f>+IF(TA_ti!J46*TA_ti!J$49*TA_ti!$BF46=0,10000,TA_ti!J46*TA_ti!J$49*TA_ti!$BF46)</f>
        <v>10000</v>
      </c>
      <c r="K46" s="4">
        <f>+IF(TA_ti!K46*TA_ti!K$49*TA_ti!$BF46=0,10000,TA_ti!K46*TA_ti!K$49*TA_ti!$BF46)</f>
        <v>12</v>
      </c>
      <c r="L46" s="4">
        <f>+IF(TA_ti!L46*TA_ti!L$49*TA_ti!$BF46=0,10000,TA_ti!L46*TA_ti!L$49*TA_ti!$BF46)</f>
        <v>10000</v>
      </c>
      <c r="M46" s="4">
        <f>+IF(TA_ti!M46*TA_ti!M$49*TA_ti!$BF46=0,10000,TA_ti!M46*TA_ti!M$49*TA_ti!$BF46)</f>
        <v>10000</v>
      </c>
      <c r="N46" s="4">
        <f>+IF(TA_ti!N46*TA_ti!N$49*TA_ti!$BF46=0,10000,TA_ti!N46*TA_ti!N$49*TA_ti!$BF46)</f>
        <v>10000</v>
      </c>
      <c r="O46" s="4">
        <f>+IF(TA_ti!O46*TA_ti!O$49*TA_ti!$BF46=0,10000,TA_ti!O46*TA_ti!O$49*TA_ti!$BF46)</f>
        <v>10000</v>
      </c>
      <c r="P46" s="4">
        <f>+IF(TA_ti!P46*TA_ti!P$49*TA_ti!$BF46=0,10000,TA_ti!P46*TA_ti!P$49*TA_ti!$BF46)</f>
        <v>10000</v>
      </c>
      <c r="Q46" s="4">
        <f>+IF(TA_ti!Q46*TA_ti!Q$49*TA_ti!$BF46=0,10000,TA_ti!Q46*TA_ti!Q$49*TA_ti!$BF46)</f>
        <v>10000</v>
      </c>
      <c r="R46" s="4">
        <f>+IF(TA_ti!R46*TA_ti!R$49*TA_ti!$BF46=0,10000,TA_ti!R46*TA_ti!R$49*TA_ti!$BF46)</f>
        <v>10000</v>
      </c>
      <c r="S46" s="4">
        <f>+IF(TA_ti!S46*TA_ti!S$49*TA_ti!$BF46=0,10000,TA_ti!S46*TA_ti!S$49*TA_ti!$BF46)</f>
        <v>10000</v>
      </c>
      <c r="T46" s="4">
        <f>+IF(TA_ti!T46*TA_ti!T$49*TA_ti!$BF46=0,10000,TA_ti!T46*TA_ti!T$49*TA_ti!$BF46)</f>
        <v>10000</v>
      </c>
      <c r="U46" s="4">
        <f>+IF(TA_ti!U46*TA_ti!U$49*TA_ti!$BF46=0,10000,TA_ti!U46*TA_ti!U$49*TA_ti!$BF46)</f>
        <v>10000</v>
      </c>
      <c r="V46" s="4">
        <f>+IF(TA_ti!V46*TA_ti!V$49*TA_ti!$BF46=0,10000,TA_ti!V46*TA_ti!V$49*TA_ti!$BF46)</f>
        <v>10000</v>
      </c>
      <c r="W46" s="4">
        <f>+IF(TA_ti!W46*TA_ti!W$49*TA_ti!$BF46=0,10000,TA_ti!W46*TA_ti!W$49*TA_ti!$BF46)</f>
        <v>10000</v>
      </c>
      <c r="X46" s="4">
        <f>+IF(TA_ti!X46*TA_ti!X$49*TA_ti!$BF46=0,10000,TA_ti!X46*TA_ti!X$49*TA_ti!$BF46)</f>
        <v>10000</v>
      </c>
      <c r="Y46" s="4">
        <f>+IF(TA_ti!Y46*TA_ti!Y$49*TA_ti!$BF46=0,10000,TA_ti!Y46*TA_ti!Y$49*TA_ti!$BF46)</f>
        <v>10000</v>
      </c>
      <c r="Z46" s="4">
        <f>+IF(TA_ti!Z46*TA_ti!Z$49*TA_ti!$BF46=0,10000,TA_ti!Z46*TA_ti!Z$49*TA_ti!$BF46)</f>
        <v>10000</v>
      </c>
      <c r="AA46" s="4">
        <f>+IF(TA_ti!AA46*TA_ti!AA$49*TA_ti!$BF46=0,10000,TA_ti!AA46*TA_ti!AA$49*TA_ti!$BF46)</f>
        <v>10000</v>
      </c>
      <c r="AB46" s="4">
        <f>+IF(TA_ti!AB46*TA_ti!AB$49*TA_ti!$BF46=0,10000,TA_ti!AB46*TA_ti!AB$49*TA_ti!$BF46)</f>
        <v>10000</v>
      </c>
      <c r="AC46" s="4">
        <f>+IF(TA_ti!AC46*TA_ti!AC$49*TA_ti!$BF46=0,10000,TA_ti!AC46*TA_ti!AC$49*TA_ti!$BF46)</f>
        <v>10000</v>
      </c>
      <c r="AD46" s="4">
        <f>+IF(TA_ti!AD46*TA_ti!AD$49*TA_ti!$BF46=0,10000,TA_ti!AD46*TA_ti!AD$49*TA_ti!$BF46)</f>
        <v>10000</v>
      </c>
      <c r="AE46" s="4">
        <f>+IF(TA_ti!AE46*TA_ti!AE$49*TA_ti!$BF46=0,10000,TA_ti!AE46*TA_ti!AE$49*TA_ti!$BF46)</f>
        <v>10000</v>
      </c>
      <c r="AF46" s="4">
        <f>+IF(TA_ti!AF46*TA_ti!AF$49*TA_ti!$BF46=0,10000,TA_ti!AF46*TA_ti!AF$49*TA_ti!$BF46)</f>
        <v>10000</v>
      </c>
      <c r="AG46" s="4">
        <f>+IF(TA_ti!AG46*TA_ti!AG$49*TA_ti!$BF46=0,10000,TA_ti!AG46*TA_ti!AG$49*TA_ti!$BF46)</f>
        <v>10000</v>
      </c>
      <c r="AH46" s="4">
        <f>+IF(TA_ti!AH46*TA_ti!AH$49*TA_ti!$BF46=0,10000,TA_ti!AH46*TA_ti!AH$49*TA_ti!$BF46)</f>
        <v>10000</v>
      </c>
      <c r="AI46" s="4">
        <f>+IF(TA_ti!AI46*TA_ti!AI$49*TA_ti!$BF46=0,10000,TA_ti!AI46*TA_ti!AI$49*TA_ti!$BF46)</f>
        <v>10000</v>
      </c>
      <c r="AJ46" s="4">
        <f>+IF(TA_ti!AJ46*TA_ti!AJ$49*TA_ti!$BF46=0,10000,TA_ti!AJ46*TA_ti!AJ$49*TA_ti!$BF46)</f>
        <v>10000</v>
      </c>
      <c r="AK46" s="4">
        <f>+IF(TA_ti!AK46*TA_ti!AK$49*TA_ti!$BF46=0,10000,TA_ti!AK46*TA_ti!AK$49*TA_ti!$BF46)</f>
        <v>10000</v>
      </c>
      <c r="AL46" s="4">
        <f>+IF(TA_ti!AL46*TA_ti!AL$49*TA_ti!$BF46=0,10000,TA_ti!AL46*TA_ti!AL$49*TA_ti!$BF46)</f>
        <v>10000</v>
      </c>
      <c r="AM46" s="4">
        <f>+IF(TA_ti!AM46*TA_ti!AM$49*TA_ti!$BF46=0,10000,TA_ti!AM46*TA_ti!AM$49*TA_ti!$BF46)</f>
        <v>10000</v>
      </c>
      <c r="AN46" s="4">
        <f>+IF(TA_ti!AN46*TA_ti!AN$49*TA_ti!$BF46=0,10000,TA_ti!AN46*TA_ti!AN$49*TA_ti!$BF46)</f>
        <v>10000</v>
      </c>
      <c r="AO46" s="4">
        <f>+IF(TA_ti!AO46*TA_ti!AO$49*TA_ti!$BF46=0,10000,TA_ti!AO46*TA_ti!AO$49*TA_ti!$BF46)</f>
        <v>10000</v>
      </c>
      <c r="AP46" s="4">
        <f>+IF(TA_ti!AP46*TA_ti!AP$49*TA_ti!$BF46=0,10000,TA_ti!AP46*TA_ti!AP$49*TA_ti!$BF46)</f>
        <v>10000</v>
      </c>
      <c r="AQ46" s="4">
        <f>+IF(TA_ti!AQ46*TA_ti!AQ$49*TA_ti!$BF46=0,10000,TA_ti!AQ46*TA_ti!AQ$49*TA_ti!$BF46)</f>
        <v>10000</v>
      </c>
      <c r="AR46" s="4">
        <f>+IF(TA_ti!AR46*TA_ti!AR$49*TA_ti!$BF46=0,10000,TA_ti!AR46*TA_ti!AR$49*TA_ti!$BF46)</f>
        <v>10000</v>
      </c>
      <c r="AS46" s="4">
        <f>+IF(TA_ti!AS46*TA_ti!AS$49*TA_ti!$BF46=0,10000,TA_ti!AS46*TA_ti!AS$49*TA_ti!$BF46)</f>
        <v>10000</v>
      </c>
      <c r="AT46" s="4">
        <f>+IF(TA_ti!AT46*TA_ti!AT$49*TA_ti!$BF46=0,10000,TA_ti!AT46*TA_ti!AT$49*TA_ti!$BF46)</f>
        <v>10000</v>
      </c>
      <c r="AU46" s="4">
        <f>+IF(TA_ti!AU46*TA_ti!AU$49*TA_ti!$BF46=0,10000,TA_ti!AU46*TA_ti!AU$49*TA_ti!$BF46)</f>
        <v>10000</v>
      </c>
      <c r="AV46" s="4">
        <f>+IF(TA_ti!AV46*TA_ti!AV$49*TA_ti!$BF46=0,10000,TA_ti!AV46*TA_ti!AV$49*TA_ti!$BF46)</f>
        <v>10000</v>
      </c>
      <c r="AW46" s="4">
        <f>+IF(TA_ti!AW46*TA_ti!AW$49*TA_ti!$BF46=0,10000,TA_ti!AW46*TA_ti!AW$49*TA_ti!$BF46)</f>
        <v>10000</v>
      </c>
      <c r="AX46" s="4">
        <f>+IF(TA_ti!AX46*TA_ti!AX$49*TA_ti!$BF46=0,10000,TA_ti!AX46*TA_ti!AX$49*TA_ti!$BF46)</f>
        <v>10000</v>
      </c>
      <c r="AY46" s="4">
        <f>+IF(TA_ti!AY46*TA_ti!AY$49*TA_ti!$BF46=0,10000,TA_ti!AY46*TA_ti!AY$49*TA_ti!$BF46)</f>
        <v>10000</v>
      </c>
      <c r="AZ46" s="4">
        <f>+IF(TA_ti!AZ46*TA_ti!AZ$49*TA_ti!$BF46=0,10000,TA_ti!AZ46*TA_ti!AZ$49*TA_ti!$BF46)</f>
        <v>10000</v>
      </c>
      <c r="BA46" s="4">
        <f>+IF(TA_ti!BA46*TA_ti!BA$49*TA_ti!$BF46=0,10000,TA_ti!BA46*TA_ti!BA$49*TA_ti!$BF46)</f>
        <v>10000</v>
      </c>
      <c r="BB46" s="4">
        <f>+IF(TA_ti!BB46*TA_ti!BB$49*TA_ti!$BF46=0,10000,TA_ti!BB46*TA_ti!BB$49*TA_ti!$BF46)</f>
        <v>10000</v>
      </c>
      <c r="BC46" s="4">
        <f>+IF(TA_ti!BC46*TA_ti!BC$49*TA_ti!$BF46=0,10000,TA_ti!BC46*TA_ti!BC$49*TA_ti!$BF46)</f>
        <v>10000</v>
      </c>
    </row>
  </sheetData>
  <conditionalFormatting sqref="B2:BC46">
    <cfRule type="cellIs" dxfId="4" priority="1" operator="lessThan">
      <formula>5000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2" width="7.5703125" style="7" bestFit="1" customWidth="1"/>
    <col min="53" max="55" width="7.28515625" style="7" bestFit="1" customWidth="1"/>
  </cols>
  <sheetData>
    <row r="1" spans="1:55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18.75" customHeight="1" x14ac:dyDescent="0.25">
      <c r="A2" s="3" t="str">
        <f>"T"&amp;_xlfn.SEQUENCE(36,1,1,1)</f>
        <v>T1</v>
      </c>
      <c r="B2" s="4">
        <f>+IF(TA_ti!B2*TA_ti!B$50*TA_ti!$BG2=0,10000,TA_ti!B2*TA_ti!B$50*TA_ti!$BG2)</f>
        <v>10000</v>
      </c>
      <c r="C2" s="4">
        <f>+IF(TA_ti!C2*TA_ti!C$50*TA_ti!$BG2=0,10000,TA_ti!C2*TA_ti!C$50*TA_ti!$BG2)</f>
        <v>10000</v>
      </c>
      <c r="D2" s="4">
        <f>+IF(TA_ti!D2*TA_ti!D$50*TA_ti!$BG2=0,10000,TA_ti!D2*TA_ti!D$50*TA_ti!$BG2)</f>
        <v>10000</v>
      </c>
      <c r="E2" s="4">
        <f>+IF(TA_ti!E2*TA_ti!E$50*TA_ti!$BG2=0,10000,TA_ti!E2*TA_ti!E$50*TA_ti!$BG2)</f>
        <v>10000</v>
      </c>
      <c r="F2" s="4">
        <f>+IF(TA_ti!F2*TA_ti!F$50*TA_ti!$BG2=0,10000,TA_ti!F2*TA_ti!F$50*TA_ti!$BG2)</f>
        <v>10000</v>
      </c>
      <c r="G2" s="4">
        <f>+IF(TA_ti!G2*TA_ti!G$50*TA_ti!$BG2=0,10000,TA_ti!G2*TA_ti!G$50*TA_ti!$BG2)</f>
        <v>10000</v>
      </c>
      <c r="H2" s="4">
        <f>+IF(TA_ti!H2*TA_ti!H$50*TA_ti!$BG2=0,10000,TA_ti!H2*TA_ti!H$50*TA_ti!$BG2)</f>
        <v>10000</v>
      </c>
      <c r="I2" s="4">
        <f>+IF(TA_ti!I2*TA_ti!I$50*TA_ti!$BG2=0,10000,TA_ti!I2*TA_ti!I$50*TA_ti!$BG2)</f>
        <v>10000</v>
      </c>
      <c r="J2" s="4">
        <f>+IF(TA_ti!J2*TA_ti!J$50*TA_ti!$BG2=0,10000,TA_ti!J2*TA_ti!J$50*TA_ti!$BG2)</f>
        <v>10000</v>
      </c>
      <c r="K2" s="4">
        <f>+IF(TA_ti!K2*TA_ti!K$50*TA_ti!$BG2=0,10000,TA_ti!K2*TA_ti!K$50*TA_ti!$BG2)</f>
        <v>10000</v>
      </c>
      <c r="L2" s="4">
        <f>+IF(TA_ti!L2*TA_ti!L$50*TA_ti!$BG2=0,10000,TA_ti!L2*TA_ti!L$50*TA_ti!$BG2)</f>
        <v>10000</v>
      </c>
      <c r="M2" s="4">
        <f>+IF(TA_ti!M2*TA_ti!M$50*TA_ti!$BG2=0,10000,TA_ti!M2*TA_ti!M$50*TA_ti!$BG2)</f>
        <v>10000</v>
      </c>
      <c r="N2" s="4">
        <f>+IF(TA_ti!N2*TA_ti!N$50*TA_ti!$BG2=0,10000,TA_ti!N2*TA_ti!N$50*TA_ti!$BG2)</f>
        <v>10000</v>
      </c>
      <c r="O2" s="4">
        <f>+IF(TA_ti!O2*TA_ti!O$50*TA_ti!$BG2=0,10000,TA_ti!O2*TA_ti!O$50*TA_ti!$BG2)</f>
        <v>10000</v>
      </c>
      <c r="P2" s="4">
        <f>+IF(TA_ti!P2*TA_ti!P$50*TA_ti!$BG2=0,10000,TA_ti!P2*TA_ti!P$50*TA_ti!$BG2)</f>
        <v>10000</v>
      </c>
      <c r="Q2" s="4">
        <f>+IF(TA_ti!Q2*TA_ti!Q$50*TA_ti!$BG2=0,10000,TA_ti!Q2*TA_ti!Q$50*TA_ti!$BG2)</f>
        <v>10000</v>
      </c>
      <c r="R2" s="4">
        <f>+IF(TA_ti!R2*TA_ti!R$50*TA_ti!$BG2=0,10000,TA_ti!R2*TA_ti!R$50*TA_ti!$BG2)</f>
        <v>10000</v>
      </c>
      <c r="S2" s="4">
        <f>+IF(TA_ti!S2*TA_ti!S$50*TA_ti!$BG2=0,10000,TA_ti!S2*TA_ti!S$50*TA_ti!$BG2)</f>
        <v>10000</v>
      </c>
      <c r="T2" s="4">
        <f>+IF(TA_ti!T2*TA_ti!T$50*TA_ti!$BG2=0,10000,TA_ti!T2*TA_ti!T$50*TA_ti!$BG2)</f>
        <v>10000</v>
      </c>
      <c r="U2" s="4">
        <f>+IF(TA_ti!U2*TA_ti!U$50*TA_ti!$BG2=0,10000,TA_ti!U2*TA_ti!U$50*TA_ti!$BG2)</f>
        <v>10000</v>
      </c>
      <c r="V2" s="4">
        <f>+IF(TA_ti!V2*TA_ti!V$50*TA_ti!$BG2=0,10000,TA_ti!V2*TA_ti!V$50*TA_ti!$BG2)</f>
        <v>10000</v>
      </c>
      <c r="W2" s="4">
        <f>+IF(TA_ti!W2*TA_ti!W$50*TA_ti!$BG2=0,10000,TA_ti!W2*TA_ti!W$50*TA_ti!$BG2)</f>
        <v>10000</v>
      </c>
      <c r="X2" s="4">
        <f>+IF(TA_ti!X2*TA_ti!X$50*TA_ti!$BG2=0,10000,TA_ti!X2*TA_ti!X$50*TA_ti!$BG2)</f>
        <v>10000</v>
      </c>
      <c r="Y2" s="4">
        <f>+IF(TA_ti!Y2*TA_ti!Y$50*TA_ti!$BG2=0,10000,TA_ti!Y2*TA_ti!Y$50*TA_ti!$BG2)</f>
        <v>10000</v>
      </c>
      <c r="Z2" s="4">
        <f>+IF(TA_ti!Z2*TA_ti!Z$50*TA_ti!$BG2=0,10000,TA_ti!Z2*TA_ti!Z$50*TA_ti!$BG2)</f>
        <v>10000</v>
      </c>
      <c r="AA2" s="4">
        <f>+IF(TA_ti!AA2*TA_ti!AA$50*TA_ti!$BG2=0,10000,TA_ti!AA2*TA_ti!AA$50*TA_ti!$BG2)</f>
        <v>10000</v>
      </c>
      <c r="AB2" s="4">
        <f>+IF(TA_ti!AB2*TA_ti!AB$50*TA_ti!$BG2=0,10000,TA_ti!AB2*TA_ti!AB$50*TA_ti!$BG2)</f>
        <v>10000</v>
      </c>
      <c r="AC2" s="4">
        <f>+IF(TA_ti!AC2*TA_ti!AC$50*TA_ti!$BG2=0,10000,TA_ti!AC2*TA_ti!AC$50*TA_ti!$BG2)</f>
        <v>10000</v>
      </c>
      <c r="AD2" s="4">
        <f>+IF(TA_ti!AD2*TA_ti!AD$50*TA_ti!$BG2=0,10000,TA_ti!AD2*TA_ti!AD$50*TA_ti!$BG2)</f>
        <v>10000</v>
      </c>
      <c r="AE2" s="4">
        <f>+IF(TA_ti!AE2*TA_ti!AE$50*TA_ti!$BG2=0,10000,TA_ti!AE2*TA_ti!AE$50*TA_ti!$BG2)</f>
        <v>10000</v>
      </c>
      <c r="AF2" s="4">
        <f>+IF(TA_ti!AF2*TA_ti!AF$50*TA_ti!$BG2=0,10000,TA_ti!AF2*TA_ti!AF$50*TA_ti!$BG2)</f>
        <v>10000</v>
      </c>
      <c r="AG2" s="4">
        <f>+IF(TA_ti!AG2*TA_ti!AG$50*TA_ti!$BG2=0,10000,TA_ti!AG2*TA_ti!AG$50*TA_ti!$BG2)</f>
        <v>10000</v>
      </c>
      <c r="AH2" s="4">
        <f>+IF(TA_ti!AH2*TA_ti!AH$50*TA_ti!$BG2=0,10000,TA_ti!AH2*TA_ti!AH$50*TA_ti!$BG2)</f>
        <v>10000</v>
      </c>
      <c r="AI2" s="4">
        <f>+IF(TA_ti!AI2*TA_ti!AI$50*TA_ti!$BG2=0,10000,TA_ti!AI2*TA_ti!AI$50*TA_ti!$BG2)</f>
        <v>10000</v>
      </c>
      <c r="AJ2" s="4">
        <f>+IF(TA_ti!AJ2*TA_ti!AJ$50*TA_ti!$BG2=0,10000,TA_ti!AJ2*TA_ti!AJ$50*TA_ti!$BG2)</f>
        <v>10000</v>
      </c>
      <c r="AK2" s="4">
        <f>+IF(TA_ti!AK2*TA_ti!AK$50*TA_ti!$BG2=0,10000,TA_ti!AK2*TA_ti!AK$50*TA_ti!$BG2)</f>
        <v>10000</v>
      </c>
      <c r="AL2" s="4">
        <f>+IF(TA_ti!AL2*TA_ti!AL$50*TA_ti!$BG2=0,10000,TA_ti!AL2*TA_ti!AL$50*TA_ti!$BG2)</f>
        <v>10000</v>
      </c>
      <c r="AM2" s="4">
        <f>+IF(TA_ti!AM2*TA_ti!AM$50*TA_ti!$BG2=0,10000,TA_ti!AM2*TA_ti!AM$50*TA_ti!$BG2)</f>
        <v>10000</v>
      </c>
      <c r="AN2" s="4">
        <f>+IF(TA_ti!AN2*TA_ti!AN$50*TA_ti!$BG2=0,10000,TA_ti!AN2*TA_ti!AN$50*TA_ti!$BG2)</f>
        <v>10000</v>
      </c>
      <c r="AO2" s="4">
        <f>+IF(TA_ti!AO2*TA_ti!AO$50*TA_ti!$BG2=0,10000,TA_ti!AO2*TA_ti!AO$50*TA_ti!$BG2)</f>
        <v>10000</v>
      </c>
      <c r="AP2" s="4">
        <f>+IF(TA_ti!AP2*TA_ti!AP$50*TA_ti!$BG2=0,10000,TA_ti!AP2*TA_ti!AP$50*TA_ti!$BG2)</f>
        <v>10000</v>
      </c>
      <c r="AQ2" s="4">
        <f>+IF(TA_ti!AQ2*TA_ti!AQ$50*TA_ti!$BG2=0,10000,TA_ti!AQ2*TA_ti!AQ$50*TA_ti!$BG2)</f>
        <v>10000</v>
      </c>
      <c r="AR2" s="4">
        <f>+IF(TA_ti!AR2*TA_ti!AR$50*TA_ti!$BG2=0,10000,TA_ti!AR2*TA_ti!AR$50*TA_ti!$BG2)</f>
        <v>10000</v>
      </c>
      <c r="AS2" s="4">
        <f>+IF(TA_ti!AS2*TA_ti!AS$50*TA_ti!$BG2=0,10000,TA_ti!AS2*TA_ti!AS$50*TA_ti!$BG2)</f>
        <v>10000</v>
      </c>
      <c r="AT2" s="4">
        <f>+IF(TA_ti!AT2*TA_ti!AT$50*TA_ti!$BG2=0,10000,TA_ti!AT2*TA_ti!AT$50*TA_ti!$BG2)</f>
        <v>10000</v>
      </c>
      <c r="AU2" s="4">
        <f>+IF(TA_ti!AU2*TA_ti!AU$50*TA_ti!$BG2=0,10000,TA_ti!AU2*TA_ti!AU$50*TA_ti!$BG2)</f>
        <v>10000</v>
      </c>
      <c r="AV2" s="4">
        <f>+IF(TA_ti!AV2*TA_ti!AV$50*TA_ti!$BG2=0,10000,TA_ti!AV2*TA_ti!AV$50*TA_ti!$BG2)</f>
        <v>10000</v>
      </c>
      <c r="AW2" s="4">
        <f>+IF(TA_ti!AW2*TA_ti!AW$50*TA_ti!$BG2=0,10000,TA_ti!AW2*TA_ti!AW$50*TA_ti!$BG2)</f>
        <v>10000</v>
      </c>
      <c r="AX2" s="4">
        <f>+IF(TA_ti!AX2*TA_ti!AX$50*TA_ti!$BG2=0,10000,TA_ti!AX2*TA_ti!AX$50*TA_ti!$BG2)</f>
        <v>10000</v>
      </c>
      <c r="AY2" s="4">
        <f>+IF(TA_ti!AY2*TA_ti!AY$50*TA_ti!$BG2=0,10000,TA_ti!AY2*TA_ti!AY$50*TA_ti!$BG2)</f>
        <v>10000</v>
      </c>
      <c r="AZ2" s="4">
        <f>+IF(TA_ti!AZ2*TA_ti!AZ$50*TA_ti!$BG2=0,10000,TA_ti!AZ2*TA_ti!AZ$50*TA_ti!$BG2)</f>
        <v>10000</v>
      </c>
      <c r="BA2" s="4">
        <f>+IF(TA_ti!BA2*TA_ti!BA$50*TA_ti!$BG2=0,10000,TA_ti!BA2*TA_ti!BA$50*TA_ti!$BG2)</f>
        <v>10000</v>
      </c>
      <c r="BB2" s="4">
        <f>+IF(TA_ti!BB2*TA_ti!BB$50*TA_ti!$BG2=0,10000,TA_ti!BB2*TA_ti!BB$50*TA_ti!$BG2)</f>
        <v>10000</v>
      </c>
      <c r="BC2" s="4">
        <f>+IF(TA_ti!BC2*TA_ti!BC$50*TA_ti!$BG2=0,10000,TA_ti!BC2*TA_ti!BC$50*TA_ti!$BG2)</f>
        <v>10000</v>
      </c>
    </row>
    <row r="3" spans="1:55" ht="18.75" customHeight="1" x14ac:dyDescent="0.25">
      <c r="A3" s="5" t="s">
        <v>54</v>
      </c>
      <c r="B3" s="4">
        <f>+IF(TA_ti!B3*TA_ti!B$50*TA_ti!$BG3=0,10000,TA_ti!B3*TA_ti!B$50*TA_ti!$BG3)</f>
        <v>10000</v>
      </c>
      <c r="C3" s="4">
        <f>+IF(TA_ti!C3*TA_ti!C$50*TA_ti!$BG3=0,10000,TA_ti!C3*TA_ti!C$50*TA_ti!$BG3)</f>
        <v>10000</v>
      </c>
      <c r="D3" s="4">
        <f>+IF(TA_ti!D3*TA_ti!D$50*TA_ti!$BG3=0,10000,TA_ti!D3*TA_ti!D$50*TA_ti!$BG3)</f>
        <v>10000</v>
      </c>
      <c r="E3" s="4">
        <f>+IF(TA_ti!E3*TA_ti!E$50*TA_ti!$BG3=0,10000,TA_ti!E3*TA_ti!E$50*TA_ti!$BG3)</f>
        <v>10000</v>
      </c>
      <c r="F3" s="4">
        <f>+IF(TA_ti!F3*TA_ti!F$50*TA_ti!$BG3=0,10000,TA_ti!F3*TA_ti!F$50*TA_ti!$BG3)</f>
        <v>10000</v>
      </c>
      <c r="G3" s="4">
        <f>+IF(TA_ti!G3*TA_ti!G$50*TA_ti!$BG3=0,10000,TA_ti!G3*TA_ti!G$50*TA_ti!$BG3)</f>
        <v>10000</v>
      </c>
      <c r="H3" s="4">
        <f>+IF(TA_ti!H3*TA_ti!H$50*TA_ti!$BG3=0,10000,TA_ti!H3*TA_ti!H$50*TA_ti!$BG3)</f>
        <v>10000</v>
      </c>
      <c r="I3" s="4">
        <f>+IF(TA_ti!I3*TA_ti!I$50*TA_ti!$BG3=0,10000,TA_ti!I3*TA_ti!I$50*TA_ti!$BG3)</f>
        <v>10000</v>
      </c>
      <c r="J3" s="4">
        <f>+IF(TA_ti!J3*TA_ti!J$50*TA_ti!$BG3=0,10000,TA_ti!J3*TA_ti!J$50*TA_ti!$BG3)</f>
        <v>10000</v>
      </c>
      <c r="K3" s="4">
        <f>+IF(TA_ti!K3*TA_ti!K$50*TA_ti!$BG3=0,10000,TA_ti!K3*TA_ti!K$50*TA_ti!$BG3)</f>
        <v>10000</v>
      </c>
      <c r="L3" s="4">
        <f>+IF(TA_ti!L3*TA_ti!L$50*TA_ti!$BG3=0,10000,TA_ti!L3*TA_ti!L$50*TA_ti!$BG3)</f>
        <v>10000</v>
      </c>
      <c r="M3" s="4">
        <f>+IF(TA_ti!M3*TA_ti!M$50*TA_ti!$BG3=0,10000,TA_ti!M3*TA_ti!M$50*TA_ti!$BG3)</f>
        <v>10000</v>
      </c>
      <c r="N3" s="4">
        <f>+IF(TA_ti!N3*TA_ti!N$50*TA_ti!$BG3=0,10000,TA_ti!N3*TA_ti!N$50*TA_ti!$BG3)</f>
        <v>10000</v>
      </c>
      <c r="O3" s="4">
        <f>+IF(TA_ti!O3*TA_ti!O$50*TA_ti!$BG3=0,10000,TA_ti!O3*TA_ti!O$50*TA_ti!$BG3)</f>
        <v>10000</v>
      </c>
      <c r="P3" s="4">
        <f>+IF(TA_ti!P3*TA_ti!P$50*TA_ti!$BG3=0,10000,TA_ti!P3*TA_ti!P$50*TA_ti!$BG3)</f>
        <v>10000</v>
      </c>
      <c r="Q3" s="4">
        <f>+IF(TA_ti!Q3*TA_ti!Q$50*TA_ti!$BG3=0,10000,TA_ti!Q3*TA_ti!Q$50*TA_ti!$BG3)</f>
        <v>10000</v>
      </c>
      <c r="R3" s="4">
        <f>+IF(TA_ti!R3*TA_ti!R$50*TA_ti!$BG3=0,10000,TA_ti!R3*TA_ti!R$50*TA_ti!$BG3)</f>
        <v>10000</v>
      </c>
      <c r="S3" s="4">
        <f>+IF(TA_ti!S3*TA_ti!S$50*TA_ti!$BG3=0,10000,TA_ti!S3*TA_ti!S$50*TA_ti!$BG3)</f>
        <v>10000</v>
      </c>
      <c r="T3" s="4">
        <f>+IF(TA_ti!T3*TA_ti!T$50*TA_ti!$BG3=0,10000,TA_ti!T3*TA_ti!T$50*TA_ti!$BG3)</f>
        <v>10000</v>
      </c>
      <c r="U3" s="4">
        <f>+IF(TA_ti!U3*TA_ti!U$50*TA_ti!$BG3=0,10000,TA_ti!U3*TA_ti!U$50*TA_ti!$BG3)</f>
        <v>10000</v>
      </c>
      <c r="V3" s="4">
        <f>+IF(TA_ti!V3*TA_ti!V$50*TA_ti!$BG3=0,10000,TA_ti!V3*TA_ti!V$50*TA_ti!$BG3)</f>
        <v>10000</v>
      </c>
      <c r="W3" s="4">
        <f>+IF(TA_ti!W3*TA_ti!W$50*TA_ti!$BG3=0,10000,TA_ti!W3*TA_ti!W$50*TA_ti!$BG3)</f>
        <v>10000</v>
      </c>
      <c r="X3" s="4">
        <f>+IF(TA_ti!X3*TA_ti!X$50*TA_ti!$BG3=0,10000,TA_ti!X3*TA_ti!X$50*TA_ti!$BG3)</f>
        <v>10000</v>
      </c>
      <c r="Y3" s="4">
        <f>+IF(TA_ti!Y3*TA_ti!Y$50*TA_ti!$BG3=0,10000,TA_ti!Y3*TA_ti!Y$50*TA_ti!$BG3)</f>
        <v>10000</v>
      </c>
      <c r="Z3" s="4">
        <f>+IF(TA_ti!Z3*TA_ti!Z$50*TA_ti!$BG3=0,10000,TA_ti!Z3*TA_ti!Z$50*TA_ti!$BG3)</f>
        <v>10000</v>
      </c>
      <c r="AA3" s="4">
        <f>+IF(TA_ti!AA3*TA_ti!AA$50*TA_ti!$BG3=0,10000,TA_ti!AA3*TA_ti!AA$50*TA_ti!$BG3)</f>
        <v>10000</v>
      </c>
      <c r="AB3" s="4">
        <f>+IF(TA_ti!AB3*TA_ti!AB$50*TA_ti!$BG3=0,10000,TA_ti!AB3*TA_ti!AB$50*TA_ti!$BG3)</f>
        <v>10000</v>
      </c>
      <c r="AC3" s="4">
        <f>+IF(TA_ti!AC3*TA_ti!AC$50*TA_ti!$BG3=0,10000,TA_ti!AC3*TA_ti!AC$50*TA_ti!$BG3)</f>
        <v>10000</v>
      </c>
      <c r="AD3" s="4">
        <f>+IF(TA_ti!AD3*TA_ti!AD$50*TA_ti!$BG3=0,10000,TA_ti!AD3*TA_ti!AD$50*TA_ti!$BG3)</f>
        <v>10000</v>
      </c>
      <c r="AE3" s="4">
        <f>+IF(TA_ti!AE3*TA_ti!AE$50*TA_ti!$BG3=0,10000,TA_ti!AE3*TA_ti!AE$50*TA_ti!$BG3)</f>
        <v>10000</v>
      </c>
      <c r="AF3" s="4">
        <f>+IF(TA_ti!AF3*TA_ti!AF$50*TA_ti!$BG3=0,10000,TA_ti!AF3*TA_ti!AF$50*TA_ti!$BG3)</f>
        <v>10000</v>
      </c>
      <c r="AG3" s="4">
        <f>+IF(TA_ti!AG3*TA_ti!AG$50*TA_ti!$BG3=0,10000,TA_ti!AG3*TA_ti!AG$50*TA_ti!$BG3)</f>
        <v>10000</v>
      </c>
      <c r="AH3" s="4">
        <f>+IF(TA_ti!AH3*TA_ti!AH$50*TA_ti!$BG3=0,10000,TA_ti!AH3*TA_ti!AH$50*TA_ti!$BG3)</f>
        <v>10000</v>
      </c>
      <c r="AI3" s="4">
        <f>+IF(TA_ti!AI3*TA_ti!AI$50*TA_ti!$BG3=0,10000,TA_ti!AI3*TA_ti!AI$50*TA_ti!$BG3)</f>
        <v>10000</v>
      </c>
      <c r="AJ3" s="4">
        <f>+IF(TA_ti!AJ3*TA_ti!AJ$50*TA_ti!$BG3=0,10000,TA_ti!AJ3*TA_ti!AJ$50*TA_ti!$BG3)</f>
        <v>10000</v>
      </c>
      <c r="AK3" s="4">
        <f>+IF(TA_ti!AK3*TA_ti!AK$50*TA_ti!$BG3=0,10000,TA_ti!AK3*TA_ti!AK$50*TA_ti!$BG3)</f>
        <v>10000</v>
      </c>
      <c r="AL3" s="4">
        <f>+IF(TA_ti!AL3*TA_ti!AL$50*TA_ti!$BG3=0,10000,TA_ti!AL3*TA_ti!AL$50*TA_ti!$BG3)</f>
        <v>10000</v>
      </c>
      <c r="AM3" s="4">
        <f>+IF(TA_ti!AM3*TA_ti!AM$50*TA_ti!$BG3=0,10000,TA_ti!AM3*TA_ti!AM$50*TA_ti!$BG3)</f>
        <v>10000</v>
      </c>
      <c r="AN3" s="4">
        <f>+IF(TA_ti!AN3*TA_ti!AN$50*TA_ti!$BG3=0,10000,TA_ti!AN3*TA_ti!AN$50*TA_ti!$BG3)</f>
        <v>10000</v>
      </c>
      <c r="AO3" s="4">
        <f>+IF(TA_ti!AO3*TA_ti!AO$50*TA_ti!$BG3=0,10000,TA_ti!AO3*TA_ti!AO$50*TA_ti!$BG3)</f>
        <v>10000</v>
      </c>
      <c r="AP3" s="4">
        <f>+IF(TA_ti!AP3*TA_ti!AP$50*TA_ti!$BG3=0,10000,TA_ti!AP3*TA_ti!AP$50*TA_ti!$BG3)</f>
        <v>10000</v>
      </c>
      <c r="AQ3" s="4">
        <f>+IF(TA_ti!AQ3*TA_ti!AQ$50*TA_ti!$BG3=0,10000,TA_ti!AQ3*TA_ti!AQ$50*TA_ti!$BG3)</f>
        <v>10000</v>
      </c>
      <c r="AR3" s="4">
        <f>+IF(TA_ti!AR3*TA_ti!AR$50*TA_ti!$BG3=0,10000,TA_ti!AR3*TA_ti!AR$50*TA_ti!$BG3)</f>
        <v>10000</v>
      </c>
      <c r="AS3" s="4">
        <f>+IF(TA_ti!AS3*TA_ti!AS$50*TA_ti!$BG3=0,10000,TA_ti!AS3*TA_ti!AS$50*TA_ti!$BG3)</f>
        <v>10000</v>
      </c>
      <c r="AT3" s="4">
        <f>+IF(TA_ti!AT3*TA_ti!AT$50*TA_ti!$BG3=0,10000,TA_ti!AT3*TA_ti!AT$50*TA_ti!$BG3)</f>
        <v>10000</v>
      </c>
      <c r="AU3" s="4">
        <f>+IF(TA_ti!AU3*TA_ti!AU$50*TA_ti!$BG3=0,10000,TA_ti!AU3*TA_ti!AU$50*TA_ti!$BG3)</f>
        <v>10000</v>
      </c>
      <c r="AV3" s="4">
        <f>+IF(TA_ti!AV3*TA_ti!AV$50*TA_ti!$BG3=0,10000,TA_ti!AV3*TA_ti!AV$50*TA_ti!$BG3)</f>
        <v>10000</v>
      </c>
      <c r="AW3" s="4">
        <f>+IF(TA_ti!AW3*TA_ti!AW$50*TA_ti!$BG3=0,10000,TA_ti!AW3*TA_ti!AW$50*TA_ti!$BG3)</f>
        <v>10000</v>
      </c>
      <c r="AX3" s="4">
        <f>+IF(TA_ti!AX3*TA_ti!AX$50*TA_ti!$BG3=0,10000,TA_ti!AX3*TA_ti!AX$50*TA_ti!$BG3)</f>
        <v>10000</v>
      </c>
      <c r="AY3" s="4">
        <f>+IF(TA_ti!AY3*TA_ti!AY$50*TA_ti!$BG3=0,10000,TA_ti!AY3*TA_ti!AY$50*TA_ti!$BG3)</f>
        <v>10000</v>
      </c>
      <c r="AZ3" s="4">
        <f>+IF(TA_ti!AZ3*TA_ti!AZ$50*TA_ti!$BG3=0,10000,TA_ti!AZ3*TA_ti!AZ$50*TA_ti!$BG3)</f>
        <v>10000</v>
      </c>
      <c r="BA3" s="4">
        <f>+IF(TA_ti!BA3*TA_ti!BA$50*TA_ti!$BG3=0,10000,TA_ti!BA3*TA_ti!BA$50*TA_ti!$BG3)</f>
        <v>10000</v>
      </c>
      <c r="BB3" s="4">
        <f>+IF(TA_ti!BB3*TA_ti!BB$50*TA_ti!$BG3=0,10000,TA_ti!BB3*TA_ti!BB$50*TA_ti!$BG3)</f>
        <v>10000</v>
      </c>
      <c r="BC3" s="4">
        <f>+IF(TA_ti!BC3*TA_ti!BC$50*TA_ti!$BG3=0,10000,TA_ti!BC3*TA_ti!BC$50*TA_ti!$BG3)</f>
        <v>10000</v>
      </c>
    </row>
    <row r="4" spans="1:55" ht="18.75" customHeight="1" x14ac:dyDescent="0.25">
      <c r="A4" s="5" t="s">
        <v>55</v>
      </c>
      <c r="B4" s="4">
        <f>+IF(TA_ti!B4*TA_ti!B$50*TA_ti!$BG4=0,10000,TA_ti!B4*TA_ti!B$50*TA_ti!$BG4)</f>
        <v>10000</v>
      </c>
      <c r="C4" s="4">
        <f>+IF(TA_ti!C4*TA_ti!C$50*TA_ti!$BG4=0,10000,TA_ti!C4*TA_ti!C$50*TA_ti!$BG4)</f>
        <v>10000</v>
      </c>
      <c r="D4" s="4">
        <f>+IF(TA_ti!D4*TA_ti!D$50*TA_ti!$BG4=0,10000,TA_ti!D4*TA_ti!D$50*TA_ti!$BG4)</f>
        <v>10000</v>
      </c>
      <c r="E4" s="4">
        <f>+IF(TA_ti!E4*TA_ti!E$50*TA_ti!$BG4=0,10000,TA_ti!E4*TA_ti!E$50*TA_ti!$BG4)</f>
        <v>15</v>
      </c>
      <c r="F4" s="4">
        <f>+IF(TA_ti!F4*TA_ti!F$50*TA_ti!$BG4=0,10000,TA_ti!F4*TA_ti!F$50*TA_ti!$BG4)</f>
        <v>10000</v>
      </c>
      <c r="G4" s="4">
        <f>+IF(TA_ti!G4*TA_ti!G$50*TA_ti!$BG4=0,10000,TA_ti!G4*TA_ti!G$50*TA_ti!$BG4)</f>
        <v>12</v>
      </c>
      <c r="H4" s="4">
        <f>+IF(TA_ti!H4*TA_ti!H$50*TA_ti!$BG4=0,10000,TA_ti!H4*TA_ti!H$50*TA_ti!$BG4)</f>
        <v>10000</v>
      </c>
      <c r="I4" s="4">
        <f>+IF(TA_ti!I4*TA_ti!I$50*TA_ti!$BG4=0,10000,TA_ti!I4*TA_ti!I$50*TA_ti!$BG4)</f>
        <v>10000</v>
      </c>
      <c r="J4" s="4">
        <f>+IF(TA_ti!J4*TA_ti!J$50*TA_ti!$BG4=0,10000,TA_ti!J4*TA_ti!J$50*TA_ti!$BG4)</f>
        <v>10000</v>
      </c>
      <c r="K4" s="4">
        <f>+IF(TA_ti!K4*TA_ti!K$50*TA_ti!$BG4=0,10000,TA_ti!K4*TA_ti!K$50*TA_ti!$BG4)</f>
        <v>10000</v>
      </c>
      <c r="L4" s="4">
        <f>+IF(TA_ti!L4*TA_ti!L$50*TA_ti!$BG4=0,10000,TA_ti!L4*TA_ti!L$50*TA_ti!$BG4)</f>
        <v>12</v>
      </c>
      <c r="M4" s="4">
        <f>+IF(TA_ti!M4*TA_ti!M$50*TA_ti!$BG4=0,10000,TA_ti!M4*TA_ti!M$50*TA_ti!$BG4)</f>
        <v>12</v>
      </c>
      <c r="N4" s="4">
        <f>+IF(TA_ti!N4*TA_ti!N$50*TA_ti!$BG4=0,10000,TA_ti!N4*TA_ti!N$50*TA_ti!$BG4)</f>
        <v>15</v>
      </c>
      <c r="O4" s="4">
        <f>+IF(TA_ti!O4*TA_ti!O$50*TA_ti!$BG4=0,10000,TA_ti!O4*TA_ti!O$50*TA_ti!$BG4)</f>
        <v>10000</v>
      </c>
      <c r="P4" s="4">
        <f>+IF(TA_ti!P4*TA_ti!P$50*TA_ti!$BG4=0,10000,TA_ti!P4*TA_ti!P$50*TA_ti!$BG4)</f>
        <v>10000</v>
      </c>
      <c r="Q4" s="4">
        <f>+IF(TA_ti!Q4*TA_ti!Q$50*TA_ti!$BG4=0,10000,TA_ti!Q4*TA_ti!Q$50*TA_ti!$BG4)</f>
        <v>10000</v>
      </c>
      <c r="R4" s="4">
        <f>+IF(TA_ti!R4*TA_ti!R$50*TA_ti!$BG4=0,10000,TA_ti!R4*TA_ti!R$50*TA_ti!$BG4)</f>
        <v>10000</v>
      </c>
      <c r="S4" s="4">
        <f>+IF(TA_ti!S4*TA_ti!S$50*TA_ti!$BG4=0,10000,TA_ti!S4*TA_ti!S$50*TA_ti!$BG4)</f>
        <v>10000</v>
      </c>
      <c r="T4" s="4">
        <f>+IF(TA_ti!T4*TA_ti!T$50*TA_ti!$BG4=0,10000,TA_ti!T4*TA_ti!T$50*TA_ti!$BG4)</f>
        <v>10000</v>
      </c>
      <c r="U4" s="4">
        <f>+IF(TA_ti!U4*TA_ti!U$50*TA_ti!$BG4=0,10000,TA_ti!U4*TA_ti!U$50*TA_ti!$BG4)</f>
        <v>10000</v>
      </c>
      <c r="V4" s="4">
        <f>+IF(TA_ti!V4*TA_ti!V$50*TA_ti!$BG4=0,10000,TA_ti!V4*TA_ti!V$50*TA_ti!$BG4)</f>
        <v>10000</v>
      </c>
      <c r="W4" s="4">
        <f>+IF(TA_ti!W4*TA_ti!W$50*TA_ti!$BG4=0,10000,TA_ti!W4*TA_ti!W$50*TA_ti!$BG4)</f>
        <v>10000</v>
      </c>
      <c r="X4" s="4">
        <f>+IF(TA_ti!X4*TA_ti!X$50*TA_ti!$BG4=0,10000,TA_ti!X4*TA_ti!X$50*TA_ti!$BG4)</f>
        <v>10000</v>
      </c>
      <c r="Y4" s="4">
        <f>+IF(TA_ti!Y4*TA_ti!Y$50*TA_ti!$BG4=0,10000,TA_ti!Y4*TA_ti!Y$50*TA_ti!$BG4)</f>
        <v>10000</v>
      </c>
      <c r="Z4" s="4">
        <f>+IF(TA_ti!Z4*TA_ti!Z$50*TA_ti!$BG4=0,10000,TA_ti!Z4*TA_ti!Z$50*TA_ti!$BG4)</f>
        <v>10000</v>
      </c>
      <c r="AA4" s="4">
        <f>+IF(TA_ti!AA4*TA_ti!AA$50*TA_ti!$BG4=0,10000,TA_ti!AA4*TA_ti!AA$50*TA_ti!$BG4)</f>
        <v>10000</v>
      </c>
      <c r="AB4" s="4">
        <f>+IF(TA_ti!AB4*TA_ti!AB$50*TA_ti!$BG4=0,10000,TA_ti!AB4*TA_ti!AB$50*TA_ti!$BG4)</f>
        <v>10000</v>
      </c>
      <c r="AC4" s="4">
        <f>+IF(TA_ti!AC4*TA_ti!AC$50*TA_ti!$BG4=0,10000,TA_ti!AC4*TA_ti!AC$50*TA_ti!$BG4)</f>
        <v>10000</v>
      </c>
      <c r="AD4" s="4">
        <f>+IF(TA_ti!AD4*TA_ti!AD$50*TA_ti!$BG4=0,10000,TA_ti!AD4*TA_ti!AD$50*TA_ti!$BG4)</f>
        <v>10000</v>
      </c>
      <c r="AE4" s="4">
        <f>+IF(TA_ti!AE4*TA_ti!AE$50*TA_ti!$BG4=0,10000,TA_ti!AE4*TA_ti!AE$50*TA_ti!$BG4)</f>
        <v>10000</v>
      </c>
      <c r="AF4" s="4">
        <f>+IF(TA_ti!AF4*TA_ti!AF$50*TA_ti!$BG4=0,10000,TA_ti!AF4*TA_ti!AF$50*TA_ti!$BG4)</f>
        <v>10000</v>
      </c>
      <c r="AG4" s="4">
        <f>+IF(TA_ti!AG4*TA_ti!AG$50*TA_ti!$BG4=0,10000,TA_ti!AG4*TA_ti!AG$50*TA_ti!$BG4)</f>
        <v>10000</v>
      </c>
      <c r="AH4" s="4">
        <f>+IF(TA_ti!AH4*TA_ti!AH$50*TA_ti!$BG4=0,10000,TA_ti!AH4*TA_ti!AH$50*TA_ti!$BG4)</f>
        <v>10000</v>
      </c>
      <c r="AI4" s="4">
        <f>+IF(TA_ti!AI4*TA_ti!AI$50*TA_ti!$BG4=0,10000,TA_ti!AI4*TA_ti!AI$50*TA_ti!$BG4)</f>
        <v>10000</v>
      </c>
      <c r="AJ4" s="4">
        <f>+IF(TA_ti!AJ4*TA_ti!AJ$50*TA_ti!$BG4=0,10000,TA_ti!AJ4*TA_ti!AJ$50*TA_ti!$BG4)</f>
        <v>10000</v>
      </c>
      <c r="AK4" s="4">
        <f>+IF(TA_ti!AK4*TA_ti!AK$50*TA_ti!$BG4=0,10000,TA_ti!AK4*TA_ti!AK$50*TA_ti!$BG4)</f>
        <v>10000</v>
      </c>
      <c r="AL4" s="4">
        <f>+IF(TA_ti!AL4*TA_ti!AL$50*TA_ti!$BG4=0,10000,TA_ti!AL4*TA_ti!AL$50*TA_ti!$BG4)</f>
        <v>12</v>
      </c>
      <c r="AM4" s="4">
        <f>+IF(TA_ti!AM4*TA_ti!AM$50*TA_ti!$BG4=0,10000,TA_ti!AM4*TA_ti!AM$50*TA_ti!$BG4)</f>
        <v>10000</v>
      </c>
      <c r="AN4" s="4">
        <f>+IF(TA_ti!AN4*TA_ti!AN$50*TA_ti!$BG4=0,10000,TA_ti!AN4*TA_ti!AN$50*TA_ti!$BG4)</f>
        <v>10000</v>
      </c>
      <c r="AO4" s="4">
        <f>+IF(TA_ti!AO4*TA_ti!AO$50*TA_ti!$BG4=0,10000,TA_ti!AO4*TA_ti!AO$50*TA_ti!$BG4)</f>
        <v>10000</v>
      </c>
      <c r="AP4" s="4">
        <f>+IF(TA_ti!AP4*TA_ti!AP$50*TA_ti!$BG4=0,10000,TA_ti!AP4*TA_ti!AP$50*TA_ti!$BG4)</f>
        <v>10000</v>
      </c>
      <c r="AQ4" s="4">
        <f>+IF(TA_ti!AQ4*TA_ti!AQ$50*TA_ti!$BG4=0,10000,TA_ti!AQ4*TA_ti!AQ$50*TA_ti!$BG4)</f>
        <v>10000</v>
      </c>
      <c r="AR4" s="4">
        <f>+IF(TA_ti!AR4*TA_ti!AR$50*TA_ti!$BG4=0,10000,TA_ti!AR4*TA_ti!AR$50*TA_ti!$BG4)</f>
        <v>10000</v>
      </c>
      <c r="AS4" s="4">
        <f>+IF(TA_ti!AS4*TA_ti!AS$50*TA_ti!$BG4=0,10000,TA_ti!AS4*TA_ti!AS$50*TA_ti!$BG4)</f>
        <v>10000</v>
      </c>
      <c r="AT4" s="4">
        <f>+IF(TA_ti!AT4*TA_ti!AT$50*TA_ti!$BG4=0,10000,TA_ti!AT4*TA_ti!AT$50*TA_ti!$BG4)</f>
        <v>10000</v>
      </c>
      <c r="AU4" s="4">
        <f>+IF(TA_ti!AU4*TA_ti!AU$50*TA_ti!$BG4=0,10000,TA_ti!AU4*TA_ti!AU$50*TA_ti!$BG4)</f>
        <v>10000</v>
      </c>
      <c r="AV4" s="4">
        <f>+IF(TA_ti!AV4*TA_ti!AV$50*TA_ti!$BG4=0,10000,TA_ti!AV4*TA_ti!AV$50*TA_ti!$BG4)</f>
        <v>10000</v>
      </c>
      <c r="AW4" s="4">
        <f>+IF(TA_ti!AW4*TA_ti!AW$50*TA_ti!$BG4=0,10000,TA_ti!AW4*TA_ti!AW$50*TA_ti!$BG4)</f>
        <v>10000</v>
      </c>
      <c r="AX4" s="4">
        <f>+IF(TA_ti!AX4*TA_ti!AX$50*TA_ti!$BG4=0,10000,TA_ti!AX4*TA_ti!AX$50*TA_ti!$BG4)</f>
        <v>10000</v>
      </c>
      <c r="AY4" s="4">
        <f>+IF(TA_ti!AY4*TA_ti!AY$50*TA_ti!$BG4=0,10000,TA_ti!AY4*TA_ti!AY$50*TA_ti!$BG4)</f>
        <v>10000</v>
      </c>
      <c r="AZ4" s="4">
        <f>+IF(TA_ti!AZ4*TA_ti!AZ$50*TA_ti!$BG4=0,10000,TA_ti!AZ4*TA_ti!AZ$50*TA_ti!$BG4)</f>
        <v>10000</v>
      </c>
      <c r="BA4" s="4">
        <f>+IF(TA_ti!BA4*TA_ti!BA$50*TA_ti!$BG4=0,10000,TA_ti!BA4*TA_ti!BA$50*TA_ti!$BG4)</f>
        <v>10000</v>
      </c>
      <c r="BB4" s="4">
        <f>+IF(TA_ti!BB4*TA_ti!BB$50*TA_ti!$BG4=0,10000,TA_ti!BB4*TA_ti!BB$50*TA_ti!$BG4)</f>
        <v>10000</v>
      </c>
      <c r="BC4" s="4">
        <f>+IF(TA_ti!BC4*TA_ti!BC$50*TA_ti!$BG4=0,10000,TA_ti!BC4*TA_ti!BC$50*TA_ti!$BG4)</f>
        <v>10000</v>
      </c>
    </row>
    <row r="5" spans="1:55" ht="18.75" customHeight="1" x14ac:dyDescent="0.25">
      <c r="A5" s="5" t="s">
        <v>56</v>
      </c>
      <c r="B5" s="4">
        <f>+IF(TA_ti!B5*TA_ti!B$50*TA_ti!$BG5=0,10000,TA_ti!B5*TA_ti!B$50*TA_ti!$BG5)</f>
        <v>10000</v>
      </c>
      <c r="C5" s="4">
        <f>+IF(TA_ti!C5*TA_ti!C$50*TA_ti!$BG5=0,10000,TA_ti!C5*TA_ti!C$50*TA_ti!$BG5)</f>
        <v>10000</v>
      </c>
      <c r="D5" s="4">
        <f>+IF(TA_ti!D5*TA_ti!D$50*TA_ti!$BG5=0,10000,TA_ti!D5*TA_ti!D$50*TA_ti!$BG5)</f>
        <v>10000</v>
      </c>
      <c r="E5" s="4">
        <f>+IF(TA_ti!E5*TA_ti!E$50*TA_ti!$BG5=0,10000,TA_ti!E5*TA_ti!E$50*TA_ti!$BG5)</f>
        <v>10000</v>
      </c>
      <c r="F5" s="4">
        <f>+IF(TA_ti!F5*TA_ti!F$50*TA_ti!$BG5=0,10000,TA_ti!F5*TA_ti!F$50*TA_ti!$BG5)</f>
        <v>10000</v>
      </c>
      <c r="G5" s="4">
        <f>+IF(TA_ti!G5*TA_ti!G$50*TA_ti!$BG5=0,10000,TA_ti!G5*TA_ti!G$50*TA_ti!$BG5)</f>
        <v>10000</v>
      </c>
      <c r="H5" s="4">
        <f>+IF(TA_ti!H5*TA_ti!H$50*TA_ti!$BG5=0,10000,TA_ti!H5*TA_ti!H$50*TA_ti!$BG5)</f>
        <v>10000</v>
      </c>
      <c r="I5" s="4">
        <f>+IF(TA_ti!I5*TA_ti!I$50*TA_ti!$BG5=0,10000,TA_ti!I5*TA_ti!I$50*TA_ti!$BG5)</f>
        <v>10000</v>
      </c>
      <c r="J5" s="4">
        <f>+IF(TA_ti!J5*TA_ti!J$50*TA_ti!$BG5=0,10000,TA_ti!J5*TA_ti!J$50*TA_ti!$BG5)</f>
        <v>10000</v>
      </c>
      <c r="K5" s="4">
        <f>+IF(TA_ti!K5*TA_ti!K$50*TA_ti!$BG5=0,10000,TA_ti!K5*TA_ti!K$50*TA_ti!$BG5)</f>
        <v>10000</v>
      </c>
      <c r="L5" s="4">
        <f>+IF(TA_ti!L5*TA_ti!L$50*TA_ti!$BG5=0,10000,TA_ti!L5*TA_ti!L$50*TA_ti!$BG5)</f>
        <v>10000</v>
      </c>
      <c r="M5" s="4">
        <f>+IF(TA_ti!M5*TA_ti!M$50*TA_ti!$BG5=0,10000,TA_ti!M5*TA_ti!M$50*TA_ti!$BG5)</f>
        <v>10000</v>
      </c>
      <c r="N5" s="4">
        <f>+IF(TA_ti!N5*TA_ti!N$50*TA_ti!$BG5=0,10000,TA_ti!N5*TA_ti!N$50*TA_ti!$BG5)</f>
        <v>10000</v>
      </c>
      <c r="O5" s="4">
        <f>+IF(TA_ti!O5*TA_ti!O$50*TA_ti!$BG5=0,10000,TA_ti!O5*TA_ti!O$50*TA_ti!$BG5)</f>
        <v>10000</v>
      </c>
      <c r="P5" s="4">
        <f>+IF(TA_ti!P5*TA_ti!P$50*TA_ti!$BG5=0,10000,TA_ti!P5*TA_ti!P$50*TA_ti!$BG5)</f>
        <v>10000</v>
      </c>
      <c r="Q5" s="4">
        <f>+IF(TA_ti!Q5*TA_ti!Q$50*TA_ti!$BG5=0,10000,TA_ti!Q5*TA_ti!Q$50*TA_ti!$BG5)</f>
        <v>10000</v>
      </c>
      <c r="R5" s="4">
        <f>+IF(TA_ti!R5*TA_ti!R$50*TA_ti!$BG5=0,10000,TA_ti!R5*TA_ti!R$50*TA_ti!$BG5)</f>
        <v>10000</v>
      </c>
      <c r="S5" s="4">
        <f>+IF(TA_ti!S5*TA_ti!S$50*TA_ti!$BG5=0,10000,TA_ti!S5*TA_ti!S$50*TA_ti!$BG5)</f>
        <v>10000</v>
      </c>
      <c r="T5" s="4">
        <f>+IF(TA_ti!T5*TA_ti!T$50*TA_ti!$BG5=0,10000,TA_ti!T5*TA_ti!T$50*TA_ti!$BG5)</f>
        <v>10000</v>
      </c>
      <c r="U5" s="4">
        <f>+IF(TA_ti!U5*TA_ti!U$50*TA_ti!$BG5=0,10000,TA_ti!U5*TA_ti!U$50*TA_ti!$BG5)</f>
        <v>10000</v>
      </c>
      <c r="V5" s="4">
        <f>+IF(TA_ti!V5*TA_ti!V$50*TA_ti!$BG5=0,10000,TA_ti!V5*TA_ti!V$50*TA_ti!$BG5)</f>
        <v>10000</v>
      </c>
      <c r="W5" s="4">
        <f>+IF(TA_ti!W5*TA_ti!W$50*TA_ti!$BG5=0,10000,TA_ti!W5*TA_ti!W$50*TA_ti!$BG5)</f>
        <v>10000</v>
      </c>
      <c r="X5" s="4">
        <f>+IF(TA_ti!X5*TA_ti!X$50*TA_ti!$BG5=0,10000,TA_ti!X5*TA_ti!X$50*TA_ti!$BG5)</f>
        <v>10000</v>
      </c>
      <c r="Y5" s="4">
        <f>+IF(TA_ti!Y5*TA_ti!Y$50*TA_ti!$BG5=0,10000,TA_ti!Y5*TA_ti!Y$50*TA_ti!$BG5)</f>
        <v>10000</v>
      </c>
      <c r="Z5" s="4">
        <f>+IF(TA_ti!Z5*TA_ti!Z$50*TA_ti!$BG5=0,10000,TA_ti!Z5*TA_ti!Z$50*TA_ti!$BG5)</f>
        <v>10000</v>
      </c>
      <c r="AA5" s="4">
        <f>+IF(TA_ti!AA5*TA_ti!AA$50*TA_ti!$BG5=0,10000,TA_ti!AA5*TA_ti!AA$50*TA_ti!$BG5)</f>
        <v>10000</v>
      </c>
      <c r="AB5" s="4">
        <f>+IF(TA_ti!AB5*TA_ti!AB$50*TA_ti!$BG5=0,10000,TA_ti!AB5*TA_ti!AB$50*TA_ti!$BG5)</f>
        <v>10000</v>
      </c>
      <c r="AC5" s="4">
        <f>+IF(TA_ti!AC5*TA_ti!AC$50*TA_ti!$BG5=0,10000,TA_ti!AC5*TA_ti!AC$50*TA_ti!$BG5)</f>
        <v>10000</v>
      </c>
      <c r="AD5" s="4">
        <f>+IF(TA_ti!AD5*TA_ti!AD$50*TA_ti!$BG5=0,10000,TA_ti!AD5*TA_ti!AD$50*TA_ti!$BG5)</f>
        <v>10000</v>
      </c>
      <c r="AE5" s="4">
        <f>+IF(TA_ti!AE5*TA_ti!AE$50*TA_ti!$BG5=0,10000,TA_ti!AE5*TA_ti!AE$50*TA_ti!$BG5)</f>
        <v>10000</v>
      </c>
      <c r="AF5" s="4">
        <f>+IF(TA_ti!AF5*TA_ti!AF$50*TA_ti!$BG5=0,10000,TA_ti!AF5*TA_ti!AF$50*TA_ti!$BG5)</f>
        <v>10000</v>
      </c>
      <c r="AG5" s="4">
        <f>+IF(TA_ti!AG5*TA_ti!AG$50*TA_ti!$BG5=0,10000,TA_ti!AG5*TA_ti!AG$50*TA_ti!$BG5)</f>
        <v>10000</v>
      </c>
      <c r="AH5" s="4">
        <f>+IF(TA_ti!AH5*TA_ti!AH$50*TA_ti!$BG5=0,10000,TA_ti!AH5*TA_ti!AH$50*TA_ti!$BG5)</f>
        <v>10000</v>
      </c>
      <c r="AI5" s="4">
        <f>+IF(TA_ti!AI5*TA_ti!AI$50*TA_ti!$BG5=0,10000,TA_ti!AI5*TA_ti!AI$50*TA_ti!$BG5)</f>
        <v>10000</v>
      </c>
      <c r="AJ5" s="4">
        <f>+IF(TA_ti!AJ5*TA_ti!AJ$50*TA_ti!$BG5=0,10000,TA_ti!AJ5*TA_ti!AJ$50*TA_ti!$BG5)</f>
        <v>10000</v>
      </c>
      <c r="AK5" s="4">
        <f>+IF(TA_ti!AK5*TA_ti!AK$50*TA_ti!$BG5=0,10000,TA_ti!AK5*TA_ti!AK$50*TA_ti!$BG5)</f>
        <v>10000</v>
      </c>
      <c r="AL5" s="4">
        <f>+IF(TA_ti!AL5*TA_ti!AL$50*TA_ti!$BG5=0,10000,TA_ti!AL5*TA_ti!AL$50*TA_ti!$BG5)</f>
        <v>10000</v>
      </c>
      <c r="AM5" s="4">
        <f>+IF(TA_ti!AM5*TA_ti!AM$50*TA_ti!$BG5=0,10000,TA_ti!AM5*TA_ti!AM$50*TA_ti!$BG5)</f>
        <v>10000</v>
      </c>
      <c r="AN5" s="4">
        <f>+IF(TA_ti!AN5*TA_ti!AN$50*TA_ti!$BG5=0,10000,TA_ti!AN5*TA_ti!AN$50*TA_ti!$BG5)</f>
        <v>10000</v>
      </c>
      <c r="AO5" s="4">
        <f>+IF(TA_ti!AO5*TA_ti!AO$50*TA_ti!$BG5=0,10000,TA_ti!AO5*TA_ti!AO$50*TA_ti!$BG5)</f>
        <v>10000</v>
      </c>
      <c r="AP5" s="4">
        <f>+IF(TA_ti!AP5*TA_ti!AP$50*TA_ti!$BG5=0,10000,TA_ti!AP5*TA_ti!AP$50*TA_ti!$BG5)</f>
        <v>10000</v>
      </c>
      <c r="AQ5" s="4">
        <f>+IF(TA_ti!AQ5*TA_ti!AQ$50*TA_ti!$BG5=0,10000,TA_ti!AQ5*TA_ti!AQ$50*TA_ti!$BG5)</f>
        <v>10000</v>
      </c>
      <c r="AR5" s="4">
        <f>+IF(TA_ti!AR5*TA_ti!AR$50*TA_ti!$BG5=0,10000,TA_ti!AR5*TA_ti!AR$50*TA_ti!$BG5)</f>
        <v>10000</v>
      </c>
      <c r="AS5" s="4">
        <f>+IF(TA_ti!AS5*TA_ti!AS$50*TA_ti!$BG5=0,10000,TA_ti!AS5*TA_ti!AS$50*TA_ti!$BG5)</f>
        <v>10000</v>
      </c>
      <c r="AT5" s="4">
        <f>+IF(TA_ti!AT5*TA_ti!AT$50*TA_ti!$BG5=0,10000,TA_ti!AT5*TA_ti!AT$50*TA_ti!$BG5)</f>
        <v>10000</v>
      </c>
      <c r="AU5" s="4">
        <f>+IF(TA_ti!AU5*TA_ti!AU$50*TA_ti!$BG5=0,10000,TA_ti!AU5*TA_ti!AU$50*TA_ti!$BG5)</f>
        <v>10000</v>
      </c>
      <c r="AV5" s="4">
        <f>+IF(TA_ti!AV5*TA_ti!AV$50*TA_ti!$BG5=0,10000,TA_ti!AV5*TA_ti!AV$50*TA_ti!$BG5)</f>
        <v>10000</v>
      </c>
      <c r="AW5" s="4">
        <f>+IF(TA_ti!AW5*TA_ti!AW$50*TA_ti!$BG5=0,10000,TA_ti!AW5*TA_ti!AW$50*TA_ti!$BG5)</f>
        <v>10000</v>
      </c>
      <c r="AX5" s="4">
        <f>+IF(TA_ti!AX5*TA_ti!AX$50*TA_ti!$BG5=0,10000,TA_ti!AX5*TA_ti!AX$50*TA_ti!$BG5)</f>
        <v>10000</v>
      </c>
      <c r="AY5" s="4">
        <f>+IF(TA_ti!AY5*TA_ti!AY$50*TA_ti!$BG5=0,10000,TA_ti!AY5*TA_ti!AY$50*TA_ti!$BG5)</f>
        <v>10000</v>
      </c>
      <c r="AZ5" s="4">
        <f>+IF(TA_ti!AZ5*TA_ti!AZ$50*TA_ti!$BG5=0,10000,TA_ti!AZ5*TA_ti!AZ$50*TA_ti!$BG5)</f>
        <v>10000</v>
      </c>
      <c r="BA5" s="4">
        <f>+IF(TA_ti!BA5*TA_ti!BA$50*TA_ti!$BG5=0,10000,TA_ti!BA5*TA_ti!BA$50*TA_ti!$BG5)</f>
        <v>10000</v>
      </c>
      <c r="BB5" s="4">
        <f>+IF(TA_ti!BB5*TA_ti!BB$50*TA_ti!$BG5=0,10000,TA_ti!BB5*TA_ti!BB$50*TA_ti!$BG5)</f>
        <v>10000</v>
      </c>
      <c r="BC5" s="4">
        <f>+IF(TA_ti!BC5*TA_ti!BC$50*TA_ti!$BG5=0,10000,TA_ti!BC5*TA_ti!BC$50*TA_ti!$BG5)</f>
        <v>10000</v>
      </c>
    </row>
    <row r="6" spans="1:55" ht="18.75" customHeight="1" x14ac:dyDescent="0.25">
      <c r="A6" s="5" t="s">
        <v>57</v>
      </c>
      <c r="B6" s="4">
        <f>+IF(TA_ti!B6*TA_ti!B$50*TA_ti!$BG6=0,10000,TA_ti!B6*TA_ti!B$50*TA_ti!$BG6)</f>
        <v>10000</v>
      </c>
      <c r="C6" s="4">
        <f>+IF(TA_ti!C6*TA_ti!C$50*TA_ti!$BG6=0,10000,TA_ti!C6*TA_ti!C$50*TA_ti!$BG6)</f>
        <v>10000</v>
      </c>
      <c r="D6" s="4">
        <f>+IF(TA_ti!D6*TA_ti!D$50*TA_ti!$BG6=0,10000,TA_ti!D6*TA_ti!D$50*TA_ti!$BG6)</f>
        <v>15</v>
      </c>
      <c r="E6" s="4">
        <f>+IF(TA_ti!E6*TA_ti!E$50*TA_ti!$BG6=0,10000,TA_ti!E6*TA_ti!E$50*TA_ti!$BG6)</f>
        <v>10000</v>
      </c>
      <c r="F6" s="4">
        <f>+IF(TA_ti!F6*TA_ti!F$50*TA_ti!$BG6=0,10000,TA_ti!F6*TA_ti!F$50*TA_ti!$BG6)</f>
        <v>10000</v>
      </c>
      <c r="G6" s="4">
        <f>+IF(TA_ti!G6*TA_ti!G$50*TA_ti!$BG6=0,10000,TA_ti!G6*TA_ti!G$50*TA_ti!$BG6)</f>
        <v>12</v>
      </c>
      <c r="H6" s="4">
        <f>+IF(TA_ti!H6*TA_ti!H$50*TA_ti!$BG6=0,10000,TA_ti!H6*TA_ti!H$50*TA_ti!$BG6)</f>
        <v>10000</v>
      </c>
      <c r="I6" s="4">
        <f>+IF(TA_ti!I6*TA_ti!I$50*TA_ti!$BG6=0,10000,TA_ti!I6*TA_ti!I$50*TA_ti!$BG6)</f>
        <v>10000</v>
      </c>
      <c r="J6" s="4">
        <f>+IF(TA_ti!J6*TA_ti!J$50*TA_ti!$BG6=0,10000,TA_ti!J6*TA_ti!J$50*TA_ti!$BG6)</f>
        <v>10000</v>
      </c>
      <c r="K6" s="4">
        <f>+IF(TA_ti!K6*TA_ti!K$50*TA_ti!$BG6=0,10000,TA_ti!K6*TA_ti!K$50*TA_ti!$BG6)</f>
        <v>10000</v>
      </c>
      <c r="L6" s="4">
        <f>+IF(TA_ti!L6*TA_ti!L$50*TA_ti!$BG6=0,10000,TA_ti!L6*TA_ti!L$50*TA_ti!$BG6)</f>
        <v>12</v>
      </c>
      <c r="M6" s="4">
        <f>+IF(TA_ti!M6*TA_ti!M$50*TA_ti!$BG6=0,10000,TA_ti!M6*TA_ti!M$50*TA_ti!$BG6)</f>
        <v>12</v>
      </c>
      <c r="N6" s="4">
        <f>+IF(TA_ti!N6*TA_ti!N$50*TA_ti!$BG6=0,10000,TA_ti!N6*TA_ti!N$50*TA_ti!$BG6)</f>
        <v>15</v>
      </c>
      <c r="O6" s="4">
        <f>+IF(TA_ti!O6*TA_ti!O$50*TA_ti!$BG6=0,10000,TA_ti!O6*TA_ti!O$50*TA_ti!$BG6)</f>
        <v>10000</v>
      </c>
      <c r="P6" s="4">
        <f>+IF(TA_ti!P6*TA_ti!P$50*TA_ti!$BG6=0,10000,TA_ti!P6*TA_ti!P$50*TA_ti!$BG6)</f>
        <v>10000</v>
      </c>
      <c r="Q6" s="4">
        <f>+IF(TA_ti!Q6*TA_ti!Q$50*TA_ti!$BG6=0,10000,TA_ti!Q6*TA_ti!Q$50*TA_ti!$BG6)</f>
        <v>10000</v>
      </c>
      <c r="R6" s="4">
        <f>+IF(TA_ti!R6*TA_ti!R$50*TA_ti!$BG6=0,10000,TA_ti!R6*TA_ti!R$50*TA_ti!$BG6)</f>
        <v>10000</v>
      </c>
      <c r="S6" s="4">
        <f>+IF(TA_ti!S6*TA_ti!S$50*TA_ti!$BG6=0,10000,TA_ti!S6*TA_ti!S$50*TA_ti!$BG6)</f>
        <v>10000</v>
      </c>
      <c r="T6" s="4">
        <f>+IF(TA_ti!T6*TA_ti!T$50*TA_ti!$BG6=0,10000,TA_ti!T6*TA_ti!T$50*TA_ti!$BG6)</f>
        <v>10000</v>
      </c>
      <c r="U6" s="4">
        <f>+IF(TA_ti!U6*TA_ti!U$50*TA_ti!$BG6=0,10000,TA_ti!U6*TA_ti!U$50*TA_ti!$BG6)</f>
        <v>10000</v>
      </c>
      <c r="V6" s="4">
        <f>+IF(TA_ti!V6*TA_ti!V$50*TA_ti!$BG6=0,10000,TA_ti!V6*TA_ti!V$50*TA_ti!$BG6)</f>
        <v>10000</v>
      </c>
      <c r="W6" s="4">
        <f>+IF(TA_ti!W6*TA_ti!W$50*TA_ti!$BG6=0,10000,TA_ti!W6*TA_ti!W$50*TA_ti!$BG6)</f>
        <v>10000</v>
      </c>
      <c r="X6" s="4">
        <f>+IF(TA_ti!X6*TA_ti!X$50*TA_ti!$BG6=0,10000,TA_ti!X6*TA_ti!X$50*TA_ti!$BG6)</f>
        <v>10000</v>
      </c>
      <c r="Y6" s="4">
        <f>+IF(TA_ti!Y6*TA_ti!Y$50*TA_ti!$BG6=0,10000,TA_ti!Y6*TA_ti!Y$50*TA_ti!$BG6)</f>
        <v>10000</v>
      </c>
      <c r="Z6" s="4">
        <f>+IF(TA_ti!Z6*TA_ti!Z$50*TA_ti!$BG6=0,10000,TA_ti!Z6*TA_ti!Z$50*TA_ti!$BG6)</f>
        <v>10000</v>
      </c>
      <c r="AA6" s="4">
        <f>+IF(TA_ti!AA6*TA_ti!AA$50*TA_ti!$BG6=0,10000,TA_ti!AA6*TA_ti!AA$50*TA_ti!$BG6)</f>
        <v>10000</v>
      </c>
      <c r="AB6" s="4">
        <f>+IF(TA_ti!AB6*TA_ti!AB$50*TA_ti!$BG6=0,10000,TA_ti!AB6*TA_ti!AB$50*TA_ti!$BG6)</f>
        <v>10000</v>
      </c>
      <c r="AC6" s="4">
        <f>+IF(TA_ti!AC6*TA_ti!AC$50*TA_ti!$BG6=0,10000,TA_ti!AC6*TA_ti!AC$50*TA_ti!$BG6)</f>
        <v>10000</v>
      </c>
      <c r="AD6" s="4">
        <f>+IF(TA_ti!AD6*TA_ti!AD$50*TA_ti!$BG6=0,10000,TA_ti!AD6*TA_ti!AD$50*TA_ti!$BG6)</f>
        <v>10000</v>
      </c>
      <c r="AE6" s="4">
        <f>+IF(TA_ti!AE6*TA_ti!AE$50*TA_ti!$BG6=0,10000,TA_ti!AE6*TA_ti!AE$50*TA_ti!$BG6)</f>
        <v>10000</v>
      </c>
      <c r="AF6" s="4">
        <f>+IF(TA_ti!AF6*TA_ti!AF$50*TA_ti!$BG6=0,10000,TA_ti!AF6*TA_ti!AF$50*TA_ti!$BG6)</f>
        <v>10000</v>
      </c>
      <c r="AG6" s="4">
        <f>+IF(TA_ti!AG6*TA_ti!AG$50*TA_ti!$BG6=0,10000,TA_ti!AG6*TA_ti!AG$50*TA_ti!$BG6)</f>
        <v>10000</v>
      </c>
      <c r="AH6" s="4">
        <f>+IF(TA_ti!AH6*TA_ti!AH$50*TA_ti!$BG6=0,10000,TA_ti!AH6*TA_ti!AH$50*TA_ti!$BG6)</f>
        <v>10000</v>
      </c>
      <c r="AI6" s="4">
        <f>+IF(TA_ti!AI6*TA_ti!AI$50*TA_ti!$BG6=0,10000,TA_ti!AI6*TA_ti!AI$50*TA_ti!$BG6)</f>
        <v>10000</v>
      </c>
      <c r="AJ6" s="4">
        <f>+IF(TA_ti!AJ6*TA_ti!AJ$50*TA_ti!$BG6=0,10000,TA_ti!AJ6*TA_ti!AJ$50*TA_ti!$BG6)</f>
        <v>10000</v>
      </c>
      <c r="AK6" s="4">
        <f>+IF(TA_ti!AK6*TA_ti!AK$50*TA_ti!$BG6=0,10000,TA_ti!AK6*TA_ti!AK$50*TA_ti!$BG6)</f>
        <v>10000</v>
      </c>
      <c r="AL6" s="4">
        <f>+IF(TA_ti!AL6*TA_ti!AL$50*TA_ti!$BG6=0,10000,TA_ti!AL6*TA_ti!AL$50*TA_ti!$BG6)</f>
        <v>10000</v>
      </c>
      <c r="AM6" s="4">
        <f>+IF(TA_ti!AM6*TA_ti!AM$50*TA_ti!$BG6=0,10000,TA_ti!AM6*TA_ti!AM$50*TA_ti!$BG6)</f>
        <v>10000</v>
      </c>
      <c r="AN6" s="4">
        <f>+IF(TA_ti!AN6*TA_ti!AN$50*TA_ti!$BG6=0,10000,TA_ti!AN6*TA_ti!AN$50*TA_ti!$BG6)</f>
        <v>10000</v>
      </c>
      <c r="AO6" s="4">
        <f>+IF(TA_ti!AO6*TA_ti!AO$50*TA_ti!$BG6=0,10000,TA_ti!AO6*TA_ti!AO$50*TA_ti!$BG6)</f>
        <v>10000</v>
      </c>
      <c r="AP6" s="4">
        <f>+IF(TA_ti!AP6*TA_ti!AP$50*TA_ti!$BG6=0,10000,TA_ti!AP6*TA_ti!AP$50*TA_ti!$BG6)</f>
        <v>10000</v>
      </c>
      <c r="AQ6" s="4">
        <f>+IF(TA_ti!AQ6*TA_ti!AQ$50*TA_ti!$BG6=0,10000,TA_ti!AQ6*TA_ti!AQ$50*TA_ti!$BG6)</f>
        <v>10000</v>
      </c>
      <c r="AR6" s="4">
        <f>+IF(TA_ti!AR6*TA_ti!AR$50*TA_ti!$BG6=0,10000,TA_ti!AR6*TA_ti!AR$50*TA_ti!$BG6)</f>
        <v>10000</v>
      </c>
      <c r="AS6" s="4">
        <f>+IF(TA_ti!AS6*TA_ti!AS$50*TA_ti!$BG6=0,10000,TA_ti!AS6*TA_ti!AS$50*TA_ti!$BG6)</f>
        <v>10000</v>
      </c>
      <c r="AT6" s="4">
        <f>+IF(TA_ti!AT6*TA_ti!AT$50*TA_ti!$BG6=0,10000,TA_ti!AT6*TA_ti!AT$50*TA_ti!$BG6)</f>
        <v>10000</v>
      </c>
      <c r="AU6" s="4">
        <f>+IF(TA_ti!AU6*TA_ti!AU$50*TA_ti!$BG6=0,10000,TA_ti!AU6*TA_ti!AU$50*TA_ti!$BG6)</f>
        <v>10000</v>
      </c>
      <c r="AV6" s="4">
        <f>+IF(TA_ti!AV6*TA_ti!AV$50*TA_ti!$BG6=0,10000,TA_ti!AV6*TA_ti!AV$50*TA_ti!$BG6)</f>
        <v>10000</v>
      </c>
      <c r="AW6" s="4">
        <f>+IF(TA_ti!AW6*TA_ti!AW$50*TA_ti!$BG6=0,10000,TA_ti!AW6*TA_ti!AW$50*TA_ti!$BG6)</f>
        <v>10000</v>
      </c>
      <c r="AX6" s="4">
        <f>+IF(TA_ti!AX6*TA_ti!AX$50*TA_ti!$BG6=0,10000,TA_ti!AX6*TA_ti!AX$50*TA_ti!$BG6)</f>
        <v>10000</v>
      </c>
      <c r="AY6" s="4">
        <f>+IF(TA_ti!AY6*TA_ti!AY$50*TA_ti!$BG6=0,10000,TA_ti!AY6*TA_ti!AY$50*TA_ti!$BG6)</f>
        <v>10000</v>
      </c>
      <c r="AZ6" s="4">
        <f>+IF(TA_ti!AZ6*TA_ti!AZ$50*TA_ti!$BG6=0,10000,TA_ti!AZ6*TA_ti!AZ$50*TA_ti!$BG6)</f>
        <v>10000</v>
      </c>
      <c r="BA6" s="4">
        <f>+IF(TA_ti!BA6*TA_ti!BA$50*TA_ti!$BG6=0,10000,TA_ti!BA6*TA_ti!BA$50*TA_ti!$BG6)</f>
        <v>10000</v>
      </c>
      <c r="BB6" s="4">
        <f>+IF(TA_ti!BB6*TA_ti!BB$50*TA_ti!$BG6=0,10000,TA_ti!BB6*TA_ti!BB$50*TA_ti!$BG6)</f>
        <v>10000</v>
      </c>
      <c r="BC6" s="4">
        <f>+IF(TA_ti!BC6*TA_ti!BC$50*TA_ti!$BG6=0,10000,TA_ti!BC6*TA_ti!BC$50*TA_ti!$BG6)</f>
        <v>10000</v>
      </c>
    </row>
    <row r="7" spans="1:55" ht="18.75" customHeight="1" x14ac:dyDescent="0.25">
      <c r="A7" s="5" t="s">
        <v>58</v>
      </c>
      <c r="B7" s="4">
        <f>+IF(TA_ti!B7*TA_ti!B$50*TA_ti!$BG7=0,10000,TA_ti!B7*TA_ti!B$50*TA_ti!$BG7)</f>
        <v>10000</v>
      </c>
      <c r="C7" s="4">
        <f>+IF(TA_ti!C7*TA_ti!C$50*TA_ti!$BG7=0,10000,TA_ti!C7*TA_ti!C$50*TA_ti!$BG7)</f>
        <v>10000</v>
      </c>
      <c r="D7" s="4">
        <f>+IF(TA_ti!D7*TA_ti!D$50*TA_ti!$BG7=0,10000,TA_ti!D7*TA_ti!D$50*TA_ti!$BG7)</f>
        <v>10000</v>
      </c>
      <c r="E7" s="4">
        <f>+IF(TA_ti!E7*TA_ti!E$50*TA_ti!$BG7=0,10000,TA_ti!E7*TA_ti!E$50*TA_ti!$BG7)</f>
        <v>10000</v>
      </c>
      <c r="F7" s="4">
        <f>+IF(TA_ti!F7*TA_ti!F$50*TA_ti!$BG7=0,10000,TA_ti!F7*TA_ti!F$50*TA_ti!$BG7)</f>
        <v>10000</v>
      </c>
      <c r="G7" s="4">
        <f>+IF(TA_ti!G7*TA_ti!G$50*TA_ti!$BG7=0,10000,TA_ti!G7*TA_ti!G$50*TA_ti!$BG7)</f>
        <v>12</v>
      </c>
      <c r="H7" s="4">
        <f>+IF(TA_ti!H7*TA_ti!H$50*TA_ti!$BG7=0,10000,TA_ti!H7*TA_ti!H$50*TA_ti!$BG7)</f>
        <v>15</v>
      </c>
      <c r="I7" s="4">
        <f>+IF(TA_ti!I7*TA_ti!I$50*TA_ti!$BG7=0,10000,TA_ti!I7*TA_ti!I$50*TA_ti!$BG7)</f>
        <v>15</v>
      </c>
      <c r="J7" s="4">
        <f>+IF(TA_ti!J7*TA_ti!J$50*TA_ti!$BG7=0,10000,TA_ti!J7*TA_ti!J$50*TA_ti!$BG7)</f>
        <v>10000</v>
      </c>
      <c r="K7" s="4">
        <f>+IF(TA_ti!K7*TA_ti!K$50*TA_ti!$BG7=0,10000,TA_ti!K7*TA_ti!K$50*TA_ti!$BG7)</f>
        <v>10000</v>
      </c>
      <c r="L7" s="4">
        <f>+IF(TA_ti!L7*TA_ti!L$50*TA_ti!$BG7=0,10000,TA_ti!L7*TA_ti!L$50*TA_ti!$BG7)</f>
        <v>12</v>
      </c>
      <c r="M7" s="4">
        <f>+IF(TA_ti!M7*TA_ti!M$50*TA_ti!$BG7=0,10000,TA_ti!M7*TA_ti!M$50*TA_ti!$BG7)</f>
        <v>12</v>
      </c>
      <c r="N7" s="4">
        <f>+IF(TA_ti!N7*TA_ti!N$50*TA_ti!$BG7=0,10000,TA_ti!N7*TA_ti!N$50*TA_ti!$BG7)</f>
        <v>15</v>
      </c>
      <c r="O7" s="4">
        <f>+IF(TA_ti!O7*TA_ti!O$50*TA_ti!$BG7=0,10000,TA_ti!O7*TA_ti!O$50*TA_ti!$BG7)</f>
        <v>10000</v>
      </c>
      <c r="P7" s="4">
        <f>+IF(TA_ti!P7*TA_ti!P$50*TA_ti!$BG7=0,10000,TA_ti!P7*TA_ti!P$50*TA_ti!$BG7)</f>
        <v>10000</v>
      </c>
      <c r="Q7" s="4">
        <f>+IF(TA_ti!Q7*TA_ti!Q$50*TA_ti!$BG7=0,10000,TA_ti!Q7*TA_ti!Q$50*TA_ti!$BG7)</f>
        <v>10000</v>
      </c>
      <c r="R7" s="4">
        <f>+IF(TA_ti!R7*TA_ti!R$50*TA_ti!$BG7=0,10000,TA_ti!R7*TA_ti!R$50*TA_ti!$BG7)</f>
        <v>10000</v>
      </c>
      <c r="S7" s="4">
        <f>+IF(TA_ti!S7*TA_ti!S$50*TA_ti!$BG7=0,10000,TA_ti!S7*TA_ti!S$50*TA_ti!$BG7)</f>
        <v>10000</v>
      </c>
      <c r="T7" s="4">
        <f>+IF(TA_ti!T7*TA_ti!T$50*TA_ti!$BG7=0,10000,TA_ti!T7*TA_ti!T$50*TA_ti!$BG7)</f>
        <v>10000</v>
      </c>
      <c r="U7" s="4">
        <f>+IF(TA_ti!U7*TA_ti!U$50*TA_ti!$BG7=0,10000,TA_ti!U7*TA_ti!U$50*TA_ti!$BG7)</f>
        <v>10000</v>
      </c>
      <c r="V7" s="4">
        <f>+IF(TA_ti!V7*TA_ti!V$50*TA_ti!$BG7=0,10000,TA_ti!V7*TA_ti!V$50*TA_ti!$BG7)</f>
        <v>10000</v>
      </c>
      <c r="W7" s="4">
        <f>+IF(TA_ti!W7*TA_ti!W$50*TA_ti!$BG7=0,10000,TA_ti!W7*TA_ti!W$50*TA_ti!$BG7)</f>
        <v>10000</v>
      </c>
      <c r="X7" s="4">
        <f>+IF(TA_ti!X7*TA_ti!X$50*TA_ti!$BG7=0,10000,TA_ti!X7*TA_ti!X$50*TA_ti!$BG7)</f>
        <v>10000</v>
      </c>
      <c r="Y7" s="4">
        <f>+IF(TA_ti!Y7*TA_ti!Y$50*TA_ti!$BG7=0,10000,TA_ti!Y7*TA_ti!Y$50*TA_ti!$BG7)</f>
        <v>10000</v>
      </c>
      <c r="Z7" s="4">
        <f>+IF(TA_ti!Z7*TA_ti!Z$50*TA_ti!$BG7=0,10000,TA_ti!Z7*TA_ti!Z$50*TA_ti!$BG7)</f>
        <v>10000</v>
      </c>
      <c r="AA7" s="4">
        <f>+IF(TA_ti!AA7*TA_ti!AA$50*TA_ti!$BG7=0,10000,TA_ti!AA7*TA_ti!AA$50*TA_ti!$BG7)</f>
        <v>10000</v>
      </c>
      <c r="AB7" s="4">
        <f>+IF(TA_ti!AB7*TA_ti!AB$50*TA_ti!$BG7=0,10000,TA_ti!AB7*TA_ti!AB$50*TA_ti!$BG7)</f>
        <v>10000</v>
      </c>
      <c r="AC7" s="4">
        <f>+IF(TA_ti!AC7*TA_ti!AC$50*TA_ti!$BG7=0,10000,TA_ti!AC7*TA_ti!AC$50*TA_ti!$BG7)</f>
        <v>10000</v>
      </c>
      <c r="AD7" s="4">
        <f>+IF(TA_ti!AD7*TA_ti!AD$50*TA_ti!$BG7=0,10000,TA_ti!AD7*TA_ti!AD$50*TA_ti!$BG7)</f>
        <v>10000</v>
      </c>
      <c r="AE7" s="4">
        <f>+IF(TA_ti!AE7*TA_ti!AE$50*TA_ti!$BG7=0,10000,TA_ti!AE7*TA_ti!AE$50*TA_ti!$BG7)</f>
        <v>10000</v>
      </c>
      <c r="AF7" s="4">
        <f>+IF(TA_ti!AF7*TA_ti!AF$50*TA_ti!$BG7=0,10000,TA_ti!AF7*TA_ti!AF$50*TA_ti!$BG7)</f>
        <v>10000</v>
      </c>
      <c r="AG7" s="4">
        <f>+IF(TA_ti!AG7*TA_ti!AG$50*TA_ti!$BG7=0,10000,TA_ti!AG7*TA_ti!AG$50*TA_ti!$BG7)</f>
        <v>10000</v>
      </c>
      <c r="AH7" s="4">
        <f>+IF(TA_ti!AH7*TA_ti!AH$50*TA_ti!$BG7=0,10000,TA_ti!AH7*TA_ti!AH$50*TA_ti!$BG7)</f>
        <v>10000</v>
      </c>
      <c r="AI7" s="4">
        <f>+IF(TA_ti!AI7*TA_ti!AI$50*TA_ti!$BG7=0,10000,TA_ti!AI7*TA_ti!AI$50*TA_ti!$BG7)</f>
        <v>10000</v>
      </c>
      <c r="AJ7" s="4">
        <f>+IF(TA_ti!AJ7*TA_ti!AJ$50*TA_ti!$BG7=0,10000,TA_ti!AJ7*TA_ti!AJ$50*TA_ti!$BG7)</f>
        <v>10000</v>
      </c>
      <c r="AK7" s="4">
        <f>+IF(TA_ti!AK7*TA_ti!AK$50*TA_ti!$BG7=0,10000,TA_ti!AK7*TA_ti!AK$50*TA_ti!$BG7)</f>
        <v>10000</v>
      </c>
      <c r="AL7" s="4">
        <f>+IF(TA_ti!AL7*TA_ti!AL$50*TA_ti!$BG7=0,10000,TA_ti!AL7*TA_ti!AL$50*TA_ti!$BG7)</f>
        <v>12</v>
      </c>
      <c r="AM7" s="4">
        <f>+IF(TA_ti!AM7*TA_ti!AM$50*TA_ti!$BG7=0,10000,TA_ti!AM7*TA_ti!AM$50*TA_ti!$BG7)</f>
        <v>10000</v>
      </c>
      <c r="AN7" s="4">
        <f>+IF(TA_ti!AN7*TA_ti!AN$50*TA_ti!$BG7=0,10000,TA_ti!AN7*TA_ti!AN$50*TA_ti!$BG7)</f>
        <v>10000</v>
      </c>
      <c r="AO7" s="4">
        <f>+IF(TA_ti!AO7*TA_ti!AO$50*TA_ti!$BG7=0,10000,TA_ti!AO7*TA_ti!AO$50*TA_ti!$BG7)</f>
        <v>10000</v>
      </c>
      <c r="AP7" s="4">
        <f>+IF(TA_ti!AP7*TA_ti!AP$50*TA_ti!$BG7=0,10000,TA_ti!AP7*TA_ti!AP$50*TA_ti!$BG7)</f>
        <v>10000</v>
      </c>
      <c r="AQ7" s="4">
        <f>+IF(TA_ti!AQ7*TA_ti!AQ$50*TA_ti!$BG7=0,10000,TA_ti!AQ7*TA_ti!AQ$50*TA_ti!$BG7)</f>
        <v>10000</v>
      </c>
      <c r="AR7" s="4">
        <f>+IF(TA_ti!AR7*TA_ti!AR$50*TA_ti!$BG7=0,10000,TA_ti!AR7*TA_ti!AR$50*TA_ti!$BG7)</f>
        <v>10000</v>
      </c>
      <c r="AS7" s="4">
        <f>+IF(TA_ti!AS7*TA_ti!AS$50*TA_ti!$BG7=0,10000,TA_ti!AS7*TA_ti!AS$50*TA_ti!$BG7)</f>
        <v>10000</v>
      </c>
      <c r="AT7" s="4">
        <f>+IF(TA_ti!AT7*TA_ti!AT$50*TA_ti!$BG7=0,10000,TA_ti!AT7*TA_ti!AT$50*TA_ti!$BG7)</f>
        <v>10000</v>
      </c>
      <c r="AU7" s="4">
        <f>+IF(TA_ti!AU7*TA_ti!AU$50*TA_ti!$BG7=0,10000,TA_ti!AU7*TA_ti!AU$50*TA_ti!$BG7)</f>
        <v>10000</v>
      </c>
      <c r="AV7" s="4">
        <f>+IF(TA_ti!AV7*TA_ti!AV$50*TA_ti!$BG7=0,10000,TA_ti!AV7*TA_ti!AV$50*TA_ti!$BG7)</f>
        <v>10000</v>
      </c>
      <c r="AW7" s="4">
        <f>+IF(TA_ti!AW7*TA_ti!AW$50*TA_ti!$BG7=0,10000,TA_ti!AW7*TA_ti!AW$50*TA_ti!$BG7)</f>
        <v>10000</v>
      </c>
      <c r="AX7" s="4">
        <f>+IF(TA_ti!AX7*TA_ti!AX$50*TA_ti!$BG7=0,10000,TA_ti!AX7*TA_ti!AX$50*TA_ti!$BG7)</f>
        <v>10000</v>
      </c>
      <c r="AY7" s="4">
        <f>+IF(TA_ti!AY7*TA_ti!AY$50*TA_ti!$BG7=0,10000,TA_ti!AY7*TA_ti!AY$50*TA_ti!$BG7)</f>
        <v>10000</v>
      </c>
      <c r="AZ7" s="4">
        <f>+IF(TA_ti!AZ7*TA_ti!AZ$50*TA_ti!$BG7=0,10000,TA_ti!AZ7*TA_ti!AZ$50*TA_ti!$BG7)</f>
        <v>10000</v>
      </c>
      <c r="BA7" s="4">
        <f>+IF(TA_ti!BA7*TA_ti!BA$50*TA_ti!$BG7=0,10000,TA_ti!BA7*TA_ti!BA$50*TA_ti!$BG7)</f>
        <v>10000</v>
      </c>
      <c r="BB7" s="4">
        <f>+IF(TA_ti!BB7*TA_ti!BB$50*TA_ti!$BG7=0,10000,TA_ti!BB7*TA_ti!BB$50*TA_ti!$BG7)</f>
        <v>10000</v>
      </c>
      <c r="BC7" s="4">
        <f>+IF(TA_ti!BC7*TA_ti!BC$50*TA_ti!$BG7=0,10000,TA_ti!BC7*TA_ti!BC$50*TA_ti!$BG7)</f>
        <v>10000</v>
      </c>
    </row>
    <row r="8" spans="1:55" ht="18.75" customHeight="1" x14ac:dyDescent="0.25">
      <c r="A8" s="5" t="s">
        <v>59</v>
      </c>
      <c r="B8" s="4">
        <f>+IF(TA_ti!B8*TA_ti!B$50*TA_ti!$BG8=0,10000,TA_ti!B8*TA_ti!B$50*TA_ti!$BG8)</f>
        <v>10000</v>
      </c>
      <c r="C8" s="4">
        <f>+IF(TA_ti!C8*TA_ti!C$50*TA_ti!$BG8=0,10000,TA_ti!C8*TA_ti!C$50*TA_ti!$BG8)</f>
        <v>10000</v>
      </c>
      <c r="D8" s="4">
        <f>+IF(TA_ti!D8*TA_ti!D$50*TA_ti!$BG8=0,10000,TA_ti!D8*TA_ti!D$50*TA_ti!$BG8)</f>
        <v>10000</v>
      </c>
      <c r="E8" s="4">
        <f>+IF(TA_ti!E8*TA_ti!E$50*TA_ti!$BG8=0,10000,TA_ti!E8*TA_ti!E$50*TA_ti!$BG8)</f>
        <v>10000</v>
      </c>
      <c r="F8" s="4">
        <f>+IF(TA_ti!F8*TA_ti!F$50*TA_ti!$BG8=0,10000,TA_ti!F8*TA_ti!F$50*TA_ti!$BG8)</f>
        <v>10000</v>
      </c>
      <c r="G8" s="4">
        <f>+IF(TA_ti!G8*TA_ti!G$50*TA_ti!$BG8=0,10000,TA_ti!G8*TA_ti!G$50*TA_ti!$BG8)</f>
        <v>10000</v>
      </c>
      <c r="H8" s="4">
        <f>+IF(TA_ti!H8*TA_ti!H$50*TA_ti!$BG8=0,10000,TA_ti!H8*TA_ti!H$50*TA_ti!$BG8)</f>
        <v>10000</v>
      </c>
      <c r="I8" s="4">
        <f>+IF(TA_ti!I8*TA_ti!I$50*TA_ti!$BG8=0,10000,TA_ti!I8*TA_ti!I$50*TA_ti!$BG8)</f>
        <v>10000</v>
      </c>
      <c r="J8" s="4">
        <f>+IF(TA_ti!J8*TA_ti!J$50*TA_ti!$BG8=0,10000,TA_ti!J8*TA_ti!J$50*TA_ti!$BG8)</f>
        <v>10000</v>
      </c>
      <c r="K8" s="4">
        <f>+IF(TA_ti!K8*TA_ti!K$50*TA_ti!$BG8=0,10000,TA_ti!K8*TA_ti!K$50*TA_ti!$BG8)</f>
        <v>10000</v>
      </c>
      <c r="L8" s="4">
        <f>+IF(TA_ti!L8*TA_ti!L$50*TA_ti!$BG8=0,10000,TA_ti!L8*TA_ti!L$50*TA_ti!$BG8)</f>
        <v>10000</v>
      </c>
      <c r="M8" s="4">
        <f>+IF(TA_ti!M8*TA_ti!M$50*TA_ti!$BG8=0,10000,TA_ti!M8*TA_ti!M$50*TA_ti!$BG8)</f>
        <v>10000</v>
      </c>
      <c r="N8" s="4">
        <f>+IF(TA_ti!N8*TA_ti!N$50*TA_ti!$BG8=0,10000,TA_ti!N8*TA_ti!N$50*TA_ti!$BG8)</f>
        <v>10000</v>
      </c>
      <c r="O8" s="4">
        <f>+IF(TA_ti!O8*TA_ti!O$50*TA_ti!$BG8=0,10000,TA_ti!O8*TA_ti!O$50*TA_ti!$BG8)</f>
        <v>10000</v>
      </c>
      <c r="P8" s="4">
        <f>+IF(TA_ti!P8*TA_ti!P$50*TA_ti!$BG8=0,10000,TA_ti!P8*TA_ti!P$50*TA_ti!$BG8)</f>
        <v>10000</v>
      </c>
      <c r="Q8" s="4">
        <f>+IF(TA_ti!Q8*TA_ti!Q$50*TA_ti!$BG8=0,10000,TA_ti!Q8*TA_ti!Q$50*TA_ti!$BG8)</f>
        <v>10000</v>
      </c>
      <c r="R8" s="4">
        <f>+IF(TA_ti!R8*TA_ti!R$50*TA_ti!$BG8=0,10000,TA_ti!R8*TA_ti!R$50*TA_ti!$BG8)</f>
        <v>10000</v>
      </c>
      <c r="S8" s="4">
        <f>+IF(TA_ti!S8*TA_ti!S$50*TA_ti!$BG8=0,10000,TA_ti!S8*TA_ti!S$50*TA_ti!$BG8)</f>
        <v>10000</v>
      </c>
      <c r="T8" s="4">
        <f>+IF(TA_ti!T8*TA_ti!T$50*TA_ti!$BG8=0,10000,TA_ti!T8*TA_ti!T$50*TA_ti!$BG8)</f>
        <v>10000</v>
      </c>
      <c r="U8" s="4">
        <f>+IF(TA_ti!U8*TA_ti!U$50*TA_ti!$BG8=0,10000,TA_ti!U8*TA_ti!U$50*TA_ti!$BG8)</f>
        <v>10000</v>
      </c>
      <c r="V8" s="4">
        <f>+IF(TA_ti!V8*TA_ti!V$50*TA_ti!$BG8=0,10000,TA_ti!V8*TA_ti!V$50*TA_ti!$BG8)</f>
        <v>10000</v>
      </c>
      <c r="W8" s="4">
        <f>+IF(TA_ti!W8*TA_ti!W$50*TA_ti!$BG8=0,10000,TA_ti!W8*TA_ti!W$50*TA_ti!$BG8)</f>
        <v>10000</v>
      </c>
      <c r="X8" s="4">
        <f>+IF(TA_ti!X8*TA_ti!X$50*TA_ti!$BG8=0,10000,TA_ti!X8*TA_ti!X$50*TA_ti!$BG8)</f>
        <v>10000</v>
      </c>
      <c r="Y8" s="4">
        <f>+IF(TA_ti!Y8*TA_ti!Y$50*TA_ti!$BG8=0,10000,TA_ti!Y8*TA_ti!Y$50*TA_ti!$BG8)</f>
        <v>10000</v>
      </c>
      <c r="Z8" s="4">
        <f>+IF(TA_ti!Z8*TA_ti!Z$50*TA_ti!$BG8=0,10000,TA_ti!Z8*TA_ti!Z$50*TA_ti!$BG8)</f>
        <v>10000</v>
      </c>
      <c r="AA8" s="4">
        <f>+IF(TA_ti!AA8*TA_ti!AA$50*TA_ti!$BG8=0,10000,TA_ti!AA8*TA_ti!AA$50*TA_ti!$BG8)</f>
        <v>10000</v>
      </c>
      <c r="AB8" s="4">
        <f>+IF(TA_ti!AB8*TA_ti!AB$50*TA_ti!$BG8=0,10000,TA_ti!AB8*TA_ti!AB$50*TA_ti!$BG8)</f>
        <v>10000</v>
      </c>
      <c r="AC8" s="4">
        <f>+IF(TA_ti!AC8*TA_ti!AC$50*TA_ti!$BG8=0,10000,TA_ti!AC8*TA_ti!AC$50*TA_ti!$BG8)</f>
        <v>10000</v>
      </c>
      <c r="AD8" s="4">
        <f>+IF(TA_ti!AD8*TA_ti!AD$50*TA_ti!$BG8=0,10000,TA_ti!AD8*TA_ti!AD$50*TA_ti!$BG8)</f>
        <v>10000</v>
      </c>
      <c r="AE8" s="4">
        <f>+IF(TA_ti!AE8*TA_ti!AE$50*TA_ti!$BG8=0,10000,TA_ti!AE8*TA_ti!AE$50*TA_ti!$BG8)</f>
        <v>10000</v>
      </c>
      <c r="AF8" s="4">
        <f>+IF(TA_ti!AF8*TA_ti!AF$50*TA_ti!$BG8=0,10000,TA_ti!AF8*TA_ti!AF$50*TA_ti!$BG8)</f>
        <v>10000</v>
      </c>
      <c r="AG8" s="4">
        <f>+IF(TA_ti!AG8*TA_ti!AG$50*TA_ti!$BG8=0,10000,TA_ti!AG8*TA_ti!AG$50*TA_ti!$BG8)</f>
        <v>10000</v>
      </c>
      <c r="AH8" s="4">
        <f>+IF(TA_ti!AH8*TA_ti!AH$50*TA_ti!$BG8=0,10000,TA_ti!AH8*TA_ti!AH$50*TA_ti!$BG8)</f>
        <v>10000</v>
      </c>
      <c r="AI8" s="4">
        <f>+IF(TA_ti!AI8*TA_ti!AI$50*TA_ti!$BG8=0,10000,TA_ti!AI8*TA_ti!AI$50*TA_ti!$BG8)</f>
        <v>10000</v>
      </c>
      <c r="AJ8" s="4">
        <f>+IF(TA_ti!AJ8*TA_ti!AJ$50*TA_ti!$BG8=0,10000,TA_ti!AJ8*TA_ti!AJ$50*TA_ti!$BG8)</f>
        <v>10000</v>
      </c>
      <c r="AK8" s="4">
        <f>+IF(TA_ti!AK8*TA_ti!AK$50*TA_ti!$BG8=0,10000,TA_ti!AK8*TA_ti!AK$50*TA_ti!$BG8)</f>
        <v>10000</v>
      </c>
      <c r="AL8" s="4">
        <f>+IF(TA_ti!AL8*TA_ti!AL$50*TA_ti!$BG8=0,10000,TA_ti!AL8*TA_ti!AL$50*TA_ti!$BG8)</f>
        <v>10000</v>
      </c>
      <c r="AM8" s="4">
        <f>+IF(TA_ti!AM8*TA_ti!AM$50*TA_ti!$BG8=0,10000,TA_ti!AM8*TA_ti!AM$50*TA_ti!$BG8)</f>
        <v>10000</v>
      </c>
      <c r="AN8" s="4">
        <f>+IF(TA_ti!AN8*TA_ti!AN$50*TA_ti!$BG8=0,10000,TA_ti!AN8*TA_ti!AN$50*TA_ti!$BG8)</f>
        <v>10000</v>
      </c>
      <c r="AO8" s="4">
        <f>+IF(TA_ti!AO8*TA_ti!AO$50*TA_ti!$BG8=0,10000,TA_ti!AO8*TA_ti!AO$50*TA_ti!$BG8)</f>
        <v>10000</v>
      </c>
      <c r="AP8" s="4">
        <f>+IF(TA_ti!AP8*TA_ti!AP$50*TA_ti!$BG8=0,10000,TA_ti!AP8*TA_ti!AP$50*TA_ti!$BG8)</f>
        <v>10000</v>
      </c>
      <c r="AQ8" s="4">
        <f>+IF(TA_ti!AQ8*TA_ti!AQ$50*TA_ti!$BG8=0,10000,TA_ti!AQ8*TA_ti!AQ$50*TA_ti!$BG8)</f>
        <v>10000</v>
      </c>
      <c r="AR8" s="4">
        <f>+IF(TA_ti!AR8*TA_ti!AR$50*TA_ti!$BG8=0,10000,TA_ti!AR8*TA_ti!AR$50*TA_ti!$BG8)</f>
        <v>10000</v>
      </c>
      <c r="AS8" s="4">
        <f>+IF(TA_ti!AS8*TA_ti!AS$50*TA_ti!$BG8=0,10000,TA_ti!AS8*TA_ti!AS$50*TA_ti!$BG8)</f>
        <v>10000</v>
      </c>
      <c r="AT8" s="4">
        <f>+IF(TA_ti!AT8*TA_ti!AT$50*TA_ti!$BG8=0,10000,TA_ti!AT8*TA_ti!AT$50*TA_ti!$BG8)</f>
        <v>10000</v>
      </c>
      <c r="AU8" s="4">
        <f>+IF(TA_ti!AU8*TA_ti!AU$50*TA_ti!$BG8=0,10000,TA_ti!AU8*TA_ti!AU$50*TA_ti!$BG8)</f>
        <v>10000</v>
      </c>
      <c r="AV8" s="4">
        <f>+IF(TA_ti!AV8*TA_ti!AV$50*TA_ti!$BG8=0,10000,TA_ti!AV8*TA_ti!AV$50*TA_ti!$BG8)</f>
        <v>10000</v>
      </c>
      <c r="AW8" s="4">
        <f>+IF(TA_ti!AW8*TA_ti!AW$50*TA_ti!$BG8=0,10000,TA_ti!AW8*TA_ti!AW$50*TA_ti!$BG8)</f>
        <v>10000</v>
      </c>
      <c r="AX8" s="4">
        <f>+IF(TA_ti!AX8*TA_ti!AX$50*TA_ti!$BG8=0,10000,TA_ti!AX8*TA_ti!AX$50*TA_ti!$BG8)</f>
        <v>10000</v>
      </c>
      <c r="AY8" s="4">
        <f>+IF(TA_ti!AY8*TA_ti!AY$50*TA_ti!$BG8=0,10000,TA_ti!AY8*TA_ti!AY$50*TA_ti!$BG8)</f>
        <v>10000</v>
      </c>
      <c r="AZ8" s="4">
        <f>+IF(TA_ti!AZ8*TA_ti!AZ$50*TA_ti!$BG8=0,10000,TA_ti!AZ8*TA_ti!AZ$50*TA_ti!$BG8)</f>
        <v>10000</v>
      </c>
      <c r="BA8" s="4">
        <f>+IF(TA_ti!BA8*TA_ti!BA$50*TA_ti!$BG8=0,10000,TA_ti!BA8*TA_ti!BA$50*TA_ti!$BG8)</f>
        <v>10000</v>
      </c>
      <c r="BB8" s="4">
        <f>+IF(TA_ti!BB8*TA_ti!BB$50*TA_ti!$BG8=0,10000,TA_ti!BB8*TA_ti!BB$50*TA_ti!$BG8)</f>
        <v>10000</v>
      </c>
      <c r="BC8" s="4">
        <f>+IF(TA_ti!BC8*TA_ti!BC$50*TA_ti!$BG8=0,10000,TA_ti!BC8*TA_ti!BC$50*TA_ti!$BG8)</f>
        <v>10000</v>
      </c>
    </row>
    <row r="9" spans="1:55" ht="18.75" customHeight="1" x14ac:dyDescent="0.25">
      <c r="A9" s="5" t="s">
        <v>60</v>
      </c>
      <c r="B9" s="4">
        <f>+IF(TA_ti!B9*TA_ti!B$50*TA_ti!$BG9=0,10000,TA_ti!B9*TA_ti!B$50*TA_ti!$BG9)</f>
        <v>10000</v>
      </c>
      <c r="C9" s="4">
        <f>+IF(TA_ti!C9*TA_ti!C$50*TA_ti!$BG9=0,10000,TA_ti!C9*TA_ti!C$50*TA_ti!$BG9)</f>
        <v>10000</v>
      </c>
      <c r="D9" s="4">
        <f>+IF(TA_ti!D9*TA_ti!D$50*TA_ti!$BG9=0,10000,TA_ti!D9*TA_ti!D$50*TA_ti!$BG9)</f>
        <v>10000</v>
      </c>
      <c r="E9" s="4">
        <f>+IF(TA_ti!E9*TA_ti!E$50*TA_ti!$BG9=0,10000,TA_ti!E9*TA_ti!E$50*TA_ti!$BG9)</f>
        <v>10000</v>
      </c>
      <c r="F9" s="4">
        <f>+IF(TA_ti!F9*TA_ti!F$50*TA_ti!$BG9=0,10000,TA_ti!F9*TA_ti!F$50*TA_ti!$BG9)</f>
        <v>10000</v>
      </c>
      <c r="G9" s="4">
        <f>+IF(TA_ti!G9*TA_ti!G$50*TA_ti!$BG9=0,10000,TA_ti!G9*TA_ti!G$50*TA_ti!$BG9)</f>
        <v>10000</v>
      </c>
      <c r="H9" s="4">
        <f>+IF(TA_ti!H9*TA_ti!H$50*TA_ti!$BG9=0,10000,TA_ti!H9*TA_ti!H$50*TA_ti!$BG9)</f>
        <v>10000</v>
      </c>
      <c r="I9" s="4">
        <f>+IF(TA_ti!I9*TA_ti!I$50*TA_ti!$BG9=0,10000,TA_ti!I9*TA_ti!I$50*TA_ti!$BG9)</f>
        <v>10000</v>
      </c>
      <c r="J9" s="4">
        <f>+IF(TA_ti!J9*TA_ti!J$50*TA_ti!$BG9=0,10000,TA_ti!J9*TA_ti!J$50*TA_ti!$BG9)</f>
        <v>10000</v>
      </c>
      <c r="K9" s="4">
        <f>+IF(TA_ti!K9*TA_ti!K$50*TA_ti!$BG9=0,10000,TA_ti!K9*TA_ti!K$50*TA_ti!$BG9)</f>
        <v>10000</v>
      </c>
      <c r="L9" s="4">
        <f>+IF(TA_ti!L9*TA_ti!L$50*TA_ti!$BG9=0,10000,TA_ti!L9*TA_ti!L$50*TA_ti!$BG9)</f>
        <v>10000</v>
      </c>
      <c r="M9" s="4">
        <f>+IF(TA_ti!M9*TA_ti!M$50*TA_ti!$BG9=0,10000,TA_ti!M9*TA_ti!M$50*TA_ti!$BG9)</f>
        <v>10000</v>
      </c>
      <c r="N9" s="4">
        <f>+IF(TA_ti!N9*TA_ti!N$50*TA_ti!$BG9=0,10000,TA_ti!N9*TA_ti!N$50*TA_ti!$BG9)</f>
        <v>10000</v>
      </c>
      <c r="O9" s="4">
        <f>+IF(TA_ti!O9*TA_ti!O$50*TA_ti!$BG9=0,10000,TA_ti!O9*TA_ti!O$50*TA_ti!$BG9)</f>
        <v>10000</v>
      </c>
      <c r="P9" s="4">
        <f>+IF(TA_ti!P9*TA_ti!P$50*TA_ti!$BG9=0,10000,TA_ti!P9*TA_ti!P$50*TA_ti!$BG9)</f>
        <v>10000</v>
      </c>
      <c r="Q9" s="4">
        <f>+IF(TA_ti!Q9*TA_ti!Q$50*TA_ti!$BG9=0,10000,TA_ti!Q9*TA_ti!Q$50*TA_ti!$BG9)</f>
        <v>10000</v>
      </c>
      <c r="R9" s="4">
        <f>+IF(TA_ti!R9*TA_ti!R$50*TA_ti!$BG9=0,10000,TA_ti!R9*TA_ti!R$50*TA_ti!$BG9)</f>
        <v>10000</v>
      </c>
      <c r="S9" s="4">
        <f>+IF(TA_ti!S9*TA_ti!S$50*TA_ti!$BG9=0,10000,TA_ti!S9*TA_ti!S$50*TA_ti!$BG9)</f>
        <v>10000</v>
      </c>
      <c r="T9" s="4">
        <f>+IF(TA_ti!T9*TA_ti!T$50*TA_ti!$BG9=0,10000,TA_ti!T9*TA_ti!T$50*TA_ti!$BG9)</f>
        <v>10000</v>
      </c>
      <c r="U9" s="4">
        <f>+IF(TA_ti!U9*TA_ti!U$50*TA_ti!$BG9=0,10000,TA_ti!U9*TA_ti!U$50*TA_ti!$BG9)</f>
        <v>10000</v>
      </c>
      <c r="V9" s="4">
        <f>+IF(TA_ti!V9*TA_ti!V$50*TA_ti!$BG9=0,10000,TA_ti!V9*TA_ti!V$50*TA_ti!$BG9)</f>
        <v>10000</v>
      </c>
      <c r="W9" s="4">
        <f>+IF(TA_ti!W9*TA_ti!W$50*TA_ti!$BG9=0,10000,TA_ti!W9*TA_ti!W$50*TA_ti!$BG9)</f>
        <v>10000</v>
      </c>
      <c r="X9" s="4">
        <f>+IF(TA_ti!X9*TA_ti!X$50*TA_ti!$BG9=0,10000,TA_ti!X9*TA_ti!X$50*TA_ti!$BG9)</f>
        <v>10000</v>
      </c>
      <c r="Y9" s="4">
        <f>+IF(TA_ti!Y9*TA_ti!Y$50*TA_ti!$BG9=0,10000,TA_ti!Y9*TA_ti!Y$50*TA_ti!$BG9)</f>
        <v>10000</v>
      </c>
      <c r="Z9" s="4">
        <f>+IF(TA_ti!Z9*TA_ti!Z$50*TA_ti!$BG9=0,10000,TA_ti!Z9*TA_ti!Z$50*TA_ti!$BG9)</f>
        <v>10000</v>
      </c>
      <c r="AA9" s="4">
        <f>+IF(TA_ti!AA9*TA_ti!AA$50*TA_ti!$BG9=0,10000,TA_ti!AA9*TA_ti!AA$50*TA_ti!$BG9)</f>
        <v>10000</v>
      </c>
      <c r="AB9" s="4">
        <f>+IF(TA_ti!AB9*TA_ti!AB$50*TA_ti!$BG9=0,10000,TA_ti!AB9*TA_ti!AB$50*TA_ti!$BG9)</f>
        <v>10000</v>
      </c>
      <c r="AC9" s="4">
        <f>+IF(TA_ti!AC9*TA_ti!AC$50*TA_ti!$BG9=0,10000,TA_ti!AC9*TA_ti!AC$50*TA_ti!$BG9)</f>
        <v>10000</v>
      </c>
      <c r="AD9" s="4">
        <f>+IF(TA_ti!AD9*TA_ti!AD$50*TA_ti!$BG9=0,10000,TA_ti!AD9*TA_ti!AD$50*TA_ti!$BG9)</f>
        <v>10000</v>
      </c>
      <c r="AE9" s="4">
        <f>+IF(TA_ti!AE9*TA_ti!AE$50*TA_ti!$BG9=0,10000,TA_ti!AE9*TA_ti!AE$50*TA_ti!$BG9)</f>
        <v>10000</v>
      </c>
      <c r="AF9" s="4">
        <f>+IF(TA_ti!AF9*TA_ti!AF$50*TA_ti!$BG9=0,10000,TA_ti!AF9*TA_ti!AF$50*TA_ti!$BG9)</f>
        <v>10000</v>
      </c>
      <c r="AG9" s="4">
        <f>+IF(TA_ti!AG9*TA_ti!AG$50*TA_ti!$BG9=0,10000,TA_ti!AG9*TA_ti!AG$50*TA_ti!$BG9)</f>
        <v>10000</v>
      </c>
      <c r="AH9" s="4">
        <f>+IF(TA_ti!AH9*TA_ti!AH$50*TA_ti!$BG9=0,10000,TA_ti!AH9*TA_ti!AH$50*TA_ti!$BG9)</f>
        <v>10000</v>
      </c>
      <c r="AI9" s="4">
        <f>+IF(TA_ti!AI9*TA_ti!AI$50*TA_ti!$BG9=0,10000,TA_ti!AI9*TA_ti!AI$50*TA_ti!$BG9)</f>
        <v>10000</v>
      </c>
      <c r="AJ9" s="4">
        <f>+IF(TA_ti!AJ9*TA_ti!AJ$50*TA_ti!$BG9=0,10000,TA_ti!AJ9*TA_ti!AJ$50*TA_ti!$BG9)</f>
        <v>10000</v>
      </c>
      <c r="AK9" s="4">
        <f>+IF(TA_ti!AK9*TA_ti!AK$50*TA_ti!$BG9=0,10000,TA_ti!AK9*TA_ti!AK$50*TA_ti!$BG9)</f>
        <v>10000</v>
      </c>
      <c r="AL9" s="4">
        <f>+IF(TA_ti!AL9*TA_ti!AL$50*TA_ti!$BG9=0,10000,TA_ti!AL9*TA_ti!AL$50*TA_ti!$BG9)</f>
        <v>10000</v>
      </c>
      <c r="AM9" s="4">
        <f>+IF(TA_ti!AM9*TA_ti!AM$50*TA_ti!$BG9=0,10000,TA_ti!AM9*TA_ti!AM$50*TA_ti!$BG9)</f>
        <v>10000</v>
      </c>
      <c r="AN9" s="4">
        <f>+IF(TA_ti!AN9*TA_ti!AN$50*TA_ti!$BG9=0,10000,TA_ti!AN9*TA_ti!AN$50*TA_ti!$BG9)</f>
        <v>10000</v>
      </c>
      <c r="AO9" s="4">
        <f>+IF(TA_ti!AO9*TA_ti!AO$50*TA_ti!$BG9=0,10000,TA_ti!AO9*TA_ti!AO$50*TA_ti!$BG9)</f>
        <v>10000</v>
      </c>
      <c r="AP9" s="4">
        <f>+IF(TA_ti!AP9*TA_ti!AP$50*TA_ti!$BG9=0,10000,TA_ti!AP9*TA_ti!AP$50*TA_ti!$BG9)</f>
        <v>10000</v>
      </c>
      <c r="AQ9" s="4">
        <f>+IF(TA_ti!AQ9*TA_ti!AQ$50*TA_ti!$BG9=0,10000,TA_ti!AQ9*TA_ti!AQ$50*TA_ti!$BG9)</f>
        <v>10000</v>
      </c>
      <c r="AR9" s="4">
        <f>+IF(TA_ti!AR9*TA_ti!AR$50*TA_ti!$BG9=0,10000,TA_ti!AR9*TA_ti!AR$50*TA_ti!$BG9)</f>
        <v>10000</v>
      </c>
      <c r="AS9" s="4">
        <f>+IF(TA_ti!AS9*TA_ti!AS$50*TA_ti!$BG9=0,10000,TA_ti!AS9*TA_ti!AS$50*TA_ti!$BG9)</f>
        <v>10000</v>
      </c>
      <c r="AT9" s="4">
        <f>+IF(TA_ti!AT9*TA_ti!AT$50*TA_ti!$BG9=0,10000,TA_ti!AT9*TA_ti!AT$50*TA_ti!$BG9)</f>
        <v>10000</v>
      </c>
      <c r="AU9" s="4">
        <f>+IF(TA_ti!AU9*TA_ti!AU$50*TA_ti!$BG9=0,10000,TA_ti!AU9*TA_ti!AU$50*TA_ti!$BG9)</f>
        <v>10000</v>
      </c>
      <c r="AV9" s="4">
        <f>+IF(TA_ti!AV9*TA_ti!AV$50*TA_ti!$BG9=0,10000,TA_ti!AV9*TA_ti!AV$50*TA_ti!$BG9)</f>
        <v>10000</v>
      </c>
      <c r="AW9" s="4">
        <f>+IF(TA_ti!AW9*TA_ti!AW$50*TA_ti!$BG9=0,10000,TA_ti!AW9*TA_ti!AW$50*TA_ti!$BG9)</f>
        <v>10000</v>
      </c>
      <c r="AX9" s="4">
        <f>+IF(TA_ti!AX9*TA_ti!AX$50*TA_ti!$BG9=0,10000,TA_ti!AX9*TA_ti!AX$50*TA_ti!$BG9)</f>
        <v>10000</v>
      </c>
      <c r="AY9" s="4">
        <f>+IF(TA_ti!AY9*TA_ti!AY$50*TA_ti!$BG9=0,10000,TA_ti!AY9*TA_ti!AY$50*TA_ti!$BG9)</f>
        <v>10000</v>
      </c>
      <c r="AZ9" s="4">
        <f>+IF(TA_ti!AZ9*TA_ti!AZ$50*TA_ti!$BG9=0,10000,TA_ti!AZ9*TA_ti!AZ$50*TA_ti!$BG9)</f>
        <v>10000</v>
      </c>
      <c r="BA9" s="4">
        <f>+IF(TA_ti!BA9*TA_ti!BA$50*TA_ti!$BG9=0,10000,TA_ti!BA9*TA_ti!BA$50*TA_ti!$BG9)</f>
        <v>10000</v>
      </c>
      <c r="BB9" s="4">
        <f>+IF(TA_ti!BB9*TA_ti!BB$50*TA_ti!$BG9=0,10000,TA_ti!BB9*TA_ti!BB$50*TA_ti!$BG9)</f>
        <v>10000</v>
      </c>
      <c r="BC9" s="4">
        <f>+IF(TA_ti!BC9*TA_ti!BC$50*TA_ti!$BG9=0,10000,TA_ti!BC9*TA_ti!BC$50*TA_ti!$BG9)</f>
        <v>10000</v>
      </c>
    </row>
    <row r="10" spans="1:55" ht="18.75" customHeight="1" x14ac:dyDescent="0.25">
      <c r="A10" s="5" t="s">
        <v>61</v>
      </c>
      <c r="B10" s="4">
        <f>+IF(TA_ti!B10*TA_ti!B$50*TA_ti!$BG10=0,10000,TA_ti!B10*TA_ti!B$50*TA_ti!$BG10)</f>
        <v>10000</v>
      </c>
      <c r="C10" s="4">
        <f>+IF(TA_ti!C10*TA_ti!C$50*TA_ti!$BG10=0,10000,TA_ti!C10*TA_ti!C$50*TA_ti!$BG10)</f>
        <v>10000</v>
      </c>
      <c r="D10" s="4">
        <f>+IF(TA_ti!D10*TA_ti!D$50*TA_ti!$BG10=0,10000,TA_ti!D10*TA_ti!D$50*TA_ti!$BG10)</f>
        <v>10000</v>
      </c>
      <c r="E10" s="4">
        <f>+IF(TA_ti!E10*TA_ti!E$50*TA_ti!$BG10=0,10000,TA_ti!E10*TA_ti!E$50*TA_ti!$BG10)</f>
        <v>10000</v>
      </c>
      <c r="F10" s="4">
        <f>+IF(TA_ti!F10*TA_ti!F$50*TA_ti!$BG10=0,10000,TA_ti!F10*TA_ti!F$50*TA_ti!$BG10)</f>
        <v>10000</v>
      </c>
      <c r="G10" s="4">
        <f>+IF(TA_ti!G10*TA_ti!G$50*TA_ti!$BG10=0,10000,TA_ti!G10*TA_ti!G$50*TA_ti!$BG10)</f>
        <v>10000</v>
      </c>
      <c r="H10" s="4">
        <f>+IF(TA_ti!H10*TA_ti!H$50*TA_ti!$BG10=0,10000,TA_ti!H10*TA_ti!H$50*TA_ti!$BG10)</f>
        <v>10000</v>
      </c>
      <c r="I10" s="4">
        <f>+IF(TA_ti!I10*TA_ti!I$50*TA_ti!$BG10=0,10000,TA_ti!I10*TA_ti!I$50*TA_ti!$BG10)</f>
        <v>10000</v>
      </c>
      <c r="J10" s="4">
        <f>+IF(TA_ti!J10*TA_ti!J$50*TA_ti!$BG10=0,10000,TA_ti!J10*TA_ti!J$50*TA_ti!$BG10)</f>
        <v>10000</v>
      </c>
      <c r="K10" s="4">
        <f>+IF(TA_ti!K10*TA_ti!K$50*TA_ti!$BG10=0,10000,TA_ti!K10*TA_ti!K$50*TA_ti!$BG10)</f>
        <v>10000</v>
      </c>
      <c r="L10" s="4">
        <f>+IF(TA_ti!L10*TA_ti!L$50*TA_ti!$BG10=0,10000,TA_ti!L10*TA_ti!L$50*TA_ti!$BG10)</f>
        <v>10000</v>
      </c>
      <c r="M10" s="4">
        <f>+IF(TA_ti!M10*TA_ti!M$50*TA_ti!$BG10=0,10000,TA_ti!M10*TA_ti!M$50*TA_ti!$BG10)</f>
        <v>10000</v>
      </c>
      <c r="N10" s="4">
        <f>+IF(TA_ti!N10*TA_ti!N$50*TA_ti!$BG10=0,10000,TA_ti!N10*TA_ti!N$50*TA_ti!$BG10)</f>
        <v>10000</v>
      </c>
      <c r="O10" s="4">
        <f>+IF(TA_ti!O10*TA_ti!O$50*TA_ti!$BG10=0,10000,TA_ti!O10*TA_ti!O$50*TA_ti!$BG10)</f>
        <v>10000</v>
      </c>
      <c r="P10" s="4">
        <f>+IF(TA_ti!P10*TA_ti!P$50*TA_ti!$BG10=0,10000,TA_ti!P10*TA_ti!P$50*TA_ti!$BG10)</f>
        <v>10000</v>
      </c>
      <c r="Q10" s="4">
        <f>+IF(TA_ti!Q10*TA_ti!Q$50*TA_ti!$BG10=0,10000,TA_ti!Q10*TA_ti!Q$50*TA_ti!$BG10)</f>
        <v>10000</v>
      </c>
      <c r="R10" s="4">
        <f>+IF(TA_ti!R10*TA_ti!R$50*TA_ti!$BG10=0,10000,TA_ti!R10*TA_ti!R$50*TA_ti!$BG10)</f>
        <v>10000</v>
      </c>
      <c r="S10" s="4">
        <f>+IF(TA_ti!S10*TA_ti!S$50*TA_ti!$BG10=0,10000,TA_ti!S10*TA_ti!S$50*TA_ti!$BG10)</f>
        <v>10000</v>
      </c>
      <c r="T10" s="4">
        <f>+IF(TA_ti!T10*TA_ti!T$50*TA_ti!$BG10=0,10000,TA_ti!T10*TA_ti!T$50*TA_ti!$BG10)</f>
        <v>10000</v>
      </c>
      <c r="U10" s="4">
        <f>+IF(TA_ti!U10*TA_ti!U$50*TA_ti!$BG10=0,10000,TA_ti!U10*TA_ti!U$50*TA_ti!$BG10)</f>
        <v>10000</v>
      </c>
      <c r="V10" s="4">
        <f>+IF(TA_ti!V10*TA_ti!V$50*TA_ti!$BG10=0,10000,TA_ti!V10*TA_ti!V$50*TA_ti!$BG10)</f>
        <v>10000</v>
      </c>
      <c r="W10" s="4">
        <f>+IF(TA_ti!W10*TA_ti!W$50*TA_ti!$BG10=0,10000,TA_ti!W10*TA_ti!W$50*TA_ti!$BG10)</f>
        <v>10000</v>
      </c>
      <c r="X10" s="4">
        <f>+IF(TA_ti!X10*TA_ti!X$50*TA_ti!$BG10=0,10000,TA_ti!X10*TA_ti!X$50*TA_ti!$BG10)</f>
        <v>10000</v>
      </c>
      <c r="Y10" s="4">
        <f>+IF(TA_ti!Y10*TA_ti!Y$50*TA_ti!$BG10=0,10000,TA_ti!Y10*TA_ti!Y$50*TA_ti!$BG10)</f>
        <v>10000</v>
      </c>
      <c r="Z10" s="4">
        <f>+IF(TA_ti!Z10*TA_ti!Z$50*TA_ti!$BG10=0,10000,TA_ti!Z10*TA_ti!Z$50*TA_ti!$BG10)</f>
        <v>10000</v>
      </c>
      <c r="AA10" s="4">
        <f>+IF(TA_ti!AA10*TA_ti!AA$50*TA_ti!$BG10=0,10000,TA_ti!AA10*TA_ti!AA$50*TA_ti!$BG10)</f>
        <v>10000</v>
      </c>
      <c r="AB10" s="4">
        <f>+IF(TA_ti!AB10*TA_ti!AB$50*TA_ti!$BG10=0,10000,TA_ti!AB10*TA_ti!AB$50*TA_ti!$BG10)</f>
        <v>10000</v>
      </c>
      <c r="AC10" s="4">
        <f>+IF(TA_ti!AC10*TA_ti!AC$50*TA_ti!$BG10=0,10000,TA_ti!AC10*TA_ti!AC$50*TA_ti!$BG10)</f>
        <v>10000</v>
      </c>
      <c r="AD10" s="4">
        <f>+IF(TA_ti!AD10*TA_ti!AD$50*TA_ti!$BG10=0,10000,TA_ti!AD10*TA_ti!AD$50*TA_ti!$BG10)</f>
        <v>10000</v>
      </c>
      <c r="AE10" s="4">
        <f>+IF(TA_ti!AE10*TA_ti!AE$50*TA_ti!$BG10=0,10000,TA_ti!AE10*TA_ti!AE$50*TA_ti!$BG10)</f>
        <v>10000</v>
      </c>
      <c r="AF10" s="4">
        <f>+IF(TA_ti!AF10*TA_ti!AF$50*TA_ti!$BG10=0,10000,TA_ti!AF10*TA_ti!AF$50*TA_ti!$BG10)</f>
        <v>10000</v>
      </c>
      <c r="AG10" s="4">
        <f>+IF(TA_ti!AG10*TA_ti!AG$50*TA_ti!$BG10=0,10000,TA_ti!AG10*TA_ti!AG$50*TA_ti!$BG10)</f>
        <v>10000</v>
      </c>
      <c r="AH10" s="4">
        <f>+IF(TA_ti!AH10*TA_ti!AH$50*TA_ti!$BG10=0,10000,TA_ti!AH10*TA_ti!AH$50*TA_ti!$BG10)</f>
        <v>10000</v>
      </c>
      <c r="AI10" s="4">
        <f>+IF(TA_ti!AI10*TA_ti!AI$50*TA_ti!$BG10=0,10000,TA_ti!AI10*TA_ti!AI$50*TA_ti!$BG10)</f>
        <v>10000</v>
      </c>
      <c r="AJ10" s="4">
        <f>+IF(TA_ti!AJ10*TA_ti!AJ$50*TA_ti!$BG10=0,10000,TA_ti!AJ10*TA_ti!AJ$50*TA_ti!$BG10)</f>
        <v>10000</v>
      </c>
      <c r="AK10" s="4">
        <f>+IF(TA_ti!AK10*TA_ti!AK$50*TA_ti!$BG10=0,10000,TA_ti!AK10*TA_ti!AK$50*TA_ti!$BG10)</f>
        <v>10000</v>
      </c>
      <c r="AL10" s="4">
        <f>+IF(TA_ti!AL10*TA_ti!AL$50*TA_ti!$BG10=0,10000,TA_ti!AL10*TA_ti!AL$50*TA_ti!$BG10)</f>
        <v>10000</v>
      </c>
      <c r="AM10" s="4">
        <f>+IF(TA_ti!AM10*TA_ti!AM$50*TA_ti!$BG10=0,10000,TA_ti!AM10*TA_ti!AM$50*TA_ti!$BG10)</f>
        <v>10000</v>
      </c>
      <c r="AN10" s="4">
        <f>+IF(TA_ti!AN10*TA_ti!AN$50*TA_ti!$BG10=0,10000,TA_ti!AN10*TA_ti!AN$50*TA_ti!$BG10)</f>
        <v>10000</v>
      </c>
      <c r="AO10" s="4">
        <f>+IF(TA_ti!AO10*TA_ti!AO$50*TA_ti!$BG10=0,10000,TA_ti!AO10*TA_ti!AO$50*TA_ti!$BG10)</f>
        <v>10000</v>
      </c>
      <c r="AP10" s="4">
        <f>+IF(TA_ti!AP10*TA_ti!AP$50*TA_ti!$BG10=0,10000,TA_ti!AP10*TA_ti!AP$50*TA_ti!$BG10)</f>
        <v>10000</v>
      </c>
      <c r="AQ10" s="4">
        <f>+IF(TA_ti!AQ10*TA_ti!AQ$50*TA_ti!$BG10=0,10000,TA_ti!AQ10*TA_ti!AQ$50*TA_ti!$BG10)</f>
        <v>10000</v>
      </c>
      <c r="AR10" s="4">
        <f>+IF(TA_ti!AR10*TA_ti!AR$50*TA_ti!$BG10=0,10000,TA_ti!AR10*TA_ti!AR$50*TA_ti!$BG10)</f>
        <v>10000</v>
      </c>
      <c r="AS10" s="4">
        <f>+IF(TA_ti!AS10*TA_ti!AS$50*TA_ti!$BG10=0,10000,TA_ti!AS10*TA_ti!AS$50*TA_ti!$BG10)</f>
        <v>10000</v>
      </c>
      <c r="AT10" s="4">
        <f>+IF(TA_ti!AT10*TA_ti!AT$50*TA_ti!$BG10=0,10000,TA_ti!AT10*TA_ti!AT$50*TA_ti!$BG10)</f>
        <v>10000</v>
      </c>
      <c r="AU10" s="4">
        <f>+IF(TA_ti!AU10*TA_ti!AU$50*TA_ti!$BG10=0,10000,TA_ti!AU10*TA_ti!AU$50*TA_ti!$BG10)</f>
        <v>10000</v>
      </c>
      <c r="AV10" s="4">
        <f>+IF(TA_ti!AV10*TA_ti!AV$50*TA_ti!$BG10=0,10000,TA_ti!AV10*TA_ti!AV$50*TA_ti!$BG10)</f>
        <v>10000</v>
      </c>
      <c r="AW10" s="4">
        <f>+IF(TA_ti!AW10*TA_ti!AW$50*TA_ti!$BG10=0,10000,TA_ti!AW10*TA_ti!AW$50*TA_ti!$BG10)</f>
        <v>10000</v>
      </c>
      <c r="AX10" s="4">
        <f>+IF(TA_ti!AX10*TA_ti!AX$50*TA_ti!$BG10=0,10000,TA_ti!AX10*TA_ti!AX$50*TA_ti!$BG10)</f>
        <v>10000</v>
      </c>
      <c r="AY10" s="4">
        <f>+IF(TA_ti!AY10*TA_ti!AY$50*TA_ti!$BG10=0,10000,TA_ti!AY10*TA_ti!AY$50*TA_ti!$BG10)</f>
        <v>10000</v>
      </c>
      <c r="AZ10" s="4">
        <f>+IF(TA_ti!AZ10*TA_ti!AZ$50*TA_ti!$BG10=0,10000,TA_ti!AZ10*TA_ti!AZ$50*TA_ti!$BG10)</f>
        <v>10000</v>
      </c>
      <c r="BA10" s="4">
        <f>+IF(TA_ti!BA10*TA_ti!BA$50*TA_ti!$BG10=0,10000,TA_ti!BA10*TA_ti!BA$50*TA_ti!$BG10)</f>
        <v>10000</v>
      </c>
      <c r="BB10" s="4">
        <f>+IF(TA_ti!BB10*TA_ti!BB$50*TA_ti!$BG10=0,10000,TA_ti!BB10*TA_ti!BB$50*TA_ti!$BG10)</f>
        <v>10000</v>
      </c>
      <c r="BC10" s="4">
        <f>+IF(TA_ti!BC10*TA_ti!BC$50*TA_ti!$BG10=0,10000,TA_ti!BC10*TA_ti!BC$50*TA_ti!$BG10)</f>
        <v>10000</v>
      </c>
    </row>
    <row r="11" spans="1:55" ht="18.75" customHeight="1" x14ac:dyDescent="0.25">
      <c r="A11" s="5" t="s">
        <v>62</v>
      </c>
      <c r="B11" s="4">
        <f>+IF(TA_ti!B11*TA_ti!B$50*TA_ti!$BG11=0,10000,TA_ti!B11*TA_ti!B$50*TA_ti!$BG11)</f>
        <v>10000</v>
      </c>
      <c r="C11" s="4">
        <f>+IF(TA_ti!C11*TA_ti!C$50*TA_ti!$BG11=0,10000,TA_ti!C11*TA_ti!C$50*TA_ti!$BG11)</f>
        <v>10000</v>
      </c>
      <c r="D11" s="4">
        <f>+IF(TA_ti!D11*TA_ti!D$50*TA_ti!$BG11=0,10000,TA_ti!D11*TA_ti!D$50*TA_ti!$BG11)</f>
        <v>10000</v>
      </c>
      <c r="E11" s="4">
        <f>+IF(TA_ti!E11*TA_ti!E$50*TA_ti!$BG11=0,10000,TA_ti!E11*TA_ti!E$50*TA_ti!$BG11)</f>
        <v>10000</v>
      </c>
      <c r="F11" s="4">
        <f>+IF(TA_ti!F11*TA_ti!F$50*TA_ti!$BG11=0,10000,TA_ti!F11*TA_ti!F$50*TA_ti!$BG11)</f>
        <v>15</v>
      </c>
      <c r="G11" s="4">
        <f>+IF(TA_ti!G11*TA_ti!G$50*TA_ti!$BG11=0,10000,TA_ti!G11*TA_ti!G$50*TA_ti!$BG11)</f>
        <v>10000</v>
      </c>
      <c r="H11" s="4">
        <f>+IF(TA_ti!H11*TA_ti!H$50*TA_ti!$BG11=0,10000,TA_ti!H11*TA_ti!H$50*TA_ti!$BG11)</f>
        <v>10000</v>
      </c>
      <c r="I11" s="4">
        <f>+IF(TA_ti!I11*TA_ti!I$50*TA_ti!$BG11=0,10000,TA_ti!I11*TA_ti!I$50*TA_ti!$BG11)</f>
        <v>10000</v>
      </c>
      <c r="J11" s="4">
        <f>+IF(TA_ti!J11*TA_ti!J$50*TA_ti!$BG11=0,10000,TA_ti!J11*TA_ti!J$50*TA_ti!$BG11)</f>
        <v>10000</v>
      </c>
      <c r="K11" s="4">
        <f>+IF(TA_ti!K11*TA_ti!K$50*TA_ti!$BG11=0,10000,TA_ti!K11*TA_ti!K$50*TA_ti!$BG11)</f>
        <v>10000</v>
      </c>
      <c r="L11" s="4">
        <f>+IF(TA_ti!L11*TA_ti!L$50*TA_ti!$BG11=0,10000,TA_ti!L11*TA_ti!L$50*TA_ti!$BG11)</f>
        <v>15</v>
      </c>
      <c r="M11" s="4">
        <f>+IF(TA_ti!M11*TA_ti!M$50*TA_ti!$BG11=0,10000,TA_ti!M11*TA_ti!M$50*TA_ti!$BG11)</f>
        <v>15</v>
      </c>
      <c r="N11" s="4">
        <f>+IF(TA_ti!N11*TA_ti!N$50*TA_ti!$BG11=0,10000,TA_ti!N11*TA_ti!N$50*TA_ti!$BG11)</f>
        <v>10000</v>
      </c>
      <c r="O11" s="4">
        <f>+IF(TA_ti!O11*TA_ti!O$50*TA_ti!$BG11=0,10000,TA_ti!O11*TA_ti!O$50*TA_ti!$BG11)</f>
        <v>10000</v>
      </c>
      <c r="P11" s="4">
        <f>+IF(TA_ti!P11*TA_ti!P$50*TA_ti!$BG11=0,10000,TA_ti!P11*TA_ti!P$50*TA_ti!$BG11)</f>
        <v>10000</v>
      </c>
      <c r="Q11" s="4">
        <f>+IF(TA_ti!Q11*TA_ti!Q$50*TA_ti!$BG11=0,10000,TA_ti!Q11*TA_ti!Q$50*TA_ti!$BG11)</f>
        <v>10000</v>
      </c>
      <c r="R11" s="4">
        <f>+IF(TA_ti!R11*TA_ti!R$50*TA_ti!$BG11=0,10000,TA_ti!R11*TA_ti!R$50*TA_ti!$BG11)</f>
        <v>10000</v>
      </c>
      <c r="S11" s="4">
        <f>+IF(TA_ti!S11*TA_ti!S$50*TA_ti!$BG11=0,10000,TA_ti!S11*TA_ti!S$50*TA_ti!$BG11)</f>
        <v>10000</v>
      </c>
      <c r="T11" s="4">
        <f>+IF(TA_ti!T11*TA_ti!T$50*TA_ti!$BG11=0,10000,TA_ti!T11*TA_ti!T$50*TA_ti!$BG11)</f>
        <v>10000</v>
      </c>
      <c r="U11" s="4">
        <f>+IF(TA_ti!U11*TA_ti!U$50*TA_ti!$BG11=0,10000,TA_ti!U11*TA_ti!U$50*TA_ti!$BG11)</f>
        <v>10000</v>
      </c>
      <c r="V11" s="4">
        <f>+IF(TA_ti!V11*TA_ti!V$50*TA_ti!$BG11=0,10000,TA_ti!V11*TA_ti!V$50*TA_ti!$BG11)</f>
        <v>10000</v>
      </c>
      <c r="W11" s="4">
        <f>+IF(TA_ti!W11*TA_ti!W$50*TA_ti!$BG11=0,10000,TA_ti!W11*TA_ti!W$50*TA_ti!$BG11)</f>
        <v>10000</v>
      </c>
      <c r="X11" s="4">
        <f>+IF(TA_ti!X11*TA_ti!X$50*TA_ti!$BG11=0,10000,TA_ti!X11*TA_ti!X$50*TA_ti!$BG11)</f>
        <v>10000</v>
      </c>
      <c r="Y11" s="4">
        <f>+IF(TA_ti!Y11*TA_ti!Y$50*TA_ti!$BG11=0,10000,TA_ti!Y11*TA_ti!Y$50*TA_ti!$BG11)</f>
        <v>10000</v>
      </c>
      <c r="Z11" s="4">
        <f>+IF(TA_ti!Z11*TA_ti!Z$50*TA_ti!$BG11=0,10000,TA_ti!Z11*TA_ti!Z$50*TA_ti!$BG11)</f>
        <v>10000</v>
      </c>
      <c r="AA11" s="4">
        <f>+IF(TA_ti!AA11*TA_ti!AA$50*TA_ti!$BG11=0,10000,TA_ti!AA11*TA_ti!AA$50*TA_ti!$BG11)</f>
        <v>10000</v>
      </c>
      <c r="AB11" s="4">
        <f>+IF(TA_ti!AB11*TA_ti!AB$50*TA_ti!$BG11=0,10000,TA_ti!AB11*TA_ti!AB$50*TA_ti!$BG11)</f>
        <v>10000</v>
      </c>
      <c r="AC11" s="4">
        <f>+IF(TA_ti!AC11*TA_ti!AC$50*TA_ti!$BG11=0,10000,TA_ti!AC11*TA_ti!AC$50*TA_ti!$BG11)</f>
        <v>10000</v>
      </c>
      <c r="AD11" s="4">
        <f>+IF(TA_ti!AD11*TA_ti!AD$50*TA_ti!$BG11=0,10000,TA_ti!AD11*TA_ti!AD$50*TA_ti!$BG11)</f>
        <v>10000</v>
      </c>
      <c r="AE11" s="4">
        <f>+IF(TA_ti!AE11*TA_ti!AE$50*TA_ti!$BG11=0,10000,TA_ti!AE11*TA_ti!AE$50*TA_ti!$BG11)</f>
        <v>10000</v>
      </c>
      <c r="AF11" s="4">
        <f>+IF(TA_ti!AF11*TA_ti!AF$50*TA_ti!$BG11=0,10000,TA_ti!AF11*TA_ti!AF$50*TA_ti!$BG11)</f>
        <v>10000</v>
      </c>
      <c r="AG11" s="4">
        <f>+IF(TA_ti!AG11*TA_ti!AG$50*TA_ti!$BG11=0,10000,TA_ti!AG11*TA_ti!AG$50*TA_ti!$BG11)</f>
        <v>10000</v>
      </c>
      <c r="AH11" s="4">
        <f>+IF(TA_ti!AH11*TA_ti!AH$50*TA_ti!$BG11=0,10000,TA_ti!AH11*TA_ti!AH$50*TA_ti!$BG11)</f>
        <v>10000</v>
      </c>
      <c r="AI11" s="4">
        <f>+IF(TA_ti!AI11*TA_ti!AI$50*TA_ti!$BG11=0,10000,TA_ti!AI11*TA_ti!AI$50*TA_ti!$BG11)</f>
        <v>10000</v>
      </c>
      <c r="AJ11" s="4">
        <f>+IF(TA_ti!AJ11*TA_ti!AJ$50*TA_ti!$BG11=0,10000,TA_ti!AJ11*TA_ti!AJ$50*TA_ti!$BG11)</f>
        <v>10000</v>
      </c>
      <c r="AK11" s="4">
        <f>+IF(TA_ti!AK11*TA_ti!AK$50*TA_ti!$BG11=0,10000,TA_ti!AK11*TA_ti!AK$50*TA_ti!$BG11)</f>
        <v>10000</v>
      </c>
      <c r="AL11" s="4">
        <f>+IF(TA_ti!AL11*TA_ti!AL$50*TA_ti!$BG11=0,10000,TA_ti!AL11*TA_ti!AL$50*TA_ti!$BG11)</f>
        <v>10000</v>
      </c>
      <c r="AM11" s="4">
        <f>+IF(TA_ti!AM11*TA_ti!AM$50*TA_ti!$BG11=0,10000,TA_ti!AM11*TA_ti!AM$50*TA_ti!$BG11)</f>
        <v>10000</v>
      </c>
      <c r="AN11" s="4">
        <f>+IF(TA_ti!AN11*TA_ti!AN$50*TA_ti!$BG11=0,10000,TA_ti!AN11*TA_ti!AN$50*TA_ti!$BG11)</f>
        <v>10000</v>
      </c>
      <c r="AO11" s="4">
        <f>+IF(TA_ti!AO11*TA_ti!AO$50*TA_ti!$BG11=0,10000,TA_ti!AO11*TA_ti!AO$50*TA_ti!$BG11)</f>
        <v>10000</v>
      </c>
      <c r="AP11" s="4">
        <f>+IF(TA_ti!AP11*TA_ti!AP$50*TA_ti!$BG11=0,10000,TA_ti!AP11*TA_ti!AP$50*TA_ti!$BG11)</f>
        <v>10000</v>
      </c>
      <c r="AQ11" s="4">
        <f>+IF(TA_ti!AQ11*TA_ti!AQ$50*TA_ti!$BG11=0,10000,TA_ti!AQ11*TA_ti!AQ$50*TA_ti!$BG11)</f>
        <v>10000</v>
      </c>
      <c r="AR11" s="4">
        <f>+IF(TA_ti!AR11*TA_ti!AR$50*TA_ti!$BG11=0,10000,TA_ti!AR11*TA_ti!AR$50*TA_ti!$BG11)</f>
        <v>10000</v>
      </c>
      <c r="AS11" s="4">
        <f>+IF(TA_ti!AS11*TA_ti!AS$50*TA_ti!$BG11=0,10000,TA_ti!AS11*TA_ti!AS$50*TA_ti!$BG11)</f>
        <v>10000</v>
      </c>
      <c r="AT11" s="4">
        <f>+IF(TA_ti!AT11*TA_ti!AT$50*TA_ti!$BG11=0,10000,TA_ti!AT11*TA_ti!AT$50*TA_ti!$BG11)</f>
        <v>10000</v>
      </c>
      <c r="AU11" s="4">
        <f>+IF(TA_ti!AU11*TA_ti!AU$50*TA_ti!$BG11=0,10000,TA_ti!AU11*TA_ti!AU$50*TA_ti!$BG11)</f>
        <v>10000</v>
      </c>
      <c r="AV11" s="4">
        <f>+IF(TA_ti!AV11*TA_ti!AV$50*TA_ti!$BG11=0,10000,TA_ti!AV11*TA_ti!AV$50*TA_ti!$BG11)</f>
        <v>10000</v>
      </c>
      <c r="AW11" s="4">
        <f>+IF(TA_ti!AW11*TA_ti!AW$50*TA_ti!$BG11=0,10000,TA_ti!AW11*TA_ti!AW$50*TA_ti!$BG11)</f>
        <v>10000</v>
      </c>
      <c r="AX11" s="4">
        <f>+IF(TA_ti!AX11*TA_ti!AX$50*TA_ti!$BG11=0,10000,TA_ti!AX11*TA_ti!AX$50*TA_ti!$BG11)</f>
        <v>10000</v>
      </c>
      <c r="AY11" s="4">
        <f>+IF(TA_ti!AY11*TA_ti!AY$50*TA_ti!$BG11=0,10000,TA_ti!AY11*TA_ti!AY$50*TA_ti!$BG11)</f>
        <v>10000</v>
      </c>
      <c r="AZ11" s="4">
        <f>+IF(TA_ti!AZ11*TA_ti!AZ$50*TA_ti!$BG11=0,10000,TA_ti!AZ11*TA_ti!AZ$50*TA_ti!$BG11)</f>
        <v>10000</v>
      </c>
      <c r="BA11" s="4">
        <f>+IF(TA_ti!BA11*TA_ti!BA$50*TA_ti!$BG11=0,10000,TA_ti!BA11*TA_ti!BA$50*TA_ti!$BG11)</f>
        <v>10000</v>
      </c>
      <c r="BB11" s="4">
        <f>+IF(TA_ti!BB11*TA_ti!BB$50*TA_ti!$BG11=0,10000,TA_ti!BB11*TA_ti!BB$50*TA_ti!$BG11)</f>
        <v>10000</v>
      </c>
      <c r="BC11" s="4">
        <f>+IF(TA_ti!BC11*TA_ti!BC$50*TA_ti!$BG11=0,10000,TA_ti!BC11*TA_ti!BC$50*TA_ti!$BG11)</f>
        <v>10000</v>
      </c>
    </row>
    <row r="12" spans="1:55" ht="18.75" customHeight="1" x14ac:dyDescent="0.25">
      <c r="A12" s="5" t="s">
        <v>63</v>
      </c>
      <c r="B12" s="4">
        <f>+IF(TA_ti!B12*TA_ti!B$50*TA_ti!$BG12=0,10000,TA_ti!B12*TA_ti!B$50*TA_ti!$BG12)</f>
        <v>10000</v>
      </c>
      <c r="C12" s="4">
        <f>+IF(TA_ti!C12*TA_ti!C$50*TA_ti!$BG12=0,10000,TA_ti!C12*TA_ti!C$50*TA_ti!$BG12)</f>
        <v>10000</v>
      </c>
      <c r="D12" s="4">
        <f>+IF(TA_ti!D12*TA_ti!D$50*TA_ti!$BG12=0,10000,TA_ti!D12*TA_ti!D$50*TA_ti!$BG12)</f>
        <v>10000</v>
      </c>
      <c r="E12" s="4">
        <f>+IF(TA_ti!E12*TA_ti!E$50*TA_ti!$BG12=0,10000,TA_ti!E12*TA_ti!E$50*TA_ti!$BG12)</f>
        <v>10000</v>
      </c>
      <c r="F12" s="4">
        <f>+IF(TA_ti!F12*TA_ti!F$50*TA_ti!$BG12=0,10000,TA_ti!F12*TA_ti!F$50*TA_ti!$BG12)</f>
        <v>10000</v>
      </c>
      <c r="G12" s="4">
        <f>+IF(TA_ti!G12*TA_ti!G$50*TA_ti!$BG12=0,10000,TA_ti!G12*TA_ti!G$50*TA_ti!$BG12)</f>
        <v>10000</v>
      </c>
      <c r="H12" s="4">
        <f>+IF(TA_ti!H12*TA_ti!H$50*TA_ti!$BG12=0,10000,TA_ti!H12*TA_ti!H$50*TA_ti!$BG12)</f>
        <v>10000</v>
      </c>
      <c r="I12" s="4">
        <f>+IF(TA_ti!I12*TA_ti!I$50*TA_ti!$BG12=0,10000,TA_ti!I12*TA_ti!I$50*TA_ti!$BG12)</f>
        <v>10000</v>
      </c>
      <c r="J12" s="4">
        <f>+IF(TA_ti!J12*TA_ti!J$50*TA_ti!$BG12=0,10000,TA_ti!J12*TA_ti!J$50*TA_ti!$BG12)</f>
        <v>10000</v>
      </c>
      <c r="K12" s="4">
        <f>+IF(TA_ti!K12*TA_ti!K$50*TA_ti!$BG12=0,10000,TA_ti!K12*TA_ti!K$50*TA_ti!$BG12)</f>
        <v>10000</v>
      </c>
      <c r="L12" s="4">
        <f>+IF(TA_ti!L12*TA_ti!L$50*TA_ti!$BG12=0,10000,TA_ti!L12*TA_ti!L$50*TA_ti!$BG12)</f>
        <v>10000</v>
      </c>
      <c r="M12" s="4">
        <f>+IF(TA_ti!M12*TA_ti!M$50*TA_ti!$BG12=0,10000,TA_ti!M12*TA_ti!M$50*TA_ti!$BG12)</f>
        <v>10000</v>
      </c>
      <c r="N12" s="4">
        <f>+IF(TA_ti!N12*TA_ti!N$50*TA_ti!$BG12=0,10000,TA_ti!N12*TA_ti!N$50*TA_ti!$BG12)</f>
        <v>10000</v>
      </c>
      <c r="O12" s="4">
        <f>+IF(TA_ti!O12*TA_ti!O$50*TA_ti!$BG12=0,10000,TA_ti!O12*TA_ti!O$50*TA_ti!$BG12)</f>
        <v>10000</v>
      </c>
      <c r="P12" s="4">
        <f>+IF(TA_ti!P12*TA_ti!P$50*TA_ti!$BG12=0,10000,TA_ti!P12*TA_ti!P$50*TA_ti!$BG12)</f>
        <v>10000</v>
      </c>
      <c r="Q12" s="4">
        <f>+IF(TA_ti!Q12*TA_ti!Q$50*TA_ti!$BG12=0,10000,TA_ti!Q12*TA_ti!Q$50*TA_ti!$BG12)</f>
        <v>10000</v>
      </c>
      <c r="R12" s="4">
        <f>+IF(TA_ti!R12*TA_ti!R$50*TA_ti!$BG12=0,10000,TA_ti!R12*TA_ti!R$50*TA_ti!$BG12)</f>
        <v>10000</v>
      </c>
      <c r="S12" s="4">
        <f>+IF(TA_ti!S12*TA_ti!S$50*TA_ti!$BG12=0,10000,TA_ti!S12*TA_ti!S$50*TA_ti!$BG12)</f>
        <v>10000</v>
      </c>
      <c r="T12" s="4">
        <f>+IF(TA_ti!T12*TA_ti!T$50*TA_ti!$BG12=0,10000,TA_ti!T12*TA_ti!T$50*TA_ti!$BG12)</f>
        <v>10000</v>
      </c>
      <c r="U12" s="4">
        <f>+IF(TA_ti!U12*TA_ti!U$50*TA_ti!$BG12=0,10000,TA_ti!U12*TA_ti!U$50*TA_ti!$BG12)</f>
        <v>10000</v>
      </c>
      <c r="V12" s="4">
        <f>+IF(TA_ti!V12*TA_ti!V$50*TA_ti!$BG12=0,10000,TA_ti!V12*TA_ti!V$50*TA_ti!$BG12)</f>
        <v>10000</v>
      </c>
      <c r="W12" s="4">
        <f>+IF(TA_ti!W12*TA_ti!W$50*TA_ti!$BG12=0,10000,TA_ti!W12*TA_ti!W$50*TA_ti!$BG12)</f>
        <v>10000</v>
      </c>
      <c r="X12" s="4">
        <f>+IF(TA_ti!X12*TA_ti!X$50*TA_ti!$BG12=0,10000,TA_ti!X12*TA_ti!X$50*TA_ti!$BG12)</f>
        <v>10000</v>
      </c>
      <c r="Y12" s="4">
        <f>+IF(TA_ti!Y12*TA_ti!Y$50*TA_ti!$BG12=0,10000,TA_ti!Y12*TA_ti!Y$50*TA_ti!$BG12)</f>
        <v>10000</v>
      </c>
      <c r="Z12" s="4">
        <f>+IF(TA_ti!Z12*TA_ti!Z$50*TA_ti!$BG12=0,10000,TA_ti!Z12*TA_ti!Z$50*TA_ti!$BG12)</f>
        <v>10000</v>
      </c>
      <c r="AA12" s="4">
        <f>+IF(TA_ti!AA12*TA_ti!AA$50*TA_ti!$BG12=0,10000,TA_ti!AA12*TA_ti!AA$50*TA_ti!$BG12)</f>
        <v>10000</v>
      </c>
      <c r="AB12" s="4">
        <f>+IF(TA_ti!AB12*TA_ti!AB$50*TA_ti!$BG12=0,10000,TA_ti!AB12*TA_ti!AB$50*TA_ti!$BG12)</f>
        <v>10000</v>
      </c>
      <c r="AC12" s="4">
        <f>+IF(TA_ti!AC12*TA_ti!AC$50*TA_ti!$BG12=0,10000,TA_ti!AC12*TA_ti!AC$50*TA_ti!$BG12)</f>
        <v>10000</v>
      </c>
      <c r="AD12" s="4">
        <f>+IF(TA_ti!AD12*TA_ti!AD$50*TA_ti!$BG12=0,10000,TA_ti!AD12*TA_ti!AD$50*TA_ti!$BG12)</f>
        <v>10000</v>
      </c>
      <c r="AE12" s="4">
        <f>+IF(TA_ti!AE12*TA_ti!AE$50*TA_ti!$BG12=0,10000,TA_ti!AE12*TA_ti!AE$50*TA_ti!$BG12)</f>
        <v>10000</v>
      </c>
      <c r="AF12" s="4">
        <f>+IF(TA_ti!AF12*TA_ti!AF$50*TA_ti!$BG12=0,10000,TA_ti!AF12*TA_ti!AF$50*TA_ti!$BG12)</f>
        <v>10000</v>
      </c>
      <c r="AG12" s="4">
        <f>+IF(TA_ti!AG12*TA_ti!AG$50*TA_ti!$BG12=0,10000,TA_ti!AG12*TA_ti!AG$50*TA_ti!$BG12)</f>
        <v>10000</v>
      </c>
      <c r="AH12" s="4">
        <f>+IF(TA_ti!AH12*TA_ti!AH$50*TA_ti!$BG12=0,10000,TA_ti!AH12*TA_ti!AH$50*TA_ti!$BG12)</f>
        <v>10000</v>
      </c>
      <c r="AI12" s="4">
        <f>+IF(TA_ti!AI12*TA_ti!AI$50*TA_ti!$BG12=0,10000,TA_ti!AI12*TA_ti!AI$50*TA_ti!$BG12)</f>
        <v>10000</v>
      </c>
      <c r="AJ12" s="4">
        <f>+IF(TA_ti!AJ12*TA_ti!AJ$50*TA_ti!$BG12=0,10000,TA_ti!AJ12*TA_ti!AJ$50*TA_ti!$BG12)</f>
        <v>10000</v>
      </c>
      <c r="AK12" s="4">
        <f>+IF(TA_ti!AK12*TA_ti!AK$50*TA_ti!$BG12=0,10000,TA_ti!AK12*TA_ti!AK$50*TA_ti!$BG12)</f>
        <v>10000</v>
      </c>
      <c r="AL12" s="4">
        <f>+IF(TA_ti!AL12*TA_ti!AL$50*TA_ti!$BG12=0,10000,TA_ti!AL12*TA_ti!AL$50*TA_ti!$BG12)</f>
        <v>10000</v>
      </c>
      <c r="AM12" s="4">
        <f>+IF(TA_ti!AM12*TA_ti!AM$50*TA_ti!$BG12=0,10000,TA_ti!AM12*TA_ti!AM$50*TA_ti!$BG12)</f>
        <v>10000</v>
      </c>
      <c r="AN12" s="4">
        <f>+IF(TA_ti!AN12*TA_ti!AN$50*TA_ti!$BG12=0,10000,TA_ti!AN12*TA_ti!AN$50*TA_ti!$BG12)</f>
        <v>10000</v>
      </c>
      <c r="AO12" s="4">
        <f>+IF(TA_ti!AO12*TA_ti!AO$50*TA_ti!$BG12=0,10000,TA_ti!AO12*TA_ti!AO$50*TA_ti!$BG12)</f>
        <v>10000</v>
      </c>
      <c r="AP12" s="4">
        <f>+IF(TA_ti!AP12*TA_ti!AP$50*TA_ti!$BG12=0,10000,TA_ti!AP12*TA_ti!AP$50*TA_ti!$BG12)</f>
        <v>10000</v>
      </c>
      <c r="AQ12" s="4">
        <f>+IF(TA_ti!AQ12*TA_ti!AQ$50*TA_ti!$BG12=0,10000,TA_ti!AQ12*TA_ti!AQ$50*TA_ti!$BG12)</f>
        <v>10000</v>
      </c>
      <c r="AR12" s="4">
        <f>+IF(TA_ti!AR12*TA_ti!AR$50*TA_ti!$BG12=0,10000,TA_ti!AR12*TA_ti!AR$50*TA_ti!$BG12)</f>
        <v>10000</v>
      </c>
      <c r="AS12" s="4">
        <f>+IF(TA_ti!AS12*TA_ti!AS$50*TA_ti!$BG12=0,10000,TA_ti!AS12*TA_ti!AS$50*TA_ti!$BG12)</f>
        <v>10000</v>
      </c>
      <c r="AT12" s="4">
        <f>+IF(TA_ti!AT12*TA_ti!AT$50*TA_ti!$BG12=0,10000,TA_ti!AT12*TA_ti!AT$50*TA_ti!$BG12)</f>
        <v>10000</v>
      </c>
      <c r="AU12" s="4">
        <f>+IF(TA_ti!AU12*TA_ti!AU$50*TA_ti!$BG12=0,10000,TA_ti!AU12*TA_ti!AU$50*TA_ti!$BG12)</f>
        <v>10000</v>
      </c>
      <c r="AV12" s="4">
        <f>+IF(TA_ti!AV12*TA_ti!AV$50*TA_ti!$BG12=0,10000,TA_ti!AV12*TA_ti!AV$50*TA_ti!$BG12)</f>
        <v>10000</v>
      </c>
      <c r="AW12" s="4">
        <f>+IF(TA_ti!AW12*TA_ti!AW$50*TA_ti!$BG12=0,10000,TA_ti!AW12*TA_ti!AW$50*TA_ti!$BG12)</f>
        <v>10000</v>
      </c>
      <c r="AX12" s="4">
        <f>+IF(TA_ti!AX12*TA_ti!AX$50*TA_ti!$BG12=0,10000,TA_ti!AX12*TA_ti!AX$50*TA_ti!$BG12)</f>
        <v>10000</v>
      </c>
      <c r="AY12" s="4">
        <f>+IF(TA_ti!AY12*TA_ti!AY$50*TA_ti!$BG12=0,10000,TA_ti!AY12*TA_ti!AY$50*TA_ti!$BG12)</f>
        <v>10000</v>
      </c>
      <c r="AZ12" s="4">
        <f>+IF(TA_ti!AZ12*TA_ti!AZ$50*TA_ti!$BG12=0,10000,TA_ti!AZ12*TA_ti!AZ$50*TA_ti!$BG12)</f>
        <v>10000</v>
      </c>
      <c r="BA12" s="4">
        <f>+IF(TA_ti!BA12*TA_ti!BA$50*TA_ti!$BG12=0,10000,TA_ti!BA12*TA_ti!BA$50*TA_ti!$BG12)</f>
        <v>10000</v>
      </c>
      <c r="BB12" s="4">
        <f>+IF(TA_ti!BB12*TA_ti!BB$50*TA_ti!$BG12=0,10000,TA_ti!BB12*TA_ti!BB$50*TA_ti!$BG12)</f>
        <v>10000</v>
      </c>
      <c r="BC12" s="4">
        <f>+IF(TA_ti!BC12*TA_ti!BC$50*TA_ti!$BG12=0,10000,TA_ti!BC12*TA_ti!BC$50*TA_ti!$BG12)</f>
        <v>10000</v>
      </c>
    </row>
    <row r="13" spans="1:55" ht="18.75" customHeight="1" x14ac:dyDescent="0.25">
      <c r="A13" s="5" t="s">
        <v>64</v>
      </c>
      <c r="B13" s="4">
        <f>+IF(TA_ti!B13*TA_ti!B$50*TA_ti!$BG13=0,10000,TA_ti!B13*TA_ti!B$50*TA_ti!$BG13)</f>
        <v>10000</v>
      </c>
      <c r="C13" s="4">
        <f>+IF(TA_ti!C13*TA_ti!C$50*TA_ti!$BG13=0,10000,TA_ti!C13*TA_ti!C$50*TA_ti!$BG13)</f>
        <v>10000</v>
      </c>
      <c r="D13" s="4">
        <f>+IF(TA_ti!D13*TA_ti!D$50*TA_ti!$BG13=0,10000,TA_ti!D13*TA_ti!D$50*TA_ti!$BG13)</f>
        <v>10000</v>
      </c>
      <c r="E13" s="4">
        <f>+IF(TA_ti!E13*TA_ti!E$50*TA_ti!$BG13=0,10000,TA_ti!E13*TA_ti!E$50*TA_ti!$BG13)</f>
        <v>10000</v>
      </c>
      <c r="F13" s="4">
        <f>+IF(TA_ti!F13*TA_ti!F$50*TA_ti!$BG13=0,10000,TA_ti!F13*TA_ti!F$50*TA_ti!$BG13)</f>
        <v>15</v>
      </c>
      <c r="G13" s="4">
        <f>+IF(TA_ti!G13*TA_ti!G$50*TA_ti!$BG13=0,10000,TA_ti!G13*TA_ti!G$50*TA_ti!$BG13)</f>
        <v>10000</v>
      </c>
      <c r="H13" s="4">
        <f>+IF(TA_ti!H13*TA_ti!H$50*TA_ti!$BG13=0,10000,TA_ti!H13*TA_ti!H$50*TA_ti!$BG13)</f>
        <v>10000</v>
      </c>
      <c r="I13" s="4">
        <f>+IF(TA_ti!I13*TA_ti!I$50*TA_ti!$BG13=0,10000,TA_ti!I13*TA_ti!I$50*TA_ti!$BG13)</f>
        <v>10000</v>
      </c>
      <c r="J13" s="4">
        <f>+IF(TA_ti!J13*TA_ti!J$50*TA_ti!$BG13=0,10000,TA_ti!J13*TA_ti!J$50*TA_ti!$BG13)</f>
        <v>10000</v>
      </c>
      <c r="K13" s="4">
        <f>+IF(TA_ti!K13*TA_ti!K$50*TA_ti!$BG13=0,10000,TA_ti!K13*TA_ti!K$50*TA_ti!$BG13)</f>
        <v>10000</v>
      </c>
      <c r="L13" s="4">
        <f>+IF(TA_ti!L13*TA_ti!L$50*TA_ti!$BG13=0,10000,TA_ti!L13*TA_ti!L$50*TA_ti!$BG13)</f>
        <v>12</v>
      </c>
      <c r="M13" s="4">
        <f>+IF(TA_ti!M13*TA_ti!M$50*TA_ti!$BG13=0,10000,TA_ti!M13*TA_ti!M$50*TA_ti!$BG13)</f>
        <v>12</v>
      </c>
      <c r="N13" s="4">
        <f>+IF(TA_ti!N13*TA_ti!N$50*TA_ti!$BG13=0,10000,TA_ti!N13*TA_ti!N$50*TA_ti!$BG13)</f>
        <v>10000</v>
      </c>
      <c r="O13" s="4">
        <f>+IF(TA_ti!O13*TA_ti!O$50*TA_ti!$BG13=0,10000,TA_ti!O13*TA_ti!O$50*TA_ti!$BG13)</f>
        <v>10000</v>
      </c>
      <c r="P13" s="4">
        <f>+IF(TA_ti!P13*TA_ti!P$50*TA_ti!$BG13=0,10000,TA_ti!P13*TA_ti!P$50*TA_ti!$BG13)</f>
        <v>10000</v>
      </c>
      <c r="Q13" s="4">
        <f>+IF(TA_ti!Q13*TA_ti!Q$50*TA_ti!$BG13=0,10000,TA_ti!Q13*TA_ti!Q$50*TA_ti!$BG13)</f>
        <v>10000</v>
      </c>
      <c r="R13" s="4">
        <f>+IF(TA_ti!R13*TA_ti!R$50*TA_ti!$BG13=0,10000,TA_ti!R13*TA_ti!R$50*TA_ti!$BG13)</f>
        <v>10000</v>
      </c>
      <c r="S13" s="4">
        <f>+IF(TA_ti!S13*TA_ti!S$50*TA_ti!$BG13=0,10000,TA_ti!S13*TA_ti!S$50*TA_ti!$BG13)</f>
        <v>10000</v>
      </c>
      <c r="T13" s="4">
        <f>+IF(TA_ti!T13*TA_ti!T$50*TA_ti!$BG13=0,10000,TA_ti!T13*TA_ti!T$50*TA_ti!$BG13)</f>
        <v>10000</v>
      </c>
      <c r="U13" s="4">
        <f>+IF(TA_ti!U13*TA_ti!U$50*TA_ti!$BG13=0,10000,TA_ti!U13*TA_ti!U$50*TA_ti!$BG13)</f>
        <v>10000</v>
      </c>
      <c r="V13" s="4">
        <f>+IF(TA_ti!V13*TA_ti!V$50*TA_ti!$BG13=0,10000,TA_ti!V13*TA_ti!V$50*TA_ti!$BG13)</f>
        <v>10000</v>
      </c>
      <c r="W13" s="4">
        <f>+IF(TA_ti!W13*TA_ti!W$50*TA_ti!$BG13=0,10000,TA_ti!W13*TA_ti!W$50*TA_ti!$BG13)</f>
        <v>10000</v>
      </c>
      <c r="X13" s="4">
        <f>+IF(TA_ti!X13*TA_ti!X$50*TA_ti!$BG13=0,10000,TA_ti!X13*TA_ti!X$50*TA_ti!$BG13)</f>
        <v>10000</v>
      </c>
      <c r="Y13" s="4">
        <f>+IF(TA_ti!Y13*TA_ti!Y$50*TA_ti!$BG13=0,10000,TA_ti!Y13*TA_ti!Y$50*TA_ti!$BG13)</f>
        <v>10000</v>
      </c>
      <c r="Z13" s="4">
        <f>+IF(TA_ti!Z13*TA_ti!Z$50*TA_ti!$BG13=0,10000,TA_ti!Z13*TA_ti!Z$50*TA_ti!$BG13)</f>
        <v>10000</v>
      </c>
      <c r="AA13" s="4">
        <f>+IF(TA_ti!AA13*TA_ti!AA$50*TA_ti!$BG13=0,10000,TA_ti!AA13*TA_ti!AA$50*TA_ti!$BG13)</f>
        <v>10000</v>
      </c>
      <c r="AB13" s="4">
        <f>+IF(TA_ti!AB13*TA_ti!AB$50*TA_ti!$BG13=0,10000,TA_ti!AB13*TA_ti!AB$50*TA_ti!$BG13)</f>
        <v>10000</v>
      </c>
      <c r="AC13" s="4">
        <f>+IF(TA_ti!AC13*TA_ti!AC$50*TA_ti!$BG13=0,10000,TA_ti!AC13*TA_ti!AC$50*TA_ti!$BG13)</f>
        <v>10000</v>
      </c>
      <c r="AD13" s="4">
        <f>+IF(TA_ti!AD13*TA_ti!AD$50*TA_ti!$BG13=0,10000,TA_ti!AD13*TA_ti!AD$50*TA_ti!$BG13)</f>
        <v>10000</v>
      </c>
      <c r="AE13" s="4">
        <f>+IF(TA_ti!AE13*TA_ti!AE$50*TA_ti!$BG13=0,10000,TA_ti!AE13*TA_ti!AE$50*TA_ti!$BG13)</f>
        <v>10000</v>
      </c>
      <c r="AF13" s="4">
        <f>+IF(TA_ti!AF13*TA_ti!AF$50*TA_ti!$BG13=0,10000,TA_ti!AF13*TA_ti!AF$50*TA_ti!$BG13)</f>
        <v>10000</v>
      </c>
      <c r="AG13" s="4">
        <f>+IF(TA_ti!AG13*TA_ti!AG$50*TA_ti!$BG13=0,10000,TA_ti!AG13*TA_ti!AG$50*TA_ti!$BG13)</f>
        <v>10000</v>
      </c>
      <c r="AH13" s="4">
        <f>+IF(TA_ti!AH13*TA_ti!AH$50*TA_ti!$BG13=0,10000,TA_ti!AH13*TA_ti!AH$50*TA_ti!$BG13)</f>
        <v>10000</v>
      </c>
      <c r="AI13" s="4">
        <f>+IF(TA_ti!AI13*TA_ti!AI$50*TA_ti!$BG13=0,10000,TA_ti!AI13*TA_ti!AI$50*TA_ti!$BG13)</f>
        <v>10000</v>
      </c>
      <c r="AJ13" s="4">
        <f>+IF(TA_ti!AJ13*TA_ti!AJ$50*TA_ti!$BG13=0,10000,TA_ti!AJ13*TA_ti!AJ$50*TA_ti!$BG13)</f>
        <v>10000</v>
      </c>
      <c r="AK13" s="4">
        <f>+IF(TA_ti!AK13*TA_ti!AK$50*TA_ti!$BG13=0,10000,TA_ti!AK13*TA_ti!AK$50*TA_ti!$BG13)</f>
        <v>10000</v>
      </c>
      <c r="AL13" s="4">
        <f>+IF(TA_ti!AL13*TA_ti!AL$50*TA_ti!$BG13=0,10000,TA_ti!AL13*TA_ti!AL$50*TA_ti!$BG13)</f>
        <v>10000</v>
      </c>
      <c r="AM13" s="4">
        <f>+IF(TA_ti!AM13*TA_ti!AM$50*TA_ti!$BG13=0,10000,TA_ti!AM13*TA_ti!AM$50*TA_ti!$BG13)</f>
        <v>10000</v>
      </c>
      <c r="AN13" s="4">
        <f>+IF(TA_ti!AN13*TA_ti!AN$50*TA_ti!$BG13=0,10000,TA_ti!AN13*TA_ti!AN$50*TA_ti!$BG13)</f>
        <v>10000</v>
      </c>
      <c r="AO13" s="4">
        <f>+IF(TA_ti!AO13*TA_ti!AO$50*TA_ti!$BG13=0,10000,TA_ti!AO13*TA_ti!AO$50*TA_ti!$BG13)</f>
        <v>10000</v>
      </c>
      <c r="AP13" s="4">
        <f>+IF(TA_ti!AP13*TA_ti!AP$50*TA_ti!$BG13=0,10000,TA_ti!AP13*TA_ti!AP$50*TA_ti!$BG13)</f>
        <v>10000</v>
      </c>
      <c r="AQ13" s="4">
        <f>+IF(TA_ti!AQ13*TA_ti!AQ$50*TA_ti!$BG13=0,10000,TA_ti!AQ13*TA_ti!AQ$50*TA_ti!$BG13)</f>
        <v>10000</v>
      </c>
      <c r="AR13" s="4">
        <f>+IF(TA_ti!AR13*TA_ti!AR$50*TA_ti!$BG13=0,10000,TA_ti!AR13*TA_ti!AR$50*TA_ti!$BG13)</f>
        <v>10000</v>
      </c>
      <c r="AS13" s="4">
        <f>+IF(TA_ti!AS13*TA_ti!AS$50*TA_ti!$BG13=0,10000,TA_ti!AS13*TA_ti!AS$50*TA_ti!$BG13)</f>
        <v>10000</v>
      </c>
      <c r="AT13" s="4">
        <f>+IF(TA_ti!AT13*TA_ti!AT$50*TA_ti!$BG13=0,10000,TA_ti!AT13*TA_ti!AT$50*TA_ti!$BG13)</f>
        <v>10000</v>
      </c>
      <c r="AU13" s="4">
        <f>+IF(TA_ti!AU13*TA_ti!AU$50*TA_ti!$BG13=0,10000,TA_ti!AU13*TA_ti!AU$50*TA_ti!$BG13)</f>
        <v>10000</v>
      </c>
      <c r="AV13" s="4">
        <f>+IF(TA_ti!AV13*TA_ti!AV$50*TA_ti!$BG13=0,10000,TA_ti!AV13*TA_ti!AV$50*TA_ti!$BG13)</f>
        <v>10000</v>
      </c>
      <c r="AW13" s="4">
        <f>+IF(TA_ti!AW13*TA_ti!AW$50*TA_ti!$BG13=0,10000,TA_ti!AW13*TA_ti!AW$50*TA_ti!$BG13)</f>
        <v>10000</v>
      </c>
      <c r="AX13" s="4">
        <f>+IF(TA_ti!AX13*TA_ti!AX$50*TA_ti!$BG13=0,10000,TA_ti!AX13*TA_ti!AX$50*TA_ti!$BG13)</f>
        <v>10000</v>
      </c>
      <c r="AY13" s="4">
        <f>+IF(TA_ti!AY13*TA_ti!AY$50*TA_ti!$BG13=0,10000,TA_ti!AY13*TA_ti!AY$50*TA_ti!$BG13)</f>
        <v>10000</v>
      </c>
      <c r="AZ13" s="4">
        <f>+IF(TA_ti!AZ13*TA_ti!AZ$50*TA_ti!$BG13=0,10000,TA_ti!AZ13*TA_ti!AZ$50*TA_ti!$BG13)</f>
        <v>10000</v>
      </c>
      <c r="BA13" s="4">
        <f>+IF(TA_ti!BA13*TA_ti!BA$50*TA_ti!$BG13=0,10000,TA_ti!BA13*TA_ti!BA$50*TA_ti!$BG13)</f>
        <v>10000</v>
      </c>
      <c r="BB13" s="4">
        <f>+IF(TA_ti!BB13*TA_ti!BB$50*TA_ti!$BG13=0,10000,TA_ti!BB13*TA_ti!BB$50*TA_ti!$BG13)</f>
        <v>10000</v>
      </c>
      <c r="BC13" s="4">
        <f>+IF(TA_ti!BC13*TA_ti!BC$50*TA_ti!$BG13=0,10000,TA_ti!BC13*TA_ti!BC$50*TA_ti!$BG13)</f>
        <v>10000</v>
      </c>
    </row>
    <row r="14" spans="1:55" ht="18.75" customHeight="1" x14ac:dyDescent="0.25">
      <c r="A14" s="5" t="s">
        <v>65</v>
      </c>
      <c r="B14" s="4">
        <f>+IF(TA_ti!B14*TA_ti!B$50*TA_ti!$BG14=0,10000,TA_ti!B14*TA_ti!B$50*TA_ti!$BG14)</f>
        <v>10000</v>
      </c>
      <c r="C14" s="4">
        <f>+IF(TA_ti!C14*TA_ti!C$50*TA_ti!$BG14=0,10000,TA_ti!C14*TA_ti!C$50*TA_ti!$BG14)</f>
        <v>10000</v>
      </c>
      <c r="D14" s="4">
        <f>+IF(TA_ti!D14*TA_ti!D$50*TA_ti!$BG14=0,10000,TA_ti!D14*TA_ti!D$50*TA_ti!$BG14)</f>
        <v>10000</v>
      </c>
      <c r="E14" s="4">
        <f>+IF(TA_ti!E14*TA_ti!E$50*TA_ti!$BG14=0,10000,TA_ti!E14*TA_ti!E$50*TA_ti!$BG14)</f>
        <v>10000</v>
      </c>
      <c r="F14" s="4">
        <f>+IF(TA_ti!F14*TA_ti!F$50*TA_ti!$BG14=0,10000,TA_ti!F14*TA_ti!F$50*TA_ti!$BG14)</f>
        <v>10000</v>
      </c>
      <c r="G14" s="4">
        <f>+IF(TA_ti!G14*TA_ti!G$50*TA_ti!$BG14=0,10000,TA_ti!G14*TA_ti!G$50*TA_ti!$BG14)</f>
        <v>10000</v>
      </c>
      <c r="H14" s="4">
        <f>+IF(TA_ti!H14*TA_ti!H$50*TA_ti!$BG14=0,10000,TA_ti!H14*TA_ti!H$50*TA_ti!$BG14)</f>
        <v>10000</v>
      </c>
      <c r="I14" s="4">
        <f>+IF(TA_ti!I14*TA_ti!I$50*TA_ti!$BG14=0,10000,TA_ti!I14*TA_ti!I$50*TA_ti!$BG14)</f>
        <v>10000</v>
      </c>
      <c r="J14" s="4">
        <f>+IF(TA_ti!J14*TA_ti!J$50*TA_ti!$BG14=0,10000,TA_ti!J14*TA_ti!J$50*TA_ti!$BG14)</f>
        <v>10000</v>
      </c>
      <c r="K14" s="4">
        <f>+IF(TA_ti!K14*TA_ti!K$50*TA_ti!$BG14=0,10000,TA_ti!K14*TA_ti!K$50*TA_ti!$BG14)</f>
        <v>10000</v>
      </c>
      <c r="L14" s="4">
        <f>+IF(TA_ti!L14*TA_ti!L$50*TA_ti!$BG14=0,10000,TA_ti!L14*TA_ti!L$50*TA_ti!$BG14)</f>
        <v>10000</v>
      </c>
      <c r="M14" s="4">
        <f>+IF(TA_ti!M14*TA_ti!M$50*TA_ti!$BG14=0,10000,TA_ti!M14*TA_ti!M$50*TA_ti!$BG14)</f>
        <v>10000</v>
      </c>
      <c r="N14" s="4">
        <f>+IF(TA_ti!N14*TA_ti!N$50*TA_ti!$BG14=0,10000,TA_ti!N14*TA_ti!N$50*TA_ti!$BG14)</f>
        <v>10000</v>
      </c>
      <c r="O14" s="4">
        <f>+IF(TA_ti!O14*TA_ti!O$50*TA_ti!$BG14=0,10000,TA_ti!O14*TA_ti!O$50*TA_ti!$BG14)</f>
        <v>10000</v>
      </c>
      <c r="P14" s="4">
        <f>+IF(TA_ti!P14*TA_ti!P$50*TA_ti!$BG14=0,10000,TA_ti!P14*TA_ti!P$50*TA_ti!$BG14)</f>
        <v>10000</v>
      </c>
      <c r="Q14" s="4">
        <f>+IF(TA_ti!Q14*TA_ti!Q$50*TA_ti!$BG14=0,10000,TA_ti!Q14*TA_ti!Q$50*TA_ti!$BG14)</f>
        <v>10000</v>
      </c>
      <c r="R14" s="4">
        <f>+IF(TA_ti!R14*TA_ti!R$50*TA_ti!$BG14=0,10000,TA_ti!R14*TA_ti!R$50*TA_ti!$BG14)</f>
        <v>10000</v>
      </c>
      <c r="S14" s="4">
        <f>+IF(TA_ti!S14*TA_ti!S$50*TA_ti!$BG14=0,10000,TA_ti!S14*TA_ti!S$50*TA_ti!$BG14)</f>
        <v>10000</v>
      </c>
      <c r="T14" s="4">
        <f>+IF(TA_ti!T14*TA_ti!T$50*TA_ti!$BG14=0,10000,TA_ti!T14*TA_ti!T$50*TA_ti!$BG14)</f>
        <v>10000</v>
      </c>
      <c r="U14" s="4">
        <f>+IF(TA_ti!U14*TA_ti!U$50*TA_ti!$BG14=0,10000,TA_ti!U14*TA_ti!U$50*TA_ti!$BG14)</f>
        <v>10000</v>
      </c>
      <c r="V14" s="4">
        <f>+IF(TA_ti!V14*TA_ti!V$50*TA_ti!$BG14=0,10000,TA_ti!V14*TA_ti!V$50*TA_ti!$BG14)</f>
        <v>10000</v>
      </c>
      <c r="W14" s="4">
        <f>+IF(TA_ti!W14*TA_ti!W$50*TA_ti!$BG14=0,10000,TA_ti!W14*TA_ti!W$50*TA_ti!$BG14)</f>
        <v>10000</v>
      </c>
      <c r="X14" s="4">
        <f>+IF(TA_ti!X14*TA_ti!X$50*TA_ti!$BG14=0,10000,TA_ti!X14*TA_ti!X$50*TA_ti!$BG14)</f>
        <v>10000</v>
      </c>
      <c r="Y14" s="4">
        <f>+IF(TA_ti!Y14*TA_ti!Y$50*TA_ti!$BG14=0,10000,TA_ti!Y14*TA_ti!Y$50*TA_ti!$BG14)</f>
        <v>10000</v>
      </c>
      <c r="Z14" s="4">
        <f>+IF(TA_ti!Z14*TA_ti!Z$50*TA_ti!$BG14=0,10000,TA_ti!Z14*TA_ti!Z$50*TA_ti!$BG14)</f>
        <v>10000</v>
      </c>
      <c r="AA14" s="4">
        <f>+IF(TA_ti!AA14*TA_ti!AA$50*TA_ti!$BG14=0,10000,TA_ti!AA14*TA_ti!AA$50*TA_ti!$BG14)</f>
        <v>10000</v>
      </c>
      <c r="AB14" s="4">
        <f>+IF(TA_ti!AB14*TA_ti!AB$50*TA_ti!$BG14=0,10000,TA_ti!AB14*TA_ti!AB$50*TA_ti!$BG14)</f>
        <v>10000</v>
      </c>
      <c r="AC14" s="4">
        <f>+IF(TA_ti!AC14*TA_ti!AC$50*TA_ti!$BG14=0,10000,TA_ti!AC14*TA_ti!AC$50*TA_ti!$BG14)</f>
        <v>10000</v>
      </c>
      <c r="AD14" s="4">
        <f>+IF(TA_ti!AD14*TA_ti!AD$50*TA_ti!$BG14=0,10000,TA_ti!AD14*TA_ti!AD$50*TA_ti!$BG14)</f>
        <v>10000</v>
      </c>
      <c r="AE14" s="4">
        <f>+IF(TA_ti!AE14*TA_ti!AE$50*TA_ti!$BG14=0,10000,TA_ti!AE14*TA_ti!AE$50*TA_ti!$BG14)</f>
        <v>10000</v>
      </c>
      <c r="AF14" s="4">
        <f>+IF(TA_ti!AF14*TA_ti!AF$50*TA_ti!$BG14=0,10000,TA_ti!AF14*TA_ti!AF$50*TA_ti!$BG14)</f>
        <v>10000</v>
      </c>
      <c r="AG14" s="4">
        <f>+IF(TA_ti!AG14*TA_ti!AG$50*TA_ti!$BG14=0,10000,TA_ti!AG14*TA_ti!AG$50*TA_ti!$BG14)</f>
        <v>10000</v>
      </c>
      <c r="AH14" s="4">
        <f>+IF(TA_ti!AH14*TA_ti!AH$50*TA_ti!$BG14=0,10000,TA_ti!AH14*TA_ti!AH$50*TA_ti!$BG14)</f>
        <v>10000</v>
      </c>
      <c r="AI14" s="4">
        <f>+IF(TA_ti!AI14*TA_ti!AI$50*TA_ti!$BG14=0,10000,TA_ti!AI14*TA_ti!AI$50*TA_ti!$BG14)</f>
        <v>10000</v>
      </c>
      <c r="AJ14" s="4">
        <f>+IF(TA_ti!AJ14*TA_ti!AJ$50*TA_ti!$BG14=0,10000,TA_ti!AJ14*TA_ti!AJ$50*TA_ti!$BG14)</f>
        <v>10000</v>
      </c>
      <c r="AK14" s="4">
        <f>+IF(TA_ti!AK14*TA_ti!AK$50*TA_ti!$BG14=0,10000,TA_ti!AK14*TA_ti!AK$50*TA_ti!$BG14)</f>
        <v>10000</v>
      </c>
      <c r="AL14" s="4">
        <f>+IF(TA_ti!AL14*TA_ti!AL$50*TA_ti!$BG14=0,10000,TA_ti!AL14*TA_ti!AL$50*TA_ti!$BG14)</f>
        <v>10000</v>
      </c>
      <c r="AM14" s="4">
        <f>+IF(TA_ti!AM14*TA_ti!AM$50*TA_ti!$BG14=0,10000,TA_ti!AM14*TA_ti!AM$50*TA_ti!$BG14)</f>
        <v>10000</v>
      </c>
      <c r="AN14" s="4">
        <f>+IF(TA_ti!AN14*TA_ti!AN$50*TA_ti!$BG14=0,10000,TA_ti!AN14*TA_ti!AN$50*TA_ti!$BG14)</f>
        <v>10000</v>
      </c>
      <c r="AO14" s="4">
        <f>+IF(TA_ti!AO14*TA_ti!AO$50*TA_ti!$BG14=0,10000,TA_ti!AO14*TA_ti!AO$50*TA_ti!$BG14)</f>
        <v>10000</v>
      </c>
      <c r="AP14" s="4">
        <f>+IF(TA_ti!AP14*TA_ti!AP$50*TA_ti!$BG14=0,10000,TA_ti!AP14*TA_ti!AP$50*TA_ti!$BG14)</f>
        <v>10000</v>
      </c>
      <c r="AQ14" s="4">
        <f>+IF(TA_ti!AQ14*TA_ti!AQ$50*TA_ti!$BG14=0,10000,TA_ti!AQ14*TA_ti!AQ$50*TA_ti!$BG14)</f>
        <v>10000</v>
      </c>
      <c r="AR14" s="4">
        <f>+IF(TA_ti!AR14*TA_ti!AR$50*TA_ti!$BG14=0,10000,TA_ti!AR14*TA_ti!AR$50*TA_ti!$BG14)</f>
        <v>10000</v>
      </c>
      <c r="AS14" s="4">
        <f>+IF(TA_ti!AS14*TA_ti!AS$50*TA_ti!$BG14=0,10000,TA_ti!AS14*TA_ti!AS$50*TA_ti!$BG14)</f>
        <v>10000</v>
      </c>
      <c r="AT14" s="4">
        <f>+IF(TA_ti!AT14*TA_ti!AT$50*TA_ti!$BG14=0,10000,TA_ti!AT14*TA_ti!AT$50*TA_ti!$BG14)</f>
        <v>10000</v>
      </c>
      <c r="AU14" s="4">
        <f>+IF(TA_ti!AU14*TA_ti!AU$50*TA_ti!$BG14=0,10000,TA_ti!AU14*TA_ti!AU$50*TA_ti!$BG14)</f>
        <v>10000</v>
      </c>
      <c r="AV14" s="4">
        <f>+IF(TA_ti!AV14*TA_ti!AV$50*TA_ti!$BG14=0,10000,TA_ti!AV14*TA_ti!AV$50*TA_ti!$BG14)</f>
        <v>10000</v>
      </c>
      <c r="AW14" s="4">
        <f>+IF(TA_ti!AW14*TA_ti!AW$50*TA_ti!$BG14=0,10000,TA_ti!AW14*TA_ti!AW$50*TA_ti!$BG14)</f>
        <v>10000</v>
      </c>
      <c r="AX14" s="4">
        <f>+IF(TA_ti!AX14*TA_ti!AX$50*TA_ti!$BG14=0,10000,TA_ti!AX14*TA_ti!AX$50*TA_ti!$BG14)</f>
        <v>10000</v>
      </c>
      <c r="AY14" s="4">
        <f>+IF(TA_ti!AY14*TA_ti!AY$50*TA_ti!$BG14=0,10000,TA_ti!AY14*TA_ti!AY$50*TA_ti!$BG14)</f>
        <v>10000</v>
      </c>
      <c r="AZ14" s="4">
        <f>+IF(TA_ti!AZ14*TA_ti!AZ$50*TA_ti!$BG14=0,10000,TA_ti!AZ14*TA_ti!AZ$50*TA_ti!$BG14)</f>
        <v>10000</v>
      </c>
      <c r="BA14" s="4">
        <f>+IF(TA_ti!BA14*TA_ti!BA$50*TA_ti!$BG14=0,10000,TA_ti!BA14*TA_ti!BA$50*TA_ti!$BG14)</f>
        <v>10000</v>
      </c>
      <c r="BB14" s="4">
        <f>+IF(TA_ti!BB14*TA_ti!BB$50*TA_ti!$BG14=0,10000,TA_ti!BB14*TA_ti!BB$50*TA_ti!$BG14)</f>
        <v>10000</v>
      </c>
      <c r="BC14" s="4">
        <f>+IF(TA_ti!BC14*TA_ti!BC$50*TA_ti!$BG14=0,10000,TA_ti!BC14*TA_ti!BC$50*TA_ti!$BG14)</f>
        <v>10000</v>
      </c>
    </row>
    <row r="15" spans="1:55" ht="18.75" customHeight="1" x14ac:dyDescent="0.25">
      <c r="A15" s="5" t="s">
        <v>66</v>
      </c>
      <c r="B15" s="4">
        <f>+IF(TA_ti!B15*TA_ti!B$50*TA_ti!$BG15=0,10000,TA_ti!B15*TA_ti!B$50*TA_ti!$BG15)</f>
        <v>10000</v>
      </c>
      <c r="C15" s="4">
        <f>+IF(TA_ti!C15*TA_ti!C$50*TA_ti!$BG15=0,10000,TA_ti!C15*TA_ti!C$50*TA_ti!$BG15)</f>
        <v>10000</v>
      </c>
      <c r="D15" s="4">
        <f>+IF(TA_ti!D15*TA_ti!D$50*TA_ti!$BG15=0,10000,TA_ti!D15*TA_ti!D$50*TA_ti!$BG15)</f>
        <v>10000</v>
      </c>
      <c r="E15" s="4">
        <f>+IF(TA_ti!E15*TA_ti!E$50*TA_ti!$BG15=0,10000,TA_ti!E15*TA_ti!E$50*TA_ti!$BG15)</f>
        <v>10000</v>
      </c>
      <c r="F15" s="4">
        <f>+IF(TA_ti!F15*TA_ti!F$50*TA_ti!$BG15=0,10000,TA_ti!F15*TA_ti!F$50*TA_ti!$BG15)</f>
        <v>10000</v>
      </c>
      <c r="G15" s="4">
        <f>+IF(TA_ti!G15*TA_ti!G$50*TA_ti!$BG15=0,10000,TA_ti!G15*TA_ti!G$50*TA_ti!$BG15)</f>
        <v>10000</v>
      </c>
      <c r="H15" s="4">
        <f>+IF(TA_ti!H15*TA_ti!H$50*TA_ti!$BG15=0,10000,TA_ti!H15*TA_ti!H$50*TA_ti!$BG15)</f>
        <v>10000</v>
      </c>
      <c r="I15" s="4">
        <f>+IF(TA_ti!I15*TA_ti!I$50*TA_ti!$BG15=0,10000,TA_ti!I15*TA_ti!I$50*TA_ti!$BG15)</f>
        <v>10000</v>
      </c>
      <c r="J15" s="4">
        <f>+IF(TA_ti!J15*TA_ti!J$50*TA_ti!$BG15=0,10000,TA_ti!J15*TA_ti!J$50*TA_ti!$BG15)</f>
        <v>10000</v>
      </c>
      <c r="K15" s="4">
        <f>+IF(TA_ti!K15*TA_ti!K$50*TA_ti!$BG15=0,10000,TA_ti!K15*TA_ti!K$50*TA_ti!$BG15)</f>
        <v>10000</v>
      </c>
      <c r="L15" s="4">
        <f>+IF(TA_ti!L15*TA_ti!L$50*TA_ti!$BG15=0,10000,TA_ti!L15*TA_ti!L$50*TA_ti!$BG15)</f>
        <v>10000</v>
      </c>
      <c r="M15" s="4">
        <f>+IF(TA_ti!M15*TA_ti!M$50*TA_ti!$BG15=0,10000,TA_ti!M15*TA_ti!M$50*TA_ti!$BG15)</f>
        <v>10000</v>
      </c>
      <c r="N15" s="4">
        <f>+IF(TA_ti!N15*TA_ti!N$50*TA_ti!$BG15=0,10000,TA_ti!N15*TA_ti!N$50*TA_ti!$BG15)</f>
        <v>10000</v>
      </c>
      <c r="O15" s="4">
        <f>+IF(TA_ti!O15*TA_ti!O$50*TA_ti!$BG15=0,10000,TA_ti!O15*TA_ti!O$50*TA_ti!$BG15)</f>
        <v>10000</v>
      </c>
      <c r="P15" s="4">
        <f>+IF(TA_ti!P15*TA_ti!P$50*TA_ti!$BG15=0,10000,TA_ti!P15*TA_ti!P$50*TA_ti!$BG15)</f>
        <v>10000</v>
      </c>
      <c r="Q15" s="4">
        <f>+IF(TA_ti!Q15*TA_ti!Q$50*TA_ti!$BG15=0,10000,TA_ti!Q15*TA_ti!Q$50*TA_ti!$BG15)</f>
        <v>10000</v>
      </c>
      <c r="R15" s="4">
        <f>+IF(TA_ti!R15*TA_ti!R$50*TA_ti!$BG15=0,10000,TA_ti!R15*TA_ti!R$50*TA_ti!$BG15)</f>
        <v>10000</v>
      </c>
      <c r="S15" s="4">
        <f>+IF(TA_ti!S15*TA_ti!S$50*TA_ti!$BG15=0,10000,TA_ti!S15*TA_ti!S$50*TA_ti!$BG15)</f>
        <v>10000</v>
      </c>
      <c r="T15" s="4">
        <f>+IF(TA_ti!T15*TA_ti!T$50*TA_ti!$BG15=0,10000,TA_ti!T15*TA_ti!T$50*TA_ti!$BG15)</f>
        <v>10000</v>
      </c>
      <c r="U15" s="4">
        <f>+IF(TA_ti!U15*TA_ti!U$50*TA_ti!$BG15=0,10000,TA_ti!U15*TA_ti!U$50*TA_ti!$BG15)</f>
        <v>10000</v>
      </c>
      <c r="V15" s="4">
        <f>+IF(TA_ti!V15*TA_ti!V$50*TA_ti!$BG15=0,10000,TA_ti!V15*TA_ti!V$50*TA_ti!$BG15)</f>
        <v>10000</v>
      </c>
      <c r="W15" s="4">
        <f>+IF(TA_ti!W15*TA_ti!W$50*TA_ti!$BG15=0,10000,TA_ti!W15*TA_ti!W$50*TA_ti!$BG15)</f>
        <v>10000</v>
      </c>
      <c r="X15" s="4">
        <f>+IF(TA_ti!X15*TA_ti!X$50*TA_ti!$BG15=0,10000,TA_ti!X15*TA_ti!X$50*TA_ti!$BG15)</f>
        <v>10000</v>
      </c>
      <c r="Y15" s="4">
        <f>+IF(TA_ti!Y15*TA_ti!Y$50*TA_ti!$BG15=0,10000,TA_ti!Y15*TA_ti!Y$50*TA_ti!$BG15)</f>
        <v>10000</v>
      </c>
      <c r="Z15" s="4">
        <f>+IF(TA_ti!Z15*TA_ti!Z$50*TA_ti!$BG15=0,10000,TA_ti!Z15*TA_ti!Z$50*TA_ti!$BG15)</f>
        <v>10000</v>
      </c>
      <c r="AA15" s="4">
        <f>+IF(TA_ti!AA15*TA_ti!AA$50*TA_ti!$BG15=0,10000,TA_ti!AA15*TA_ti!AA$50*TA_ti!$BG15)</f>
        <v>10000</v>
      </c>
      <c r="AB15" s="4">
        <f>+IF(TA_ti!AB15*TA_ti!AB$50*TA_ti!$BG15=0,10000,TA_ti!AB15*TA_ti!AB$50*TA_ti!$BG15)</f>
        <v>10000</v>
      </c>
      <c r="AC15" s="4">
        <f>+IF(TA_ti!AC15*TA_ti!AC$50*TA_ti!$BG15=0,10000,TA_ti!AC15*TA_ti!AC$50*TA_ti!$BG15)</f>
        <v>10000</v>
      </c>
      <c r="AD15" s="4">
        <f>+IF(TA_ti!AD15*TA_ti!AD$50*TA_ti!$BG15=0,10000,TA_ti!AD15*TA_ti!AD$50*TA_ti!$BG15)</f>
        <v>10000</v>
      </c>
      <c r="AE15" s="4">
        <f>+IF(TA_ti!AE15*TA_ti!AE$50*TA_ti!$BG15=0,10000,TA_ti!AE15*TA_ti!AE$50*TA_ti!$BG15)</f>
        <v>10000</v>
      </c>
      <c r="AF15" s="4">
        <f>+IF(TA_ti!AF15*TA_ti!AF$50*TA_ti!$BG15=0,10000,TA_ti!AF15*TA_ti!AF$50*TA_ti!$BG15)</f>
        <v>10000</v>
      </c>
      <c r="AG15" s="4">
        <f>+IF(TA_ti!AG15*TA_ti!AG$50*TA_ti!$BG15=0,10000,TA_ti!AG15*TA_ti!AG$50*TA_ti!$BG15)</f>
        <v>10000</v>
      </c>
      <c r="AH15" s="4">
        <f>+IF(TA_ti!AH15*TA_ti!AH$50*TA_ti!$BG15=0,10000,TA_ti!AH15*TA_ti!AH$50*TA_ti!$BG15)</f>
        <v>10000</v>
      </c>
      <c r="AI15" s="4">
        <f>+IF(TA_ti!AI15*TA_ti!AI$50*TA_ti!$BG15=0,10000,TA_ti!AI15*TA_ti!AI$50*TA_ti!$BG15)</f>
        <v>10000</v>
      </c>
      <c r="AJ15" s="4">
        <f>+IF(TA_ti!AJ15*TA_ti!AJ$50*TA_ti!$BG15=0,10000,TA_ti!AJ15*TA_ti!AJ$50*TA_ti!$BG15)</f>
        <v>10000</v>
      </c>
      <c r="AK15" s="4">
        <f>+IF(TA_ti!AK15*TA_ti!AK$50*TA_ti!$BG15=0,10000,TA_ti!AK15*TA_ti!AK$50*TA_ti!$BG15)</f>
        <v>10000</v>
      </c>
      <c r="AL15" s="4">
        <f>+IF(TA_ti!AL15*TA_ti!AL$50*TA_ti!$BG15=0,10000,TA_ti!AL15*TA_ti!AL$50*TA_ti!$BG15)</f>
        <v>10000</v>
      </c>
      <c r="AM15" s="4">
        <f>+IF(TA_ti!AM15*TA_ti!AM$50*TA_ti!$BG15=0,10000,TA_ti!AM15*TA_ti!AM$50*TA_ti!$BG15)</f>
        <v>10000</v>
      </c>
      <c r="AN15" s="4">
        <f>+IF(TA_ti!AN15*TA_ti!AN$50*TA_ti!$BG15=0,10000,TA_ti!AN15*TA_ti!AN$50*TA_ti!$BG15)</f>
        <v>10000</v>
      </c>
      <c r="AO15" s="4">
        <f>+IF(TA_ti!AO15*TA_ti!AO$50*TA_ti!$BG15=0,10000,TA_ti!AO15*TA_ti!AO$50*TA_ti!$BG15)</f>
        <v>10000</v>
      </c>
      <c r="AP15" s="4">
        <f>+IF(TA_ti!AP15*TA_ti!AP$50*TA_ti!$BG15=0,10000,TA_ti!AP15*TA_ti!AP$50*TA_ti!$BG15)</f>
        <v>10000</v>
      </c>
      <c r="AQ15" s="4">
        <f>+IF(TA_ti!AQ15*TA_ti!AQ$50*TA_ti!$BG15=0,10000,TA_ti!AQ15*TA_ti!AQ$50*TA_ti!$BG15)</f>
        <v>10000</v>
      </c>
      <c r="AR15" s="4">
        <f>+IF(TA_ti!AR15*TA_ti!AR$50*TA_ti!$BG15=0,10000,TA_ti!AR15*TA_ti!AR$50*TA_ti!$BG15)</f>
        <v>10000</v>
      </c>
      <c r="AS15" s="4">
        <f>+IF(TA_ti!AS15*TA_ti!AS$50*TA_ti!$BG15=0,10000,TA_ti!AS15*TA_ti!AS$50*TA_ti!$BG15)</f>
        <v>10000</v>
      </c>
      <c r="AT15" s="4">
        <f>+IF(TA_ti!AT15*TA_ti!AT$50*TA_ti!$BG15=0,10000,TA_ti!AT15*TA_ti!AT$50*TA_ti!$BG15)</f>
        <v>10000</v>
      </c>
      <c r="AU15" s="4">
        <f>+IF(TA_ti!AU15*TA_ti!AU$50*TA_ti!$BG15=0,10000,TA_ti!AU15*TA_ti!AU$50*TA_ti!$BG15)</f>
        <v>10000</v>
      </c>
      <c r="AV15" s="4">
        <f>+IF(TA_ti!AV15*TA_ti!AV$50*TA_ti!$BG15=0,10000,TA_ti!AV15*TA_ti!AV$50*TA_ti!$BG15)</f>
        <v>10000</v>
      </c>
      <c r="AW15" s="4">
        <f>+IF(TA_ti!AW15*TA_ti!AW$50*TA_ti!$BG15=0,10000,TA_ti!AW15*TA_ti!AW$50*TA_ti!$BG15)</f>
        <v>10000</v>
      </c>
      <c r="AX15" s="4">
        <f>+IF(TA_ti!AX15*TA_ti!AX$50*TA_ti!$BG15=0,10000,TA_ti!AX15*TA_ti!AX$50*TA_ti!$BG15)</f>
        <v>10000</v>
      </c>
      <c r="AY15" s="4">
        <f>+IF(TA_ti!AY15*TA_ti!AY$50*TA_ti!$BG15=0,10000,TA_ti!AY15*TA_ti!AY$50*TA_ti!$BG15)</f>
        <v>10000</v>
      </c>
      <c r="AZ15" s="4">
        <f>+IF(TA_ti!AZ15*TA_ti!AZ$50*TA_ti!$BG15=0,10000,TA_ti!AZ15*TA_ti!AZ$50*TA_ti!$BG15)</f>
        <v>10000</v>
      </c>
      <c r="BA15" s="4">
        <f>+IF(TA_ti!BA15*TA_ti!BA$50*TA_ti!$BG15=0,10000,TA_ti!BA15*TA_ti!BA$50*TA_ti!$BG15)</f>
        <v>10000</v>
      </c>
      <c r="BB15" s="4">
        <f>+IF(TA_ti!BB15*TA_ti!BB$50*TA_ti!$BG15=0,10000,TA_ti!BB15*TA_ti!BB$50*TA_ti!$BG15)</f>
        <v>10000</v>
      </c>
      <c r="BC15" s="4">
        <f>+IF(TA_ti!BC15*TA_ti!BC$50*TA_ti!$BG15=0,10000,TA_ti!BC15*TA_ti!BC$50*TA_ti!$BG15)</f>
        <v>10000</v>
      </c>
    </row>
    <row r="16" spans="1:55" ht="18.75" customHeight="1" x14ac:dyDescent="0.25">
      <c r="A16" s="5" t="s">
        <v>67</v>
      </c>
      <c r="B16" s="4">
        <f>+IF(TA_ti!B16*TA_ti!B$50*TA_ti!$BG16=0,10000,TA_ti!B16*TA_ti!B$50*TA_ti!$BG16)</f>
        <v>10000</v>
      </c>
      <c r="C16" s="4">
        <f>+IF(TA_ti!C16*TA_ti!C$50*TA_ti!$BG16=0,10000,TA_ti!C16*TA_ti!C$50*TA_ti!$BG16)</f>
        <v>10000</v>
      </c>
      <c r="D16" s="4">
        <f>+IF(TA_ti!D16*TA_ti!D$50*TA_ti!$BG16=0,10000,TA_ti!D16*TA_ti!D$50*TA_ti!$BG16)</f>
        <v>10000</v>
      </c>
      <c r="E16" s="4">
        <f>+IF(TA_ti!E16*TA_ti!E$50*TA_ti!$BG16=0,10000,TA_ti!E16*TA_ti!E$50*TA_ti!$BG16)</f>
        <v>10000</v>
      </c>
      <c r="F16" s="4">
        <f>+IF(TA_ti!F16*TA_ti!F$50*TA_ti!$BG16=0,10000,TA_ti!F16*TA_ti!F$50*TA_ti!$BG16)</f>
        <v>10000</v>
      </c>
      <c r="G16" s="4">
        <f>+IF(TA_ti!G16*TA_ti!G$50*TA_ti!$BG16=0,10000,TA_ti!G16*TA_ti!G$50*TA_ti!$BG16)</f>
        <v>12</v>
      </c>
      <c r="H16" s="4">
        <f>+IF(TA_ti!H16*TA_ti!H$50*TA_ti!$BG16=0,10000,TA_ti!H16*TA_ti!H$50*TA_ti!$BG16)</f>
        <v>10000</v>
      </c>
      <c r="I16" s="4">
        <f>+IF(TA_ti!I16*TA_ti!I$50*TA_ti!$BG16=0,10000,TA_ti!I16*TA_ti!I$50*TA_ti!$BG16)</f>
        <v>10000</v>
      </c>
      <c r="J16" s="4">
        <f>+IF(TA_ti!J16*TA_ti!J$50*TA_ti!$BG16=0,10000,TA_ti!J16*TA_ti!J$50*TA_ti!$BG16)</f>
        <v>10000</v>
      </c>
      <c r="K16" s="4">
        <f>+IF(TA_ti!K16*TA_ti!K$50*TA_ti!$BG16=0,10000,TA_ti!K16*TA_ti!K$50*TA_ti!$BG16)</f>
        <v>10000</v>
      </c>
      <c r="L16" s="4">
        <f>+IF(TA_ti!L16*TA_ti!L$50*TA_ti!$BG16=0,10000,TA_ti!L16*TA_ti!L$50*TA_ti!$BG16)</f>
        <v>12</v>
      </c>
      <c r="M16" s="4">
        <f>+IF(TA_ti!M16*TA_ti!M$50*TA_ti!$BG16=0,10000,TA_ti!M16*TA_ti!M$50*TA_ti!$BG16)</f>
        <v>12</v>
      </c>
      <c r="N16" s="4">
        <f>+IF(TA_ti!N16*TA_ti!N$50*TA_ti!$BG16=0,10000,TA_ti!N16*TA_ti!N$50*TA_ti!$BG16)</f>
        <v>15</v>
      </c>
      <c r="O16" s="4">
        <f>+IF(TA_ti!O16*TA_ti!O$50*TA_ti!$BG16=0,10000,TA_ti!O16*TA_ti!O$50*TA_ti!$BG16)</f>
        <v>10000</v>
      </c>
      <c r="P16" s="4">
        <f>+IF(TA_ti!P16*TA_ti!P$50*TA_ti!$BG16=0,10000,TA_ti!P16*TA_ti!P$50*TA_ti!$BG16)</f>
        <v>10000</v>
      </c>
      <c r="Q16" s="4">
        <f>+IF(TA_ti!Q16*TA_ti!Q$50*TA_ti!$BG16=0,10000,TA_ti!Q16*TA_ti!Q$50*TA_ti!$BG16)</f>
        <v>10000</v>
      </c>
      <c r="R16" s="4">
        <f>+IF(TA_ti!R16*TA_ti!R$50*TA_ti!$BG16=0,10000,TA_ti!R16*TA_ti!R$50*TA_ti!$BG16)</f>
        <v>10000</v>
      </c>
      <c r="S16" s="4">
        <f>+IF(TA_ti!S16*TA_ti!S$50*TA_ti!$BG16=0,10000,TA_ti!S16*TA_ti!S$50*TA_ti!$BG16)</f>
        <v>10000</v>
      </c>
      <c r="T16" s="4">
        <f>+IF(TA_ti!T16*TA_ti!T$50*TA_ti!$BG16=0,10000,TA_ti!T16*TA_ti!T$50*TA_ti!$BG16)</f>
        <v>10000</v>
      </c>
      <c r="U16" s="4">
        <f>+IF(TA_ti!U16*TA_ti!U$50*TA_ti!$BG16=0,10000,TA_ti!U16*TA_ti!U$50*TA_ti!$BG16)</f>
        <v>10000</v>
      </c>
      <c r="V16" s="4">
        <f>+IF(TA_ti!V16*TA_ti!V$50*TA_ti!$BG16=0,10000,TA_ti!V16*TA_ti!V$50*TA_ti!$BG16)</f>
        <v>10000</v>
      </c>
      <c r="W16" s="4">
        <f>+IF(TA_ti!W16*TA_ti!W$50*TA_ti!$BG16=0,10000,TA_ti!W16*TA_ti!W$50*TA_ti!$BG16)</f>
        <v>10000</v>
      </c>
      <c r="X16" s="4">
        <f>+IF(TA_ti!X16*TA_ti!X$50*TA_ti!$BG16=0,10000,TA_ti!X16*TA_ti!X$50*TA_ti!$BG16)</f>
        <v>10000</v>
      </c>
      <c r="Y16" s="4">
        <f>+IF(TA_ti!Y16*TA_ti!Y$50*TA_ti!$BG16=0,10000,TA_ti!Y16*TA_ti!Y$50*TA_ti!$BG16)</f>
        <v>10000</v>
      </c>
      <c r="Z16" s="4">
        <f>+IF(TA_ti!Z16*TA_ti!Z$50*TA_ti!$BG16=0,10000,TA_ti!Z16*TA_ti!Z$50*TA_ti!$BG16)</f>
        <v>10000</v>
      </c>
      <c r="AA16" s="4">
        <f>+IF(TA_ti!AA16*TA_ti!AA$50*TA_ti!$BG16=0,10000,TA_ti!AA16*TA_ti!AA$50*TA_ti!$BG16)</f>
        <v>10000</v>
      </c>
      <c r="AB16" s="4">
        <f>+IF(TA_ti!AB16*TA_ti!AB$50*TA_ti!$BG16=0,10000,TA_ti!AB16*TA_ti!AB$50*TA_ti!$BG16)</f>
        <v>10000</v>
      </c>
      <c r="AC16" s="4">
        <f>+IF(TA_ti!AC16*TA_ti!AC$50*TA_ti!$BG16=0,10000,TA_ti!AC16*TA_ti!AC$50*TA_ti!$BG16)</f>
        <v>10000</v>
      </c>
      <c r="AD16" s="4">
        <f>+IF(TA_ti!AD16*TA_ti!AD$50*TA_ti!$BG16=0,10000,TA_ti!AD16*TA_ti!AD$50*TA_ti!$BG16)</f>
        <v>10000</v>
      </c>
      <c r="AE16" s="4">
        <f>+IF(TA_ti!AE16*TA_ti!AE$50*TA_ti!$BG16=0,10000,TA_ti!AE16*TA_ti!AE$50*TA_ti!$BG16)</f>
        <v>10000</v>
      </c>
      <c r="AF16" s="4">
        <f>+IF(TA_ti!AF16*TA_ti!AF$50*TA_ti!$BG16=0,10000,TA_ti!AF16*TA_ti!AF$50*TA_ti!$BG16)</f>
        <v>10000</v>
      </c>
      <c r="AG16" s="4">
        <f>+IF(TA_ti!AG16*TA_ti!AG$50*TA_ti!$BG16=0,10000,TA_ti!AG16*TA_ti!AG$50*TA_ti!$BG16)</f>
        <v>10000</v>
      </c>
      <c r="AH16" s="4">
        <f>+IF(TA_ti!AH16*TA_ti!AH$50*TA_ti!$BG16=0,10000,TA_ti!AH16*TA_ti!AH$50*TA_ti!$BG16)</f>
        <v>10000</v>
      </c>
      <c r="AI16" s="4">
        <f>+IF(TA_ti!AI16*TA_ti!AI$50*TA_ti!$BG16=0,10000,TA_ti!AI16*TA_ti!AI$50*TA_ti!$BG16)</f>
        <v>10000</v>
      </c>
      <c r="AJ16" s="4">
        <f>+IF(TA_ti!AJ16*TA_ti!AJ$50*TA_ti!$BG16=0,10000,TA_ti!AJ16*TA_ti!AJ$50*TA_ti!$BG16)</f>
        <v>10000</v>
      </c>
      <c r="AK16" s="4">
        <f>+IF(TA_ti!AK16*TA_ti!AK$50*TA_ti!$BG16=0,10000,TA_ti!AK16*TA_ti!AK$50*TA_ti!$BG16)</f>
        <v>10000</v>
      </c>
      <c r="AL16" s="4">
        <f>+IF(TA_ti!AL16*TA_ti!AL$50*TA_ti!$BG16=0,10000,TA_ti!AL16*TA_ti!AL$50*TA_ti!$BG16)</f>
        <v>10000</v>
      </c>
      <c r="AM16" s="4">
        <f>+IF(TA_ti!AM16*TA_ti!AM$50*TA_ti!$BG16=0,10000,TA_ti!AM16*TA_ti!AM$50*TA_ti!$BG16)</f>
        <v>10000</v>
      </c>
      <c r="AN16" s="4">
        <f>+IF(TA_ti!AN16*TA_ti!AN$50*TA_ti!$BG16=0,10000,TA_ti!AN16*TA_ti!AN$50*TA_ti!$BG16)</f>
        <v>10000</v>
      </c>
      <c r="AO16" s="4">
        <f>+IF(TA_ti!AO16*TA_ti!AO$50*TA_ti!$BG16=0,10000,TA_ti!AO16*TA_ti!AO$50*TA_ti!$BG16)</f>
        <v>10000</v>
      </c>
      <c r="AP16" s="4">
        <f>+IF(TA_ti!AP16*TA_ti!AP$50*TA_ti!$BG16=0,10000,TA_ti!AP16*TA_ti!AP$50*TA_ti!$BG16)</f>
        <v>10000</v>
      </c>
      <c r="AQ16" s="4">
        <f>+IF(TA_ti!AQ16*TA_ti!AQ$50*TA_ti!$BG16=0,10000,TA_ti!AQ16*TA_ti!AQ$50*TA_ti!$BG16)</f>
        <v>10000</v>
      </c>
      <c r="AR16" s="4">
        <f>+IF(TA_ti!AR16*TA_ti!AR$50*TA_ti!$BG16=0,10000,TA_ti!AR16*TA_ti!AR$50*TA_ti!$BG16)</f>
        <v>10000</v>
      </c>
      <c r="AS16" s="4">
        <f>+IF(TA_ti!AS16*TA_ti!AS$50*TA_ti!$BG16=0,10000,TA_ti!AS16*TA_ti!AS$50*TA_ti!$BG16)</f>
        <v>10000</v>
      </c>
      <c r="AT16" s="4">
        <f>+IF(TA_ti!AT16*TA_ti!AT$50*TA_ti!$BG16=0,10000,TA_ti!AT16*TA_ti!AT$50*TA_ti!$BG16)</f>
        <v>10000</v>
      </c>
      <c r="AU16" s="4">
        <f>+IF(TA_ti!AU16*TA_ti!AU$50*TA_ti!$BG16=0,10000,TA_ti!AU16*TA_ti!AU$50*TA_ti!$BG16)</f>
        <v>10000</v>
      </c>
      <c r="AV16" s="4">
        <f>+IF(TA_ti!AV16*TA_ti!AV$50*TA_ti!$BG16=0,10000,TA_ti!AV16*TA_ti!AV$50*TA_ti!$BG16)</f>
        <v>10000</v>
      </c>
      <c r="AW16" s="4">
        <f>+IF(TA_ti!AW16*TA_ti!AW$50*TA_ti!$BG16=0,10000,TA_ti!AW16*TA_ti!AW$50*TA_ti!$BG16)</f>
        <v>10000</v>
      </c>
      <c r="AX16" s="4">
        <f>+IF(TA_ti!AX16*TA_ti!AX$50*TA_ti!$BG16=0,10000,TA_ti!AX16*TA_ti!AX$50*TA_ti!$BG16)</f>
        <v>10000</v>
      </c>
      <c r="AY16" s="4">
        <f>+IF(TA_ti!AY16*TA_ti!AY$50*TA_ti!$BG16=0,10000,TA_ti!AY16*TA_ti!AY$50*TA_ti!$BG16)</f>
        <v>10000</v>
      </c>
      <c r="AZ16" s="4">
        <f>+IF(TA_ti!AZ16*TA_ti!AZ$50*TA_ti!$BG16=0,10000,TA_ti!AZ16*TA_ti!AZ$50*TA_ti!$BG16)</f>
        <v>10000</v>
      </c>
      <c r="BA16" s="4">
        <f>+IF(TA_ti!BA16*TA_ti!BA$50*TA_ti!$BG16=0,10000,TA_ti!BA16*TA_ti!BA$50*TA_ti!$BG16)</f>
        <v>10000</v>
      </c>
      <c r="BB16" s="4">
        <f>+IF(TA_ti!BB16*TA_ti!BB$50*TA_ti!$BG16=0,10000,TA_ti!BB16*TA_ti!BB$50*TA_ti!$BG16)</f>
        <v>10000</v>
      </c>
      <c r="BC16" s="4">
        <f>+IF(TA_ti!BC16*TA_ti!BC$50*TA_ti!$BG16=0,10000,TA_ti!BC16*TA_ti!BC$50*TA_ti!$BG16)</f>
        <v>10000</v>
      </c>
    </row>
    <row r="17" spans="1:55" ht="18.75" customHeight="1" x14ac:dyDescent="0.25">
      <c r="A17" s="5" t="s">
        <v>68</v>
      </c>
      <c r="B17" s="4">
        <f>+IF(TA_ti!B17*TA_ti!B$50*TA_ti!$BG17=0,10000,TA_ti!B17*TA_ti!B$50*TA_ti!$BG17)</f>
        <v>10000</v>
      </c>
      <c r="C17" s="4">
        <f>+IF(TA_ti!C17*TA_ti!C$50*TA_ti!$BG17=0,10000,TA_ti!C17*TA_ti!C$50*TA_ti!$BG17)</f>
        <v>10000</v>
      </c>
      <c r="D17" s="4">
        <f>+IF(TA_ti!D17*TA_ti!D$50*TA_ti!$BG17=0,10000,TA_ti!D17*TA_ti!D$50*TA_ti!$BG17)</f>
        <v>10000</v>
      </c>
      <c r="E17" s="4">
        <f>+IF(TA_ti!E17*TA_ti!E$50*TA_ti!$BG17=0,10000,TA_ti!E17*TA_ti!E$50*TA_ti!$BG17)</f>
        <v>10000</v>
      </c>
      <c r="F17" s="4">
        <f>+IF(TA_ti!F17*TA_ti!F$50*TA_ti!$BG17=0,10000,TA_ti!F17*TA_ti!F$50*TA_ti!$BG17)</f>
        <v>10000</v>
      </c>
      <c r="G17" s="4">
        <f>+IF(TA_ti!G17*TA_ti!G$50*TA_ti!$BG17=0,10000,TA_ti!G17*TA_ti!G$50*TA_ti!$BG17)</f>
        <v>10000</v>
      </c>
      <c r="H17" s="4">
        <f>+IF(TA_ti!H17*TA_ti!H$50*TA_ti!$BG17=0,10000,TA_ti!H17*TA_ti!H$50*TA_ti!$BG17)</f>
        <v>10000</v>
      </c>
      <c r="I17" s="4">
        <f>+IF(TA_ti!I17*TA_ti!I$50*TA_ti!$BG17=0,10000,TA_ti!I17*TA_ti!I$50*TA_ti!$BG17)</f>
        <v>10000</v>
      </c>
      <c r="J17" s="4">
        <f>+IF(TA_ti!J17*TA_ti!J$50*TA_ti!$BG17=0,10000,TA_ti!J17*TA_ti!J$50*TA_ti!$BG17)</f>
        <v>10000</v>
      </c>
      <c r="K17" s="4">
        <f>+IF(TA_ti!K17*TA_ti!K$50*TA_ti!$BG17=0,10000,TA_ti!K17*TA_ti!K$50*TA_ti!$BG17)</f>
        <v>10000</v>
      </c>
      <c r="L17" s="4">
        <f>+IF(TA_ti!L17*TA_ti!L$50*TA_ti!$BG17=0,10000,TA_ti!L17*TA_ti!L$50*TA_ti!$BG17)</f>
        <v>10000</v>
      </c>
      <c r="M17" s="4">
        <f>+IF(TA_ti!M17*TA_ti!M$50*TA_ti!$BG17=0,10000,TA_ti!M17*TA_ti!M$50*TA_ti!$BG17)</f>
        <v>10000</v>
      </c>
      <c r="N17" s="4">
        <f>+IF(TA_ti!N17*TA_ti!N$50*TA_ti!$BG17=0,10000,TA_ti!N17*TA_ti!N$50*TA_ti!$BG17)</f>
        <v>10000</v>
      </c>
      <c r="O17" s="4">
        <f>+IF(TA_ti!O17*TA_ti!O$50*TA_ti!$BG17=0,10000,TA_ti!O17*TA_ti!O$50*TA_ti!$BG17)</f>
        <v>10000</v>
      </c>
      <c r="P17" s="4">
        <f>+IF(TA_ti!P17*TA_ti!P$50*TA_ti!$BG17=0,10000,TA_ti!P17*TA_ti!P$50*TA_ti!$BG17)</f>
        <v>10000</v>
      </c>
      <c r="Q17" s="4">
        <f>+IF(TA_ti!Q17*TA_ti!Q$50*TA_ti!$BG17=0,10000,TA_ti!Q17*TA_ti!Q$50*TA_ti!$BG17)</f>
        <v>10000</v>
      </c>
      <c r="R17" s="4">
        <f>+IF(TA_ti!R17*TA_ti!R$50*TA_ti!$BG17=0,10000,TA_ti!R17*TA_ti!R$50*TA_ti!$BG17)</f>
        <v>10000</v>
      </c>
      <c r="S17" s="4">
        <f>+IF(TA_ti!S17*TA_ti!S$50*TA_ti!$BG17=0,10000,TA_ti!S17*TA_ti!S$50*TA_ti!$BG17)</f>
        <v>10000</v>
      </c>
      <c r="T17" s="4">
        <f>+IF(TA_ti!T17*TA_ti!T$50*TA_ti!$BG17=0,10000,TA_ti!T17*TA_ti!T$50*TA_ti!$BG17)</f>
        <v>10000</v>
      </c>
      <c r="U17" s="4">
        <f>+IF(TA_ti!U17*TA_ti!U$50*TA_ti!$BG17=0,10000,TA_ti!U17*TA_ti!U$50*TA_ti!$BG17)</f>
        <v>10000</v>
      </c>
      <c r="V17" s="4">
        <f>+IF(TA_ti!V17*TA_ti!V$50*TA_ti!$BG17=0,10000,TA_ti!V17*TA_ti!V$50*TA_ti!$BG17)</f>
        <v>10000</v>
      </c>
      <c r="W17" s="4">
        <f>+IF(TA_ti!W17*TA_ti!W$50*TA_ti!$BG17=0,10000,TA_ti!W17*TA_ti!W$50*TA_ti!$BG17)</f>
        <v>10000</v>
      </c>
      <c r="X17" s="4">
        <f>+IF(TA_ti!X17*TA_ti!X$50*TA_ti!$BG17=0,10000,TA_ti!X17*TA_ti!X$50*TA_ti!$BG17)</f>
        <v>10000</v>
      </c>
      <c r="Y17" s="4">
        <f>+IF(TA_ti!Y17*TA_ti!Y$50*TA_ti!$BG17=0,10000,TA_ti!Y17*TA_ti!Y$50*TA_ti!$BG17)</f>
        <v>10000</v>
      </c>
      <c r="Z17" s="4">
        <f>+IF(TA_ti!Z17*TA_ti!Z$50*TA_ti!$BG17=0,10000,TA_ti!Z17*TA_ti!Z$50*TA_ti!$BG17)</f>
        <v>10000</v>
      </c>
      <c r="AA17" s="4">
        <f>+IF(TA_ti!AA17*TA_ti!AA$50*TA_ti!$BG17=0,10000,TA_ti!AA17*TA_ti!AA$50*TA_ti!$BG17)</f>
        <v>10000</v>
      </c>
      <c r="AB17" s="4">
        <f>+IF(TA_ti!AB17*TA_ti!AB$50*TA_ti!$BG17=0,10000,TA_ti!AB17*TA_ti!AB$50*TA_ti!$BG17)</f>
        <v>10000</v>
      </c>
      <c r="AC17" s="4">
        <f>+IF(TA_ti!AC17*TA_ti!AC$50*TA_ti!$BG17=0,10000,TA_ti!AC17*TA_ti!AC$50*TA_ti!$BG17)</f>
        <v>10000</v>
      </c>
      <c r="AD17" s="4">
        <f>+IF(TA_ti!AD17*TA_ti!AD$50*TA_ti!$BG17=0,10000,TA_ti!AD17*TA_ti!AD$50*TA_ti!$BG17)</f>
        <v>10000</v>
      </c>
      <c r="AE17" s="4">
        <f>+IF(TA_ti!AE17*TA_ti!AE$50*TA_ti!$BG17=0,10000,TA_ti!AE17*TA_ti!AE$50*TA_ti!$BG17)</f>
        <v>10000</v>
      </c>
      <c r="AF17" s="4">
        <f>+IF(TA_ti!AF17*TA_ti!AF$50*TA_ti!$BG17=0,10000,TA_ti!AF17*TA_ti!AF$50*TA_ti!$BG17)</f>
        <v>10000</v>
      </c>
      <c r="AG17" s="4">
        <f>+IF(TA_ti!AG17*TA_ti!AG$50*TA_ti!$BG17=0,10000,TA_ti!AG17*TA_ti!AG$50*TA_ti!$BG17)</f>
        <v>10000</v>
      </c>
      <c r="AH17" s="4">
        <f>+IF(TA_ti!AH17*TA_ti!AH$50*TA_ti!$BG17=0,10000,TA_ti!AH17*TA_ti!AH$50*TA_ti!$BG17)</f>
        <v>10000</v>
      </c>
      <c r="AI17" s="4">
        <f>+IF(TA_ti!AI17*TA_ti!AI$50*TA_ti!$BG17=0,10000,TA_ti!AI17*TA_ti!AI$50*TA_ti!$BG17)</f>
        <v>10000</v>
      </c>
      <c r="AJ17" s="4">
        <f>+IF(TA_ti!AJ17*TA_ti!AJ$50*TA_ti!$BG17=0,10000,TA_ti!AJ17*TA_ti!AJ$50*TA_ti!$BG17)</f>
        <v>10000</v>
      </c>
      <c r="AK17" s="4">
        <f>+IF(TA_ti!AK17*TA_ti!AK$50*TA_ti!$BG17=0,10000,TA_ti!AK17*TA_ti!AK$50*TA_ti!$BG17)</f>
        <v>10000</v>
      </c>
      <c r="AL17" s="4">
        <f>+IF(TA_ti!AL17*TA_ti!AL$50*TA_ti!$BG17=0,10000,TA_ti!AL17*TA_ti!AL$50*TA_ti!$BG17)</f>
        <v>10000</v>
      </c>
      <c r="AM17" s="4">
        <f>+IF(TA_ti!AM17*TA_ti!AM$50*TA_ti!$BG17=0,10000,TA_ti!AM17*TA_ti!AM$50*TA_ti!$BG17)</f>
        <v>10000</v>
      </c>
      <c r="AN17" s="4">
        <f>+IF(TA_ti!AN17*TA_ti!AN$50*TA_ti!$BG17=0,10000,TA_ti!AN17*TA_ti!AN$50*TA_ti!$BG17)</f>
        <v>10000</v>
      </c>
      <c r="AO17" s="4">
        <f>+IF(TA_ti!AO17*TA_ti!AO$50*TA_ti!$BG17=0,10000,TA_ti!AO17*TA_ti!AO$50*TA_ti!$BG17)</f>
        <v>10000</v>
      </c>
      <c r="AP17" s="4">
        <f>+IF(TA_ti!AP17*TA_ti!AP$50*TA_ti!$BG17=0,10000,TA_ti!AP17*TA_ti!AP$50*TA_ti!$BG17)</f>
        <v>10000</v>
      </c>
      <c r="AQ17" s="4">
        <f>+IF(TA_ti!AQ17*TA_ti!AQ$50*TA_ti!$BG17=0,10000,TA_ti!AQ17*TA_ti!AQ$50*TA_ti!$BG17)</f>
        <v>10000</v>
      </c>
      <c r="AR17" s="4">
        <f>+IF(TA_ti!AR17*TA_ti!AR$50*TA_ti!$BG17=0,10000,TA_ti!AR17*TA_ti!AR$50*TA_ti!$BG17)</f>
        <v>10000</v>
      </c>
      <c r="AS17" s="4">
        <f>+IF(TA_ti!AS17*TA_ti!AS$50*TA_ti!$BG17=0,10000,TA_ti!AS17*TA_ti!AS$50*TA_ti!$BG17)</f>
        <v>10000</v>
      </c>
      <c r="AT17" s="4">
        <f>+IF(TA_ti!AT17*TA_ti!AT$50*TA_ti!$BG17=0,10000,TA_ti!AT17*TA_ti!AT$50*TA_ti!$BG17)</f>
        <v>10000</v>
      </c>
      <c r="AU17" s="4">
        <f>+IF(TA_ti!AU17*TA_ti!AU$50*TA_ti!$BG17=0,10000,TA_ti!AU17*TA_ti!AU$50*TA_ti!$BG17)</f>
        <v>10000</v>
      </c>
      <c r="AV17" s="4">
        <f>+IF(TA_ti!AV17*TA_ti!AV$50*TA_ti!$BG17=0,10000,TA_ti!AV17*TA_ti!AV$50*TA_ti!$BG17)</f>
        <v>10000</v>
      </c>
      <c r="AW17" s="4">
        <f>+IF(TA_ti!AW17*TA_ti!AW$50*TA_ti!$BG17=0,10000,TA_ti!AW17*TA_ti!AW$50*TA_ti!$BG17)</f>
        <v>10000</v>
      </c>
      <c r="AX17" s="4">
        <f>+IF(TA_ti!AX17*TA_ti!AX$50*TA_ti!$BG17=0,10000,TA_ti!AX17*TA_ti!AX$50*TA_ti!$BG17)</f>
        <v>10000</v>
      </c>
      <c r="AY17" s="4">
        <f>+IF(TA_ti!AY17*TA_ti!AY$50*TA_ti!$BG17=0,10000,TA_ti!AY17*TA_ti!AY$50*TA_ti!$BG17)</f>
        <v>10000</v>
      </c>
      <c r="AZ17" s="4">
        <f>+IF(TA_ti!AZ17*TA_ti!AZ$50*TA_ti!$BG17=0,10000,TA_ti!AZ17*TA_ti!AZ$50*TA_ti!$BG17)</f>
        <v>10000</v>
      </c>
      <c r="BA17" s="4">
        <f>+IF(TA_ti!BA17*TA_ti!BA$50*TA_ti!$BG17=0,10000,TA_ti!BA17*TA_ti!BA$50*TA_ti!$BG17)</f>
        <v>10000</v>
      </c>
      <c r="BB17" s="4">
        <f>+IF(TA_ti!BB17*TA_ti!BB$50*TA_ti!$BG17=0,10000,TA_ti!BB17*TA_ti!BB$50*TA_ti!$BG17)</f>
        <v>10000</v>
      </c>
      <c r="BC17" s="4">
        <f>+IF(TA_ti!BC17*TA_ti!BC$50*TA_ti!$BG17=0,10000,TA_ti!BC17*TA_ti!BC$50*TA_ti!$BG17)</f>
        <v>10000</v>
      </c>
    </row>
    <row r="18" spans="1:55" ht="18.75" customHeight="1" x14ac:dyDescent="0.25">
      <c r="A18" s="5" t="s">
        <v>69</v>
      </c>
      <c r="B18" s="4">
        <f>+IF(TA_ti!B18*TA_ti!B$50*TA_ti!$BG18=0,10000,TA_ti!B18*TA_ti!B$50*TA_ti!$BG18)</f>
        <v>10000</v>
      </c>
      <c r="C18" s="4">
        <f>+IF(TA_ti!C18*TA_ti!C$50*TA_ti!$BG18=0,10000,TA_ti!C18*TA_ti!C$50*TA_ti!$BG18)</f>
        <v>10000</v>
      </c>
      <c r="D18" s="4">
        <f>+IF(TA_ti!D18*TA_ti!D$50*TA_ti!$BG18=0,10000,TA_ti!D18*TA_ti!D$50*TA_ti!$BG18)</f>
        <v>10000</v>
      </c>
      <c r="E18" s="4">
        <f>+IF(TA_ti!E18*TA_ti!E$50*TA_ti!$BG18=0,10000,TA_ti!E18*TA_ti!E$50*TA_ti!$BG18)</f>
        <v>10000</v>
      </c>
      <c r="F18" s="4">
        <f>+IF(TA_ti!F18*TA_ti!F$50*TA_ti!$BG18=0,10000,TA_ti!F18*TA_ti!F$50*TA_ti!$BG18)</f>
        <v>10000</v>
      </c>
      <c r="G18" s="4">
        <f>+IF(TA_ti!G18*TA_ti!G$50*TA_ti!$BG18=0,10000,TA_ti!G18*TA_ti!G$50*TA_ti!$BG18)</f>
        <v>10000</v>
      </c>
      <c r="H18" s="4">
        <f>+IF(TA_ti!H18*TA_ti!H$50*TA_ti!$BG18=0,10000,TA_ti!H18*TA_ti!H$50*TA_ti!$BG18)</f>
        <v>10000</v>
      </c>
      <c r="I18" s="4">
        <f>+IF(TA_ti!I18*TA_ti!I$50*TA_ti!$BG18=0,10000,TA_ti!I18*TA_ti!I$50*TA_ti!$BG18)</f>
        <v>10000</v>
      </c>
      <c r="J18" s="4">
        <f>+IF(TA_ti!J18*TA_ti!J$50*TA_ti!$BG18=0,10000,TA_ti!J18*TA_ti!J$50*TA_ti!$BG18)</f>
        <v>10000</v>
      </c>
      <c r="K18" s="4">
        <f>+IF(TA_ti!K18*TA_ti!K$50*TA_ti!$BG18=0,10000,TA_ti!K18*TA_ti!K$50*TA_ti!$BG18)</f>
        <v>10000</v>
      </c>
      <c r="L18" s="4">
        <f>+IF(TA_ti!L18*TA_ti!L$50*TA_ti!$BG18=0,10000,TA_ti!L18*TA_ti!L$50*TA_ti!$BG18)</f>
        <v>10000</v>
      </c>
      <c r="M18" s="4">
        <f>+IF(TA_ti!M18*TA_ti!M$50*TA_ti!$BG18=0,10000,TA_ti!M18*TA_ti!M$50*TA_ti!$BG18)</f>
        <v>10000</v>
      </c>
      <c r="N18" s="4">
        <f>+IF(TA_ti!N18*TA_ti!N$50*TA_ti!$BG18=0,10000,TA_ti!N18*TA_ti!N$50*TA_ti!$BG18)</f>
        <v>10000</v>
      </c>
      <c r="O18" s="4">
        <f>+IF(TA_ti!O18*TA_ti!O$50*TA_ti!$BG18=0,10000,TA_ti!O18*TA_ti!O$50*TA_ti!$BG18)</f>
        <v>10000</v>
      </c>
      <c r="P18" s="4">
        <f>+IF(TA_ti!P18*TA_ti!P$50*TA_ti!$BG18=0,10000,TA_ti!P18*TA_ti!P$50*TA_ti!$BG18)</f>
        <v>10000</v>
      </c>
      <c r="Q18" s="4">
        <f>+IF(TA_ti!Q18*TA_ti!Q$50*TA_ti!$BG18=0,10000,TA_ti!Q18*TA_ti!Q$50*TA_ti!$BG18)</f>
        <v>10000</v>
      </c>
      <c r="R18" s="4">
        <f>+IF(TA_ti!R18*TA_ti!R$50*TA_ti!$BG18=0,10000,TA_ti!R18*TA_ti!R$50*TA_ti!$BG18)</f>
        <v>10000</v>
      </c>
      <c r="S18" s="4">
        <f>+IF(TA_ti!S18*TA_ti!S$50*TA_ti!$BG18=0,10000,TA_ti!S18*TA_ti!S$50*TA_ti!$BG18)</f>
        <v>10000</v>
      </c>
      <c r="T18" s="4">
        <f>+IF(TA_ti!T18*TA_ti!T$50*TA_ti!$BG18=0,10000,TA_ti!T18*TA_ti!T$50*TA_ti!$BG18)</f>
        <v>10000</v>
      </c>
      <c r="U18" s="4">
        <f>+IF(TA_ti!U18*TA_ti!U$50*TA_ti!$BG18=0,10000,TA_ti!U18*TA_ti!U$50*TA_ti!$BG18)</f>
        <v>10000</v>
      </c>
      <c r="V18" s="4">
        <f>+IF(TA_ti!V18*TA_ti!V$50*TA_ti!$BG18=0,10000,TA_ti!V18*TA_ti!V$50*TA_ti!$BG18)</f>
        <v>10000</v>
      </c>
      <c r="W18" s="4">
        <f>+IF(TA_ti!W18*TA_ti!W$50*TA_ti!$BG18=0,10000,TA_ti!W18*TA_ti!W$50*TA_ti!$BG18)</f>
        <v>10000</v>
      </c>
      <c r="X18" s="4">
        <f>+IF(TA_ti!X18*TA_ti!X$50*TA_ti!$BG18=0,10000,TA_ti!X18*TA_ti!X$50*TA_ti!$BG18)</f>
        <v>10000</v>
      </c>
      <c r="Y18" s="4">
        <f>+IF(TA_ti!Y18*TA_ti!Y$50*TA_ti!$BG18=0,10000,TA_ti!Y18*TA_ti!Y$50*TA_ti!$BG18)</f>
        <v>10000</v>
      </c>
      <c r="Z18" s="4">
        <f>+IF(TA_ti!Z18*TA_ti!Z$50*TA_ti!$BG18=0,10000,TA_ti!Z18*TA_ti!Z$50*TA_ti!$BG18)</f>
        <v>10000</v>
      </c>
      <c r="AA18" s="4">
        <f>+IF(TA_ti!AA18*TA_ti!AA$50*TA_ti!$BG18=0,10000,TA_ti!AA18*TA_ti!AA$50*TA_ti!$BG18)</f>
        <v>10000</v>
      </c>
      <c r="AB18" s="4">
        <f>+IF(TA_ti!AB18*TA_ti!AB$50*TA_ti!$BG18=0,10000,TA_ti!AB18*TA_ti!AB$50*TA_ti!$BG18)</f>
        <v>10000</v>
      </c>
      <c r="AC18" s="4">
        <f>+IF(TA_ti!AC18*TA_ti!AC$50*TA_ti!$BG18=0,10000,TA_ti!AC18*TA_ti!AC$50*TA_ti!$BG18)</f>
        <v>10000</v>
      </c>
      <c r="AD18" s="4">
        <f>+IF(TA_ti!AD18*TA_ti!AD$50*TA_ti!$BG18=0,10000,TA_ti!AD18*TA_ti!AD$50*TA_ti!$BG18)</f>
        <v>10000</v>
      </c>
      <c r="AE18" s="4">
        <f>+IF(TA_ti!AE18*TA_ti!AE$50*TA_ti!$BG18=0,10000,TA_ti!AE18*TA_ti!AE$50*TA_ti!$BG18)</f>
        <v>10000</v>
      </c>
      <c r="AF18" s="4">
        <f>+IF(TA_ti!AF18*TA_ti!AF$50*TA_ti!$BG18=0,10000,TA_ti!AF18*TA_ti!AF$50*TA_ti!$BG18)</f>
        <v>10000</v>
      </c>
      <c r="AG18" s="4">
        <f>+IF(TA_ti!AG18*TA_ti!AG$50*TA_ti!$BG18=0,10000,TA_ti!AG18*TA_ti!AG$50*TA_ti!$BG18)</f>
        <v>10000</v>
      </c>
      <c r="AH18" s="4">
        <f>+IF(TA_ti!AH18*TA_ti!AH$50*TA_ti!$BG18=0,10000,TA_ti!AH18*TA_ti!AH$50*TA_ti!$BG18)</f>
        <v>10000</v>
      </c>
      <c r="AI18" s="4">
        <f>+IF(TA_ti!AI18*TA_ti!AI$50*TA_ti!$BG18=0,10000,TA_ti!AI18*TA_ti!AI$50*TA_ti!$BG18)</f>
        <v>10000</v>
      </c>
      <c r="AJ18" s="4">
        <f>+IF(TA_ti!AJ18*TA_ti!AJ$50*TA_ti!$BG18=0,10000,TA_ti!AJ18*TA_ti!AJ$50*TA_ti!$BG18)</f>
        <v>10000</v>
      </c>
      <c r="AK18" s="4">
        <f>+IF(TA_ti!AK18*TA_ti!AK$50*TA_ti!$BG18=0,10000,TA_ti!AK18*TA_ti!AK$50*TA_ti!$BG18)</f>
        <v>10000</v>
      </c>
      <c r="AL18" s="4">
        <f>+IF(TA_ti!AL18*TA_ti!AL$50*TA_ti!$BG18=0,10000,TA_ti!AL18*TA_ti!AL$50*TA_ti!$BG18)</f>
        <v>10000</v>
      </c>
      <c r="AM18" s="4">
        <f>+IF(TA_ti!AM18*TA_ti!AM$50*TA_ti!$BG18=0,10000,TA_ti!AM18*TA_ti!AM$50*TA_ti!$BG18)</f>
        <v>10000</v>
      </c>
      <c r="AN18" s="4">
        <f>+IF(TA_ti!AN18*TA_ti!AN$50*TA_ti!$BG18=0,10000,TA_ti!AN18*TA_ti!AN$50*TA_ti!$BG18)</f>
        <v>10000</v>
      </c>
      <c r="AO18" s="4">
        <f>+IF(TA_ti!AO18*TA_ti!AO$50*TA_ti!$BG18=0,10000,TA_ti!AO18*TA_ti!AO$50*TA_ti!$BG18)</f>
        <v>10000</v>
      </c>
      <c r="AP18" s="4">
        <f>+IF(TA_ti!AP18*TA_ti!AP$50*TA_ti!$BG18=0,10000,TA_ti!AP18*TA_ti!AP$50*TA_ti!$BG18)</f>
        <v>10000</v>
      </c>
      <c r="AQ18" s="4">
        <f>+IF(TA_ti!AQ18*TA_ti!AQ$50*TA_ti!$BG18=0,10000,TA_ti!AQ18*TA_ti!AQ$50*TA_ti!$BG18)</f>
        <v>10000</v>
      </c>
      <c r="AR18" s="4">
        <f>+IF(TA_ti!AR18*TA_ti!AR$50*TA_ti!$BG18=0,10000,TA_ti!AR18*TA_ti!AR$50*TA_ti!$BG18)</f>
        <v>10000</v>
      </c>
      <c r="AS18" s="4">
        <f>+IF(TA_ti!AS18*TA_ti!AS$50*TA_ti!$BG18=0,10000,TA_ti!AS18*TA_ti!AS$50*TA_ti!$BG18)</f>
        <v>10000</v>
      </c>
      <c r="AT18" s="4">
        <f>+IF(TA_ti!AT18*TA_ti!AT$50*TA_ti!$BG18=0,10000,TA_ti!AT18*TA_ti!AT$50*TA_ti!$BG18)</f>
        <v>10000</v>
      </c>
      <c r="AU18" s="4">
        <f>+IF(TA_ti!AU18*TA_ti!AU$50*TA_ti!$BG18=0,10000,TA_ti!AU18*TA_ti!AU$50*TA_ti!$BG18)</f>
        <v>10000</v>
      </c>
      <c r="AV18" s="4">
        <f>+IF(TA_ti!AV18*TA_ti!AV$50*TA_ti!$BG18=0,10000,TA_ti!AV18*TA_ti!AV$50*TA_ti!$BG18)</f>
        <v>10000</v>
      </c>
      <c r="AW18" s="4">
        <f>+IF(TA_ti!AW18*TA_ti!AW$50*TA_ti!$BG18=0,10000,TA_ti!AW18*TA_ti!AW$50*TA_ti!$BG18)</f>
        <v>10000</v>
      </c>
      <c r="AX18" s="4">
        <f>+IF(TA_ti!AX18*TA_ti!AX$50*TA_ti!$BG18=0,10000,TA_ti!AX18*TA_ti!AX$50*TA_ti!$BG18)</f>
        <v>10000</v>
      </c>
      <c r="AY18" s="4">
        <f>+IF(TA_ti!AY18*TA_ti!AY$50*TA_ti!$BG18=0,10000,TA_ti!AY18*TA_ti!AY$50*TA_ti!$BG18)</f>
        <v>10000</v>
      </c>
      <c r="AZ18" s="4">
        <f>+IF(TA_ti!AZ18*TA_ti!AZ$50*TA_ti!$BG18=0,10000,TA_ti!AZ18*TA_ti!AZ$50*TA_ti!$BG18)</f>
        <v>10000</v>
      </c>
      <c r="BA18" s="4">
        <f>+IF(TA_ti!BA18*TA_ti!BA$50*TA_ti!$BG18=0,10000,TA_ti!BA18*TA_ti!BA$50*TA_ti!$BG18)</f>
        <v>10000</v>
      </c>
      <c r="BB18" s="4">
        <f>+IF(TA_ti!BB18*TA_ti!BB$50*TA_ti!$BG18=0,10000,TA_ti!BB18*TA_ti!BB$50*TA_ti!$BG18)</f>
        <v>10000</v>
      </c>
      <c r="BC18" s="4">
        <f>+IF(TA_ti!BC18*TA_ti!BC$50*TA_ti!$BG18=0,10000,TA_ti!BC18*TA_ti!BC$50*TA_ti!$BG18)</f>
        <v>10000</v>
      </c>
    </row>
    <row r="19" spans="1:55" ht="18.75" customHeight="1" x14ac:dyDescent="0.25">
      <c r="A19" s="5" t="s">
        <v>70</v>
      </c>
      <c r="B19" s="4">
        <f>+IF(TA_ti!B19*TA_ti!B$50*TA_ti!$BG19=0,10000,TA_ti!B19*TA_ti!B$50*TA_ti!$BG19)</f>
        <v>10000</v>
      </c>
      <c r="C19" s="4">
        <f>+IF(TA_ti!C19*TA_ti!C$50*TA_ti!$BG19=0,10000,TA_ti!C19*TA_ti!C$50*TA_ti!$BG19)</f>
        <v>10000</v>
      </c>
      <c r="D19" s="4">
        <f>+IF(TA_ti!D19*TA_ti!D$50*TA_ti!$BG19=0,10000,TA_ti!D19*TA_ti!D$50*TA_ti!$BG19)</f>
        <v>10000</v>
      </c>
      <c r="E19" s="4">
        <f>+IF(TA_ti!E19*TA_ti!E$50*TA_ti!$BG19=0,10000,TA_ti!E19*TA_ti!E$50*TA_ti!$BG19)</f>
        <v>10000</v>
      </c>
      <c r="F19" s="4">
        <f>+IF(TA_ti!F19*TA_ti!F$50*TA_ti!$BG19=0,10000,TA_ti!F19*TA_ti!F$50*TA_ti!$BG19)</f>
        <v>10000</v>
      </c>
      <c r="G19" s="4">
        <f>+IF(TA_ti!G19*TA_ti!G$50*TA_ti!$BG19=0,10000,TA_ti!G19*TA_ti!G$50*TA_ti!$BG19)</f>
        <v>10000</v>
      </c>
      <c r="H19" s="4">
        <f>+IF(TA_ti!H19*TA_ti!H$50*TA_ti!$BG19=0,10000,TA_ti!H19*TA_ti!H$50*TA_ti!$BG19)</f>
        <v>10000</v>
      </c>
      <c r="I19" s="4">
        <f>+IF(TA_ti!I19*TA_ti!I$50*TA_ti!$BG19=0,10000,TA_ti!I19*TA_ti!I$50*TA_ti!$BG19)</f>
        <v>10000</v>
      </c>
      <c r="J19" s="4">
        <f>+IF(TA_ti!J19*TA_ti!J$50*TA_ti!$BG19=0,10000,TA_ti!J19*TA_ti!J$50*TA_ti!$BG19)</f>
        <v>10000</v>
      </c>
      <c r="K19" s="4">
        <f>+IF(TA_ti!K19*TA_ti!K$50*TA_ti!$BG19=0,10000,TA_ti!K19*TA_ti!K$50*TA_ti!$BG19)</f>
        <v>10000</v>
      </c>
      <c r="L19" s="4">
        <f>+IF(TA_ti!L19*TA_ti!L$50*TA_ti!$BG19=0,10000,TA_ti!L19*TA_ti!L$50*TA_ti!$BG19)</f>
        <v>10000</v>
      </c>
      <c r="M19" s="4">
        <f>+IF(TA_ti!M19*TA_ti!M$50*TA_ti!$BG19=0,10000,TA_ti!M19*TA_ti!M$50*TA_ti!$BG19)</f>
        <v>10000</v>
      </c>
      <c r="N19" s="4">
        <f>+IF(TA_ti!N19*TA_ti!N$50*TA_ti!$BG19=0,10000,TA_ti!N19*TA_ti!N$50*TA_ti!$BG19)</f>
        <v>10000</v>
      </c>
      <c r="O19" s="4">
        <f>+IF(TA_ti!O19*TA_ti!O$50*TA_ti!$BG19=0,10000,TA_ti!O19*TA_ti!O$50*TA_ti!$BG19)</f>
        <v>10000</v>
      </c>
      <c r="P19" s="4">
        <f>+IF(TA_ti!P19*TA_ti!P$50*TA_ti!$BG19=0,10000,TA_ti!P19*TA_ti!P$50*TA_ti!$BG19)</f>
        <v>10000</v>
      </c>
      <c r="Q19" s="4">
        <f>+IF(TA_ti!Q19*TA_ti!Q$50*TA_ti!$BG19=0,10000,TA_ti!Q19*TA_ti!Q$50*TA_ti!$BG19)</f>
        <v>10000</v>
      </c>
      <c r="R19" s="4">
        <f>+IF(TA_ti!R19*TA_ti!R$50*TA_ti!$BG19=0,10000,TA_ti!R19*TA_ti!R$50*TA_ti!$BG19)</f>
        <v>10000</v>
      </c>
      <c r="S19" s="4">
        <f>+IF(TA_ti!S19*TA_ti!S$50*TA_ti!$BG19=0,10000,TA_ti!S19*TA_ti!S$50*TA_ti!$BG19)</f>
        <v>10000</v>
      </c>
      <c r="T19" s="4">
        <f>+IF(TA_ti!T19*TA_ti!T$50*TA_ti!$BG19=0,10000,TA_ti!T19*TA_ti!T$50*TA_ti!$BG19)</f>
        <v>10000</v>
      </c>
      <c r="U19" s="4">
        <f>+IF(TA_ti!U19*TA_ti!U$50*TA_ti!$BG19=0,10000,TA_ti!U19*TA_ti!U$50*TA_ti!$BG19)</f>
        <v>10000</v>
      </c>
      <c r="V19" s="4">
        <f>+IF(TA_ti!V19*TA_ti!V$50*TA_ti!$BG19=0,10000,TA_ti!V19*TA_ti!V$50*TA_ti!$BG19)</f>
        <v>10000</v>
      </c>
      <c r="W19" s="4">
        <f>+IF(TA_ti!W19*TA_ti!W$50*TA_ti!$BG19=0,10000,TA_ti!W19*TA_ti!W$50*TA_ti!$BG19)</f>
        <v>10000</v>
      </c>
      <c r="X19" s="4">
        <f>+IF(TA_ti!X19*TA_ti!X$50*TA_ti!$BG19=0,10000,TA_ti!X19*TA_ti!X$50*TA_ti!$BG19)</f>
        <v>10000</v>
      </c>
      <c r="Y19" s="4">
        <f>+IF(TA_ti!Y19*TA_ti!Y$50*TA_ti!$BG19=0,10000,TA_ti!Y19*TA_ti!Y$50*TA_ti!$BG19)</f>
        <v>10000</v>
      </c>
      <c r="Z19" s="4">
        <f>+IF(TA_ti!Z19*TA_ti!Z$50*TA_ti!$BG19=0,10000,TA_ti!Z19*TA_ti!Z$50*TA_ti!$BG19)</f>
        <v>10000</v>
      </c>
      <c r="AA19" s="4">
        <f>+IF(TA_ti!AA19*TA_ti!AA$50*TA_ti!$BG19=0,10000,TA_ti!AA19*TA_ti!AA$50*TA_ti!$BG19)</f>
        <v>10000</v>
      </c>
      <c r="AB19" s="4">
        <f>+IF(TA_ti!AB19*TA_ti!AB$50*TA_ti!$BG19=0,10000,TA_ti!AB19*TA_ti!AB$50*TA_ti!$BG19)</f>
        <v>10000</v>
      </c>
      <c r="AC19" s="4">
        <f>+IF(TA_ti!AC19*TA_ti!AC$50*TA_ti!$BG19=0,10000,TA_ti!AC19*TA_ti!AC$50*TA_ti!$BG19)</f>
        <v>10000</v>
      </c>
      <c r="AD19" s="4">
        <f>+IF(TA_ti!AD19*TA_ti!AD$50*TA_ti!$BG19=0,10000,TA_ti!AD19*TA_ti!AD$50*TA_ti!$BG19)</f>
        <v>10000</v>
      </c>
      <c r="AE19" s="4">
        <f>+IF(TA_ti!AE19*TA_ti!AE$50*TA_ti!$BG19=0,10000,TA_ti!AE19*TA_ti!AE$50*TA_ti!$BG19)</f>
        <v>10000</v>
      </c>
      <c r="AF19" s="4">
        <f>+IF(TA_ti!AF19*TA_ti!AF$50*TA_ti!$BG19=0,10000,TA_ti!AF19*TA_ti!AF$50*TA_ti!$BG19)</f>
        <v>10000</v>
      </c>
      <c r="AG19" s="4">
        <f>+IF(TA_ti!AG19*TA_ti!AG$50*TA_ti!$BG19=0,10000,TA_ti!AG19*TA_ti!AG$50*TA_ti!$BG19)</f>
        <v>10000</v>
      </c>
      <c r="AH19" s="4">
        <f>+IF(TA_ti!AH19*TA_ti!AH$50*TA_ti!$BG19=0,10000,TA_ti!AH19*TA_ti!AH$50*TA_ti!$BG19)</f>
        <v>10000</v>
      </c>
      <c r="AI19" s="4">
        <f>+IF(TA_ti!AI19*TA_ti!AI$50*TA_ti!$BG19=0,10000,TA_ti!AI19*TA_ti!AI$50*TA_ti!$BG19)</f>
        <v>10000</v>
      </c>
      <c r="AJ19" s="4">
        <f>+IF(TA_ti!AJ19*TA_ti!AJ$50*TA_ti!$BG19=0,10000,TA_ti!AJ19*TA_ti!AJ$50*TA_ti!$BG19)</f>
        <v>10000</v>
      </c>
      <c r="AK19" s="4">
        <f>+IF(TA_ti!AK19*TA_ti!AK$50*TA_ti!$BG19=0,10000,TA_ti!AK19*TA_ti!AK$50*TA_ti!$BG19)</f>
        <v>10000</v>
      </c>
      <c r="AL19" s="4">
        <f>+IF(TA_ti!AL19*TA_ti!AL$50*TA_ti!$BG19=0,10000,TA_ti!AL19*TA_ti!AL$50*TA_ti!$BG19)</f>
        <v>10000</v>
      </c>
      <c r="AM19" s="4">
        <f>+IF(TA_ti!AM19*TA_ti!AM$50*TA_ti!$BG19=0,10000,TA_ti!AM19*TA_ti!AM$50*TA_ti!$BG19)</f>
        <v>10000</v>
      </c>
      <c r="AN19" s="4">
        <f>+IF(TA_ti!AN19*TA_ti!AN$50*TA_ti!$BG19=0,10000,TA_ti!AN19*TA_ti!AN$50*TA_ti!$BG19)</f>
        <v>10000</v>
      </c>
      <c r="AO19" s="4">
        <f>+IF(TA_ti!AO19*TA_ti!AO$50*TA_ti!$BG19=0,10000,TA_ti!AO19*TA_ti!AO$50*TA_ti!$BG19)</f>
        <v>10000</v>
      </c>
      <c r="AP19" s="4">
        <f>+IF(TA_ti!AP19*TA_ti!AP$50*TA_ti!$BG19=0,10000,TA_ti!AP19*TA_ti!AP$50*TA_ti!$BG19)</f>
        <v>10000</v>
      </c>
      <c r="AQ19" s="4">
        <f>+IF(TA_ti!AQ19*TA_ti!AQ$50*TA_ti!$BG19=0,10000,TA_ti!AQ19*TA_ti!AQ$50*TA_ti!$BG19)</f>
        <v>10000</v>
      </c>
      <c r="AR19" s="4">
        <f>+IF(TA_ti!AR19*TA_ti!AR$50*TA_ti!$BG19=0,10000,TA_ti!AR19*TA_ti!AR$50*TA_ti!$BG19)</f>
        <v>10000</v>
      </c>
      <c r="AS19" s="4">
        <f>+IF(TA_ti!AS19*TA_ti!AS$50*TA_ti!$BG19=0,10000,TA_ti!AS19*TA_ti!AS$50*TA_ti!$BG19)</f>
        <v>10000</v>
      </c>
      <c r="AT19" s="4">
        <f>+IF(TA_ti!AT19*TA_ti!AT$50*TA_ti!$BG19=0,10000,TA_ti!AT19*TA_ti!AT$50*TA_ti!$BG19)</f>
        <v>10000</v>
      </c>
      <c r="AU19" s="4">
        <f>+IF(TA_ti!AU19*TA_ti!AU$50*TA_ti!$BG19=0,10000,TA_ti!AU19*TA_ti!AU$50*TA_ti!$BG19)</f>
        <v>10000</v>
      </c>
      <c r="AV19" s="4">
        <f>+IF(TA_ti!AV19*TA_ti!AV$50*TA_ti!$BG19=0,10000,TA_ti!AV19*TA_ti!AV$50*TA_ti!$BG19)</f>
        <v>10000</v>
      </c>
      <c r="AW19" s="4">
        <f>+IF(TA_ti!AW19*TA_ti!AW$50*TA_ti!$BG19=0,10000,TA_ti!AW19*TA_ti!AW$50*TA_ti!$BG19)</f>
        <v>10000</v>
      </c>
      <c r="AX19" s="4">
        <f>+IF(TA_ti!AX19*TA_ti!AX$50*TA_ti!$BG19=0,10000,TA_ti!AX19*TA_ti!AX$50*TA_ti!$BG19)</f>
        <v>10000</v>
      </c>
      <c r="AY19" s="4">
        <f>+IF(TA_ti!AY19*TA_ti!AY$50*TA_ti!$BG19=0,10000,TA_ti!AY19*TA_ti!AY$50*TA_ti!$BG19)</f>
        <v>10000</v>
      </c>
      <c r="AZ19" s="4">
        <f>+IF(TA_ti!AZ19*TA_ti!AZ$50*TA_ti!$BG19=0,10000,TA_ti!AZ19*TA_ti!AZ$50*TA_ti!$BG19)</f>
        <v>10000</v>
      </c>
      <c r="BA19" s="4">
        <f>+IF(TA_ti!BA19*TA_ti!BA$50*TA_ti!$BG19=0,10000,TA_ti!BA19*TA_ti!BA$50*TA_ti!$BG19)</f>
        <v>10000</v>
      </c>
      <c r="BB19" s="4">
        <f>+IF(TA_ti!BB19*TA_ti!BB$50*TA_ti!$BG19=0,10000,TA_ti!BB19*TA_ti!BB$50*TA_ti!$BG19)</f>
        <v>10000</v>
      </c>
      <c r="BC19" s="4">
        <f>+IF(TA_ti!BC19*TA_ti!BC$50*TA_ti!$BG19=0,10000,TA_ti!BC19*TA_ti!BC$50*TA_ti!$BG19)</f>
        <v>10000</v>
      </c>
    </row>
    <row r="20" spans="1:55" ht="18.75" customHeight="1" x14ac:dyDescent="0.25">
      <c r="A20" s="5" t="s">
        <v>71</v>
      </c>
      <c r="B20" s="4">
        <f>+IF(TA_ti!B20*TA_ti!B$50*TA_ti!$BG20=0,10000,TA_ti!B20*TA_ti!B$50*TA_ti!$BG20)</f>
        <v>10000</v>
      </c>
      <c r="C20" s="4">
        <f>+IF(TA_ti!C20*TA_ti!C$50*TA_ti!$BG20=0,10000,TA_ti!C20*TA_ti!C$50*TA_ti!$BG20)</f>
        <v>10000</v>
      </c>
      <c r="D20" s="4">
        <f>+IF(TA_ti!D20*TA_ti!D$50*TA_ti!$BG20=0,10000,TA_ti!D20*TA_ti!D$50*TA_ti!$BG20)</f>
        <v>10000</v>
      </c>
      <c r="E20" s="4">
        <f>+IF(TA_ti!E20*TA_ti!E$50*TA_ti!$BG20=0,10000,TA_ti!E20*TA_ti!E$50*TA_ti!$BG20)</f>
        <v>10000</v>
      </c>
      <c r="F20" s="4">
        <f>+IF(TA_ti!F20*TA_ti!F$50*TA_ti!$BG20=0,10000,TA_ti!F20*TA_ti!F$50*TA_ti!$BG20)</f>
        <v>10000</v>
      </c>
      <c r="G20" s="4">
        <f>+IF(TA_ti!G20*TA_ti!G$50*TA_ti!$BG20=0,10000,TA_ti!G20*TA_ti!G$50*TA_ti!$BG20)</f>
        <v>10000</v>
      </c>
      <c r="H20" s="4">
        <f>+IF(TA_ti!H20*TA_ti!H$50*TA_ti!$BG20=0,10000,TA_ti!H20*TA_ti!H$50*TA_ti!$BG20)</f>
        <v>10000</v>
      </c>
      <c r="I20" s="4">
        <f>+IF(TA_ti!I20*TA_ti!I$50*TA_ti!$BG20=0,10000,TA_ti!I20*TA_ti!I$50*TA_ti!$BG20)</f>
        <v>10000</v>
      </c>
      <c r="J20" s="4">
        <f>+IF(TA_ti!J20*TA_ti!J$50*TA_ti!$BG20=0,10000,TA_ti!J20*TA_ti!J$50*TA_ti!$BG20)</f>
        <v>10000</v>
      </c>
      <c r="K20" s="4">
        <f>+IF(TA_ti!K20*TA_ti!K$50*TA_ti!$BG20=0,10000,TA_ti!K20*TA_ti!K$50*TA_ti!$BG20)</f>
        <v>10000</v>
      </c>
      <c r="L20" s="4">
        <f>+IF(TA_ti!L20*TA_ti!L$50*TA_ti!$BG20=0,10000,TA_ti!L20*TA_ti!L$50*TA_ti!$BG20)</f>
        <v>10000</v>
      </c>
      <c r="M20" s="4">
        <f>+IF(TA_ti!M20*TA_ti!M$50*TA_ti!$BG20=0,10000,TA_ti!M20*TA_ti!M$50*TA_ti!$BG20)</f>
        <v>10000</v>
      </c>
      <c r="N20" s="4">
        <f>+IF(TA_ti!N20*TA_ti!N$50*TA_ti!$BG20=0,10000,TA_ti!N20*TA_ti!N$50*TA_ti!$BG20)</f>
        <v>10000</v>
      </c>
      <c r="O20" s="4">
        <f>+IF(TA_ti!O20*TA_ti!O$50*TA_ti!$BG20=0,10000,TA_ti!O20*TA_ti!O$50*TA_ti!$BG20)</f>
        <v>10000</v>
      </c>
      <c r="P20" s="4">
        <f>+IF(TA_ti!P20*TA_ti!P$50*TA_ti!$BG20=0,10000,TA_ti!P20*TA_ti!P$50*TA_ti!$BG20)</f>
        <v>10000</v>
      </c>
      <c r="Q20" s="4">
        <f>+IF(TA_ti!Q20*TA_ti!Q$50*TA_ti!$BG20=0,10000,TA_ti!Q20*TA_ti!Q$50*TA_ti!$BG20)</f>
        <v>10000</v>
      </c>
      <c r="R20" s="4">
        <f>+IF(TA_ti!R20*TA_ti!R$50*TA_ti!$BG20=0,10000,TA_ti!R20*TA_ti!R$50*TA_ti!$BG20)</f>
        <v>10000</v>
      </c>
      <c r="S20" s="4">
        <f>+IF(TA_ti!S20*TA_ti!S$50*TA_ti!$BG20=0,10000,TA_ti!S20*TA_ti!S$50*TA_ti!$BG20)</f>
        <v>10000</v>
      </c>
      <c r="T20" s="4">
        <f>+IF(TA_ti!T20*TA_ti!T$50*TA_ti!$BG20=0,10000,TA_ti!T20*TA_ti!T$50*TA_ti!$BG20)</f>
        <v>10000</v>
      </c>
      <c r="U20" s="4">
        <f>+IF(TA_ti!U20*TA_ti!U$50*TA_ti!$BG20=0,10000,TA_ti!U20*TA_ti!U$50*TA_ti!$BG20)</f>
        <v>10000</v>
      </c>
      <c r="V20" s="4">
        <f>+IF(TA_ti!V20*TA_ti!V$50*TA_ti!$BG20=0,10000,TA_ti!V20*TA_ti!V$50*TA_ti!$BG20)</f>
        <v>10000</v>
      </c>
      <c r="W20" s="4">
        <f>+IF(TA_ti!W20*TA_ti!W$50*TA_ti!$BG20=0,10000,TA_ti!W20*TA_ti!W$50*TA_ti!$BG20)</f>
        <v>10000</v>
      </c>
      <c r="X20" s="4">
        <f>+IF(TA_ti!X20*TA_ti!X$50*TA_ti!$BG20=0,10000,TA_ti!X20*TA_ti!X$50*TA_ti!$BG20)</f>
        <v>10000</v>
      </c>
      <c r="Y20" s="4">
        <f>+IF(TA_ti!Y20*TA_ti!Y$50*TA_ti!$BG20=0,10000,TA_ti!Y20*TA_ti!Y$50*TA_ti!$BG20)</f>
        <v>10000</v>
      </c>
      <c r="Z20" s="4">
        <f>+IF(TA_ti!Z20*TA_ti!Z$50*TA_ti!$BG20=0,10000,TA_ti!Z20*TA_ti!Z$50*TA_ti!$BG20)</f>
        <v>10000</v>
      </c>
      <c r="AA20" s="4">
        <f>+IF(TA_ti!AA20*TA_ti!AA$50*TA_ti!$BG20=0,10000,TA_ti!AA20*TA_ti!AA$50*TA_ti!$BG20)</f>
        <v>10000</v>
      </c>
      <c r="AB20" s="4">
        <f>+IF(TA_ti!AB20*TA_ti!AB$50*TA_ti!$BG20=0,10000,TA_ti!AB20*TA_ti!AB$50*TA_ti!$BG20)</f>
        <v>10000</v>
      </c>
      <c r="AC20" s="4">
        <f>+IF(TA_ti!AC20*TA_ti!AC$50*TA_ti!$BG20=0,10000,TA_ti!AC20*TA_ti!AC$50*TA_ti!$BG20)</f>
        <v>10000</v>
      </c>
      <c r="AD20" s="4">
        <f>+IF(TA_ti!AD20*TA_ti!AD$50*TA_ti!$BG20=0,10000,TA_ti!AD20*TA_ti!AD$50*TA_ti!$BG20)</f>
        <v>10000</v>
      </c>
      <c r="AE20" s="4">
        <f>+IF(TA_ti!AE20*TA_ti!AE$50*TA_ti!$BG20=0,10000,TA_ti!AE20*TA_ti!AE$50*TA_ti!$BG20)</f>
        <v>10000</v>
      </c>
      <c r="AF20" s="4">
        <f>+IF(TA_ti!AF20*TA_ti!AF$50*TA_ti!$BG20=0,10000,TA_ti!AF20*TA_ti!AF$50*TA_ti!$BG20)</f>
        <v>10000</v>
      </c>
      <c r="AG20" s="4">
        <f>+IF(TA_ti!AG20*TA_ti!AG$50*TA_ti!$BG20=0,10000,TA_ti!AG20*TA_ti!AG$50*TA_ti!$BG20)</f>
        <v>10000</v>
      </c>
      <c r="AH20" s="4">
        <f>+IF(TA_ti!AH20*TA_ti!AH$50*TA_ti!$BG20=0,10000,TA_ti!AH20*TA_ti!AH$50*TA_ti!$BG20)</f>
        <v>10000</v>
      </c>
      <c r="AI20" s="4">
        <f>+IF(TA_ti!AI20*TA_ti!AI$50*TA_ti!$BG20=0,10000,TA_ti!AI20*TA_ti!AI$50*TA_ti!$BG20)</f>
        <v>10000</v>
      </c>
      <c r="AJ20" s="4">
        <f>+IF(TA_ti!AJ20*TA_ti!AJ$50*TA_ti!$BG20=0,10000,TA_ti!AJ20*TA_ti!AJ$50*TA_ti!$BG20)</f>
        <v>10000</v>
      </c>
      <c r="AK20" s="4">
        <f>+IF(TA_ti!AK20*TA_ti!AK$50*TA_ti!$BG20=0,10000,TA_ti!AK20*TA_ti!AK$50*TA_ti!$BG20)</f>
        <v>10000</v>
      </c>
      <c r="AL20" s="4">
        <f>+IF(TA_ti!AL20*TA_ti!AL$50*TA_ti!$BG20=0,10000,TA_ti!AL20*TA_ti!AL$50*TA_ti!$BG20)</f>
        <v>10000</v>
      </c>
      <c r="AM20" s="4">
        <f>+IF(TA_ti!AM20*TA_ti!AM$50*TA_ti!$BG20=0,10000,TA_ti!AM20*TA_ti!AM$50*TA_ti!$BG20)</f>
        <v>10000</v>
      </c>
      <c r="AN20" s="4">
        <f>+IF(TA_ti!AN20*TA_ti!AN$50*TA_ti!$BG20=0,10000,TA_ti!AN20*TA_ti!AN$50*TA_ti!$BG20)</f>
        <v>10000</v>
      </c>
      <c r="AO20" s="4">
        <f>+IF(TA_ti!AO20*TA_ti!AO$50*TA_ti!$BG20=0,10000,TA_ti!AO20*TA_ti!AO$50*TA_ti!$BG20)</f>
        <v>10000</v>
      </c>
      <c r="AP20" s="4">
        <f>+IF(TA_ti!AP20*TA_ti!AP$50*TA_ti!$BG20=0,10000,TA_ti!AP20*TA_ti!AP$50*TA_ti!$BG20)</f>
        <v>10000</v>
      </c>
      <c r="AQ20" s="4">
        <f>+IF(TA_ti!AQ20*TA_ti!AQ$50*TA_ti!$BG20=0,10000,TA_ti!AQ20*TA_ti!AQ$50*TA_ti!$BG20)</f>
        <v>10000</v>
      </c>
      <c r="AR20" s="4">
        <f>+IF(TA_ti!AR20*TA_ti!AR$50*TA_ti!$BG20=0,10000,TA_ti!AR20*TA_ti!AR$50*TA_ti!$BG20)</f>
        <v>10000</v>
      </c>
      <c r="AS20" s="4">
        <f>+IF(TA_ti!AS20*TA_ti!AS$50*TA_ti!$BG20=0,10000,TA_ti!AS20*TA_ti!AS$50*TA_ti!$BG20)</f>
        <v>10000</v>
      </c>
      <c r="AT20" s="4">
        <f>+IF(TA_ti!AT20*TA_ti!AT$50*TA_ti!$BG20=0,10000,TA_ti!AT20*TA_ti!AT$50*TA_ti!$BG20)</f>
        <v>10000</v>
      </c>
      <c r="AU20" s="4">
        <f>+IF(TA_ti!AU20*TA_ti!AU$50*TA_ti!$BG20=0,10000,TA_ti!AU20*TA_ti!AU$50*TA_ti!$BG20)</f>
        <v>10000</v>
      </c>
      <c r="AV20" s="4">
        <f>+IF(TA_ti!AV20*TA_ti!AV$50*TA_ti!$BG20=0,10000,TA_ti!AV20*TA_ti!AV$50*TA_ti!$BG20)</f>
        <v>10000</v>
      </c>
      <c r="AW20" s="4">
        <f>+IF(TA_ti!AW20*TA_ti!AW$50*TA_ti!$BG20=0,10000,TA_ti!AW20*TA_ti!AW$50*TA_ti!$BG20)</f>
        <v>10000</v>
      </c>
      <c r="AX20" s="4">
        <f>+IF(TA_ti!AX20*TA_ti!AX$50*TA_ti!$BG20=0,10000,TA_ti!AX20*TA_ti!AX$50*TA_ti!$BG20)</f>
        <v>10000</v>
      </c>
      <c r="AY20" s="4">
        <f>+IF(TA_ti!AY20*TA_ti!AY$50*TA_ti!$BG20=0,10000,TA_ti!AY20*TA_ti!AY$50*TA_ti!$BG20)</f>
        <v>10000</v>
      </c>
      <c r="AZ20" s="4">
        <f>+IF(TA_ti!AZ20*TA_ti!AZ$50*TA_ti!$BG20=0,10000,TA_ti!AZ20*TA_ti!AZ$50*TA_ti!$BG20)</f>
        <v>10000</v>
      </c>
      <c r="BA20" s="4">
        <f>+IF(TA_ti!BA20*TA_ti!BA$50*TA_ti!$BG20=0,10000,TA_ti!BA20*TA_ti!BA$50*TA_ti!$BG20)</f>
        <v>10000</v>
      </c>
      <c r="BB20" s="4">
        <f>+IF(TA_ti!BB20*TA_ti!BB$50*TA_ti!$BG20=0,10000,TA_ti!BB20*TA_ti!BB$50*TA_ti!$BG20)</f>
        <v>10000</v>
      </c>
      <c r="BC20" s="4">
        <f>+IF(TA_ti!BC20*TA_ti!BC$50*TA_ti!$BG20=0,10000,TA_ti!BC20*TA_ti!BC$50*TA_ti!$BG20)</f>
        <v>10000</v>
      </c>
    </row>
    <row r="21" spans="1:55" ht="18.75" customHeight="1" x14ac:dyDescent="0.25">
      <c r="A21" s="5" t="s">
        <v>72</v>
      </c>
      <c r="B21" s="4">
        <f>+IF(TA_ti!B21*TA_ti!B$50*TA_ti!$BG21=0,10000,TA_ti!B21*TA_ti!B$50*TA_ti!$BG21)</f>
        <v>10000</v>
      </c>
      <c r="C21" s="4">
        <f>+IF(TA_ti!C21*TA_ti!C$50*TA_ti!$BG21=0,10000,TA_ti!C21*TA_ti!C$50*TA_ti!$BG21)</f>
        <v>10000</v>
      </c>
      <c r="D21" s="4">
        <f>+IF(TA_ti!D21*TA_ti!D$50*TA_ti!$BG21=0,10000,TA_ti!D21*TA_ti!D$50*TA_ti!$BG21)</f>
        <v>10000</v>
      </c>
      <c r="E21" s="4">
        <f>+IF(TA_ti!E21*TA_ti!E$50*TA_ti!$BG21=0,10000,TA_ti!E21*TA_ti!E$50*TA_ti!$BG21)</f>
        <v>10000</v>
      </c>
      <c r="F21" s="4">
        <f>+IF(TA_ti!F21*TA_ti!F$50*TA_ti!$BG21=0,10000,TA_ti!F21*TA_ti!F$50*TA_ti!$BG21)</f>
        <v>10000</v>
      </c>
      <c r="G21" s="4">
        <f>+IF(TA_ti!G21*TA_ti!G$50*TA_ti!$BG21=0,10000,TA_ti!G21*TA_ti!G$50*TA_ti!$BG21)</f>
        <v>10000</v>
      </c>
      <c r="H21" s="4">
        <f>+IF(TA_ti!H21*TA_ti!H$50*TA_ti!$BG21=0,10000,TA_ti!H21*TA_ti!H$50*TA_ti!$BG21)</f>
        <v>10000</v>
      </c>
      <c r="I21" s="4">
        <f>+IF(TA_ti!I21*TA_ti!I$50*TA_ti!$BG21=0,10000,TA_ti!I21*TA_ti!I$50*TA_ti!$BG21)</f>
        <v>10000</v>
      </c>
      <c r="J21" s="4">
        <f>+IF(TA_ti!J21*TA_ti!J$50*TA_ti!$BG21=0,10000,TA_ti!J21*TA_ti!J$50*TA_ti!$BG21)</f>
        <v>10000</v>
      </c>
      <c r="K21" s="4">
        <f>+IF(TA_ti!K21*TA_ti!K$50*TA_ti!$BG21=0,10000,TA_ti!K21*TA_ti!K$50*TA_ti!$BG21)</f>
        <v>10000</v>
      </c>
      <c r="L21" s="4">
        <f>+IF(TA_ti!L21*TA_ti!L$50*TA_ti!$BG21=0,10000,TA_ti!L21*TA_ti!L$50*TA_ti!$BG21)</f>
        <v>10000</v>
      </c>
      <c r="M21" s="4">
        <f>+IF(TA_ti!M21*TA_ti!M$50*TA_ti!$BG21=0,10000,TA_ti!M21*TA_ti!M$50*TA_ti!$BG21)</f>
        <v>10000</v>
      </c>
      <c r="N21" s="4">
        <f>+IF(TA_ti!N21*TA_ti!N$50*TA_ti!$BG21=0,10000,TA_ti!N21*TA_ti!N$50*TA_ti!$BG21)</f>
        <v>10000</v>
      </c>
      <c r="O21" s="4">
        <f>+IF(TA_ti!O21*TA_ti!O$50*TA_ti!$BG21=0,10000,TA_ti!O21*TA_ti!O$50*TA_ti!$BG21)</f>
        <v>10000</v>
      </c>
      <c r="P21" s="4">
        <f>+IF(TA_ti!P21*TA_ti!P$50*TA_ti!$BG21=0,10000,TA_ti!P21*TA_ti!P$50*TA_ti!$BG21)</f>
        <v>10000</v>
      </c>
      <c r="Q21" s="4">
        <f>+IF(TA_ti!Q21*TA_ti!Q$50*TA_ti!$BG21=0,10000,TA_ti!Q21*TA_ti!Q$50*TA_ti!$BG21)</f>
        <v>10000</v>
      </c>
      <c r="R21" s="4">
        <f>+IF(TA_ti!R21*TA_ti!R$50*TA_ti!$BG21=0,10000,TA_ti!R21*TA_ti!R$50*TA_ti!$BG21)</f>
        <v>10000</v>
      </c>
      <c r="S21" s="4">
        <f>+IF(TA_ti!S21*TA_ti!S$50*TA_ti!$BG21=0,10000,TA_ti!S21*TA_ti!S$50*TA_ti!$BG21)</f>
        <v>10000</v>
      </c>
      <c r="T21" s="4">
        <f>+IF(TA_ti!T21*TA_ti!T$50*TA_ti!$BG21=0,10000,TA_ti!T21*TA_ti!T$50*TA_ti!$BG21)</f>
        <v>10000</v>
      </c>
      <c r="U21" s="4">
        <f>+IF(TA_ti!U21*TA_ti!U$50*TA_ti!$BG21=0,10000,TA_ti!U21*TA_ti!U$50*TA_ti!$BG21)</f>
        <v>10000</v>
      </c>
      <c r="V21" s="4">
        <f>+IF(TA_ti!V21*TA_ti!V$50*TA_ti!$BG21=0,10000,TA_ti!V21*TA_ti!V$50*TA_ti!$BG21)</f>
        <v>10000</v>
      </c>
      <c r="W21" s="4">
        <f>+IF(TA_ti!W21*TA_ti!W$50*TA_ti!$BG21=0,10000,TA_ti!W21*TA_ti!W$50*TA_ti!$BG21)</f>
        <v>10000</v>
      </c>
      <c r="X21" s="4">
        <f>+IF(TA_ti!X21*TA_ti!X$50*TA_ti!$BG21=0,10000,TA_ti!X21*TA_ti!X$50*TA_ti!$BG21)</f>
        <v>10000</v>
      </c>
      <c r="Y21" s="4">
        <f>+IF(TA_ti!Y21*TA_ti!Y$50*TA_ti!$BG21=0,10000,TA_ti!Y21*TA_ti!Y$50*TA_ti!$BG21)</f>
        <v>10000</v>
      </c>
      <c r="Z21" s="4">
        <f>+IF(TA_ti!Z21*TA_ti!Z$50*TA_ti!$BG21=0,10000,TA_ti!Z21*TA_ti!Z$50*TA_ti!$BG21)</f>
        <v>10000</v>
      </c>
      <c r="AA21" s="4">
        <f>+IF(TA_ti!AA21*TA_ti!AA$50*TA_ti!$BG21=0,10000,TA_ti!AA21*TA_ti!AA$50*TA_ti!$BG21)</f>
        <v>10000</v>
      </c>
      <c r="AB21" s="4">
        <f>+IF(TA_ti!AB21*TA_ti!AB$50*TA_ti!$BG21=0,10000,TA_ti!AB21*TA_ti!AB$50*TA_ti!$BG21)</f>
        <v>10000</v>
      </c>
      <c r="AC21" s="4">
        <f>+IF(TA_ti!AC21*TA_ti!AC$50*TA_ti!$BG21=0,10000,TA_ti!AC21*TA_ti!AC$50*TA_ti!$BG21)</f>
        <v>10000</v>
      </c>
      <c r="AD21" s="4">
        <f>+IF(TA_ti!AD21*TA_ti!AD$50*TA_ti!$BG21=0,10000,TA_ti!AD21*TA_ti!AD$50*TA_ti!$BG21)</f>
        <v>10000</v>
      </c>
      <c r="AE21" s="4">
        <f>+IF(TA_ti!AE21*TA_ti!AE$50*TA_ti!$BG21=0,10000,TA_ti!AE21*TA_ti!AE$50*TA_ti!$BG21)</f>
        <v>10000</v>
      </c>
      <c r="AF21" s="4">
        <f>+IF(TA_ti!AF21*TA_ti!AF$50*TA_ti!$BG21=0,10000,TA_ti!AF21*TA_ti!AF$50*TA_ti!$BG21)</f>
        <v>10000</v>
      </c>
      <c r="AG21" s="4">
        <f>+IF(TA_ti!AG21*TA_ti!AG$50*TA_ti!$BG21=0,10000,TA_ti!AG21*TA_ti!AG$50*TA_ti!$BG21)</f>
        <v>10000</v>
      </c>
      <c r="AH21" s="4">
        <f>+IF(TA_ti!AH21*TA_ti!AH$50*TA_ti!$BG21=0,10000,TA_ti!AH21*TA_ti!AH$50*TA_ti!$BG21)</f>
        <v>10000</v>
      </c>
      <c r="AI21" s="4">
        <f>+IF(TA_ti!AI21*TA_ti!AI$50*TA_ti!$BG21=0,10000,TA_ti!AI21*TA_ti!AI$50*TA_ti!$BG21)</f>
        <v>10000</v>
      </c>
      <c r="AJ21" s="4">
        <f>+IF(TA_ti!AJ21*TA_ti!AJ$50*TA_ti!$BG21=0,10000,TA_ti!AJ21*TA_ti!AJ$50*TA_ti!$BG21)</f>
        <v>10000</v>
      </c>
      <c r="AK21" s="4">
        <f>+IF(TA_ti!AK21*TA_ti!AK$50*TA_ti!$BG21=0,10000,TA_ti!AK21*TA_ti!AK$50*TA_ti!$BG21)</f>
        <v>10000</v>
      </c>
      <c r="AL21" s="4">
        <f>+IF(TA_ti!AL21*TA_ti!AL$50*TA_ti!$BG21=0,10000,TA_ti!AL21*TA_ti!AL$50*TA_ti!$BG21)</f>
        <v>10000</v>
      </c>
      <c r="AM21" s="4">
        <f>+IF(TA_ti!AM21*TA_ti!AM$50*TA_ti!$BG21=0,10000,TA_ti!AM21*TA_ti!AM$50*TA_ti!$BG21)</f>
        <v>10000</v>
      </c>
      <c r="AN21" s="4">
        <f>+IF(TA_ti!AN21*TA_ti!AN$50*TA_ti!$BG21=0,10000,TA_ti!AN21*TA_ti!AN$50*TA_ti!$BG21)</f>
        <v>10000</v>
      </c>
      <c r="AO21" s="4">
        <f>+IF(TA_ti!AO21*TA_ti!AO$50*TA_ti!$BG21=0,10000,TA_ti!AO21*TA_ti!AO$50*TA_ti!$BG21)</f>
        <v>10000</v>
      </c>
      <c r="AP21" s="4">
        <f>+IF(TA_ti!AP21*TA_ti!AP$50*TA_ti!$BG21=0,10000,TA_ti!AP21*TA_ti!AP$50*TA_ti!$BG21)</f>
        <v>10000</v>
      </c>
      <c r="AQ21" s="4">
        <f>+IF(TA_ti!AQ21*TA_ti!AQ$50*TA_ti!$BG21=0,10000,TA_ti!AQ21*TA_ti!AQ$50*TA_ti!$BG21)</f>
        <v>10000</v>
      </c>
      <c r="AR21" s="4">
        <f>+IF(TA_ti!AR21*TA_ti!AR$50*TA_ti!$BG21=0,10000,TA_ti!AR21*TA_ti!AR$50*TA_ti!$BG21)</f>
        <v>10000</v>
      </c>
      <c r="AS21" s="4">
        <f>+IF(TA_ti!AS21*TA_ti!AS$50*TA_ti!$BG21=0,10000,TA_ti!AS21*TA_ti!AS$50*TA_ti!$BG21)</f>
        <v>10000</v>
      </c>
      <c r="AT21" s="4">
        <f>+IF(TA_ti!AT21*TA_ti!AT$50*TA_ti!$BG21=0,10000,TA_ti!AT21*TA_ti!AT$50*TA_ti!$BG21)</f>
        <v>10000</v>
      </c>
      <c r="AU21" s="4">
        <f>+IF(TA_ti!AU21*TA_ti!AU$50*TA_ti!$BG21=0,10000,TA_ti!AU21*TA_ti!AU$50*TA_ti!$BG21)</f>
        <v>10000</v>
      </c>
      <c r="AV21" s="4">
        <f>+IF(TA_ti!AV21*TA_ti!AV$50*TA_ti!$BG21=0,10000,TA_ti!AV21*TA_ti!AV$50*TA_ti!$BG21)</f>
        <v>10000</v>
      </c>
      <c r="AW21" s="4">
        <f>+IF(TA_ti!AW21*TA_ti!AW$50*TA_ti!$BG21=0,10000,TA_ti!AW21*TA_ti!AW$50*TA_ti!$BG21)</f>
        <v>10000</v>
      </c>
      <c r="AX21" s="4">
        <f>+IF(TA_ti!AX21*TA_ti!AX$50*TA_ti!$BG21=0,10000,TA_ti!AX21*TA_ti!AX$50*TA_ti!$BG21)</f>
        <v>10000</v>
      </c>
      <c r="AY21" s="4">
        <f>+IF(TA_ti!AY21*TA_ti!AY$50*TA_ti!$BG21=0,10000,TA_ti!AY21*TA_ti!AY$50*TA_ti!$BG21)</f>
        <v>10000</v>
      </c>
      <c r="AZ21" s="4">
        <f>+IF(TA_ti!AZ21*TA_ti!AZ$50*TA_ti!$BG21=0,10000,TA_ti!AZ21*TA_ti!AZ$50*TA_ti!$BG21)</f>
        <v>10000</v>
      </c>
      <c r="BA21" s="4">
        <f>+IF(TA_ti!BA21*TA_ti!BA$50*TA_ti!$BG21=0,10000,TA_ti!BA21*TA_ti!BA$50*TA_ti!$BG21)</f>
        <v>10000</v>
      </c>
      <c r="BB21" s="4">
        <f>+IF(TA_ti!BB21*TA_ti!BB$50*TA_ti!$BG21=0,10000,TA_ti!BB21*TA_ti!BB$50*TA_ti!$BG21)</f>
        <v>10000</v>
      </c>
      <c r="BC21" s="4">
        <f>+IF(TA_ti!BC21*TA_ti!BC$50*TA_ti!$BG21=0,10000,TA_ti!BC21*TA_ti!BC$50*TA_ti!$BG21)</f>
        <v>10000</v>
      </c>
    </row>
    <row r="22" spans="1:55" ht="18.75" customHeight="1" x14ac:dyDescent="0.25">
      <c r="A22" s="5" t="s">
        <v>73</v>
      </c>
      <c r="B22" s="4">
        <f>+IF(TA_ti!B22*TA_ti!B$50*TA_ti!$BG22=0,10000,TA_ti!B22*TA_ti!B$50*TA_ti!$BG22)</f>
        <v>10000</v>
      </c>
      <c r="C22" s="4">
        <f>+IF(TA_ti!C22*TA_ti!C$50*TA_ti!$BG22=0,10000,TA_ti!C22*TA_ti!C$50*TA_ti!$BG22)</f>
        <v>10000</v>
      </c>
      <c r="D22" s="4">
        <f>+IF(TA_ti!D22*TA_ti!D$50*TA_ti!$BG22=0,10000,TA_ti!D22*TA_ti!D$50*TA_ti!$BG22)</f>
        <v>10000</v>
      </c>
      <c r="E22" s="4">
        <f>+IF(TA_ti!E22*TA_ti!E$50*TA_ti!$BG22=0,10000,TA_ti!E22*TA_ti!E$50*TA_ti!$BG22)</f>
        <v>10000</v>
      </c>
      <c r="F22" s="4">
        <f>+IF(TA_ti!F22*TA_ti!F$50*TA_ti!$BG22=0,10000,TA_ti!F22*TA_ti!F$50*TA_ti!$BG22)</f>
        <v>10000</v>
      </c>
      <c r="G22" s="4">
        <f>+IF(TA_ti!G22*TA_ti!G$50*TA_ti!$BG22=0,10000,TA_ti!G22*TA_ti!G$50*TA_ti!$BG22)</f>
        <v>10000</v>
      </c>
      <c r="H22" s="4">
        <f>+IF(TA_ti!H22*TA_ti!H$50*TA_ti!$BG22=0,10000,TA_ti!H22*TA_ti!H$50*TA_ti!$BG22)</f>
        <v>10000</v>
      </c>
      <c r="I22" s="4">
        <f>+IF(TA_ti!I22*TA_ti!I$50*TA_ti!$BG22=0,10000,TA_ti!I22*TA_ti!I$50*TA_ti!$BG22)</f>
        <v>10000</v>
      </c>
      <c r="J22" s="4">
        <f>+IF(TA_ti!J22*TA_ti!J$50*TA_ti!$BG22=0,10000,TA_ti!J22*TA_ti!J$50*TA_ti!$BG22)</f>
        <v>10000</v>
      </c>
      <c r="K22" s="4">
        <f>+IF(TA_ti!K22*TA_ti!K$50*TA_ti!$BG22=0,10000,TA_ti!K22*TA_ti!K$50*TA_ti!$BG22)</f>
        <v>10000</v>
      </c>
      <c r="L22" s="4">
        <f>+IF(TA_ti!L22*TA_ti!L$50*TA_ti!$BG22=0,10000,TA_ti!L22*TA_ti!L$50*TA_ti!$BG22)</f>
        <v>10000</v>
      </c>
      <c r="M22" s="4">
        <f>+IF(TA_ti!M22*TA_ti!M$50*TA_ti!$BG22=0,10000,TA_ti!M22*TA_ti!M$50*TA_ti!$BG22)</f>
        <v>10000</v>
      </c>
      <c r="N22" s="4">
        <f>+IF(TA_ti!N22*TA_ti!N$50*TA_ti!$BG22=0,10000,TA_ti!N22*TA_ti!N$50*TA_ti!$BG22)</f>
        <v>10000</v>
      </c>
      <c r="O22" s="4">
        <f>+IF(TA_ti!O22*TA_ti!O$50*TA_ti!$BG22=0,10000,TA_ti!O22*TA_ti!O$50*TA_ti!$BG22)</f>
        <v>10000</v>
      </c>
      <c r="P22" s="4">
        <f>+IF(TA_ti!P22*TA_ti!P$50*TA_ti!$BG22=0,10000,TA_ti!P22*TA_ti!P$50*TA_ti!$BG22)</f>
        <v>10000</v>
      </c>
      <c r="Q22" s="4">
        <f>+IF(TA_ti!Q22*TA_ti!Q$50*TA_ti!$BG22=0,10000,TA_ti!Q22*TA_ti!Q$50*TA_ti!$BG22)</f>
        <v>10000</v>
      </c>
      <c r="R22" s="4">
        <f>+IF(TA_ti!R22*TA_ti!R$50*TA_ti!$BG22=0,10000,TA_ti!R22*TA_ti!R$50*TA_ti!$BG22)</f>
        <v>10000</v>
      </c>
      <c r="S22" s="4">
        <f>+IF(TA_ti!S22*TA_ti!S$50*TA_ti!$BG22=0,10000,TA_ti!S22*TA_ti!S$50*TA_ti!$BG22)</f>
        <v>10000</v>
      </c>
      <c r="T22" s="4">
        <f>+IF(TA_ti!T22*TA_ti!T$50*TA_ti!$BG22=0,10000,TA_ti!T22*TA_ti!T$50*TA_ti!$BG22)</f>
        <v>10000</v>
      </c>
      <c r="U22" s="4">
        <f>+IF(TA_ti!U22*TA_ti!U$50*TA_ti!$BG22=0,10000,TA_ti!U22*TA_ti!U$50*TA_ti!$BG22)</f>
        <v>10000</v>
      </c>
      <c r="V22" s="4">
        <f>+IF(TA_ti!V22*TA_ti!V$50*TA_ti!$BG22=0,10000,TA_ti!V22*TA_ti!V$50*TA_ti!$BG22)</f>
        <v>10000</v>
      </c>
      <c r="W22" s="4">
        <f>+IF(TA_ti!W22*TA_ti!W$50*TA_ti!$BG22=0,10000,TA_ti!W22*TA_ti!W$50*TA_ti!$BG22)</f>
        <v>10000</v>
      </c>
      <c r="X22" s="4">
        <f>+IF(TA_ti!X22*TA_ti!X$50*TA_ti!$BG22=0,10000,TA_ti!X22*TA_ti!X$50*TA_ti!$BG22)</f>
        <v>10000</v>
      </c>
      <c r="Y22" s="4">
        <f>+IF(TA_ti!Y22*TA_ti!Y$50*TA_ti!$BG22=0,10000,TA_ti!Y22*TA_ti!Y$50*TA_ti!$BG22)</f>
        <v>10000</v>
      </c>
      <c r="Z22" s="4">
        <f>+IF(TA_ti!Z22*TA_ti!Z$50*TA_ti!$BG22=0,10000,TA_ti!Z22*TA_ti!Z$50*TA_ti!$BG22)</f>
        <v>10000</v>
      </c>
      <c r="AA22" s="4">
        <f>+IF(TA_ti!AA22*TA_ti!AA$50*TA_ti!$BG22=0,10000,TA_ti!AA22*TA_ti!AA$50*TA_ti!$BG22)</f>
        <v>10000</v>
      </c>
      <c r="AB22" s="4">
        <f>+IF(TA_ti!AB22*TA_ti!AB$50*TA_ti!$BG22=0,10000,TA_ti!AB22*TA_ti!AB$50*TA_ti!$BG22)</f>
        <v>10000</v>
      </c>
      <c r="AC22" s="4">
        <f>+IF(TA_ti!AC22*TA_ti!AC$50*TA_ti!$BG22=0,10000,TA_ti!AC22*TA_ti!AC$50*TA_ti!$BG22)</f>
        <v>10000</v>
      </c>
      <c r="AD22" s="4">
        <f>+IF(TA_ti!AD22*TA_ti!AD$50*TA_ti!$BG22=0,10000,TA_ti!AD22*TA_ti!AD$50*TA_ti!$BG22)</f>
        <v>10000</v>
      </c>
      <c r="AE22" s="4">
        <f>+IF(TA_ti!AE22*TA_ti!AE$50*TA_ti!$BG22=0,10000,TA_ti!AE22*TA_ti!AE$50*TA_ti!$BG22)</f>
        <v>10000</v>
      </c>
      <c r="AF22" s="4">
        <f>+IF(TA_ti!AF22*TA_ti!AF$50*TA_ti!$BG22=0,10000,TA_ti!AF22*TA_ti!AF$50*TA_ti!$BG22)</f>
        <v>10000</v>
      </c>
      <c r="AG22" s="4">
        <f>+IF(TA_ti!AG22*TA_ti!AG$50*TA_ti!$BG22=0,10000,TA_ti!AG22*TA_ti!AG$50*TA_ti!$BG22)</f>
        <v>10000</v>
      </c>
      <c r="AH22" s="4">
        <f>+IF(TA_ti!AH22*TA_ti!AH$50*TA_ti!$BG22=0,10000,TA_ti!AH22*TA_ti!AH$50*TA_ti!$BG22)</f>
        <v>10000</v>
      </c>
      <c r="AI22" s="4">
        <f>+IF(TA_ti!AI22*TA_ti!AI$50*TA_ti!$BG22=0,10000,TA_ti!AI22*TA_ti!AI$50*TA_ti!$BG22)</f>
        <v>10000</v>
      </c>
      <c r="AJ22" s="4">
        <f>+IF(TA_ti!AJ22*TA_ti!AJ$50*TA_ti!$BG22=0,10000,TA_ti!AJ22*TA_ti!AJ$50*TA_ti!$BG22)</f>
        <v>10000</v>
      </c>
      <c r="AK22" s="4">
        <f>+IF(TA_ti!AK22*TA_ti!AK$50*TA_ti!$BG22=0,10000,TA_ti!AK22*TA_ti!AK$50*TA_ti!$BG22)</f>
        <v>10000</v>
      </c>
      <c r="AL22" s="4">
        <f>+IF(TA_ti!AL22*TA_ti!AL$50*TA_ti!$BG22=0,10000,TA_ti!AL22*TA_ti!AL$50*TA_ti!$BG22)</f>
        <v>10000</v>
      </c>
      <c r="AM22" s="4">
        <f>+IF(TA_ti!AM22*TA_ti!AM$50*TA_ti!$BG22=0,10000,TA_ti!AM22*TA_ti!AM$50*TA_ti!$BG22)</f>
        <v>10000</v>
      </c>
      <c r="AN22" s="4">
        <f>+IF(TA_ti!AN22*TA_ti!AN$50*TA_ti!$BG22=0,10000,TA_ti!AN22*TA_ti!AN$50*TA_ti!$BG22)</f>
        <v>10000</v>
      </c>
      <c r="AO22" s="4">
        <f>+IF(TA_ti!AO22*TA_ti!AO$50*TA_ti!$BG22=0,10000,TA_ti!AO22*TA_ti!AO$50*TA_ti!$BG22)</f>
        <v>10000</v>
      </c>
      <c r="AP22" s="4">
        <f>+IF(TA_ti!AP22*TA_ti!AP$50*TA_ti!$BG22=0,10000,TA_ti!AP22*TA_ti!AP$50*TA_ti!$BG22)</f>
        <v>10000</v>
      </c>
      <c r="AQ22" s="4">
        <f>+IF(TA_ti!AQ22*TA_ti!AQ$50*TA_ti!$BG22=0,10000,TA_ti!AQ22*TA_ti!AQ$50*TA_ti!$BG22)</f>
        <v>10000</v>
      </c>
      <c r="AR22" s="4">
        <f>+IF(TA_ti!AR22*TA_ti!AR$50*TA_ti!$BG22=0,10000,TA_ti!AR22*TA_ti!AR$50*TA_ti!$BG22)</f>
        <v>10000</v>
      </c>
      <c r="AS22" s="4">
        <f>+IF(TA_ti!AS22*TA_ti!AS$50*TA_ti!$BG22=0,10000,TA_ti!AS22*TA_ti!AS$50*TA_ti!$BG22)</f>
        <v>10000</v>
      </c>
      <c r="AT22" s="4">
        <f>+IF(TA_ti!AT22*TA_ti!AT$50*TA_ti!$BG22=0,10000,TA_ti!AT22*TA_ti!AT$50*TA_ti!$BG22)</f>
        <v>10000</v>
      </c>
      <c r="AU22" s="4">
        <f>+IF(TA_ti!AU22*TA_ti!AU$50*TA_ti!$BG22=0,10000,TA_ti!AU22*TA_ti!AU$50*TA_ti!$BG22)</f>
        <v>10000</v>
      </c>
      <c r="AV22" s="4">
        <f>+IF(TA_ti!AV22*TA_ti!AV$50*TA_ti!$BG22=0,10000,TA_ti!AV22*TA_ti!AV$50*TA_ti!$BG22)</f>
        <v>10000</v>
      </c>
      <c r="AW22" s="4">
        <f>+IF(TA_ti!AW22*TA_ti!AW$50*TA_ti!$BG22=0,10000,TA_ti!AW22*TA_ti!AW$50*TA_ti!$BG22)</f>
        <v>10000</v>
      </c>
      <c r="AX22" s="4">
        <f>+IF(TA_ti!AX22*TA_ti!AX$50*TA_ti!$BG22=0,10000,TA_ti!AX22*TA_ti!AX$50*TA_ti!$BG22)</f>
        <v>10000</v>
      </c>
      <c r="AY22" s="4">
        <f>+IF(TA_ti!AY22*TA_ti!AY$50*TA_ti!$BG22=0,10000,TA_ti!AY22*TA_ti!AY$50*TA_ti!$BG22)</f>
        <v>10000</v>
      </c>
      <c r="AZ22" s="4">
        <f>+IF(TA_ti!AZ22*TA_ti!AZ$50*TA_ti!$BG22=0,10000,TA_ti!AZ22*TA_ti!AZ$50*TA_ti!$BG22)</f>
        <v>10000</v>
      </c>
      <c r="BA22" s="4">
        <f>+IF(TA_ti!BA22*TA_ti!BA$50*TA_ti!$BG22=0,10000,TA_ti!BA22*TA_ti!BA$50*TA_ti!$BG22)</f>
        <v>10000</v>
      </c>
      <c r="BB22" s="4">
        <f>+IF(TA_ti!BB22*TA_ti!BB$50*TA_ti!$BG22=0,10000,TA_ti!BB22*TA_ti!BB$50*TA_ti!$BG22)</f>
        <v>10000</v>
      </c>
      <c r="BC22" s="4">
        <f>+IF(TA_ti!BC22*TA_ti!BC$50*TA_ti!$BG22=0,10000,TA_ti!BC22*TA_ti!BC$50*TA_ti!$BG22)</f>
        <v>10000</v>
      </c>
    </row>
    <row r="23" spans="1:55" ht="18.75" customHeight="1" x14ac:dyDescent="0.25">
      <c r="A23" s="5" t="s">
        <v>74</v>
      </c>
      <c r="B23" s="4">
        <f>+IF(TA_ti!B23*TA_ti!B$50*TA_ti!$BG23=0,10000,TA_ti!B23*TA_ti!B$50*TA_ti!$BG23)</f>
        <v>10000</v>
      </c>
      <c r="C23" s="4">
        <f>+IF(TA_ti!C23*TA_ti!C$50*TA_ti!$BG23=0,10000,TA_ti!C23*TA_ti!C$50*TA_ti!$BG23)</f>
        <v>10000</v>
      </c>
      <c r="D23" s="4">
        <f>+IF(TA_ti!D23*TA_ti!D$50*TA_ti!$BG23=0,10000,TA_ti!D23*TA_ti!D$50*TA_ti!$BG23)</f>
        <v>10000</v>
      </c>
      <c r="E23" s="4">
        <f>+IF(TA_ti!E23*TA_ti!E$50*TA_ti!$BG23=0,10000,TA_ti!E23*TA_ti!E$50*TA_ti!$BG23)</f>
        <v>10000</v>
      </c>
      <c r="F23" s="4">
        <f>+IF(TA_ti!F23*TA_ti!F$50*TA_ti!$BG23=0,10000,TA_ti!F23*TA_ti!F$50*TA_ti!$BG23)</f>
        <v>10000</v>
      </c>
      <c r="G23" s="4">
        <f>+IF(TA_ti!G23*TA_ti!G$50*TA_ti!$BG23=0,10000,TA_ti!G23*TA_ti!G$50*TA_ti!$BG23)</f>
        <v>10000</v>
      </c>
      <c r="H23" s="4">
        <f>+IF(TA_ti!H23*TA_ti!H$50*TA_ti!$BG23=0,10000,TA_ti!H23*TA_ti!H$50*TA_ti!$BG23)</f>
        <v>10000</v>
      </c>
      <c r="I23" s="4">
        <f>+IF(TA_ti!I23*TA_ti!I$50*TA_ti!$BG23=0,10000,TA_ti!I23*TA_ti!I$50*TA_ti!$BG23)</f>
        <v>10000</v>
      </c>
      <c r="J23" s="4">
        <f>+IF(TA_ti!J23*TA_ti!J$50*TA_ti!$BG23=0,10000,TA_ti!J23*TA_ti!J$50*TA_ti!$BG23)</f>
        <v>10000</v>
      </c>
      <c r="K23" s="4">
        <f>+IF(TA_ti!K23*TA_ti!K$50*TA_ti!$BG23=0,10000,TA_ti!K23*TA_ti!K$50*TA_ti!$BG23)</f>
        <v>10000</v>
      </c>
      <c r="L23" s="4">
        <f>+IF(TA_ti!L23*TA_ti!L$50*TA_ti!$BG23=0,10000,TA_ti!L23*TA_ti!L$50*TA_ti!$BG23)</f>
        <v>10000</v>
      </c>
      <c r="M23" s="4">
        <f>+IF(TA_ti!M23*TA_ti!M$50*TA_ti!$BG23=0,10000,TA_ti!M23*TA_ti!M$50*TA_ti!$BG23)</f>
        <v>10000</v>
      </c>
      <c r="N23" s="4">
        <f>+IF(TA_ti!N23*TA_ti!N$50*TA_ti!$BG23=0,10000,TA_ti!N23*TA_ti!N$50*TA_ti!$BG23)</f>
        <v>10000</v>
      </c>
      <c r="O23" s="4">
        <f>+IF(TA_ti!O23*TA_ti!O$50*TA_ti!$BG23=0,10000,TA_ti!O23*TA_ti!O$50*TA_ti!$BG23)</f>
        <v>10000</v>
      </c>
      <c r="P23" s="4">
        <f>+IF(TA_ti!P23*TA_ti!P$50*TA_ti!$BG23=0,10000,TA_ti!P23*TA_ti!P$50*TA_ti!$BG23)</f>
        <v>10000</v>
      </c>
      <c r="Q23" s="4">
        <f>+IF(TA_ti!Q23*TA_ti!Q$50*TA_ti!$BG23=0,10000,TA_ti!Q23*TA_ti!Q$50*TA_ti!$BG23)</f>
        <v>10000</v>
      </c>
      <c r="R23" s="4">
        <f>+IF(TA_ti!R23*TA_ti!R$50*TA_ti!$BG23=0,10000,TA_ti!R23*TA_ti!R$50*TA_ti!$BG23)</f>
        <v>10000</v>
      </c>
      <c r="S23" s="4">
        <f>+IF(TA_ti!S23*TA_ti!S$50*TA_ti!$BG23=0,10000,TA_ti!S23*TA_ti!S$50*TA_ti!$BG23)</f>
        <v>10000</v>
      </c>
      <c r="T23" s="4">
        <f>+IF(TA_ti!T23*TA_ti!T$50*TA_ti!$BG23=0,10000,TA_ti!T23*TA_ti!T$50*TA_ti!$BG23)</f>
        <v>10000</v>
      </c>
      <c r="U23" s="4">
        <f>+IF(TA_ti!U23*TA_ti!U$50*TA_ti!$BG23=0,10000,TA_ti!U23*TA_ti!U$50*TA_ti!$BG23)</f>
        <v>10000</v>
      </c>
      <c r="V23" s="4">
        <f>+IF(TA_ti!V23*TA_ti!V$50*TA_ti!$BG23=0,10000,TA_ti!V23*TA_ti!V$50*TA_ti!$BG23)</f>
        <v>10000</v>
      </c>
      <c r="W23" s="4">
        <f>+IF(TA_ti!W23*TA_ti!W$50*TA_ti!$BG23=0,10000,TA_ti!W23*TA_ti!W$50*TA_ti!$BG23)</f>
        <v>10000</v>
      </c>
      <c r="X23" s="4">
        <f>+IF(TA_ti!X23*TA_ti!X$50*TA_ti!$BG23=0,10000,TA_ti!X23*TA_ti!X$50*TA_ti!$BG23)</f>
        <v>10000</v>
      </c>
      <c r="Y23" s="4">
        <f>+IF(TA_ti!Y23*TA_ti!Y$50*TA_ti!$BG23=0,10000,TA_ti!Y23*TA_ti!Y$50*TA_ti!$BG23)</f>
        <v>10000</v>
      </c>
      <c r="Z23" s="4">
        <f>+IF(TA_ti!Z23*TA_ti!Z$50*TA_ti!$BG23=0,10000,TA_ti!Z23*TA_ti!Z$50*TA_ti!$BG23)</f>
        <v>10000</v>
      </c>
      <c r="AA23" s="4">
        <f>+IF(TA_ti!AA23*TA_ti!AA$50*TA_ti!$BG23=0,10000,TA_ti!AA23*TA_ti!AA$50*TA_ti!$BG23)</f>
        <v>10000</v>
      </c>
      <c r="AB23" s="4">
        <f>+IF(TA_ti!AB23*TA_ti!AB$50*TA_ti!$BG23=0,10000,TA_ti!AB23*TA_ti!AB$50*TA_ti!$BG23)</f>
        <v>10000</v>
      </c>
      <c r="AC23" s="4">
        <f>+IF(TA_ti!AC23*TA_ti!AC$50*TA_ti!$BG23=0,10000,TA_ti!AC23*TA_ti!AC$50*TA_ti!$BG23)</f>
        <v>10000</v>
      </c>
      <c r="AD23" s="4">
        <f>+IF(TA_ti!AD23*TA_ti!AD$50*TA_ti!$BG23=0,10000,TA_ti!AD23*TA_ti!AD$50*TA_ti!$BG23)</f>
        <v>10000</v>
      </c>
      <c r="AE23" s="4">
        <f>+IF(TA_ti!AE23*TA_ti!AE$50*TA_ti!$BG23=0,10000,TA_ti!AE23*TA_ti!AE$50*TA_ti!$BG23)</f>
        <v>10000</v>
      </c>
      <c r="AF23" s="4">
        <f>+IF(TA_ti!AF23*TA_ti!AF$50*TA_ti!$BG23=0,10000,TA_ti!AF23*TA_ti!AF$50*TA_ti!$BG23)</f>
        <v>10000</v>
      </c>
      <c r="AG23" s="4">
        <f>+IF(TA_ti!AG23*TA_ti!AG$50*TA_ti!$BG23=0,10000,TA_ti!AG23*TA_ti!AG$50*TA_ti!$BG23)</f>
        <v>10000</v>
      </c>
      <c r="AH23" s="4">
        <f>+IF(TA_ti!AH23*TA_ti!AH$50*TA_ti!$BG23=0,10000,TA_ti!AH23*TA_ti!AH$50*TA_ti!$BG23)</f>
        <v>10000</v>
      </c>
      <c r="AI23" s="4">
        <f>+IF(TA_ti!AI23*TA_ti!AI$50*TA_ti!$BG23=0,10000,TA_ti!AI23*TA_ti!AI$50*TA_ti!$BG23)</f>
        <v>10000</v>
      </c>
      <c r="AJ23" s="4">
        <f>+IF(TA_ti!AJ23*TA_ti!AJ$50*TA_ti!$BG23=0,10000,TA_ti!AJ23*TA_ti!AJ$50*TA_ti!$BG23)</f>
        <v>10000</v>
      </c>
      <c r="AK23" s="4">
        <f>+IF(TA_ti!AK23*TA_ti!AK$50*TA_ti!$BG23=0,10000,TA_ti!AK23*TA_ti!AK$50*TA_ti!$BG23)</f>
        <v>10000</v>
      </c>
      <c r="AL23" s="4">
        <f>+IF(TA_ti!AL23*TA_ti!AL$50*TA_ti!$BG23=0,10000,TA_ti!AL23*TA_ti!AL$50*TA_ti!$BG23)</f>
        <v>10000</v>
      </c>
      <c r="AM23" s="4">
        <f>+IF(TA_ti!AM23*TA_ti!AM$50*TA_ti!$BG23=0,10000,TA_ti!AM23*TA_ti!AM$50*TA_ti!$BG23)</f>
        <v>10000</v>
      </c>
      <c r="AN23" s="4">
        <f>+IF(TA_ti!AN23*TA_ti!AN$50*TA_ti!$BG23=0,10000,TA_ti!AN23*TA_ti!AN$50*TA_ti!$BG23)</f>
        <v>10000</v>
      </c>
      <c r="AO23" s="4">
        <f>+IF(TA_ti!AO23*TA_ti!AO$50*TA_ti!$BG23=0,10000,TA_ti!AO23*TA_ti!AO$50*TA_ti!$BG23)</f>
        <v>10000</v>
      </c>
      <c r="AP23" s="4">
        <f>+IF(TA_ti!AP23*TA_ti!AP$50*TA_ti!$BG23=0,10000,TA_ti!AP23*TA_ti!AP$50*TA_ti!$BG23)</f>
        <v>10000</v>
      </c>
      <c r="AQ23" s="4">
        <f>+IF(TA_ti!AQ23*TA_ti!AQ$50*TA_ti!$BG23=0,10000,TA_ti!AQ23*TA_ti!AQ$50*TA_ti!$BG23)</f>
        <v>10000</v>
      </c>
      <c r="AR23" s="4">
        <f>+IF(TA_ti!AR23*TA_ti!AR$50*TA_ti!$BG23=0,10000,TA_ti!AR23*TA_ti!AR$50*TA_ti!$BG23)</f>
        <v>10000</v>
      </c>
      <c r="AS23" s="4">
        <f>+IF(TA_ti!AS23*TA_ti!AS$50*TA_ti!$BG23=0,10000,TA_ti!AS23*TA_ti!AS$50*TA_ti!$BG23)</f>
        <v>10000</v>
      </c>
      <c r="AT23" s="4">
        <f>+IF(TA_ti!AT23*TA_ti!AT$50*TA_ti!$BG23=0,10000,TA_ti!AT23*TA_ti!AT$50*TA_ti!$BG23)</f>
        <v>10000</v>
      </c>
      <c r="AU23" s="4">
        <f>+IF(TA_ti!AU23*TA_ti!AU$50*TA_ti!$BG23=0,10000,TA_ti!AU23*TA_ti!AU$50*TA_ti!$BG23)</f>
        <v>10000</v>
      </c>
      <c r="AV23" s="4">
        <f>+IF(TA_ti!AV23*TA_ti!AV$50*TA_ti!$BG23=0,10000,TA_ti!AV23*TA_ti!AV$50*TA_ti!$BG23)</f>
        <v>10000</v>
      </c>
      <c r="AW23" s="4">
        <f>+IF(TA_ti!AW23*TA_ti!AW$50*TA_ti!$BG23=0,10000,TA_ti!AW23*TA_ti!AW$50*TA_ti!$BG23)</f>
        <v>10000</v>
      </c>
      <c r="AX23" s="4">
        <f>+IF(TA_ti!AX23*TA_ti!AX$50*TA_ti!$BG23=0,10000,TA_ti!AX23*TA_ti!AX$50*TA_ti!$BG23)</f>
        <v>10000</v>
      </c>
      <c r="AY23" s="4">
        <f>+IF(TA_ti!AY23*TA_ti!AY$50*TA_ti!$BG23=0,10000,TA_ti!AY23*TA_ti!AY$50*TA_ti!$BG23)</f>
        <v>10000</v>
      </c>
      <c r="AZ23" s="4">
        <f>+IF(TA_ti!AZ23*TA_ti!AZ$50*TA_ti!$BG23=0,10000,TA_ti!AZ23*TA_ti!AZ$50*TA_ti!$BG23)</f>
        <v>10000</v>
      </c>
      <c r="BA23" s="4">
        <f>+IF(TA_ti!BA23*TA_ti!BA$50*TA_ti!$BG23=0,10000,TA_ti!BA23*TA_ti!BA$50*TA_ti!$BG23)</f>
        <v>10000</v>
      </c>
      <c r="BB23" s="4">
        <f>+IF(TA_ti!BB23*TA_ti!BB$50*TA_ti!$BG23=0,10000,TA_ti!BB23*TA_ti!BB$50*TA_ti!$BG23)</f>
        <v>10000</v>
      </c>
      <c r="BC23" s="4">
        <f>+IF(TA_ti!BC23*TA_ti!BC$50*TA_ti!$BG23=0,10000,TA_ti!BC23*TA_ti!BC$50*TA_ti!$BG23)</f>
        <v>10000</v>
      </c>
    </row>
    <row r="24" spans="1:55" ht="18.75" customHeight="1" x14ac:dyDescent="0.25">
      <c r="A24" s="5" t="s">
        <v>75</v>
      </c>
      <c r="B24" s="4">
        <f>+IF(TA_ti!B24*TA_ti!B$50*TA_ti!$BG24=0,10000,TA_ti!B24*TA_ti!B$50*TA_ti!$BG24)</f>
        <v>10000</v>
      </c>
      <c r="C24" s="4">
        <f>+IF(TA_ti!C24*TA_ti!C$50*TA_ti!$BG24=0,10000,TA_ti!C24*TA_ti!C$50*TA_ti!$BG24)</f>
        <v>10000</v>
      </c>
      <c r="D24" s="4">
        <f>+IF(TA_ti!D24*TA_ti!D$50*TA_ti!$BG24=0,10000,TA_ti!D24*TA_ti!D$50*TA_ti!$BG24)</f>
        <v>10000</v>
      </c>
      <c r="E24" s="4">
        <f>+IF(TA_ti!E24*TA_ti!E$50*TA_ti!$BG24=0,10000,TA_ti!E24*TA_ti!E$50*TA_ti!$BG24)</f>
        <v>10000</v>
      </c>
      <c r="F24" s="4">
        <f>+IF(TA_ti!F24*TA_ti!F$50*TA_ti!$BG24=0,10000,TA_ti!F24*TA_ti!F$50*TA_ti!$BG24)</f>
        <v>10000</v>
      </c>
      <c r="G24" s="4">
        <f>+IF(TA_ti!G24*TA_ti!G$50*TA_ti!$BG24=0,10000,TA_ti!G24*TA_ti!G$50*TA_ti!$BG24)</f>
        <v>10000</v>
      </c>
      <c r="H24" s="4">
        <f>+IF(TA_ti!H24*TA_ti!H$50*TA_ti!$BG24=0,10000,TA_ti!H24*TA_ti!H$50*TA_ti!$BG24)</f>
        <v>10000</v>
      </c>
      <c r="I24" s="4">
        <f>+IF(TA_ti!I24*TA_ti!I$50*TA_ti!$BG24=0,10000,TA_ti!I24*TA_ti!I$50*TA_ti!$BG24)</f>
        <v>10000</v>
      </c>
      <c r="J24" s="4">
        <f>+IF(TA_ti!J24*TA_ti!J$50*TA_ti!$BG24=0,10000,TA_ti!J24*TA_ti!J$50*TA_ti!$BG24)</f>
        <v>10000</v>
      </c>
      <c r="K24" s="4">
        <f>+IF(TA_ti!K24*TA_ti!K$50*TA_ti!$BG24=0,10000,TA_ti!K24*TA_ti!K$50*TA_ti!$BG24)</f>
        <v>10000</v>
      </c>
      <c r="L24" s="4">
        <f>+IF(TA_ti!L24*TA_ti!L$50*TA_ti!$BG24=0,10000,TA_ti!L24*TA_ti!L$50*TA_ti!$BG24)</f>
        <v>10000</v>
      </c>
      <c r="M24" s="4">
        <f>+IF(TA_ti!M24*TA_ti!M$50*TA_ti!$BG24=0,10000,TA_ti!M24*TA_ti!M$50*TA_ti!$BG24)</f>
        <v>10000</v>
      </c>
      <c r="N24" s="4">
        <f>+IF(TA_ti!N24*TA_ti!N$50*TA_ti!$BG24=0,10000,TA_ti!N24*TA_ti!N$50*TA_ti!$BG24)</f>
        <v>10000</v>
      </c>
      <c r="O24" s="4">
        <f>+IF(TA_ti!O24*TA_ti!O$50*TA_ti!$BG24=0,10000,TA_ti!O24*TA_ti!O$50*TA_ti!$BG24)</f>
        <v>10000</v>
      </c>
      <c r="P24" s="4">
        <f>+IF(TA_ti!P24*TA_ti!P$50*TA_ti!$BG24=0,10000,TA_ti!P24*TA_ti!P$50*TA_ti!$BG24)</f>
        <v>10000</v>
      </c>
      <c r="Q24" s="4">
        <f>+IF(TA_ti!Q24*TA_ti!Q$50*TA_ti!$BG24=0,10000,TA_ti!Q24*TA_ti!Q$50*TA_ti!$BG24)</f>
        <v>10000</v>
      </c>
      <c r="R24" s="4">
        <f>+IF(TA_ti!R24*TA_ti!R$50*TA_ti!$BG24=0,10000,TA_ti!R24*TA_ti!R$50*TA_ti!$BG24)</f>
        <v>10000</v>
      </c>
      <c r="S24" s="4">
        <f>+IF(TA_ti!S24*TA_ti!S$50*TA_ti!$BG24=0,10000,TA_ti!S24*TA_ti!S$50*TA_ti!$BG24)</f>
        <v>10000</v>
      </c>
      <c r="T24" s="4">
        <f>+IF(TA_ti!T24*TA_ti!T$50*TA_ti!$BG24=0,10000,TA_ti!T24*TA_ti!T$50*TA_ti!$BG24)</f>
        <v>10000</v>
      </c>
      <c r="U24" s="4">
        <f>+IF(TA_ti!U24*TA_ti!U$50*TA_ti!$BG24=0,10000,TA_ti!U24*TA_ti!U$50*TA_ti!$BG24)</f>
        <v>10000</v>
      </c>
      <c r="V24" s="4">
        <f>+IF(TA_ti!V24*TA_ti!V$50*TA_ti!$BG24=0,10000,TA_ti!V24*TA_ti!V$50*TA_ti!$BG24)</f>
        <v>10000</v>
      </c>
      <c r="W24" s="4">
        <f>+IF(TA_ti!W24*TA_ti!W$50*TA_ti!$BG24=0,10000,TA_ti!W24*TA_ti!W$50*TA_ti!$BG24)</f>
        <v>10000</v>
      </c>
      <c r="X24" s="4">
        <f>+IF(TA_ti!X24*TA_ti!X$50*TA_ti!$BG24=0,10000,TA_ti!X24*TA_ti!X$50*TA_ti!$BG24)</f>
        <v>10000</v>
      </c>
      <c r="Y24" s="4">
        <f>+IF(TA_ti!Y24*TA_ti!Y$50*TA_ti!$BG24=0,10000,TA_ti!Y24*TA_ti!Y$50*TA_ti!$BG24)</f>
        <v>10000</v>
      </c>
      <c r="Z24" s="4">
        <f>+IF(TA_ti!Z24*TA_ti!Z$50*TA_ti!$BG24=0,10000,TA_ti!Z24*TA_ti!Z$50*TA_ti!$BG24)</f>
        <v>10000</v>
      </c>
      <c r="AA24" s="4">
        <f>+IF(TA_ti!AA24*TA_ti!AA$50*TA_ti!$BG24=0,10000,TA_ti!AA24*TA_ti!AA$50*TA_ti!$BG24)</f>
        <v>10000</v>
      </c>
      <c r="AB24" s="4">
        <f>+IF(TA_ti!AB24*TA_ti!AB$50*TA_ti!$BG24=0,10000,TA_ti!AB24*TA_ti!AB$50*TA_ti!$BG24)</f>
        <v>10000</v>
      </c>
      <c r="AC24" s="4">
        <f>+IF(TA_ti!AC24*TA_ti!AC$50*TA_ti!$BG24=0,10000,TA_ti!AC24*TA_ti!AC$50*TA_ti!$BG24)</f>
        <v>10000</v>
      </c>
      <c r="AD24" s="4">
        <f>+IF(TA_ti!AD24*TA_ti!AD$50*TA_ti!$BG24=0,10000,TA_ti!AD24*TA_ti!AD$50*TA_ti!$BG24)</f>
        <v>10000</v>
      </c>
      <c r="AE24" s="4">
        <f>+IF(TA_ti!AE24*TA_ti!AE$50*TA_ti!$BG24=0,10000,TA_ti!AE24*TA_ti!AE$50*TA_ti!$BG24)</f>
        <v>10000</v>
      </c>
      <c r="AF24" s="4">
        <f>+IF(TA_ti!AF24*TA_ti!AF$50*TA_ti!$BG24=0,10000,TA_ti!AF24*TA_ti!AF$50*TA_ti!$BG24)</f>
        <v>10000</v>
      </c>
      <c r="AG24" s="4">
        <f>+IF(TA_ti!AG24*TA_ti!AG$50*TA_ti!$BG24=0,10000,TA_ti!AG24*TA_ti!AG$50*TA_ti!$BG24)</f>
        <v>10000</v>
      </c>
      <c r="AH24" s="4">
        <f>+IF(TA_ti!AH24*TA_ti!AH$50*TA_ti!$BG24=0,10000,TA_ti!AH24*TA_ti!AH$50*TA_ti!$BG24)</f>
        <v>10000</v>
      </c>
      <c r="AI24" s="4">
        <f>+IF(TA_ti!AI24*TA_ti!AI$50*TA_ti!$BG24=0,10000,TA_ti!AI24*TA_ti!AI$50*TA_ti!$BG24)</f>
        <v>10000</v>
      </c>
      <c r="AJ24" s="4">
        <f>+IF(TA_ti!AJ24*TA_ti!AJ$50*TA_ti!$BG24=0,10000,TA_ti!AJ24*TA_ti!AJ$50*TA_ti!$BG24)</f>
        <v>10000</v>
      </c>
      <c r="AK24" s="4">
        <f>+IF(TA_ti!AK24*TA_ti!AK$50*TA_ti!$BG24=0,10000,TA_ti!AK24*TA_ti!AK$50*TA_ti!$BG24)</f>
        <v>10000</v>
      </c>
      <c r="AL24" s="4">
        <f>+IF(TA_ti!AL24*TA_ti!AL$50*TA_ti!$BG24=0,10000,TA_ti!AL24*TA_ti!AL$50*TA_ti!$BG24)</f>
        <v>10000</v>
      </c>
      <c r="AM24" s="4">
        <f>+IF(TA_ti!AM24*TA_ti!AM$50*TA_ti!$BG24=0,10000,TA_ti!AM24*TA_ti!AM$50*TA_ti!$BG24)</f>
        <v>10000</v>
      </c>
      <c r="AN24" s="4">
        <f>+IF(TA_ti!AN24*TA_ti!AN$50*TA_ti!$BG24=0,10000,TA_ti!AN24*TA_ti!AN$50*TA_ti!$BG24)</f>
        <v>10000</v>
      </c>
      <c r="AO24" s="4">
        <f>+IF(TA_ti!AO24*TA_ti!AO$50*TA_ti!$BG24=0,10000,TA_ti!AO24*TA_ti!AO$50*TA_ti!$BG24)</f>
        <v>10000</v>
      </c>
      <c r="AP24" s="4">
        <f>+IF(TA_ti!AP24*TA_ti!AP$50*TA_ti!$BG24=0,10000,TA_ti!AP24*TA_ti!AP$50*TA_ti!$BG24)</f>
        <v>10000</v>
      </c>
      <c r="AQ24" s="4">
        <f>+IF(TA_ti!AQ24*TA_ti!AQ$50*TA_ti!$BG24=0,10000,TA_ti!AQ24*TA_ti!AQ$50*TA_ti!$BG24)</f>
        <v>10000</v>
      </c>
      <c r="AR24" s="4">
        <f>+IF(TA_ti!AR24*TA_ti!AR$50*TA_ti!$BG24=0,10000,TA_ti!AR24*TA_ti!AR$50*TA_ti!$BG24)</f>
        <v>10000</v>
      </c>
      <c r="AS24" s="4">
        <f>+IF(TA_ti!AS24*TA_ti!AS$50*TA_ti!$BG24=0,10000,TA_ti!AS24*TA_ti!AS$50*TA_ti!$BG24)</f>
        <v>10000</v>
      </c>
      <c r="AT24" s="4">
        <f>+IF(TA_ti!AT24*TA_ti!AT$50*TA_ti!$BG24=0,10000,TA_ti!AT24*TA_ti!AT$50*TA_ti!$BG24)</f>
        <v>10000</v>
      </c>
      <c r="AU24" s="4">
        <f>+IF(TA_ti!AU24*TA_ti!AU$50*TA_ti!$BG24=0,10000,TA_ti!AU24*TA_ti!AU$50*TA_ti!$BG24)</f>
        <v>10000</v>
      </c>
      <c r="AV24" s="4">
        <f>+IF(TA_ti!AV24*TA_ti!AV$50*TA_ti!$BG24=0,10000,TA_ti!AV24*TA_ti!AV$50*TA_ti!$BG24)</f>
        <v>10000</v>
      </c>
      <c r="AW24" s="4">
        <f>+IF(TA_ti!AW24*TA_ti!AW$50*TA_ti!$BG24=0,10000,TA_ti!AW24*TA_ti!AW$50*TA_ti!$BG24)</f>
        <v>10000</v>
      </c>
      <c r="AX24" s="4">
        <f>+IF(TA_ti!AX24*TA_ti!AX$50*TA_ti!$BG24=0,10000,TA_ti!AX24*TA_ti!AX$50*TA_ti!$BG24)</f>
        <v>10000</v>
      </c>
      <c r="AY24" s="4">
        <f>+IF(TA_ti!AY24*TA_ti!AY$50*TA_ti!$BG24=0,10000,TA_ti!AY24*TA_ti!AY$50*TA_ti!$BG24)</f>
        <v>10000</v>
      </c>
      <c r="AZ24" s="4">
        <f>+IF(TA_ti!AZ24*TA_ti!AZ$50*TA_ti!$BG24=0,10000,TA_ti!AZ24*TA_ti!AZ$50*TA_ti!$BG24)</f>
        <v>10000</v>
      </c>
      <c r="BA24" s="4">
        <f>+IF(TA_ti!BA24*TA_ti!BA$50*TA_ti!$BG24=0,10000,TA_ti!BA24*TA_ti!BA$50*TA_ti!$BG24)</f>
        <v>10000</v>
      </c>
      <c r="BB24" s="4">
        <f>+IF(TA_ti!BB24*TA_ti!BB$50*TA_ti!$BG24=0,10000,TA_ti!BB24*TA_ti!BB$50*TA_ti!$BG24)</f>
        <v>10000</v>
      </c>
      <c r="BC24" s="4">
        <f>+IF(TA_ti!BC24*TA_ti!BC$50*TA_ti!$BG24=0,10000,TA_ti!BC24*TA_ti!BC$50*TA_ti!$BG24)</f>
        <v>10000</v>
      </c>
    </row>
    <row r="25" spans="1:55" ht="18.75" customHeight="1" x14ac:dyDescent="0.25">
      <c r="A25" s="5" t="s">
        <v>76</v>
      </c>
      <c r="B25" s="4">
        <f>+IF(TA_ti!B25*TA_ti!B$50*TA_ti!$BG25=0,10000,TA_ti!B25*TA_ti!B$50*TA_ti!$BG25)</f>
        <v>10000</v>
      </c>
      <c r="C25" s="4">
        <f>+IF(TA_ti!C25*TA_ti!C$50*TA_ti!$BG25=0,10000,TA_ti!C25*TA_ti!C$50*TA_ti!$BG25)</f>
        <v>10000</v>
      </c>
      <c r="D25" s="4">
        <f>+IF(TA_ti!D25*TA_ti!D$50*TA_ti!$BG25=0,10000,TA_ti!D25*TA_ti!D$50*TA_ti!$BG25)</f>
        <v>10000</v>
      </c>
      <c r="E25" s="4">
        <f>+IF(TA_ti!E25*TA_ti!E$50*TA_ti!$BG25=0,10000,TA_ti!E25*TA_ti!E$50*TA_ti!$BG25)</f>
        <v>10000</v>
      </c>
      <c r="F25" s="4">
        <f>+IF(TA_ti!F25*TA_ti!F$50*TA_ti!$BG25=0,10000,TA_ti!F25*TA_ti!F$50*TA_ti!$BG25)</f>
        <v>10000</v>
      </c>
      <c r="G25" s="4">
        <f>+IF(TA_ti!G25*TA_ti!G$50*TA_ti!$BG25=0,10000,TA_ti!G25*TA_ti!G$50*TA_ti!$BG25)</f>
        <v>10000</v>
      </c>
      <c r="H25" s="4">
        <f>+IF(TA_ti!H25*TA_ti!H$50*TA_ti!$BG25=0,10000,TA_ti!H25*TA_ti!H$50*TA_ti!$BG25)</f>
        <v>10000</v>
      </c>
      <c r="I25" s="4">
        <f>+IF(TA_ti!I25*TA_ti!I$50*TA_ti!$BG25=0,10000,TA_ti!I25*TA_ti!I$50*TA_ti!$BG25)</f>
        <v>10000</v>
      </c>
      <c r="J25" s="4">
        <f>+IF(TA_ti!J25*TA_ti!J$50*TA_ti!$BG25=0,10000,TA_ti!J25*TA_ti!J$50*TA_ti!$BG25)</f>
        <v>10000</v>
      </c>
      <c r="K25" s="4">
        <f>+IF(TA_ti!K25*TA_ti!K$50*TA_ti!$BG25=0,10000,TA_ti!K25*TA_ti!K$50*TA_ti!$BG25)</f>
        <v>10000</v>
      </c>
      <c r="L25" s="4">
        <f>+IF(TA_ti!L25*TA_ti!L$50*TA_ti!$BG25=0,10000,TA_ti!L25*TA_ti!L$50*TA_ti!$BG25)</f>
        <v>10000</v>
      </c>
      <c r="M25" s="4">
        <f>+IF(TA_ti!M25*TA_ti!M$50*TA_ti!$BG25=0,10000,TA_ti!M25*TA_ti!M$50*TA_ti!$BG25)</f>
        <v>10000</v>
      </c>
      <c r="N25" s="4">
        <f>+IF(TA_ti!N25*TA_ti!N$50*TA_ti!$BG25=0,10000,TA_ti!N25*TA_ti!N$50*TA_ti!$BG25)</f>
        <v>10000</v>
      </c>
      <c r="O25" s="4">
        <f>+IF(TA_ti!O25*TA_ti!O$50*TA_ti!$BG25=0,10000,TA_ti!O25*TA_ti!O$50*TA_ti!$BG25)</f>
        <v>10000</v>
      </c>
      <c r="P25" s="4">
        <f>+IF(TA_ti!P25*TA_ti!P$50*TA_ti!$BG25=0,10000,TA_ti!P25*TA_ti!P$50*TA_ti!$BG25)</f>
        <v>10000</v>
      </c>
      <c r="Q25" s="4">
        <f>+IF(TA_ti!Q25*TA_ti!Q$50*TA_ti!$BG25=0,10000,TA_ti!Q25*TA_ti!Q$50*TA_ti!$BG25)</f>
        <v>10000</v>
      </c>
      <c r="R25" s="4">
        <f>+IF(TA_ti!R25*TA_ti!R$50*TA_ti!$BG25=0,10000,TA_ti!R25*TA_ti!R$50*TA_ti!$BG25)</f>
        <v>10000</v>
      </c>
      <c r="S25" s="4">
        <f>+IF(TA_ti!S25*TA_ti!S$50*TA_ti!$BG25=0,10000,TA_ti!S25*TA_ti!S$50*TA_ti!$BG25)</f>
        <v>10000</v>
      </c>
      <c r="T25" s="4">
        <f>+IF(TA_ti!T25*TA_ti!T$50*TA_ti!$BG25=0,10000,TA_ti!T25*TA_ti!T$50*TA_ti!$BG25)</f>
        <v>10000</v>
      </c>
      <c r="U25" s="4">
        <f>+IF(TA_ti!U25*TA_ti!U$50*TA_ti!$BG25=0,10000,TA_ti!U25*TA_ti!U$50*TA_ti!$BG25)</f>
        <v>10000</v>
      </c>
      <c r="V25" s="4">
        <f>+IF(TA_ti!V25*TA_ti!V$50*TA_ti!$BG25=0,10000,TA_ti!V25*TA_ti!V$50*TA_ti!$BG25)</f>
        <v>10000</v>
      </c>
      <c r="W25" s="4">
        <f>+IF(TA_ti!W25*TA_ti!W$50*TA_ti!$BG25=0,10000,TA_ti!W25*TA_ti!W$50*TA_ti!$BG25)</f>
        <v>10000</v>
      </c>
      <c r="X25" s="4">
        <f>+IF(TA_ti!X25*TA_ti!X$50*TA_ti!$BG25=0,10000,TA_ti!X25*TA_ti!X$50*TA_ti!$BG25)</f>
        <v>10000</v>
      </c>
      <c r="Y25" s="4">
        <f>+IF(TA_ti!Y25*TA_ti!Y$50*TA_ti!$BG25=0,10000,TA_ti!Y25*TA_ti!Y$50*TA_ti!$BG25)</f>
        <v>10000</v>
      </c>
      <c r="Z25" s="4">
        <f>+IF(TA_ti!Z25*TA_ti!Z$50*TA_ti!$BG25=0,10000,TA_ti!Z25*TA_ti!Z$50*TA_ti!$BG25)</f>
        <v>10000</v>
      </c>
      <c r="AA25" s="4">
        <f>+IF(TA_ti!AA25*TA_ti!AA$50*TA_ti!$BG25=0,10000,TA_ti!AA25*TA_ti!AA$50*TA_ti!$BG25)</f>
        <v>10000</v>
      </c>
      <c r="AB25" s="4">
        <f>+IF(TA_ti!AB25*TA_ti!AB$50*TA_ti!$BG25=0,10000,TA_ti!AB25*TA_ti!AB$50*TA_ti!$BG25)</f>
        <v>10000</v>
      </c>
      <c r="AC25" s="4">
        <f>+IF(TA_ti!AC25*TA_ti!AC$50*TA_ti!$BG25=0,10000,TA_ti!AC25*TA_ti!AC$50*TA_ti!$BG25)</f>
        <v>10000</v>
      </c>
      <c r="AD25" s="4">
        <f>+IF(TA_ti!AD25*TA_ti!AD$50*TA_ti!$BG25=0,10000,TA_ti!AD25*TA_ti!AD$50*TA_ti!$BG25)</f>
        <v>10000</v>
      </c>
      <c r="AE25" s="4">
        <f>+IF(TA_ti!AE25*TA_ti!AE$50*TA_ti!$BG25=0,10000,TA_ti!AE25*TA_ti!AE$50*TA_ti!$BG25)</f>
        <v>10000</v>
      </c>
      <c r="AF25" s="4">
        <f>+IF(TA_ti!AF25*TA_ti!AF$50*TA_ti!$BG25=0,10000,TA_ti!AF25*TA_ti!AF$50*TA_ti!$BG25)</f>
        <v>10000</v>
      </c>
      <c r="AG25" s="4">
        <f>+IF(TA_ti!AG25*TA_ti!AG$50*TA_ti!$BG25=0,10000,TA_ti!AG25*TA_ti!AG$50*TA_ti!$BG25)</f>
        <v>10000</v>
      </c>
      <c r="AH25" s="4">
        <f>+IF(TA_ti!AH25*TA_ti!AH$50*TA_ti!$BG25=0,10000,TA_ti!AH25*TA_ti!AH$50*TA_ti!$BG25)</f>
        <v>10000</v>
      </c>
      <c r="AI25" s="4">
        <f>+IF(TA_ti!AI25*TA_ti!AI$50*TA_ti!$BG25=0,10000,TA_ti!AI25*TA_ti!AI$50*TA_ti!$BG25)</f>
        <v>10000</v>
      </c>
      <c r="AJ25" s="4">
        <f>+IF(TA_ti!AJ25*TA_ti!AJ$50*TA_ti!$BG25=0,10000,TA_ti!AJ25*TA_ti!AJ$50*TA_ti!$BG25)</f>
        <v>10000</v>
      </c>
      <c r="AK25" s="4">
        <f>+IF(TA_ti!AK25*TA_ti!AK$50*TA_ti!$BG25=0,10000,TA_ti!AK25*TA_ti!AK$50*TA_ti!$BG25)</f>
        <v>10000</v>
      </c>
      <c r="AL25" s="4">
        <f>+IF(TA_ti!AL25*TA_ti!AL$50*TA_ti!$BG25=0,10000,TA_ti!AL25*TA_ti!AL$50*TA_ti!$BG25)</f>
        <v>10000</v>
      </c>
      <c r="AM25" s="4">
        <f>+IF(TA_ti!AM25*TA_ti!AM$50*TA_ti!$BG25=0,10000,TA_ti!AM25*TA_ti!AM$50*TA_ti!$BG25)</f>
        <v>10000</v>
      </c>
      <c r="AN25" s="4">
        <f>+IF(TA_ti!AN25*TA_ti!AN$50*TA_ti!$BG25=0,10000,TA_ti!AN25*TA_ti!AN$50*TA_ti!$BG25)</f>
        <v>10000</v>
      </c>
      <c r="AO25" s="4">
        <f>+IF(TA_ti!AO25*TA_ti!AO$50*TA_ti!$BG25=0,10000,TA_ti!AO25*TA_ti!AO$50*TA_ti!$BG25)</f>
        <v>10000</v>
      </c>
      <c r="AP25" s="4">
        <f>+IF(TA_ti!AP25*TA_ti!AP$50*TA_ti!$BG25=0,10000,TA_ti!AP25*TA_ti!AP$50*TA_ti!$BG25)</f>
        <v>10000</v>
      </c>
      <c r="AQ25" s="4">
        <f>+IF(TA_ti!AQ25*TA_ti!AQ$50*TA_ti!$BG25=0,10000,TA_ti!AQ25*TA_ti!AQ$50*TA_ti!$BG25)</f>
        <v>10000</v>
      </c>
      <c r="AR25" s="4">
        <f>+IF(TA_ti!AR25*TA_ti!AR$50*TA_ti!$BG25=0,10000,TA_ti!AR25*TA_ti!AR$50*TA_ti!$BG25)</f>
        <v>10000</v>
      </c>
      <c r="AS25" s="4">
        <f>+IF(TA_ti!AS25*TA_ti!AS$50*TA_ti!$BG25=0,10000,TA_ti!AS25*TA_ti!AS$50*TA_ti!$BG25)</f>
        <v>10000</v>
      </c>
      <c r="AT25" s="4">
        <f>+IF(TA_ti!AT25*TA_ti!AT$50*TA_ti!$BG25=0,10000,TA_ti!AT25*TA_ti!AT$50*TA_ti!$BG25)</f>
        <v>10000</v>
      </c>
      <c r="AU25" s="4">
        <f>+IF(TA_ti!AU25*TA_ti!AU$50*TA_ti!$BG25=0,10000,TA_ti!AU25*TA_ti!AU$50*TA_ti!$BG25)</f>
        <v>10000</v>
      </c>
      <c r="AV25" s="4">
        <f>+IF(TA_ti!AV25*TA_ti!AV$50*TA_ti!$BG25=0,10000,TA_ti!AV25*TA_ti!AV$50*TA_ti!$BG25)</f>
        <v>10000</v>
      </c>
      <c r="AW25" s="4">
        <f>+IF(TA_ti!AW25*TA_ti!AW$50*TA_ti!$BG25=0,10000,TA_ti!AW25*TA_ti!AW$50*TA_ti!$BG25)</f>
        <v>10000</v>
      </c>
      <c r="AX25" s="4">
        <f>+IF(TA_ti!AX25*TA_ti!AX$50*TA_ti!$BG25=0,10000,TA_ti!AX25*TA_ti!AX$50*TA_ti!$BG25)</f>
        <v>10000</v>
      </c>
      <c r="AY25" s="4">
        <f>+IF(TA_ti!AY25*TA_ti!AY$50*TA_ti!$BG25=0,10000,TA_ti!AY25*TA_ti!AY$50*TA_ti!$BG25)</f>
        <v>10000</v>
      </c>
      <c r="AZ25" s="4">
        <f>+IF(TA_ti!AZ25*TA_ti!AZ$50*TA_ti!$BG25=0,10000,TA_ti!AZ25*TA_ti!AZ$50*TA_ti!$BG25)</f>
        <v>10000</v>
      </c>
      <c r="BA25" s="4">
        <f>+IF(TA_ti!BA25*TA_ti!BA$50*TA_ti!$BG25=0,10000,TA_ti!BA25*TA_ti!BA$50*TA_ti!$BG25)</f>
        <v>10000</v>
      </c>
      <c r="BB25" s="4">
        <f>+IF(TA_ti!BB25*TA_ti!BB$50*TA_ti!$BG25=0,10000,TA_ti!BB25*TA_ti!BB$50*TA_ti!$BG25)</f>
        <v>10000</v>
      </c>
      <c r="BC25" s="4">
        <f>+IF(TA_ti!BC25*TA_ti!BC$50*TA_ti!$BG25=0,10000,TA_ti!BC25*TA_ti!BC$50*TA_ti!$BG25)</f>
        <v>10000</v>
      </c>
    </row>
    <row r="26" spans="1:55" ht="18.75" customHeight="1" x14ac:dyDescent="0.25">
      <c r="A26" s="5" t="s">
        <v>77</v>
      </c>
      <c r="B26" s="4">
        <f>+IF(TA_ti!B26*TA_ti!B$50*TA_ti!$BG26=0,10000,TA_ti!B26*TA_ti!B$50*TA_ti!$BG26)</f>
        <v>10000</v>
      </c>
      <c r="C26" s="4">
        <f>+IF(TA_ti!C26*TA_ti!C$50*TA_ti!$BG26=0,10000,TA_ti!C26*TA_ti!C$50*TA_ti!$BG26)</f>
        <v>10000</v>
      </c>
      <c r="D26" s="4">
        <f>+IF(TA_ti!D26*TA_ti!D$50*TA_ti!$BG26=0,10000,TA_ti!D26*TA_ti!D$50*TA_ti!$BG26)</f>
        <v>10000</v>
      </c>
      <c r="E26" s="4">
        <f>+IF(TA_ti!E26*TA_ti!E$50*TA_ti!$BG26=0,10000,TA_ti!E26*TA_ti!E$50*TA_ti!$BG26)</f>
        <v>10000</v>
      </c>
      <c r="F26" s="4">
        <f>+IF(TA_ti!F26*TA_ti!F$50*TA_ti!$BG26=0,10000,TA_ti!F26*TA_ti!F$50*TA_ti!$BG26)</f>
        <v>10000</v>
      </c>
      <c r="G26" s="4">
        <f>+IF(TA_ti!G26*TA_ti!G$50*TA_ti!$BG26=0,10000,TA_ti!G26*TA_ti!G$50*TA_ti!$BG26)</f>
        <v>10000</v>
      </c>
      <c r="H26" s="4">
        <f>+IF(TA_ti!H26*TA_ti!H$50*TA_ti!$BG26=0,10000,TA_ti!H26*TA_ti!H$50*TA_ti!$BG26)</f>
        <v>10000</v>
      </c>
      <c r="I26" s="4">
        <f>+IF(TA_ti!I26*TA_ti!I$50*TA_ti!$BG26=0,10000,TA_ti!I26*TA_ti!I$50*TA_ti!$BG26)</f>
        <v>10000</v>
      </c>
      <c r="J26" s="4">
        <f>+IF(TA_ti!J26*TA_ti!J$50*TA_ti!$BG26=0,10000,TA_ti!J26*TA_ti!J$50*TA_ti!$BG26)</f>
        <v>10000</v>
      </c>
      <c r="K26" s="4">
        <f>+IF(TA_ti!K26*TA_ti!K$50*TA_ti!$BG26=0,10000,TA_ti!K26*TA_ti!K$50*TA_ti!$BG26)</f>
        <v>10000</v>
      </c>
      <c r="L26" s="4">
        <f>+IF(TA_ti!L26*TA_ti!L$50*TA_ti!$BG26=0,10000,TA_ti!L26*TA_ti!L$50*TA_ti!$BG26)</f>
        <v>10000</v>
      </c>
      <c r="M26" s="4">
        <f>+IF(TA_ti!M26*TA_ti!M$50*TA_ti!$BG26=0,10000,TA_ti!M26*TA_ti!M$50*TA_ti!$BG26)</f>
        <v>10000</v>
      </c>
      <c r="N26" s="4">
        <f>+IF(TA_ti!N26*TA_ti!N$50*TA_ti!$BG26=0,10000,TA_ti!N26*TA_ti!N$50*TA_ti!$BG26)</f>
        <v>10000</v>
      </c>
      <c r="O26" s="4">
        <f>+IF(TA_ti!O26*TA_ti!O$50*TA_ti!$BG26=0,10000,TA_ti!O26*TA_ti!O$50*TA_ti!$BG26)</f>
        <v>10000</v>
      </c>
      <c r="P26" s="4">
        <f>+IF(TA_ti!P26*TA_ti!P$50*TA_ti!$BG26=0,10000,TA_ti!P26*TA_ti!P$50*TA_ti!$BG26)</f>
        <v>10000</v>
      </c>
      <c r="Q26" s="4">
        <f>+IF(TA_ti!Q26*TA_ti!Q$50*TA_ti!$BG26=0,10000,TA_ti!Q26*TA_ti!Q$50*TA_ti!$BG26)</f>
        <v>10000</v>
      </c>
      <c r="R26" s="4">
        <f>+IF(TA_ti!R26*TA_ti!R$50*TA_ti!$BG26=0,10000,TA_ti!R26*TA_ti!R$50*TA_ti!$BG26)</f>
        <v>10000</v>
      </c>
      <c r="S26" s="4">
        <f>+IF(TA_ti!S26*TA_ti!S$50*TA_ti!$BG26=0,10000,TA_ti!S26*TA_ti!S$50*TA_ti!$BG26)</f>
        <v>10000</v>
      </c>
      <c r="T26" s="4">
        <f>+IF(TA_ti!T26*TA_ti!T$50*TA_ti!$BG26=0,10000,TA_ti!T26*TA_ti!T$50*TA_ti!$BG26)</f>
        <v>10000</v>
      </c>
      <c r="U26" s="4">
        <f>+IF(TA_ti!U26*TA_ti!U$50*TA_ti!$BG26=0,10000,TA_ti!U26*TA_ti!U$50*TA_ti!$BG26)</f>
        <v>10000</v>
      </c>
      <c r="V26" s="4">
        <f>+IF(TA_ti!V26*TA_ti!V$50*TA_ti!$BG26=0,10000,TA_ti!V26*TA_ti!V$50*TA_ti!$BG26)</f>
        <v>10000</v>
      </c>
      <c r="W26" s="4">
        <f>+IF(TA_ti!W26*TA_ti!W$50*TA_ti!$BG26=0,10000,TA_ti!W26*TA_ti!W$50*TA_ti!$BG26)</f>
        <v>10000</v>
      </c>
      <c r="X26" s="4">
        <f>+IF(TA_ti!X26*TA_ti!X$50*TA_ti!$BG26=0,10000,TA_ti!X26*TA_ti!X$50*TA_ti!$BG26)</f>
        <v>10000</v>
      </c>
      <c r="Y26" s="4">
        <f>+IF(TA_ti!Y26*TA_ti!Y$50*TA_ti!$BG26=0,10000,TA_ti!Y26*TA_ti!Y$50*TA_ti!$BG26)</f>
        <v>10000</v>
      </c>
      <c r="Z26" s="4">
        <f>+IF(TA_ti!Z26*TA_ti!Z$50*TA_ti!$BG26=0,10000,TA_ti!Z26*TA_ti!Z$50*TA_ti!$BG26)</f>
        <v>10000</v>
      </c>
      <c r="AA26" s="4">
        <f>+IF(TA_ti!AA26*TA_ti!AA$50*TA_ti!$BG26=0,10000,TA_ti!AA26*TA_ti!AA$50*TA_ti!$BG26)</f>
        <v>10000</v>
      </c>
      <c r="AB26" s="4">
        <f>+IF(TA_ti!AB26*TA_ti!AB$50*TA_ti!$BG26=0,10000,TA_ti!AB26*TA_ti!AB$50*TA_ti!$BG26)</f>
        <v>10000</v>
      </c>
      <c r="AC26" s="4">
        <f>+IF(TA_ti!AC26*TA_ti!AC$50*TA_ti!$BG26=0,10000,TA_ti!AC26*TA_ti!AC$50*TA_ti!$BG26)</f>
        <v>10000</v>
      </c>
      <c r="AD26" s="4">
        <f>+IF(TA_ti!AD26*TA_ti!AD$50*TA_ti!$BG26=0,10000,TA_ti!AD26*TA_ti!AD$50*TA_ti!$BG26)</f>
        <v>10000</v>
      </c>
      <c r="AE26" s="4">
        <f>+IF(TA_ti!AE26*TA_ti!AE$50*TA_ti!$BG26=0,10000,TA_ti!AE26*TA_ti!AE$50*TA_ti!$BG26)</f>
        <v>10000</v>
      </c>
      <c r="AF26" s="4">
        <f>+IF(TA_ti!AF26*TA_ti!AF$50*TA_ti!$BG26=0,10000,TA_ti!AF26*TA_ti!AF$50*TA_ti!$BG26)</f>
        <v>10000</v>
      </c>
      <c r="AG26" s="4">
        <f>+IF(TA_ti!AG26*TA_ti!AG$50*TA_ti!$BG26=0,10000,TA_ti!AG26*TA_ti!AG$50*TA_ti!$BG26)</f>
        <v>10000</v>
      </c>
      <c r="AH26" s="4">
        <f>+IF(TA_ti!AH26*TA_ti!AH$50*TA_ti!$BG26=0,10000,TA_ti!AH26*TA_ti!AH$50*TA_ti!$BG26)</f>
        <v>10000</v>
      </c>
      <c r="AI26" s="4">
        <f>+IF(TA_ti!AI26*TA_ti!AI$50*TA_ti!$BG26=0,10000,TA_ti!AI26*TA_ti!AI$50*TA_ti!$BG26)</f>
        <v>10000</v>
      </c>
      <c r="AJ26" s="4">
        <f>+IF(TA_ti!AJ26*TA_ti!AJ$50*TA_ti!$BG26=0,10000,TA_ti!AJ26*TA_ti!AJ$50*TA_ti!$BG26)</f>
        <v>10000</v>
      </c>
      <c r="AK26" s="4">
        <f>+IF(TA_ti!AK26*TA_ti!AK$50*TA_ti!$BG26=0,10000,TA_ti!AK26*TA_ti!AK$50*TA_ti!$BG26)</f>
        <v>10000</v>
      </c>
      <c r="AL26" s="4">
        <f>+IF(TA_ti!AL26*TA_ti!AL$50*TA_ti!$BG26=0,10000,TA_ti!AL26*TA_ti!AL$50*TA_ti!$BG26)</f>
        <v>10000</v>
      </c>
      <c r="AM26" s="4">
        <f>+IF(TA_ti!AM26*TA_ti!AM$50*TA_ti!$BG26=0,10000,TA_ti!AM26*TA_ti!AM$50*TA_ti!$BG26)</f>
        <v>10000</v>
      </c>
      <c r="AN26" s="4">
        <f>+IF(TA_ti!AN26*TA_ti!AN$50*TA_ti!$BG26=0,10000,TA_ti!AN26*TA_ti!AN$50*TA_ti!$BG26)</f>
        <v>10000</v>
      </c>
      <c r="AO26" s="4">
        <f>+IF(TA_ti!AO26*TA_ti!AO$50*TA_ti!$BG26=0,10000,TA_ti!AO26*TA_ti!AO$50*TA_ti!$BG26)</f>
        <v>10000</v>
      </c>
      <c r="AP26" s="4">
        <f>+IF(TA_ti!AP26*TA_ti!AP$50*TA_ti!$BG26=0,10000,TA_ti!AP26*TA_ti!AP$50*TA_ti!$BG26)</f>
        <v>10000</v>
      </c>
      <c r="AQ26" s="4">
        <f>+IF(TA_ti!AQ26*TA_ti!AQ$50*TA_ti!$BG26=0,10000,TA_ti!AQ26*TA_ti!AQ$50*TA_ti!$BG26)</f>
        <v>10000</v>
      </c>
      <c r="AR26" s="4">
        <f>+IF(TA_ti!AR26*TA_ti!AR$50*TA_ti!$BG26=0,10000,TA_ti!AR26*TA_ti!AR$50*TA_ti!$BG26)</f>
        <v>10000</v>
      </c>
      <c r="AS26" s="4">
        <f>+IF(TA_ti!AS26*TA_ti!AS$50*TA_ti!$BG26=0,10000,TA_ti!AS26*TA_ti!AS$50*TA_ti!$BG26)</f>
        <v>10000</v>
      </c>
      <c r="AT26" s="4">
        <f>+IF(TA_ti!AT26*TA_ti!AT$50*TA_ti!$BG26=0,10000,TA_ti!AT26*TA_ti!AT$50*TA_ti!$BG26)</f>
        <v>10000</v>
      </c>
      <c r="AU26" s="4">
        <f>+IF(TA_ti!AU26*TA_ti!AU$50*TA_ti!$BG26=0,10000,TA_ti!AU26*TA_ti!AU$50*TA_ti!$BG26)</f>
        <v>10000</v>
      </c>
      <c r="AV26" s="4">
        <f>+IF(TA_ti!AV26*TA_ti!AV$50*TA_ti!$BG26=0,10000,TA_ti!AV26*TA_ti!AV$50*TA_ti!$BG26)</f>
        <v>10000</v>
      </c>
      <c r="AW26" s="4">
        <f>+IF(TA_ti!AW26*TA_ti!AW$50*TA_ti!$BG26=0,10000,TA_ti!AW26*TA_ti!AW$50*TA_ti!$BG26)</f>
        <v>10000</v>
      </c>
      <c r="AX26" s="4">
        <f>+IF(TA_ti!AX26*TA_ti!AX$50*TA_ti!$BG26=0,10000,TA_ti!AX26*TA_ti!AX$50*TA_ti!$BG26)</f>
        <v>10000</v>
      </c>
      <c r="AY26" s="4">
        <f>+IF(TA_ti!AY26*TA_ti!AY$50*TA_ti!$BG26=0,10000,TA_ti!AY26*TA_ti!AY$50*TA_ti!$BG26)</f>
        <v>10000</v>
      </c>
      <c r="AZ26" s="4">
        <f>+IF(TA_ti!AZ26*TA_ti!AZ$50*TA_ti!$BG26=0,10000,TA_ti!AZ26*TA_ti!AZ$50*TA_ti!$BG26)</f>
        <v>10000</v>
      </c>
      <c r="BA26" s="4">
        <f>+IF(TA_ti!BA26*TA_ti!BA$50*TA_ti!$BG26=0,10000,TA_ti!BA26*TA_ti!BA$50*TA_ti!$BG26)</f>
        <v>10000</v>
      </c>
      <c r="BB26" s="4">
        <f>+IF(TA_ti!BB26*TA_ti!BB$50*TA_ti!$BG26=0,10000,TA_ti!BB26*TA_ti!BB$50*TA_ti!$BG26)</f>
        <v>10000</v>
      </c>
      <c r="BC26" s="4">
        <f>+IF(TA_ti!BC26*TA_ti!BC$50*TA_ti!$BG26=0,10000,TA_ti!BC26*TA_ti!BC$50*TA_ti!$BG26)</f>
        <v>10000</v>
      </c>
    </row>
    <row r="27" spans="1:55" ht="18.75" customHeight="1" x14ac:dyDescent="0.25">
      <c r="A27" s="5" t="s">
        <v>78</v>
      </c>
      <c r="B27" s="4">
        <f>+IF(TA_ti!B27*TA_ti!B$50*TA_ti!$BG27=0,10000,TA_ti!B27*TA_ti!B$50*TA_ti!$BG27)</f>
        <v>10000</v>
      </c>
      <c r="C27" s="4">
        <f>+IF(TA_ti!C27*TA_ti!C$50*TA_ti!$BG27=0,10000,TA_ti!C27*TA_ti!C$50*TA_ti!$BG27)</f>
        <v>10000</v>
      </c>
      <c r="D27" s="4">
        <f>+IF(TA_ti!D27*TA_ti!D$50*TA_ti!$BG27=0,10000,TA_ti!D27*TA_ti!D$50*TA_ti!$BG27)</f>
        <v>10000</v>
      </c>
      <c r="E27" s="4">
        <f>+IF(TA_ti!E27*TA_ti!E$50*TA_ti!$BG27=0,10000,TA_ti!E27*TA_ti!E$50*TA_ti!$BG27)</f>
        <v>10000</v>
      </c>
      <c r="F27" s="4">
        <f>+IF(TA_ti!F27*TA_ti!F$50*TA_ti!$BG27=0,10000,TA_ti!F27*TA_ti!F$50*TA_ti!$BG27)</f>
        <v>10000</v>
      </c>
      <c r="G27" s="4">
        <f>+IF(TA_ti!G27*TA_ti!G$50*TA_ti!$BG27=0,10000,TA_ti!G27*TA_ti!G$50*TA_ti!$BG27)</f>
        <v>10000</v>
      </c>
      <c r="H27" s="4">
        <f>+IF(TA_ti!H27*TA_ti!H$50*TA_ti!$BG27=0,10000,TA_ti!H27*TA_ti!H$50*TA_ti!$BG27)</f>
        <v>10000</v>
      </c>
      <c r="I27" s="4">
        <f>+IF(TA_ti!I27*TA_ti!I$50*TA_ti!$BG27=0,10000,TA_ti!I27*TA_ti!I$50*TA_ti!$BG27)</f>
        <v>10000</v>
      </c>
      <c r="J27" s="4">
        <f>+IF(TA_ti!J27*TA_ti!J$50*TA_ti!$BG27=0,10000,TA_ti!J27*TA_ti!J$50*TA_ti!$BG27)</f>
        <v>10000</v>
      </c>
      <c r="K27" s="4">
        <f>+IF(TA_ti!K27*TA_ti!K$50*TA_ti!$BG27=0,10000,TA_ti!K27*TA_ti!K$50*TA_ti!$BG27)</f>
        <v>10000</v>
      </c>
      <c r="L27" s="4">
        <f>+IF(TA_ti!L27*TA_ti!L$50*TA_ti!$BG27=0,10000,TA_ti!L27*TA_ti!L$50*TA_ti!$BG27)</f>
        <v>10000</v>
      </c>
      <c r="M27" s="4">
        <f>+IF(TA_ti!M27*TA_ti!M$50*TA_ti!$BG27=0,10000,TA_ti!M27*TA_ti!M$50*TA_ti!$BG27)</f>
        <v>10000</v>
      </c>
      <c r="N27" s="4">
        <f>+IF(TA_ti!N27*TA_ti!N$50*TA_ti!$BG27=0,10000,TA_ti!N27*TA_ti!N$50*TA_ti!$BG27)</f>
        <v>10000</v>
      </c>
      <c r="O27" s="4">
        <f>+IF(TA_ti!O27*TA_ti!O$50*TA_ti!$BG27=0,10000,TA_ti!O27*TA_ti!O$50*TA_ti!$BG27)</f>
        <v>10000</v>
      </c>
      <c r="P27" s="4">
        <f>+IF(TA_ti!P27*TA_ti!P$50*TA_ti!$BG27=0,10000,TA_ti!P27*TA_ti!P$50*TA_ti!$BG27)</f>
        <v>10000</v>
      </c>
      <c r="Q27" s="4">
        <f>+IF(TA_ti!Q27*TA_ti!Q$50*TA_ti!$BG27=0,10000,TA_ti!Q27*TA_ti!Q$50*TA_ti!$BG27)</f>
        <v>10000</v>
      </c>
      <c r="R27" s="4">
        <f>+IF(TA_ti!R27*TA_ti!R$50*TA_ti!$BG27=0,10000,TA_ti!R27*TA_ti!R$50*TA_ti!$BG27)</f>
        <v>10000</v>
      </c>
      <c r="S27" s="4">
        <f>+IF(TA_ti!S27*TA_ti!S$50*TA_ti!$BG27=0,10000,TA_ti!S27*TA_ti!S$50*TA_ti!$BG27)</f>
        <v>10000</v>
      </c>
      <c r="T27" s="4">
        <f>+IF(TA_ti!T27*TA_ti!T$50*TA_ti!$BG27=0,10000,TA_ti!T27*TA_ti!T$50*TA_ti!$BG27)</f>
        <v>10000</v>
      </c>
      <c r="U27" s="4">
        <f>+IF(TA_ti!U27*TA_ti!U$50*TA_ti!$BG27=0,10000,TA_ti!U27*TA_ti!U$50*TA_ti!$BG27)</f>
        <v>10000</v>
      </c>
      <c r="V27" s="4">
        <f>+IF(TA_ti!V27*TA_ti!V$50*TA_ti!$BG27=0,10000,TA_ti!V27*TA_ti!V$50*TA_ti!$BG27)</f>
        <v>10000</v>
      </c>
      <c r="W27" s="4">
        <f>+IF(TA_ti!W27*TA_ti!W$50*TA_ti!$BG27=0,10000,TA_ti!W27*TA_ti!W$50*TA_ti!$BG27)</f>
        <v>10000</v>
      </c>
      <c r="X27" s="4">
        <f>+IF(TA_ti!X27*TA_ti!X$50*TA_ti!$BG27=0,10000,TA_ti!X27*TA_ti!X$50*TA_ti!$BG27)</f>
        <v>10000</v>
      </c>
      <c r="Y27" s="4">
        <f>+IF(TA_ti!Y27*TA_ti!Y$50*TA_ti!$BG27=0,10000,TA_ti!Y27*TA_ti!Y$50*TA_ti!$BG27)</f>
        <v>10000</v>
      </c>
      <c r="Z27" s="4">
        <f>+IF(TA_ti!Z27*TA_ti!Z$50*TA_ti!$BG27=0,10000,TA_ti!Z27*TA_ti!Z$50*TA_ti!$BG27)</f>
        <v>10000</v>
      </c>
      <c r="AA27" s="4">
        <f>+IF(TA_ti!AA27*TA_ti!AA$50*TA_ti!$BG27=0,10000,TA_ti!AA27*TA_ti!AA$50*TA_ti!$BG27)</f>
        <v>10000</v>
      </c>
      <c r="AB27" s="4">
        <f>+IF(TA_ti!AB27*TA_ti!AB$50*TA_ti!$BG27=0,10000,TA_ti!AB27*TA_ti!AB$50*TA_ti!$BG27)</f>
        <v>10000</v>
      </c>
      <c r="AC27" s="4">
        <f>+IF(TA_ti!AC27*TA_ti!AC$50*TA_ti!$BG27=0,10000,TA_ti!AC27*TA_ti!AC$50*TA_ti!$BG27)</f>
        <v>10000</v>
      </c>
      <c r="AD27" s="4">
        <f>+IF(TA_ti!AD27*TA_ti!AD$50*TA_ti!$BG27=0,10000,TA_ti!AD27*TA_ti!AD$50*TA_ti!$BG27)</f>
        <v>10000</v>
      </c>
      <c r="AE27" s="4">
        <f>+IF(TA_ti!AE27*TA_ti!AE$50*TA_ti!$BG27=0,10000,TA_ti!AE27*TA_ti!AE$50*TA_ti!$BG27)</f>
        <v>10000</v>
      </c>
      <c r="AF27" s="4">
        <f>+IF(TA_ti!AF27*TA_ti!AF$50*TA_ti!$BG27=0,10000,TA_ti!AF27*TA_ti!AF$50*TA_ti!$BG27)</f>
        <v>10000</v>
      </c>
      <c r="AG27" s="4">
        <f>+IF(TA_ti!AG27*TA_ti!AG$50*TA_ti!$BG27=0,10000,TA_ti!AG27*TA_ti!AG$50*TA_ti!$BG27)</f>
        <v>10000</v>
      </c>
      <c r="AH27" s="4">
        <f>+IF(TA_ti!AH27*TA_ti!AH$50*TA_ti!$BG27=0,10000,TA_ti!AH27*TA_ti!AH$50*TA_ti!$BG27)</f>
        <v>10000</v>
      </c>
      <c r="AI27" s="4">
        <f>+IF(TA_ti!AI27*TA_ti!AI$50*TA_ti!$BG27=0,10000,TA_ti!AI27*TA_ti!AI$50*TA_ti!$BG27)</f>
        <v>10000</v>
      </c>
      <c r="AJ27" s="4">
        <f>+IF(TA_ti!AJ27*TA_ti!AJ$50*TA_ti!$BG27=0,10000,TA_ti!AJ27*TA_ti!AJ$50*TA_ti!$BG27)</f>
        <v>10000</v>
      </c>
      <c r="AK27" s="4">
        <f>+IF(TA_ti!AK27*TA_ti!AK$50*TA_ti!$BG27=0,10000,TA_ti!AK27*TA_ti!AK$50*TA_ti!$BG27)</f>
        <v>10000</v>
      </c>
      <c r="AL27" s="4">
        <f>+IF(TA_ti!AL27*TA_ti!AL$50*TA_ti!$BG27=0,10000,TA_ti!AL27*TA_ti!AL$50*TA_ti!$BG27)</f>
        <v>10000</v>
      </c>
      <c r="AM27" s="4">
        <f>+IF(TA_ti!AM27*TA_ti!AM$50*TA_ti!$BG27=0,10000,TA_ti!AM27*TA_ti!AM$50*TA_ti!$BG27)</f>
        <v>10000</v>
      </c>
      <c r="AN27" s="4">
        <f>+IF(TA_ti!AN27*TA_ti!AN$50*TA_ti!$BG27=0,10000,TA_ti!AN27*TA_ti!AN$50*TA_ti!$BG27)</f>
        <v>10000</v>
      </c>
      <c r="AO27" s="4">
        <f>+IF(TA_ti!AO27*TA_ti!AO$50*TA_ti!$BG27=0,10000,TA_ti!AO27*TA_ti!AO$50*TA_ti!$BG27)</f>
        <v>10000</v>
      </c>
      <c r="AP27" s="4">
        <f>+IF(TA_ti!AP27*TA_ti!AP$50*TA_ti!$BG27=0,10000,TA_ti!AP27*TA_ti!AP$50*TA_ti!$BG27)</f>
        <v>10000</v>
      </c>
      <c r="AQ27" s="4">
        <f>+IF(TA_ti!AQ27*TA_ti!AQ$50*TA_ti!$BG27=0,10000,TA_ti!AQ27*TA_ti!AQ$50*TA_ti!$BG27)</f>
        <v>10000</v>
      </c>
      <c r="AR27" s="4">
        <f>+IF(TA_ti!AR27*TA_ti!AR$50*TA_ti!$BG27=0,10000,TA_ti!AR27*TA_ti!AR$50*TA_ti!$BG27)</f>
        <v>10000</v>
      </c>
      <c r="AS27" s="4">
        <f>+IF(TA_ti!AS27*TA_ti!AS$50*TA_ti!$BG27=0,10000,TA_ti!AS27*TA_ti!AS$50*TA_ti!$BG27)</f>
        <v>10000</v>
      </c>
      <c r="AT27" s="4">
        <f>+IF(TA_ti!AT27*TA_ti!AT$50*TA_ti!$BG27=0,10000,TA_ti!AT27*TA_ti!AT$50*TA_ti!$BG27)</f>
        <v>10000</v>
      </c>
      <c r="AU27" s="4">
        <f>+IF(TA_ti!AU27*TA_ti!AU$50*TA_ti!$BG27=0,10000,TA_ti!AU27*TA_ti!AU$50*TA_ti!$BG27)</f>
        <v>10000</v>
      </c>
      <c r="AV27" s="4">
        <f>+IF(TA_ti!AV27*TA_ti!AV$50*TA_ti!$BG27=0,10000,TA_ti!AV27*TA_ti!AV$50*TA_ti!$BG27)</f>
        <v>10000</v>
      </c>
      <c r="AW27" s="4">
        <f>+IF(TA_ti!AW27*TA_ti!AW$50*TA_ti!$BG27=0,10000,TA_ti!AW27*TA_ti!AW$50*TA_ti!$BG27)</f>
        <v>10000</v>
      </c>
      <c r="AX27" s="4">
        <f>+IF(TA_ti!AX27*TA_ti!AX$50*TA_ti!$BG27=0,10000,TA_ti!AX27*TA_ti!AX$50*TA_ti!$BG27)</f>
        <v>10000</v>
      </c>
      <c r="AY27" s="4">
        <f>+IF(TA_ti!AY27*TA_ti!AY$50*TA_ti!$BG27=0,10000,TA_ti!AY27*TA_ti!AY$50*TA_ti!$BG27)</f>
        <v>10000</v>
      </c>
      <c r="AZ27" s="4">
        <f>+IF(TA_ti!AZ27*TA_ti!AZ$50*TA_ti!$BG27=0,10000,TA_ti!AZ27*TA_ti!AZ$50*TA_ti!$BG27)</f>
        <v>10000</v>
      </c>
      <c r="BA27" s="4">
        <f>+IF(TA_ti!BA27*TA_ti!BA$50*TA_ti!$BG27=0,10000,TA_ti!BA27*TA_ti!BA$50*TA_ti!$BG27)</f>
        <v>10000</v>
      </c>
      <c r="BB27" s="4">
        <f>+IF(TA_ti!BB27*TA_ti!BB$50*TA_ti!$BG27=0,10000,TA_ti!BB27*TA_ti!BB$50*TA_ti!$BG27)</f>
        <v>10000</v>
      </c>
      <c r="BC27" s="4">
        <f>+IF(TA_ti!BC27*TA_ti!BC$50*TA_ti!$BG27=0,10000,TA_ti!BC27*TA_ti!BC$50*TA_ti!$BG27)</f>
        <v>10000</v>
      </c>
    </row>
    <row r="28" spans="1:55" ht="18.75" customHeight="1" x14ac:dyDescent="0.25">
      <c r="A28" s="5" t="s">
        <v>79</v>
      </c>
      <c r="B28" s="4">
        <f>+IF(TA_ti!B28*TA_ti!B$50*TA_ti!$BG28=0,10000,TA_ti!B28*TA_ti!B$50*TA_ti!$BG28)</f>
        <v>10000</v>
      </c>
      <c r="C28" s="4">
        <f>+IF(TA_ti!C28*TA_ti!C$50*TA_ti!$BG28=0,10000,TA_ti!C28*TA_ti!C$50*TA_ti!$BG28)</f>
        <v>10000</v>
      </c>
      <c r="D28" s="4">
        <f>+IF(TA_ti!D28*TA_ti!D$50*TA_ti!$BG28=0,10000,TA_ti!D28*TA_ti!D$50*TA_ti!$BG28)</f>
        <v>10000</v>
      </c>
      <c r="E28" s="4">
        <f>+IF(TA_ti!E28*TA_ti!E$50*TA_ti!$BG28=0,10000,TA_ti!E28*TA_ti!E$50*TA_ti!$BG28)</f>
        <v>10000</v>
      </c>
      <c r="F28" s="4">
        <f>+IF(TA_ti!F28*TA_ti!F$50*TA_ti!$BG28=0,10000,TA_ti!F28*TA_ti!F$50*TA_ti!$BG28)</f>
        <v>10000</v>
      </c>
      <c r="G28" s="4">
        <f>+IF(TA_ti!G28*TA_ti!G$50*TA_ti!$BG28=0,10000,TA_ti!G28*TA_ti!G$50*TA_ti!$BG28)</f>
        <v>10000</v>
      </c>
      <c r="H28" s="4">
        <f>+IF(TA_ti!H28*TA_ti!H$50*TA_ti!$BG28=0,10000,TA_ti!H28*TA_ti!H$50*TA_ti!$BG28)</f>
        <v>10000</v>
      </c>
      <c r="I28" s="4">
        <f>+IF(TA_ti!I28*TA_ti!I$50*TA_ti!$BG28=0,10000,TA_ti!I28*TA_ti!I$50*TA_ti!$BG28)</f>
        <v>10000</v>
      </c>
      <c r="J28" s="4">
        <f>+IF(TA_ti!J28*TA_ti!J$50*TA_ti!$BG28=0,10000,TA_ti!J28*TA_ti!J$50*TA_ti!$BG28)</f>
        <v>10000</v>
      </c>
      <c r="K28" s="4">
        <f>+IF(TA_ti!K28*TA_ti!K$50*TA_ti!$BG28=0,10000,TA_ti!K28*TA_ti!K$50*TA_ti!$BG28)</f>
        <v>10000</v>
      </c>
      <c r="L28" s="4">
        <f>+IF(TA_ti!L28*TA_ti!L$50*TA_ti!$BG28=0,10000,TA_ti!L28*TA_ti!L$50*TA_ti!$BG28)</f>
        <v>10000</v>
      </c>
      <c r="M28" s="4">
        <f>+IF(TA_ti!M28*TA_ti!M$50*TA_ti!$BG28=0,10000,TA_ti!M28*TA_ti!M$50*TA_ti!$BG28)</f>
        <v>10000</v>
      </c>
      <c r="N28" s="4">
        <f>+IF(TA_ti!N28*TA_ti!N$50*TA_ti!$BG28=0,10000,TA_ti!N28*TA_ti!N$50*TA_ti!$BG28)</f>
        <v>10000</v>
      </c>
      <c r="O28" s="4">
        <f>+IF(TA_ti!O28*TA_ti!O$50*TA_ti!$BG28=0,10000,TA_ti!O28*TA_ti!O$50*TA_ti!$BG28)</f>
        <v>10000</v>
      </c>
      <c r="P28" s="4">
        <f>+IF(TA_ti!P28*TA_ti!P$50*TA_ti!$BG28=0,10000,TA_ti!P28*TA_ti!P$50*TA_ti!$BG28)</f>
        <v>10000</v>
      </c>
      <c r="Q28" s="4">
        <f>+IF(TA_ti!Q28*TA_ti!Q$50*TA_ti!$BG28=0,10000,TA_ti!Q28*TA_ti!Q$50*TA_ti!$BG28)</f>
        <v>10000</v>
      </c>
      <c r="R28" s="4">
        <f>+IF(TA_ti!R28*TA_ti!R$50*TA_ti!$BG28=0,10000,TA_ti!R28*TA_ti!R$50*TA_ti!$BG28)</f>
        <v>10000</v>
      </c>
      <c r="S28" s="4">
        <f>+IF(TA_ti!S28*TA_ti!S$50*TA_ti!$BG28=0,10000,TA_ti!S28*TA_ti!S$50*TA_ti!$BG28)</f>
        <v>10000</v>
      </c>
      <c r="T28" s="4">
        <f>+IF(TA_ti!T28*TA_ti!T$50*TA_ti!$BG28=0,10000,TA_ti!T28*TA_ti!T$50*TA_ti!$BG28)</f>
        <v>10000</v>
      </c>
      <c r="U28" s="4">
        <f>+IF(TA_ti!U28*TA_ti!U$50*TA_ti!$BG28=0,10000,TA_ti!U28*TA_ti!U$50*TA_ti!$BG28)</f>
        <v>10000</v>
      </c>
      <c r="V28" s="4">
        <f>+IF(TA_ti!V28*TA_ti!V$50*TA_ti!$BG28=0,10000,TA_ti!V28*TA_ti!V$50*TA_ti!$BG28)</f>
        <v>10000</v>
      </c>
      <c r="W28" s="4">
        <f>+IF(TA_ti!W28*TA_ti!W$50*TA_ti!$BG28=0,10000,TA_ti!W28*TA_ti!W$50*TA_ti!$BG28)</f>
        <v>10000</v>
      </c>
      <c r="X28" s="4">
        <f>+IF(TA_ti!X28*TA_ti!X$50*TA_ti!$BG28=0,10000,TA_ti!X28*TA_ti!X$50*TA_ti!$BG28)</f>
        <v>10000</v>
      </c>
      <c r="Y28" s="4">
        <f>+IF(TA_ti!Y28*TA_ti!Y$50*TA_ti!$BG28=0,10000,TA_ti!Y28*TA_ti!Y$50*TA_ti!$BG28)</f>
        <v>10000</v>
      </c>
      <c r="Z28" s="4">
        <f>+IF(TA_ti!Z28*TA_ti!Z$50*TA_ti!$BG28=0,10000,TA_ti!Z28*TA_ti!Z$50*TA_ti!$BG28)</f>
        <v>10000</v>
      </c>
      <c r="AA28" s="4">
        <f>+IF(TA_ti!AA28*TA_ti!AA$50*TA_ti!$BG28=0,10000,TA_ti!AA28*TA_ti!AA$50*TA_ti!$BG28)</f>
        <v>10000</v>
      </c>
      <c r="AB28" s="4">
        <f>+IF(TA_ti!AB28*TA_ti!AB$50*TA_ti!$BG28=0,10000,TA_ti!AB28*TA_ti!AB$50*TA_ti!$BG28)</f>
        <v>10000</v>
      </c>
      <c r="AC28" s="4">
        <f>+IF(TA_ti!AC28*TA_ti!AC$50*TA_ti!$BG28=0,10000,TA_ti!AC28*TA_ti!AC$50*TA_ti!$BG28)</f>
        <v>10000</v>
      </c>
      <c r="AD28" s="4">
        <f>+IF(TA_ti!AD28*TA_ti!AD$50*TA_ti!$BG28=0,10000,TA_ti!AD28*TA_ti!AD$50*TA_ti!$BG28)</f>
        <v>10000</v>
      </c>
      <c r="AE28" s="4">
        <f>+IF(TA_ti!AE28*TA_ti!AE$50*TA_ti!$BG28=0,10000,TA_ti!AE28*TA_ti!AE$50*TA_ti!$BG28)</f>
        <v>10000</v>
      </c>
      <c r="AF28" s="4">
        <f>+IF(TA_ti!AF28*TA_ti!AF$50*TA_ti!$BG28=0,10000,TA_ti!AF28*TA_ti!AF$50*TA_ti!$BG28)</f>
        <v>10000</v>
      </c>
      <c r="AG28" s="4">
        <f>+IF(TA_ti!AG28*TA_ti!AG$50*TA_ti!$BG28=0,10000,TA_ti!AG28*TA_ti!AG$50*TA_ti!$BG28)</f>
        <v>10000</v>
      </c>
      <c r="AH28" s="4">
        <f>+IF(TA_ti!AH28*TA_ti!AH$50*TA_ti!$BG28=0,10000,TA_ti!AH28*TA_ti!AH$50*TA_ti!$BG28)</f>
        <v>10000</v>
      </c>
      <c r="AI28" s="4">
        <f>+IF(TA_ti!AI28*TA_ti!AI$50*TA_ti!$BG28=0,10000,TA_ti!AI28*TA_ti!AI$50*TA_ti!$BG28)</f>
        <v>10000</v>
      </c>
      <c r="AJ28" s="4">
        <f>+IF(TA_ti!AJ28*TA_ti!AJ$50*TA_ti!$BG28=0,10000,TA_ti!AJ28*TA_ti!AJ$50*TA_ti!$BG28)</f>
        <v>10000</v>
      </c>
      <c r="AK28" s="4">
        <f>+IF(TA_ti!AK28*TA_ti!AK$50*TA_ti!$BG28=0,10000,TA_ti!AK28*TA_ti!AK$50*TA_ti!$BG28)</f>
        <v>10000</v>
      </c>
      <c r="AL28" s="4">
        <f>+IF(TA_ti!AL28*TA_ti!AL$50*TA_ti!$BG28=0,10000,TA_ti!AL28*TA_ti!AL$50*TA_ti!$BG28)</f>
        <v>10000</v>
      </c>
      <c r="AM28" s="4">
        <f>+IF(TA_ti!AM28*TA_ti!AM$50*TA_ti!$BG28=0,10000,TA_ti!AM28*TA_ti!AM$50*TA_ti!$BG28)</f>
        <v>10000</v>
      </c>
      <c r="AN28" s="4">
        <f>+IF(TA_ti!AN28*TA_ti!AN$50*TA_ti!$BG28=0,10000,TA_ti!AN28*TA_ti!AN$50*TA_ti!$BG28)</f>
        <v>10000</v>
      </c>
      <c r="AO28" s="4">
        <f>+IF(TA_ti!AO28*TA_ti!AO$50*TA_ti!$BG28=0,10000,TA_ti!AO28*TA_ti!AO$50*TA_ti!$BG28)</f>
        <v>10000</v>
      </c>
      <c r="AP28" s="4">
        <f>+IF(TA_ti!AP28*TA_ti!AP$50*TA_ti!$BG28=0,10000,TA_ti!AP28*TA_ti!AP$50*TA_ti!$BG28)</f>
        <v>10000</v>
      </c>
      <c r="AQ28" s="4">
        <f>+IF(TA_ti!AQ28*TA_ti!AQ$50*TA_ti!$BG28=0,10000,TA_ti!AQ28*TA_ti!AQ$50*TA_ti!$BG28)</f>
        <v>10000</v>
      </c>
      <c r="AR28" s="4">
        <f>+IF(TA_ti!AR28*TA_ti!AR$50*TA_ti!$BG28=0,10000,TA_ti!AR28*TA_ti!AR$50*TA_ti!$BG28)</f>
        <v>10000</v>
      </c>
      <c r="AS28" s="4">
        <f>+IF(TA_ti!AS28*TA_ti!AS$50*TA_ti!$BG28=0,10000,TA_ti!AS28*TA_ti!AS$50*TA_ti!$BG28)</f>
        <v>10000</v>
      </c>
      <c r="AT28" s="4">
        <f>+IF(TA_ti!AT28*TA_ti!AT$50*TA_ti!$BG28=0,10000,TA_ti!AT28*TA_ti!AT$50*TA_ti!$BG28)</f>
        <v>10000</v>
      </c>
      <c r="AU28" s="4">
        <f>+IF(TA_ti!AU28*TA_ti!AU$50*TA_ti!$BG28=0,10000,TA_ti!AU28*TA_ti!AU$50*TA_ti!$BG28)</f>
        <v>10000</v>
      </c>
      <c r="AV28" s="4">
        <f>+IF(TA_ti!AV28*TA_ti!AV$50*TA_ti!$BG28=0,10000,TA_ti!AV28*TA_ti!AV$50*TA_ti!$BG28)</f>
        <v>10000</v>
      </c>
      <c r="AW28" s="4">
        <f>+IF(TA_ti!AW28*TA_ti!AW$50*TA_ti!$BG28=0,10000,TA_ti!AW28*TA_ti!AW$50*TA_ti!$BG28)</f>
        <v>10000</v>
      </c>
      <c r="AX28" s="4">
        <f>+IF(TA_ti!AX28*TA_ti!AX$50*TA_ti!$BG28=0,10000,TA_ti!AX28*TA_ti!AX$50*TA_ti!$BG28)</f>
        <v>10000</v>
      </c>
      <c r="AY28" s="4">
        <f>+IF(TA_ti!AY28*TA_ti!AY$50*TA_ti!$BG28=0,10000,TA_ti!AY28*TA_ti!AY$50*TA_ti!$BG28)</f>
        <v>10000</v>
      </c>
      <c r="AZ28" s="4">
        <f>+IF(TA_ti!AZ28*TA_ti!AZ$50*TA_ti!$BG28=0,10000,TA_ti!AZ28*TA_ti!AZ$50*TA_ti!$BG28)</f>
        <v>10000</v>
      </c>
      <c r="BA28" s="4">
        <f>+IF(TA_ti!BA28*TA_ti!BA$50*TA_ti!$BG28=0,10000,TA_ti!BA28*TA_ti!BA$50*TA_ti!$BG28)</f>
        <v>10000</v>
      </c>
      <c r="BB28" s="4">
        <f>+IF(TA_ti!BB28*TA_ti!BB$50*TA_ti!$BG28=0,10000,TA_ti!BB28*TA_ti!BB$50*TA_ti!$BG28)</f>
        <v>10000</v>
      </c>
      <c r="BC28" s="4">
        <f>+IF(TA_ti!BC28*TA_ti!BC$50*TA_ti!$BG28=0,10000,TA_ti!BC28*TA_ti!BC$50*TA_ti!$BG28)</f>
        <v>10000</v>
      </c>
    </row>
    <row r="29" spans="1:55" ht="18.75" customHeight="1" x14ac:dyDescent="0.25">
      <c r="A29" s="5" t="s">
        <v>80</v>
      </c>
      <c r="B29" s="4">
        <f>+IF(TA_ti!B29*TA_ti!B$50*TA_ti!$BG29=0,10000,TA_ti!B29*TA_ti!B$50*TA_ti!$BG29)</f>
        <v>10000</v>
      </c>
      <c r="C29" s="4">
        <f>+IF(TA_ti!C29*TA_ti!C$50*TA_ti!$BG29=0,10000,TA_ti!C29*TA_ti!C$50*TA_ti!$BG29)</f>
        <v>10000</v>
      </c>
      <c r="D29" s="4">
        <f>+IF(TA_ti!D29*TA_ti!D$50*TA_ti!$BG29=0,10000,TA_ti!D29*TA_ti!D$50*TA_ti!$BG29)</f>
        <v>10000</v>
      </c>
      <c r="E29" s="4">
        <f>+IF(TA_ti!E29*TA_ti!E$50*TA_ti!$BG29=0,10000,TA_ti!E29*TA_ti!E$50*TA_ti!$BG29)</f>
        <v>10000</v>
      </c>
      <c r="F29" s="4">
        <f>+IF(TA_ti!F29*TA_ti!F$50*TA_ti!$BG29=0,10000,TA_ti!F29*TA_ti!F$50*TA_ti!$BG29)</f>
        <v>10000</v>
      </c>
      <c r="G29" s="4">
        <f>+IF(TA_ti!G29*TA_ti!G$50*TA_ti!$BG29=0,10000,TA_ti!G29*TA_ti!G$50*TA_ti!$BG29)</f>
        <v>10000</v>
      </c>
      <c r="H29" s="4">
        <f>+IF(TA_ti!H29*TA_ti!H$50*TA_ti!$BG29=0,10000,TA_ti!H29*TA_ti!H$50*TA_ti!$BG29)</f>
        <v>10000</v>
      </c>
      <c r="I29" s="4">
        <f>+IF(TA_ti!I29*TA_ti!I$50*TA_ti!$BG29=0,10000,TA_ti!I29*TA_ti!I$50*TA_ti!$BG29)</f>
        <v>10000</v>
      </c>
      <c r="J29" s="4">
        <f>+IF(TA_ti!J29*TA_ti!J$50*TA_ti!$BG29=0,10000,TA_ti!J29*TA_ti!J$50*TA_ti!$BG29)</f>
        <v>10000</v>
      </c>
      <c r="K29" s="4">
        <f>+IF(TA_ti!K29*TA_ti!K$50*TA_ti!$BG29=0,10000,TA_ti!K29*TA_ti!K$50*TA_ti!$BG29)</f>
        <v>10000</v>
      </c>
      <c r="L29" s="4">
        <f>+IF(TA_ti!L29*TA_ti!L$50*TA_ti!$BG29=0,10000,TA_ti!L29*TA_ti!L$50*TA_ti!$BG29)</f>
        <v>10000</v>
      </c>
      <c r="M29" s="4">
        <f>+IF(TA_ti!M29*TA_ti!M$50*TA_ti!$BG29=0,10000,TA_ti!M29*TA_ti!M$50*TA_ti!$BG29)</f>
        <v>10000</v>
      </c>
      <c r="N29" s="4">
        <f>+IF(TA_ti!N29*TA_ti!N$50*TA_ti!$BG29=0,10000,TA_ti!N29*TA_ti!N$50*TA_ti!$BG29)</f>
        <v>10000</v>
      </c>
      <c r="O29" s="4">
        <f>+IF(TA_ti!O29*TA_ti!O$50*TA_ti!$BG29=0,10000,TA_ti!O29*TA_ti!O$50*TA_ti!$BG29)</f>
        <v>10000</v>
      </c>
      <c r="P29" s="4">
        <f>+IF(TA_ti!P29*TA_ti!P$50*TA_ti!$BG29=0,10000,TA_ti!P29*TA_ti!P$50*TA_ti!$BG29)</f>
        <v>10000</v>
      </c>
      <c r="Q29" s="4">
        <f>+IF(TA_ti!Q29*TA_ti!Q$50*TA_ti!$BG29=0,10000,TA_ti!Q29*TA_ti!Q$50*TA_ti!$BG29)</f>
        <v>10000</v>
      </c>
      <c r="R29" s="4">
        <f>+IF(TA_ti!R29*TA_ti!R$50*TA_ti!$BG29=0,10000,TA_ti!R29*TA_ti!R$50*TA_ti!$BG29)</f>
        <v>10000</v>
      </c>
      <c r="S29" s="4">
        <f>+IF(TA_ti!S29*TA_ti!S$50*TA_ti!$BG29=0,10000,TA_ti!S29*TA_ti!S$50*TA_ti!$BG29)</f>
        <v>10000</v>
      </c>
      <c r="T29" s="4">
        <f>+IF(TA_ti!T29*TA_ti!T$50*TA_ti!$BG29=0,10000,TA_ti!T29*TA_ti!T$50*TA_ti!$BG29)</f>
        <v>10000</v>
      </c>
      <c r="U29" s="4">
        <f>+IF(TA_ti!U29*TA_ti!U$50*TA_ti!$BG29=0,10000,TA_ti!U29*TA_ti!U$50*TA_ti!$BG29)</f>
        <v>10000</v>
      </c>
      <c r="V29" s="4">
        <f>+IF(TA_ti!V29*TA_ti!V$50*TA_ti!$BG29=0,10000,TA_ti!V29*TA_ti!V$50*TA_ti!$BG29)</f>
        <v>10000</v>
      </c>
      <c r="W29" s="4">
        <f>+IF(TA_ti!W29*TA_ti!W$50*TA_ti!$BG29=0,10000,TA_ti!W29*TA_ti!W$50*TA_ti!$BG29)</f>
        <v>10000</v>
      </c>
      <c r="X29" s="4">
        <f>+IF(TA_ti!X29*TA_ti!X$50*TA_ti!$BG29=0,10000,TA_ti!X29*TA_ti!X$50*TA_ti!$BG29)</f>
        <v>10000</v>
      </c>
      <c r="Y29" s="4">
        <f>+IF(TA_ti!Y29*TA_ti!Y$50*TA_ti!$BG29=0,10000,TA_ti!Y29*TA_ti!Y$50*TA_ti!$BG29)</f>
        <v>10000</v>
      </c>
      <c r="Z29" s="4">
        <f>+IF(TA_ti!Z29*TA_ti!Z$50*TA_ti!$BG29=0,10000,TA_ti!Z29*TA_ti!Z$50*TA_ti!$BG29)</f>
        <v>10000</v>
      </c>
      <c r="AA29" s="4">
        <f>+IF(TA_ti!AA29*TA_ti!AA$50*TA_ti!$BG29=0,10000,TA_ti!AA29*TA_ti!AA$50*TA_ti!$BG29)</f>
        <v>10000</v>
      </c>
      <c r="AB29" s="4">
        <f>+IF(TA_ti!AB29*TA_ti!AB$50*TA_ti!$BG29=0,10000,TA_ti!AB29*TA_ti!AB$50*TA_ti!$BG29)</f>
        <v>10000</v>
      </c>
      <c r="AC29" s="4">
        <f>+IF(TA_ti!AC29*TA_ti!AC$50*TA_ti!$BG29=0,10000,TA_ti!AC29*TA_ti!AC$50*TA_ti!$BG29)</f>
        <v>10000</v>
      </c>
      <c r="AD29" s="4">
        <f>+IF(TA_ti!AD29*TA_ti!AD$50*TA_ti!$BG29=0,10000,TA_ti!AD29*TA_ti!AD$50*TA_ti!$BG29)</f>
        <v>10000</v>
      </c>
      <c r="AE29" s="4">
        <f>+IF(TA_ti!AE29*TA_ti!AE$50*TA_ti!$BG29=0,10000,TA_ti!AE29*TA_ti!AE$50*TA_ti!$BG29)</f>
        <v>10000</v>
      </c>
      <c r="AF29" s="4">
        <f>+IF(TA_ti!AF29*TA_ti!AF$50*TA_ti!$BG29=0,10000,TA_ti!AF29*TA_ti!AF$50*TA_ti!$BG29)</f>
        <v>10000</v>
      </c>
      <c r="AG29" s="4">
        <f>+IF(TA_ti!AG29*TA_ti!AG$50*TA_ti!$BG29=0,10000,TA_ti!AG29*TA_ti!AG$50*TA_ti!$BG29)</f>
        <v>10000</v>
      </c>
      <c r="AH29" s="4">
        <f>+IF(TA_ti!AH29*TA_ti!AH$50*TA_ti!$BG29=0,10000,TA_ti!AH29*TA_ti!AH$50*TA_ti!$BG29)</f>
        <v>10000</v>
      </c>
      <c r="AI29" s="4">
        <f>+IF(TA_ti!AI29*TA_ti!AI$50*TA_ti!$BG29=0,10000,TA_ti!AI29*TA_ti!AI$50*TA_ti!$BG29)</f>
        <v>10000</v>
      </c>
      <c r="AJ29" s="4">
        <f>+IF(TA_ti!AJ29*TA_ti!AJ$50*TA_ti!$BG29=0,10000,TA_ti!AJ29*TA_ti!AJ$50*TA_ti!$BG29)</f>
        <v>10000</v>
      </c>
      <c r="AK29" s="4">
        <f>+IF(TA_ti!AK29*TA_ti!AK$50*TA_ti!$BG29=0,10000,TA_ti!AK29*TA_ti!AK$50*TA_ti!$BG29)</f>
        <v>10000</v>
      </c>
      <c r="AL29" s="4">
        <f>+IF(TA_ti!AL29*TA_ti!AL$50*TA_ti!$BG29=0,10000,TA_ti!AL29*TA_ti!AL$50*TA_ti!$BG29)</f>
        <v>10000</v>
      </c>
      <c r="AM29" s="4">
        <f>+IF(TA_ti!AM29*TA_ti!AM$50*TA_ti!$BG29=0,10000,TA_ti!AM29*TA_ti!AM$50*TA_ti!$BG29)</f>
        <v>10000</v>
      </c>
      <c r="AN29" s="4">
        <f>+IF(TA_ti!AN29*TA_ti!AN$50*TA_ti!$BG29=0,10000,TA_ti!AN29*TA_ti!AN$50*TA_ti!$BG29)</f>
        <v>10000</v>
      </c>
      <c r="AO29" s="4">
        <f>+IF(TA_ti!AO29*TA_ti!AO$50*TA_ti!$BG29=0,10000,TA_ti!AO29*TA_ti!AO$50*TA_ti!$BG29)</f>
        <v>10000</v>
      </c>
      <c r="AP29" s="4">
        <f>+IF(TA_ti!AP29*TA_ti!AP$50*TA_ti!$BG29=0,10000,TA_ti!AP29*TA_ti!AP$50*TA_ti!$BG29)</f>
        <v>10000</v>
      </c>
      <c r="AQ29" s="4">
        <f>+IF(TA_ti!AQ29*TA_ti!AQ$50*TA_ti!$BG29=0,10000,TA_ti!AQ29*TA_ti!AQ$50*TA_ti!$BG29)</f>
        <v>10000</v>
      </c>
      <c r="AR29" s="4">
        <f>+IF(TA_ti!AR29*TA_ti!AR$50*TA_ti!$BG29=0,10000,TA_ti!AR29*TA_ti!AR$50*TA_ti!$BG29)</f>
        <v>10000</v>
      </c>
      <c r="AS29" s="4">
        <f>+IF(TA_ti!AS29*TA_ti!AS$50*TA_ti!$BG29=0,10000,TA_ti!AS29*TA_ti!AS$50*TA_ti!$BG29)</f>
        <v>10000</v>
      </c>
      <c r="AT29" s="4">
        <f>+IF(TA_ti!AT29*TA_ti!AT$50*TA_ti!$BG29=0,10000,TA_ti!AT29*TA_ti!AT$50*TA_ti!$BG29)</f>
        <v>10000</v>
      </c>
      <c r="AU29" s="4">
        <f>+IF(TA_ti!AU29*TA_ti!AU$50*TA_ti!$BG29=0,10000,TA_ti!AU29*TA_ti!AU$50*TA_ti!$BG29)</f>
        <v>10000</v>
      </c>
      <c r="AV29" s="4">
        <f>+IF(TA_ti!AV29*TA_ti!AV$50*TA_ti!$BG29=0,10000,TA_ti!AV29*TA_ti!AV$50*TA_ti!$BG29)</f>
        <v>10000</v>
      </c>
      <c r="AW29" s="4">
        <f>+IF(TA_ti!AW29*TA_ti!AW$50*TA_ti!$BG29=0,10000,TA_ti!AW29*TA_ti!AW$50*TA_ti!$BG29)</f>
        <v>10000</v>
      </c>
      <c r="AX29" s="4">
        <f>+IF(TA_ti!AX29*TA_ti!AX$50*TA_ti!$BG29=0,10000,TA_ti!AX29*TA_ti!AX$50*TA_ti!$BG29)</f>
        <v>10000</v>
      </c>
      <c r="AY29" s="4">
        <f>+IF(TA_ti!AY29*TA_ti!AY$50*TA_ti!$BG29=0,10000,TA_ti!AY29*TA_ti!AY$50*TA_ti!$BG29)</f>
        <v>10000</v>
      </c>
      <c r="AZ29" s="4">
        <f>+IF(TA_ti!AZ29*TA_ti!AZ$50*TA_ti!$BG29=0,10000,TA_ti!AZ29*TA_ti!AZ$50*TA_ti!$BG29)</f>
        <v>10000</v>
      </c>
      <c r="BA29" s="4">
        <f>+IF(TA_ti!BA29*TA_ti!BA$50*TA_ti!$BG29=0,10000,TA_ti!BA29*TA_ti!BA$50*TA_ti!$BG29)</f>
        <v>10000</v>
      </c>
      <c r="BB29" s="4">
        <f>+IF(TA_ti!BB29*TA_ti!BB$50*TA_ti!$BG29=0,10000,TA_ti!BB29*TA_ti!BB$50*TA_ti!$BG29)</f>
        <v>10000</v>
      </c>
      <c r="BC29" s="4">
        <f>+IF(TA_ti!BC29*TA_ti!BC$50*TA_ti!$BG29=0,10000,TA_ti!BC29*TA_ti!BC$50*TA_ti!$BG29)</f>
        <v>10000</v>
      </c>
    </row>
    <row r="30" spans="1:55" ht="18.75" customHeight="1" x14ac:dyDescent="0.25">
      <c r="A30" s="5" t="s">
        <v>81</v>
      </c>
      <c r="B30" s="4">
        <f>+IF(TA_ti!B30*TA_ti!B$50*TA_ti!$BG30=0,10000,TA_ti!B30*TA_ti!B$50*TA_ti!$BG30)</f>
        <v>10000</v>
      </c>
      <c r="C30" s="4">
        <f>+IF(TA_ti!C30*TA_ti!C$50*TA_ti!$BG30=0,10000,TA_ti!C30*TA_ti!C$50*TA_ti!$BG30)</f>
        <v>10000</v>
      </c>
      <c r="D30" s="4">
        <f>+IF(TA_ti!D30*TA_ti!D$50*TA_ti!$BG30=0,10000,TA_ti!D30*TA_ti!D$50*TA_ti!$BG30)</f>
        <v>10000</v>
      </c>
      <c r="E30" s="4">
        <f>+IF(TA_ti!E30*TA_ti!E$50*TA_ti!$BG30=0,10000,TA_ti!E30*TA_ti!E$50*TA_ti!$BG30)</f>
        <v>10000</v>
      </c>
      <c r="F30" s="4">
        <f>+IF(TA_ti!F30*TA_ti!F$50*TA_ti!$BG30=0,10000,TA_ti!F30*TA_ti!F$50*TA_ti!$BG30)</f>
        <v>10000</v>
      </c>
      <c r="G30" s="4">
        <f>+IF(TA_ti!G30*TA_ti!G$50*TA_ti!$BG30=0,10000,TA_ti!G30*TA_ti!G$50*TA_ti!$BG30)</f>
        <v>10000</v>
      </c>
      <c r="H30" s="4">
        <f>+IF(TA_ti!H30*TA_ti!H$50*TA_ti!$BG30=0,10000,TA_ti!H30*TA_ti!H$50*TA_ti!$BG30)</f>
        <v>10000</v>
      </c>
      <c r="I30" s="4">
        <f>+IF(TA_ti!I30*TA_ti!I$50*TA_ti!$BG30=0,10000,TA_ti!I30*TA_ti!I$50*TA_ti!$BG30)</f>
        <v>10000</v>
      </c>
      <c r="J30" s="4">
        <f>+IF(TA_ti!J30*TA_ti!J$50*TA_ti!$BG30=0,10000,TA_ti!J30*TA_ti!J$50*TA_ti!$BG30)</f>
        <v>10000</v>
      </c>
      <c r="K30" s="4">
        <f>+IF(TA_ti!K30*TA_ti!K$50*TA_ti!$BG30=0,10000,TA_ti!K30*TA_ti!K$50*TA_ti!$BG30)</f>
        <v>10000</v>
      </c>
      <c r="L30" s="4">
        <f>+IF(TA_ti!L30*TA_ti!L$50*TA_ti!$BG30=0,10000,TA_ti!L30*TA_ti!L$50*TA_ti!$BG30)</f>
        <v>10000</v>
      </c>
      <c r="M30" s="4">
        <f>+IF(TA_ti!M30*TA_ti!M$50*TA_ti!$BG30=0,10000,TA_ti!M30*TA_ti!M$50*TA_ti!$BG30)</f>
        <v>10000</v>
      </c>
      <c r="N30" s="4">
        <f>+IF(TA_ti!N30*TA_ti!N$50*TA_ti!$BG30=0,10000,TA_ti!N30*TA_ti!N$50*TA_ti!$BG30)</f>
        <v>10000</v>
      </c>
      <c r="O30" s="4">
        <f>+IF(TA_ti!O30*TA_ti!O$50*TA_ti!$BG30=0,10000,TA_ti!O30*TA_ti!O$50*TA_ti!$BG30)</f>
        <v>10000</v>
      </c>
      <c r="P30" s="4">
        <f>+IF(TA_ti!P30*TA_ti!P$50*TA_ti!$BG30=0,10000,TA_ti!P30*TA_ti!P$50*TA_ti!$BG30)</f>
        <v>10000</v>
      </c>
      <c r="Q30" s="4">
        <f>+IF(TA_ti!Q30*TA_ti!Q$50*TA_ti!$BG30=0,10000,TA_ti!Q30*TA_ti!Q$50*TA_ti!$BG30)</f>
        <v>10000</v>
      </c>
      <c r="R30" s="4">
        <f>+IF(TA_ti!R30*TA_ti!R$50*TA_ti!$BG30=0,10000,TA_ti!R30*TA_ti!R$50*TA_ti!$BG30)</f>
        <v>10000</v>
      </c>
      <c r="S30" s="4">
        <f>+IF(TA_ti!S30*TA_ti!S$50*TA_ti!$BG30=0,10000,TA_ti!S30*TA_ti!S$50*TA_ti!$BG30)</f>
        <v>10000</v>
      </c>
      <c r="T30" s="4">
        <f>+IF(TA_ti!T30*TA_ti!T$50*TA_ti!$BG30=0,10000,TA_ti!T30*TA_ti!T$50*TA_ti!$BG30)</f>
        <v>10000</v>
      </c>
      <c r="U30" s="4">
        <f>+IF(TA_ti!U30*TA_ti!U$50*TA_ti!$BG30=0,10000,TA_ti!U30*TA_ti!U$50*TA_ti!$BG30)</f>
        <v>10000</v>
      </c>
      <c r="V30" s="4">
        <f>+IF(TA_ti!V30*TA_ti!V$50*TA_ti!$BG30=0,10000,TA_ti!V30*TA_ti!V$50*TA_ti!$BG30)</f>
        <v>10000</v>
      </c>
      <c r="W30" s="4">
        <f>+IF(TA_ti!W30*TA_ti!W$50*TA_ti!$BG30=0,10000,TA_ti!W30*TA_ti!W$50*TA_ti!$BG30)</f>
        <v>10000</v>
      </c>
      <c r="X30" s="4">
        <f>+IF(TA_ti!X30*TA_ti!X$50*TA_ti!$BG30=0,10000,TA_ti!X30*TA_ti!X$50*TA_ti!$BG30)</f>
        <v>10000</v>
      </c>
      <c r="Y30" s="4">
        <f>+IF(TA_ti!Y30*TA_ti!Y$50*TA_ti!$BG30=0,10000,TA_ti!Y30*TA_ti!Y$50*TA_ti!$BG30)</f>
        <v>10000</v>
      </c>
      <c r="Z30" s="4">
        <f>+IF(TA_ti!Z30*TA_ti!Z$50*TA_ti!$BG30=0,10000,TA_ti!Z30*TA_ti!Z$50*TA_ti!$BG30)</f>
        <v>10000</v>
      </c>
      <c r="AA30" s="4">
        <f>+IF(TA_ti!AA30*TA_ti!AA$50*TA_ti!$BG30=0,10000,TA_ti!AA30*TA_ti!AA$50*TA_ti!$BG30)</f>
        <v>10000</v>
      </c>
      <c r="AB30" s="4">
        <f>+IF(TA_ti!AB30*TA_ti!AB$50*TA_ti!$BG30=0,10000,TA_ti!AB30*TA_ti!AB$50*TA_ti!$BG30)</f>
        <v>10000</v>
      </c>
      <c r="AC30" s="4">
        <f>+IF(TA_ti!AC30*TA_ti!AC$50*TA_ti!$BG30=0,10000,TA_ti!AC30*TA_ti!AC$50*TA_ti!$BG30)</f>
        <v>10000</v>
      </c>
      <c r="AD30" s="4">
        <f>+IF(TA_ti!AD30*TA_ti!AD$50*TA_ti!$BG30=0,10000,TA_ti!AD30*TA_ti!AD$50*TA_ti!$BG30)</f>
        <v>10000</v>
      </c>
      <c r="AE30" s="4">
        <f>+IF(TA_ti!AE30*TA_ti!AE$50*TA_ti!$BG30=0,10000,TA_ti!AE30*TA_ti!AE$50*TA_ti!$BG30)</f>
        <v>10000</v>
      </c>
      <c r="AF30" s="4">
        <f>+IF(TA_ti!AF30*TA_ti!AF$50*TA_ti!$BG30=0,10000,TA_ti!AF30*TA_ti!AF$50*TA_ti!$BG30)</f>
        <v>10000</v>
      </c>
      <c r="AG30" s="4">
        <f>+IF(TA_ti!AG30*TA_ti!AG$50*TA_ti!$BG30=0,10000,TA_ti!AG30*TA_ti!AG$50*TA_ti!$BG30)</f>
        <v>10000</v>
      </c>
      <c r="AH30" s="4">
        <f>+IF(TA_ti!AH30*TA_ti!AH$50*TA_ti!$BG30=0,10000,TA_ti!AH30*TA_ti!AH$50*TA_ti!$BG30)</f>
        <v>10000</v>
      </c>
      <c r="AI30" s="4">
        <f>+IF(TA_ti!AI30*TA_ti!AI$50*TA_ti!$BG30=0,10000,TA_ti!AI30*TA_ti!AI$50*TA_ti!$BG30)</f>
        <v>10000</v>
      </c>
      <c r="AJ30" s="4">
        <f>+IF(TA_ti!AJ30*TA_ti!AJ$50*TA_ti!$BG30=0,10000,TA_ti!AJ30*TA_ti!AJ$50*TA_ti!$BG30)</f>
        <v>10000</v>
      </c>
      <c r="AK30" s="4">
        <f>+IF(TA_ti!AK30*TA_ti!AK$50*TA_ti!$BG30=0,10000,TA_ti!AK30*TA_ti!AK$50*TA_ti!$BG30)</f>
        <v>10000</v>
      </c>
      <c r="AL30" s="4">
        <f>+IF(TA_ti!AL30*TA_ti!AL$50*TA_ti!$BG30=0,10000,TA_ti!AL30*TA_ti!AL$50*TA_ti!$BG30)</f>
        <v>10000</v>
      </c>
      <c r="AM30" s="4">
        <f>+IF(TA_ti!AM30*TA_ti!AM$50*TA_ti!$BG30=0,10000,TA_ti!AM30*TA_ti!AM$50*TA_ti!$BG30)</f>
        <v>10000</v>
      </c>
      <c r="AN30" s="4">
        <f>+IF(TA_ti!AN30*TA_ti!AN$50*TA_ti!$BG30=0,10000,TA_ti!AN30*TA_ti!AN$50*TA_ti!$BG30)</f>
        <v>10000</v>
      </c>
      <c r="AO30" s="4">
        <f>+IF(TA_ti!AO30*TA_ti!AO$50*TA_ti!$BG30=0,10000,TA_ti!AO30*TA_ti!AO$50*TA_ti!$BG30)</f>
        <v>10000</v>
      </c>
      <c r="AP30" s="4">
        <f>+IF(TA_ti!AP30*TA_ti!AP$50*TA_ti!$BG30=0,10000,TA_ti!AP30*TA_ti!AP$50*TA_ti!$BG30)</f>
        <v>10000</v>
      </c>
      <c r="AQ30" s="4">
        <f>+IF(TA_ti!AQ30*TA_ti!AQ$50*TA_ti!$BG30=0,10000,TA_ti!AQ30*TA_ti!AQ$50*TA_ti!$BG30)</f>
        <v>10000</v>
      </c>
      <c r="AR30" s="4">
        <f>+IF(TA_ti!AR30*TA_ti!AR$50*TA_ti!$BG30=0,10000,TA_ti!AR30*TA_ti!AR$50*TA_ti!$BG30)</f>
        <v>10000</v>
      </c>
      <c r="AS30" s="4">
        <f>+IF(TA_ti!AS30*TA_ti!AS$50*TA_ti!$BG30=0,10000,TA_ti!AS30*TA_ti!AS$50*TA_ti!$BG30)</f>
        <v>10000</v>
      </c>
      <c r="AT30" s="4">
        <f>+IF(TA_ti!AT30*TA_ti!AT$50*TA_ti!$BG30=0,10000,TA_ti!AT30*TA_ti!AT$50*TA_ti!$BG30)</f>
        <v>10000</v>
      </c>
      <c r="AU30" s="4">
        <f>+IF(TA_ti!AU30*TA_ti!AU$50*TA_ti!$BG30=0,10000,TA_ti!AU30*TA_ti!AU$50*TA_ti!$BG30)</f>
        <v>10000</v>
      </c>
      <c r="AV30" s="4">
        <f>+IF(TA_ti!AV30*TA_ti!AV$50*TA_ti!$BG30=0,10000,TA_ti!AV30*TA_ti!AV$50*TA_ti!$BG30)</f>
        <v>10000</v>
      </c>
      <c r="AW30" s="4">
        <f>+IF(TA_ti!AW30*TA_ti!AW$50*TA_ti!$BG30=0,10000,TA_ti!AW30*TA_ti!AW$50*TA_ti!$BG30)</f>
        <v>10000</v>
      </c>
      <c r="AX30" s="4">
        <f>+IF(TA_ti!AX30*TA_ti!AX$50*TA_ti!$BG30=0,10000,TA_ti!AX30*TA_ti!AX$50*TA_ti!$BG30)</f>
        <v>10000</v>
      </c>
      <c r="AY30" s="4">
        <f>+IF(TA_ti!AY30*TA_ti!AY$50*TA_ti!$BG30=0,10000,TA_ti!AY30*TA_ti!AY$50*TA_ti!$BG30)</f>
        <v>10000</v>
      </c>
      <c r="AZ30" s="4">
        <f>+IF(TA_ti!AZ30*TA_ti!AZ$50*TA_ti!$BG30=0,10000,TA_ti!AZ30*TA_ti!AZ$50*TA_ti!$BG30)</f>
        <v>10000</v>
      </c>
      <c r="BA30" s="4">
        <f>+IF(TA_ti!BA30*TA_ti!BA$50*TA_ti!$BG30=0,10000,TA_ti!BA30*TA_ti!BA$50*TA_ti!$BG30)</f>
        <v>10000</v>
      </c>
      <c r="BB30" s="4">
        <f>+IF(TA_ti!BB30*TA_ti!BB$50*TA_ti!$BG30=0,10000,TA_ti!BB30*TA_ti!BB$50*TA_ti!$BG30)</f>
        <v>10000</v>
      </c>
      <c r="BC30" s="4">
        <f>+IF(TA_ti!BC30*TA_ti!BC$50*TA_ti!$BG30=0,10000,TA_ti!BC30*TA_ti!BC$50*TA_ti!$BG30)</f>
        <v>10000</v>
      </c>
    </row>
    <row r="31" spans="1:55" ht="18.75" customHeight="1" x14ac:dyDescent="0.25">
      <c r="A31" s="5" t="s">
        <v>82</v>
      </c>
      <c r="B31" s="4">
        <f>+IF(TA_ti!B31*TA_ti!B$50*TA_ti!$BG31=0,10000,TA_ti!B31*TA_ti!B$50*TA_ti!$BG31)</f>
        <v>10000</v>
      </c>
      <c r="C31" s="4">
        <f>+IF(TA_ti!C31*TA_ti!C$50*TA_ti!$BG31=0,10000,TA_ti!C31*TA_ti!C$50*TA_ti!$BG31)</f>
        <v>10000</v>
      </c>
      <c r="D31" s="4">
        <f>+IF(TA_ti!D31*TA_ti!D$50*TA_ti!$BG31=0,10000,TA_ti!D31*TA_ti!D$50*TA_ti!$BG31)</f>
        <v>10000</v>
      </c>
      <c r="E31" s="4">
        <f>+IF(TA_ti!E31*TA_ti!E$50*TA_ti!$BG31=0,10000,TA_ti!E31*TA_ti!E$50*TA_ti!$BG31)</f>
        <v>10000</v>
      </c>
      <c r="F31" s="4">
        <f>+IF(TA_ti!F31*TA_ti!F$50*TA_ti!$BG31=0,10000,TA_ti!F31*TA_ti!F$50*TA_ti!$BG31)</f>
        <v>10000</v>
      </c>
      <c r="G31" s="4">
        <f>+IF(TA_ti!G31*TA_ti!G$50*TA_ti!$BG31=0,10000,TA_ti!G31*TA_ti!G$50*TA_ti!$BG31)</f>
        <v>10000</v>
      </c>
      <c r="H31" s="4">
        <f>+IF(TA_ti!H31*TA_ti!H$50*TA_ti!$BG31=0,10000,TA_ti!H31*TA_ti!H$50*TA_ti!$BG31)</f>
        <v>10000</v>
      </c>
      <c r="I31" s="4">
        <f>+IF(TA_ti!I31*TA_ti!I$50*TA_ti!$BG31=0,10000,TA_ti!I31*TA_ti!I$50*TA_ti!$BG31)</f>
        <v>10000</v>
      </c>
      <c r="J31" s="4">
        <f>+IF(TA_ti!J31*TA_ti!J$50*TA_ti!$BG31=0,10000,TA_ti!J31*TA_ti!J$50*TA_ti!$BG31)</f>
        <v>10000</v>
      </c>
      <c r="K31" s="4">
        <f>+IF(TA_ti!K31*TA_ti!K$50*TA_ti!$BG31=0,10000,TA_ti!K31*TA_ti!K$50*TA_ti!$BG31)</f>
        <v>10000</v>
      </c>
      <c r="L31" s="4">
        <f>+IF(TA_ti!L31*TA_ti!L$50*TA_ti!$BG31=0,10000,TA_ti!L31*TA_ti!L$50*TA_ti!$BG31)</f>
        <v>10000</v>
      </c>
      <c r="M31" s="4">
        <f>+IF(TA_ti!M31*TA_ti!M$50*TA_ti!$BG31=0,10000,TA_ti!M31*TA_ti!M$50*TA_ti!$BG31)</f>
        <v>10000</v>
      </c>
      <c r="N31" s="4">
        <f>+IF(TA_ti!N31*TA_ti!N$50*TA_ti!$BG31=0,10000,TA_ti!N31*TA_ti!N$50*TA_ti!$BG31)</f>
        <v>10000</v>
      </c>
      <c r="O31" s="4">
        <f>+IF(TA_ti!O31*TA_ti!O$50*TA_ti!$BG31=0,10000,TA_ti!O31*TA_ti!O$50*TA_ti!$BG31)</f>
        <v>10000</v>
      </c>
      <c r="P31" s="4">
        <f>+IF(TA_ti!P31*TA_ti!P$50*TA_ti!$BG31=0,10000,TA_ti!P31*TA_ti!P$50*TA_ti!$BG31)</f>
        <v>10000</v>
      </c>
      <c r="Q31" s="4">
        <f>+IF(TA_ti!Q31*TA_ti!Q$50*TA_ti!$BG31=0,10000,TA_ti!Q31*TA_ti!Q$50*TA_ti!$BG31)</f>
        <v>10000</v>
      </c>
      <c r="R31" s="4">
        <f>+IF(TA_ti!R31*TA_ti!R$50*TA_ti!$BG31=0,10000,TA_ti!R31*TA_ti!R$50*TA_ti!$BG31)</f>
        <v>10000</v>
      </c>
      <c r="S31" s="4">
        <f>+IF(TA_ti!S31*TA_ti!S$50*TA_ti!$BG31=0,10000,TA_ti!S31*TA_ti!S$50*TA_ti!$BG31)</f>
        <v>10000</v>
      </c>
      <c r="T31" s="4">
        <f>+IF(TA_ti!T31*TA_ti!T$50*TA_ti!$BG31=0,10000,TA_ti!T31*TA_ti!T$50*TA_ti!$BG31)</f>
        <v>10000</v>
      </c>
      <c r="U31" s="4">
        <f>+IF(TA_ti!U31*TA_ti!U$50*TA_ti!$BG31=0,10000,TA_ti!U31*TA_ti!U$50*TA_ti!$BG31)</f>
        <v>10000</v>
      </c>
      <c r="V31" s="4">
        <f>+IF(TA_ti!V31*TA_ti!V$50*TA_ti!$BG31=0,10000,TA_ti!V31*TA_ti!V$50*TA_ti!$BG31)</f>
        <v>10000</v>
      </c>
      <c r="W31" s="4">
        <f>+IF(TA_ti!W31*TA_ti!W$50*TA_ti!$BG31=0,10000,TA_ti!W31*TA_ti!W$50*TA_ti!$BG31)</f>
        <v>10000</v>
      </c>
      <c r="X31" s="4">
        <f>+IF(TA_ti!X31*TA_ti!X$50*TA_ti!$BG31=0,10000,TA_ti!X31*TA_ti!X$50*TA_ti!$BG31)</f>
        <v>10000</v>
      </c>
      <c r="Y31" s="4">
        <f>+IF(TA_ti!Y31*TA_ti!Y$50*TA_ti!$BG31=0,10000,TA_ti!Y31*TA_ti!Y$50*TA_ti!$BG31)</f>
        <v>10000</v>
      </c>
      <c r="Z31" s="4">
        <f>+IF(TA_ti!Z31*TA_ti!Z$50*TA_ti!$BG31=0,10000,TA_ti!Z31*TA_ti!Z$50*TA_ti!$BG31)</f>
        <v>10000</v>
      </c>
      <c r="AA31" s="4">
        <f>+IF(TA_ti!AA31*TA_ti!AA$50*TA_ti!$BG31=0,10000,TA_ti!AA31*TA_ti!AA$50*TA_ti!$BG31)</f>
        <v>10000</v>
      </c>
      <c r="AB31" s="4">
        <f>+IF(TA_ti!AB31*TA_ti!AB$50*TA_ti!$BG31=0,10000,TA_ti!AB31*TA_ti!AB$50*TA_ti!$BG31)</f>
        <v>10000</v>
      </c>
      <c r="AC31" s="4">
        <f>+IF(TA_ti!AC31*TA_ti!AC$50*TA_ti!$BG31=0,10000,TA_ti!AC31*TA_ti!AC$50*TA_ti!$BG31)</f>
        <v>10000</v>
      </c>
      <c r="AD31" s="4">
        <f>+IF(TA_ti!AD31*TA_ti!AD$50*TA_ti!$BG31=0,10000,TA_ti!AD31*TA_ti!AD$50*TA_ti!$BG31)</f>
        <v>10000</v>
      </c>
      <c r="AE31" s="4">
        <f>+IF(TA_ti!AE31*TA_ti!AE$50*TA_ti!$BG31=0,10000,TA_ti!AE31*TA_ti!AE$50*TA_ti!$BG31)</f>
        <v>10000</v>
      </c>
      <c r="AF31" s="4">
        <f>+IF(TA_ti!AF31*TA_ti!AF$50*TA_ti!$BG31=0,10000,TA_ti!AF31*TA_ti!AF$50*TA_ti!$BG31)</f>
        <v>10000</v>
      </c>
      <c r="AG31" s="4">
        <f>+IF(TA_ti!AG31*TA_ti!AG$50*TA_ti!$BG31=0,10000,TA_ti!AG31*TA_ti!AG$50*TA_ti!$BG31)</f>
        <v>10000</v>
      </c>
      <c r="AH31" s="4">
        <f>+IF(TA_ti!AH31*TA_ti!AH$50*TA_ti!$BG31=0,10000,TA_ti!AH31*TA_ti!AH$50*TA_ti!$BG31)</f>
        <v>10000</v>
      </c>
      <c r="AI31" s="4">
        <f>+IF(TA_ti!AI31*TA_ti!AI$50*TA_ti!$BG31=0,10000,TA_ti!AI31*TA_ti!AI$50*TA_ti!$BG31)</f>
        <v>10000</v>
      </c>
      <c r="AJ31" s="4">
        <f>+IF(TA_ti!AJ31*TA_ti!AJ$50*TA_ti!$BG31=0,10000,TA_ti!AJ31*TA_ti!AJ$50*TA_ti!$BG31)</f>
        <v>10000</v>
      </c>
      <c r="AK31" s="4">
        <f>+IF(TA_ti!AK31*TA_ti!AK$50*TA_ti!$BG31=0,10000,TA_ti!AK31*TA_ti!AK$50*TA_ti!$BG31)</f>
        <v>10000</v>
      </c>
      <c r="AL31" s="4">
        <f>+IF(TA_ti!AL31*TA_ti!AL$50*TA_ti!$BG31=0,10000,TA_ti!AL31*TA_ti!AL$50*TA_ti!$BG31)</f>
        <v>10000</v>
      </c>
      <c r="AM31" s="4">
        <f>+IF(TA_ti!AM31*TA_ti!AM$50*TA_ti!$BG31=0,10000,TA_ti!AM31*TA_ti!AM$50*TA_ti!$BG31)</f>
        <v>10000</v>
      </c>
      <c r="AN31" s="4">
        <f>+IF(TA_ti!AN31*TA_ti!AN$50*TA_ti!$BG31=0,10000,TA_ti!AN31*TA_ti!AN$50*TA_ti!$BG31)</f>
        <v>10000</v>
      </c>
      <c r="AO31" s="4">
        <f>+IF(TA_ti!AO31*TA_ti!AO$50*TA_ti!$BG31=0,10000,TA_ti!AO31*TA_ti!AO$50*TA_ti!$BG31)</f>
        <v>10000</v>
      </c>
      <c r="AP31" s="4">
        <f>+IF(TA_ti!AP31*TA_ti!AP$50*TA_ti!$BG31=0,10000,TA_ti!AP31*TA_ti!AP$50*TA_ti!$BG31)</f>
        <v>10000</v>
      </c>
      <c r="AQ31" s="4">
        <f>+IF(TA_ti!AQ31*TA_ti!AQ$50*TA_ti!$BG31=0,10000,TA_ti!AQ31*TA_ti!AQ$50*TA_ti!$BG31)</f>
        <v>10000</v>
      </c>
      <c r="AR31" s="4">
        <f>+IF(TA_ti!AR31*TA_ti!AR$50*TA_ti!$BG31=0,10000,TA_ti!AR31*TA_ti!AR$50*TA_ti!$BG31)</f>
        <v>10000</v>
      </c>
      <c r="AS31" s="4">
        <f>+IF(TA_ti!AS31*TA_ti!AS$50*TA_ti!$BG31=0,10000,TA_ti!AS31*TA_ti!AS$50*TA_ti!$BG31)</f>
        <v>10000</v>
      </c>
      <c r="AT31" s="4">
        <f>+IF(TA_ti!AT31*TA_ti!AT$50*TA_ti!$BG31=0,10000,TA_ti!AT31*TA_ti!AT$50*TA_ti!$BG31)</f>
        <v>10000</v>
      </c>
      <c r="AU31" s="4">
        <f>+IF(TA_ti!AU31*TA_ti!AU$50*TA_ti!$BG31=0,10000,TA_ti!AU31*TA_ti!AU$50*TA_ti!$BG31)</f>
        <v>10000</v>
      </c>
      <c r="AV31" s="4">
        <f>+IF(TA_ti!AV31*TA_ti!AV$50*TA_ti!$BG31=0,10000,TA_ti!AV31*TA_ti!AV$50*TA_ti!$BG31)</f>
        <v>10000</v>
      </c>
      <c r="AW31" s="4">
        <f>+IF(TA_ti!AW31*TA_ti!AW$50*TA_ti!$BG31=0,10000,TA_ti!AW31*TA_ti!AW$50*TA_ti!$BG31)</f>
        <v>10000</v>
      </c>
      <c r="AX31" s="4">
        <f>+IF(TA_ti!AX31*TA_ti!AX$50*TA_ti!$BG31=0,10000,TA_ti!AX31*TA_ti!AX$50*TA_ti!$BG31)</f>
        <v>10000</v>
      </c>
      <c r="AY31" s="4">
        <f>+IF(TA_ti!AY31*TA_ti!AY$50*TA_ti!$BG31=0,10000,TA_ti!AY31*TA_ti!AY$50*TA_ti!$BG31)</f>
        <v>10000</v>
      </c>
      <c r="AZ31" s="4">
        <f>+IF(TA_ti!AZ31*TA_ti!AZ$50*TA_ti!$BG31=0,10000,TA_ti!AZ31*TA_ti!AZ$50*TA_ti!$BG31)</f>
        <v>10000</v>
      </c>
      <c r="BA31" s="4">
        <f>+IF(TA_ti!BA31*TA_ti!BA$50*TA_ti!$BG31=0,10000,TA_ti!BA31*TA_ti!BA$50*TA_ti!$BG31)</f>
        <v>10000</v>
      </c>
      <c r="BB31" s="4">
        <f>+IF(TA_ti!BB31*TA_ti!BB$50*TA_ti!$BG31=0,10000,TA_ti!BB31*TA_ti!BB$50*TA_ti!$BG31)</f>
        <v>10000</v>
      </c>
      <c r="BC31" s="4">
        <f>+IF(TA_ti!BC31*TA_ti!BC$50*TA_ti!$BG31=0,10000,TA_ti!BC31*TA_ti!BC$50*TA_ti!$BG31)</f>
        <v>10000</v>
      </c>
    </row>
    <row r="32" spans="1:55" ht="18.75" customHeight="1" x14ac:dyDescent="0.25">
      <c r="A32" s="5" t="s">
        <v>83</v>
      </c>
      <c r="B32" s="4">
        <f>+IF(TA_ti!B32*TA_ti!B$50*TA_ti!$BG32=0,10000,TA_ti!B32*TA_ti!B$50*TA_ti!$BG32)</f>
        <v>10000</v>
      </c>
      <c r="C32" s="4">
        <f>+IF(TA_ti!C32*TA_ti!C$50*TA_ti!$BG32=0,10000,TA_ti!C32*TA_ti!C$50*TA_ti!$BG32)</f>
        <v>10000</v>
      </c>
      <c r="D32" s="4">
        <f>+IF(TA_ti!D32*TA_ti!D$50*TA_ti!$BG32=0,10000,TA_ti!D32*TA_ti!D$50*TA_ti!$BG32)</f>
        <v>10000</v>
      </c>
      <c r="E32" s="4">
        <f>+IF(TA_ti!E32*TA_ti!E$50*TA_ti!$BG32=0,10000,TA_ti!E32*TA_ti!E$50*TA_ti!$BG32)</f>
        <v>10000</v>
      </c>
      <c r="F32" s="4">
        <f>+IF(TA_ti!F32*TA_ti!F$50*TA_ti!$BG32=0,10000,TA_ti!F32*TA_ti!F$50*TA_ti!$BG32)</f>
        <v>10000</v>
      </c>
      <c r="G32" s="4">
        <f>+IF(TA_ti!G32*TA_ti!G$50*TA_ti!$BG32=0,10000,TA_ti!G32*TA_ti!G$50*TA_ti!$BG32)</f>
        <v>10000</v>
      </c>
      <c r="H32" s="4">
        <f>+IF(TA_ti!H32*TA_ti!H$50*TA_ti!$BG32=0,10000,TA_ti!H32*TA_ti!H$50*TA_ti!$BG32)</f>
        <v>10000</v>
      </c>
      <c r="I32" s="4">
        <f>+IF(TA_ti!I32*TA_ti!I$50*TA_ti!$BG32=0,10000,TA_ti!I32*TA_ti!I$50*TA_ti!$BG32)</f>
        <v>10000</v>
      </c>
      <c r="J32" s="4">
        <f>+IF(TA_ti!J32*TA_ti!J$50*TA_ti!$BG32=0,10000,TA_ti!J32*TA_ti!J$50*TA_ti!$BG32)</f>
        <v>10000</v>
      </c>
      <c r="K32" s="4">
        <f>+IF(TA_ti!K32*TA_ti!K$50*TA_ti!$BG32=0,10000,TA_ti!K32*TA_ti!K$50*TA_ti!$BG32)</f>
        <v>10000</v>
      </c>
      <c r="L32" s="4">
        <f>+IF(TA_ti!L32*TA_ti!L$50*TA_ti!$BG32=0,10000,TA_ti!L32*TA_ti!L$50*TA_ti!$BG32)</f>
        <v>10000</v>
      </c>
      <c r="M32" s="4">
        <f>+IF(TA_ti!M32*TA_ti!M$50*TA_ti!$BG32=0,10000,TA_ti!M32*TA_ti!M$50*TA_ti!$BG32)</f>
        <v>10000</v>
      </c>
      <c r="N32" s="4">
        <f>+IF(TA_ti!N32*TA_ti!N$50*TA_ti!$BG32=0,10000,TA_ti!N32*TA_ti!N$50*TA_ti!$BG32)</f>
        <v>10000</v>
      </c>
      <c r="O32" s="4">
        <f>+IF(TA_ti!O32*TA_ti!O$50*TA_ti!$BG32=0,10000,TA_ti!O32*TA_ti!O$50*TA_ti!$BG32)</f>
        <v>10000</v>
      </c>
      <c r="P32" s="4">
        <f>+IF(TA_ti!P32*TA_ti!P$50*TA_ti!$BG32=0,10000,TA_ti!P32*TA_ti!P$50*TA_ti!$BG32)</f>
        <v>10000</v>
      </c>
      <c r="Q32" s="4">
        <f>+IF(TA_ti!Q32*TA_ti!Q$50*TA_ti!$BG32=0,10000,TA_ti!Q32*TA_ti!Q$50*TA_ti!$BG32)</f>
        <v>10000</v>
      </c>
      <c r="R32" s="4">
        <f>+IF(TA_ti!R32*TA_ti!R$50*TA_ti!$BG32=0,10000,TA_ti!R32*TA_ti!R$50*TA_ti!$BG32)</f>
        <v>10000</v>
      </c>
      <c r="S32" s="4">
        <f>+IF(TA_ti!S32*TA_ti!S$50*TA_ti!$BG32=0,10000,TA_ti!S32*TA_ti!S$50*TA_ti!$BG32)</f>
        <v>10000</v>
      </c>
      <c r="T32" s="4">
        <f>+IF(TA_ti!T32*TA_ti!T$50*TA_ti!$BG32=0,10000,TA_ti!T32*TA_ti!T$50*TA_ti!$BG32)</f>
        <v>10000</v>
      </c>
      <c r="U32" s="4">
        <f>+IF(TA_ti!U32*TA_ti!U$50*TA_ti!$BG32=0,10000,TA_ti!U32*TA_ti!U$50*TA_ti!$BG32)</f>
        <v>10000</v>
      </c>
      <c r="V32" s="4">
        <f>+IF(TA_ti!V32*TA_ti!V$50*TA_ti!$BG32=0,10000,TA_ti!V32*TA_ti!V$50*TA_ti!$BG32)</f>
        <v>10000</v>
      </c>
      <c r="W32" s="4">
        <f>+IF(TA_ti!W32*TA_ti!W$50*TA_ti!$BG32=0,10000,TA_ti!W32*TA_ti!W$50*TA_ti!$BG32)</f>
        <v>10000</v>
      </c>
      <c r="X32" s="4">
        <f>+IF(TA_ti!X32*TA_ti!X$50*TA_ti!$BG32=0,10000,TA_ti!X32*TA_ti!X$50*TA_ti!$BG32)</f>
        <v>10000</v>
      </c>
      <c r="Y32" s="4">
        <f>+IF(TA_ti!Y32*TA_ti!Y$50*TA_ti!$BG32=0,10000,TA_ti!Y32*TA_ti!Y$50*TA_ti!$BG32)</f>
        <v>10000</v>
      </c>
      <c r="Z32" s="4">
        <f>+IF(TA_ti!Z32*TA_ti!Z$50*TA_ti!$BG32=0,10000,TA_ti!Z32*TA_ti!Z$50*TA_ti!$BG32)</f>
        <v>10000</v>
      </c>
      <c r="AA32" s="4">
        <f>+IF(TA_ti!AA32*TA_ti!AA$50*TA_ti!$BG32=0,10000,TA_ti!AA32*TA_ti!AA$50*TA_ti!$BG32)</f>
        <v>10000</v>
      </c>
      <c r="AB32" s="4">
        <f>+IF(TA_ti!AB32*TA_ti!AB$50*TA_ti!$BG32=0,10000,TA_ti!AB32*TA_ti!AB$50*TA_ti!$BG32)</f>
        <v>10000</v>
      </c>
      <c r="AC32" s="4">
        <f>+IF(TA_ti!AC32*TA_ti!AC$50*TA_ti!$BG32=0,10000,TA_ti!AC32*TA_ti!AC$50*TA_ti!$BG32)</f>
        <v>10000</v>
      </c>
      <c r="AD32" s="4">
        <f>+IF(TA_ti!AD32*TA_ti!AD$50*TA_ti!$BG32=0,10000,TA_ti!AD32*TA_ti!AD$50*TA_ti!$BG32)</f>
        <v>10000</v>
      </c>
      <c r="AE32" s="4">
        <f>+IF(TA_ti!AE32*TA_ti!AE$50*TA_ti!$BG32=0,10000,TA_ti!AE32*TA_ti!AE$50*TA_ti!$BG32)</f>
        <v>10000</v>
      </c>
      <c r="AF32" s="4">
        <f>+IF(TA_ti!AF32*TA_ti!AF$50*TA_ti!$BG32=0,10000,TA_ti!AF32*TA_ti!AF$50*TA_ti!$BG32)</f>
        <v>10000</v>
      </c>
      <c r="AG32" s="4">
        <f>+IF(TA_ti!AG32*TA_ti!AG$50*TA_ti!$BG32=0,10000,TA_ti!AG32*TA_ti!AG$50*TA_ti!$BG32)</f>
        <v>10000</v>
      </c>
      <c r="AH32" s="4">
        <f>+IF(TA_ti!AH32*TA_ti!AH$50*TA_ti!$BG32=0,10000,TA_ti!AH32*TA_ti!AH$50*TA_ti!$BG32)</f>
        <v>10000</v>
      </c>
      <c r="AI32" s="4">
        <f>+IF(TA_ti!AI32*TA_ti!AI$50*TA_ti!$BG32=0,10000,TA_ti!AI32*TA_ti!AI$50*TA_ti!$BG32)</f>
        <v>10000</v>
      </c>
      <c r="AJ32" s="4">
        <f>+IF(TA_ti!AJ32*TA_ti!AJ$50*TA_ti!$BG32=0,10000,TA_ti!AJ32*TA_ti!AJ$50*TA_ti!$BG32)</f>
        <v>10000</v>
      </c>
      <c r="AK32" s="4">
        <f>+IF(TA_ti!AK32*TA_ti!AK$50*TA_ti!$BG32=0,10000,TA_ti!AK32*TA_ti!AK$50*TA_ti!$BG32)</f>
        <v>10000</v>
      </c>
      <c r="AL32" s="4">
        <f>+IF(TA_ti!AL32*TA_ti!AL$50*TA_ti!$BG32=0,10000,TA_ti!AL32*TA_ti!AL$50*TA_ti!$BG32)</f>
        <v>10000</v>
      </c>
      <c r="AM32" s="4">
        <f>+IF(TA_ti!AM32*TA_ti!AM$50*TA_ti!$BG32=0,10000,TA_ti!AM32*TA_ti!AM$50*TA_ti!$BG32)</f>
        <v>10000</v>
      </c>
      <c r="AN32" s="4">
        <f>+IF(TA_ti!AN32*TA_ti!AN$50*TA_ti!$BG32=0,10000,TA_ti!AN32*TA_ti!AN$50*TA_ti!$BG32)</f>
        <v>10000</v>
      </c>
      <c r="AO32" s="4">
        <f>+IF(TA_ti!AO32*TA_ti!AO$50*TA_ti!$BG32=0,10000,TA_ti!AO32*TA_ti!AO$50*TA_ti!$BG32)</f>
        <v>10000</v>
      </c>
      <c r="AP32" s="4">
        <f>+IF(TA_ti!AP32*TA_ti!AP$50*TA_ti!$BG32=0,10000,TA_ti!AP32*TA_ti!AP$50*TA_ti!$BG32)</f>
        <v>10000</v>
      </c>
      <c r="AQ32" s="4">
        <f>+IF(TA_ti!AQ32*TA_ti!AQ$50*TA_ti!$BG32=0,10000,TA_ti!AQ32*TA_ti!AQ$50*TA_ti!$BG32)</f>
        <v>10000</v>
      </c>
      <c r="AR32" s="4">
        <f>+IF(TA_ti!AR32*TA_ti!AR$50*TA_ti!$BG32=0,10000,TA_ti!AR32*TA_ti!AR$50*TA_ti!$BG32)</f>
        <v>10000</v>
      </c>
      <c r="AS32" s="4">
        <f>+IF(TA_ti!AS32*TA_ti!AS$50*TA_ti!$BG32=0,10000,TA_ti!AS32*TA_ti!AS$50*TA_ti!$BG32)</f>
        <v>10000</v>
      </c>
      <c r="AT32" s="4">
        <f>+IF(TA_ti!AT32*TA_ti!AT$50*TA_ti!$BG32=0,10000,TA_ti!AT32*TA_ti!AT$50*TA_ti!$BG32)</f>
        <v>10000</v>
      </c>
      <c r="AU32" s="4">
        <f>+IF(TA_ti!AU32*TA_ti!AU$50*TA_ti!$BG32=0,10000,TA_ti!AU32*TA_ti!AU$50*TA_ti!$BG32)</f>
        <v>10000</v>
      </c>
      <c r="AV32" s="4">
        <f>+IF(TA_ti!AV32*TA_ti!AV$50*TA_ti!$BG32=0,10000,TA_ti!AV32*TA_ti!AV$50*TA_ti!$BG32)</f>
        <v>10000</v>
      </c>
      <c r="AW32" s="4">
        <f>+IF(TA_ti!AW32*TA_ti!AW$50*TA_ti!$BG32=0,10000,TA_ti!AW32*TA_ti!AW$50*TA_ti!$BG32)</f>
        <v>10000</v>
      </c>
      <c r="AX32" s="4">
        <f>+IF(TA_ti!AX32*TA_ti!AX$50*TA_ti!$BG32=0,10000,TA_ti!AX32*TA_ti!AX$50*TA_ti!$BG32)</f>
        <v>10000</v>
      </c>
      <c r="AY32" s="4">
        <f>+IF(TA_ti!AY32*TA_ti!AY$50*TA_ti!$BG32=0,10000,TA_ti!AY32*TA_ti!AY$50*TA_ti!$BG32)</f>
        <v>10000</v>
      </c>
      <c r="AZ32" s="4">
        <f>+IF(TA_ti!AZ32*TA_ti!AZ$50*TA_ti!$BG32=0,10000,TA_ti!AZ32*TA_ti!AZ$50*TA_ti!$BG32)</f>
        <v>10000</v>
      </c>
      <c r="BA32" s="4">
        <f>+IF(TA_ti!BA32*TA_ti!BA$50*TA_ti!$BG32=0,10000,TA_ti!BA32*TA_ti!BA$50*TA_ti!$BG32)</f>
        <v>10000</v>
      </c>
      <c r="BB32" s="4">
        <f>+IF(TA_ti!BB32*TA_ti!BB$50*TA_ti!$BG32=0,10000,TA_ti!BB32*TA_ti!BB$50*TA_ti!$BG32)</f>
        <v>10000</v>
      </c>
      <c r="BC32" s="4">
        <f>+IF(TA_ti!BC32*TA_ti!BC$50*TA_ti!$BG32=0,10000,TA_ti!BC32*TA_ti!BC$50*TA_ti!$BG32)</f>
        <v>10000</v>
      </c>
    </row>
    <row r="33" spans="1:55" ht="18.75" customHeight="1" x14ac:dyDescent="0.25">
      <c r="A33" s="5" t="s">
        <v>84</v>
      </c>
      <c r="B33" s="4">
        <f>+IF(TA_ti!B33*TA_ti!B$50*TA_ti!$BG33=0,10000,TA_ti!B33*TA_ti!B$50*TA_ti!$BG33)</f>
        <v>10000</v>
      </c>
      <c r="C33" s="4">
        <f>+IF(TA_ti!C33*TA_ti!C$50*TA_ti!$BG33=0,10000,TA_ti!C33*TA_ti!C$50*TA_ti!$BG33)</f>
        <v>10000</v>
      </c>
      <c r="D33" s="4">
        <f>+IF(TA_ti!D33*TA_ti!D$50*TA_ti!$BG33=0,10000,TA_ti!D33*TA_ti!D$50*TA_ti!$BG33)</f>
        <v>10000</v>
      </c>
      <c r="E33" s="4">
        <f>+IF(TA_ti!E33*TA_ti!E$50*TA_ti!$BG33=0,10000,TA_ti!E33*TA_ti!E$50*TA_ti!$BG33)</f>
        <v>10000</v>
      </c>
      <c r="F33" s="4">
        <f>+IF(TA_ti!F33*TA_ti!F$50*TA_ti!$BG33=0,10000,TA_ti!F33*TA_ti!F$50*TA_ti!$BG33)</f>
        <v>10000</v>
      </c>
      <c r="G33" s="4">
        <f>+IF(TA_ti!G33*TA_ti!G$50*TA_ti!$BG33=0,10000,TA_ti!G33*TA_ti!G$50*TA_ti!$BG33)</f>
        <v>10000</v>
      </c>
      <c r="H33" s="4">
        <f>+IF(TA_ti!H33*TA_ti!H$50*TA_ti!$BG33=0,10000,TA_ti!H33*TA_ti!H$50*TA_ti!$BG33)</f>
        <v>10000</v>
      </c>
      <c r="I33" s="4">
        <f>+IF(TA_ti!I33*TA_ti!I$50*TA_ti!$BG33=0,10000,TA_ti!I33*TA_ti!I$50*TA_ti!$BG33)</f>
        <v>10000</v>
      </c>
      <c r="J33" s="4">
        <f>+IF(TA_ti!J33*TA_ti!J$50*TA_ti!$BG33=0,10000,TA_ti!J33*TA_ti!J$50*TA_ti!$BG33)</f>
        <v>10000</v>
      </c>
      <c r="K33" s="4">
        <f>+IF(TA_ti!K33*TA_ti!K$50*TA_ti!$BG33=0,10000,TA_ti!K33*TA_ti!K$50*TA_ti!$BG33)</f>
        <v>10000</v>
      </c>
      <c r="L33" s="4">
        <f>+IF(TA_ti!L33*TA_ti!L$50*TA_ti!$BG33=0,10000,TA_ti!L33*TA_ti!L$50*TA_ti!$BG33)</f>
        <v>10000</v>
      </c>
      <c r="M33" s="4">
        <f>+IF(TA_ti!M33*TA_ti!M$50*TA_ti!$BG33=0,10000,TA_ti!M33*TA_ti!M$50*TA_ti!$BG33)</f>
        <v>10000</v>
      </c>
      <c r="N33" s="4">
        <f>+IF(TA_ti!N33*TA_ti!N$50*TA_ti!$BG33=0,10000,TA_ti!N33*TA_ti!N$50*TA_ti!$BG33)</f>
        <v>10000</v>
      </c>
      <c r="O33" s="4">
        <f>+IF(TA_ti!O33*TA_ti!O$50*TA_ti!$BG33=0,10000,TA_ti!O33*TA_ti!O$50*TA_ti!$BG33)</f>
        <v>10000</v>
      </c>
      <c r="P33" s="4">
        <f>+IF(TA_ti!P33*TA_ti!P$50*TA_ti!$BG33=0,10000,TA_ti!P33*TA_ti!P$50*TA_ti!$BG33)</f>
        <v>10000</v>
      </c>
      <c r="Q33" s="4">
        <f>+IF(TA_ti!Q33*TA_ti!Q$50*TA_ti!$BG33=0,10000,TA_ti!Q33*TA_ti!Q$50*TA_ti!$BG33)</f>
        <v>10000</v>
      </c>
      <c r="R33" s="4">
        <f>+IF(TA_ti!R33*TA_ti!R$50*TA_ti!$BG33=0,10000,TA_ti!R33*TA_ti!R$50*TA_ti!$BG33)</f>
        <v>10000</v>
      </c>
      <c r="S33" s="4">
        <f>+IF(TA_ti!S33*TA_ti!S$50*TA_ti!$BG33=0,10000,TA_ti!S33*TA_ti!S$50*TA_ti!$BG33)</f>
        <v>10000</v>
      </c>
      <c r="T33" s="4">
        <f>+IF(TA_ti!T33*TA_ti!T$50*TA_ti!$BG33=0,10000,TA_ti!T33*TA_ti!T$50*TA_ti!$BG33)</f>
        <v>10000</v>
      </c>
      <c r="U33" s="4">
        <f>+IF(TA_ti!U33*TA_ti!U$50*TA_ti!$BG33=0,10000,TA_ti!U33*TA_ti!U$50*TA_ti!$BG33)</f>
        <v>10000</v>
      </c>
      <c r="V33" s="4">
        <f>+IF(TA_ti!V33*TA_ti!V$50*TA_ti!$BG33=0,10000,TA_ti!V33*TA_ti!V$50*TA_ti!$BG33)</f>
        <v>10000</v>
      </c>
      <c r="W33" s="4">
        <f>+IF(TA_ti!W33*TA_ti!W$50*TA_ti!$BG33=0,10000,TA_ti!W33*TA_ti!W$50*TA_ti!$BG33)</f>
        <v>10000</v>
      </c>
      <c r="X33" s="4">
        <f>+IF(TA_ti!X33*TA_ti!X$50*TA_ti!$BG33=0,10000,TA_ti!X33*TA_ti!X$50*TA_ti!$BG33)</f>
        <v>10000</v>
      </c>
      <c r="Y33" s="4">
        <f>+IF(TA_ti!Y33*TA_ti!Y$50*TA_ti!$BG33=0,10000,TA_ti!Y33*TA_ti!Y$50*TA_ti!$BG33)</f>
        <v>10000</v>
      </c>
      <c r="Z33" s="4">
        <f>+IF(TA_ti!Z33*TA_ti!Z$50*TA_ti!$BG33=0,10000,TA_ti!Z33*TA_ti!Z$50*TA_ti!$BG33)</f>
        <v>10000</v>
      </c>
      <c r="AA33" s="4">
        <f>+IF(TA_ti!AA33*TA_ti!AA$50*TA_ti!$BG33=0,10000,TA_ti!AA33*TA_ti!AA$50*TA_ti!$BG33)</f>
        <v>10000</v>
      </c>
      <c r="AB33" s="4">
        <f>+IF(TA_ti!AB33*TA_ti!AB$50*TA_ti!$BG33=0,10000,TA_ti!AB33*TA_ti!AB$50*TA_ti!$BG33)</f>
        <v>10000</v>
      </c>
      <c r="AC33" s="4">
        <f>+IF(TA_ti!AC33*TA_ti!AC$50*TA_ti!$BG33=0,10000,TA_ti!AC33*TA_ti!AC$50*TA_ti!$BG33)</f>
        <v>10000</v>
      </c>
      <c r="AD33" s="4">
        <f>+IF(TA_ti!AD33*TA_ti!AD$50*TA_ti!$BG33=0,10000,TA_ti!AD33*TA_ti!AD$50*TA_ti!$BG33)</f>
        <v>10000</v>
      </c>
      <c r="AE33" s="4">
        <f>+IF(TA_ti!AE33*TA_ti!AE$50*TA_ti!$BG33=0,10000,TA_ti!AE33*TA_ti!AE$50*TA_ti!$BG33)</f>
        <v>10000</v>
      </c>
      <c r="AF33" s="4">
        <f>+IF(TA_ti!AF33*TA_ti!AF$50*TA_ti!$BG33=0,10000,TA_ti!AF33*TA_ti!AF$50*TA_ti!$BG33)</f>
        <v>10000</v>
      </c>
      <c r="AG33" s="4">
        <f>+IF(TA_ti!AG33*TA_ti!AG$50*TA_ti!$BG33=0,10000,TA_ti!AG33*TA_ti!AG$50*TA_ti!$BG33)</f>
        <v>10000</v>
      </c>
      <c r="AH33" s="4">
        <f>+IF(TA_ti!AH33*TA_ti!AH$50*TA_ti!$BG33=0,10000,TA_ti!AH33*TA_ti!AH$50*TA_ti!$BG33)</f>
        <v>10000</v>
      </c>
      <c r="AI33" s="4">
        <f>+IF(TA_ti!AI33*TA_ti!AI$50*TA_ti!$BG33=0,10000,TA_ti!AI33*TA_ti!AI$50*TA_ti!$BG33)</f>
        <v>10000</v>
      </c>
      <c r="AJ33" s="4">
        <f>+IF(TA_ti!AJ33*TA_ti!AJ$50*TA_ti!$BG33=0,10000,TA_ti!AJ33*TA_ti!AJ$50*TA_ti!$BG33)</f>
        <v>10000</v>
      </c>
      <c r="AK33" s="4">
        <f>+IF(TA_ti!AK33*TA_ti!AK$50*TA_ti!$BG33=0,10000,TA_ti!AK33*TA_ti!AK$50*TA_ti!$BG33)</f>
        <v>10000</v>
      </c>
      <c r="AL33" s="4">
        <f>+IF(TA_ti!AL33*TA_ti!AL$50*TA_ti!$BG33=0,10000,TA_ti!AL33*TA_ti!AL$50*TA_ti!$BG33)</f>
        <v>10000</v>
      </c>
      <c r="AM33" s="4">
        <f>+IF(TA_ti!AM33*TA_ti!AM$50*TA_ti!$BG33=0,10000,TA_ti!AM33*TA_ti!AM$50*TA_ti!$BG33)</f>
        <v>10000</v>
      </c>
      <c r="AN33" s="4">
        <f>+IF(TA_ti!AN33*TA_ti!AN$50*TA_ti!$BG33=0,10000,TA_ti!AN33*TA_ti!AN$50*TA_ti!$BG33)</f>
        <v>10000</v>
      </c>
      <c r="AO33" s="4">
        <f>+IF(TA_ti!AO33*TA_ti!AO$50*TA_ti!$BG33=0,10000,TA_ti!AO33*TA_ti!AO$50*TA_ti!$BG33)</f>
        <v>10000</v>
      </c>
      <c r="AP33" s="4">
        <f>+IF(TA_ti!AP33*TA_ti!AP$50*TA_ti!$BG33=0,10000,TA_ti!AP33*TA_ti!AP$50*TA_ti!$BG33)</f>
        <v>10000</v>
      </c>
      <c r="AQ33" s="4">
        <f>+IF(TA_ti!AQ33*TA_ti!AQ$50*TA_ti!$BG33=0,10000,TA_ti!AQ33*TA_ti!AQ$50*TA_ti!$BG33)</f>
        <v>10000</v>
      </c>
      <c r="AR33" s="4">
        <f>+IF(TA_ti!AR33*TA_ti!AR$50*TA_ti!$BG33=0,10000,TA_ti!AR33*TA_ti!AR$50*TA_ti!$BG33)</f>
        <v>10000</v>
      </c>
      <c r="AS33" s="4">
        <f>+IF(TA_ti!AS33*TA_ti!AS$50*TA_ti!$BG33=0,10000,TA_ti!AS33*TA_ti!AS$50*TA_ti!$BG33)</f>
        <v>10000</v>
      </c>
      <c r="AT33" s="4">
        <f>+IF(TA_ti!AT33*TA_ti!AT$50*TA_ti!$BG33=0,10000,TA_ti!AT33*TA_ti!AT$50*TA_ti!$BG33)</f>
        <v>10000</v>
      </c>
      <c r="AU33" s="4">
        <f>+IF(TA_ti!AU33*TA_ti!AU$50*TA_ti!$BG33=0,10000,TA_ti!AU33*TA_ti!AU$50*TA_ti!$BG33)</f>
        <v>10000</v>
      </c>
      <c r="AV33" s="4">
        <f>+IF(TA_ti!AV33*TA_ti!AV$50*TA_ti!$BG33=0,10000,TA_ti!AV33*TA_ti!AV$50*TA_ti!$BG33)</f>
        <v>10000</v>
      </c>
      <c r="AW33" s="4">
        <f>+IF(TA_ti!AW33*TA_ti!AW$50*TA_ti!$BG33=0,10000,TA_ti!AW33*TA_ti!AW$50*TA_ti!$BG33)</f>
        <v>10000</v>
      </c>
      <c r="AX33" s="4">
        <f>+IF(TA_ti!AX33*TA_ti!AX$50*TA_ti!$BG33=0,10000,TA_ti!AX33*TA_ti!AX$50*TA_ti!$BG33)</f>
        <v>10000</v>
      </c>
      <c r="AY33" s="4">
        <f>+IF(TA_ti!AY33*TA_ti!AY$50*TA_ti!$BG33=0,10000,TA_ti!AY33*TA_ti!AY$50*TA_ti!$BG33)</f>
        <v>10000</v>
      </c>
      <c r="AZ33" s="4">
        <f>+IF(TA_ti!AZ33*TA_ti!AZ$50*TA_ti!$BG33=0,10000,TA_ti!AZ33*TA_ti!AZ$50*TA_ti!$BG33)</f>
        <v>10000</v>
      </c>
      <c r="BA33" s="4">
        <f>+IF(TA_ti!BA33*TA_ti!BA$50*TA_ti!$BG33=0,10000,TA_ti!BA33*TA_ti!BA$50*TA_ti!$BG33)</f>
        <v>10000</v>
      </c>
      <c r="BB33" s="4">
        <f>+IF(TA_ti!BB33*TA_ti!BB$50*TA_ti!$BG33=0,10000,TA_ti!BB33*TA_ti!BB$50*TA_ti!$BG33)</f>
        <v>10000</v>
      </c>
      <c r="BC33" s="4">
        <f>+IF(TA_ti!BC33*TA_ti!BC$50*TA_ti!$BG33=0,10000,TA_ti!BC33*TA_ti!BC$50*TA_ti!$BG33)</f>
        <v>10000</v>
      </c>
    </row>
    <row r="34" spans="1:55" ht="18.75" customHeight="1" x14ac:dyDescent="0.25">
      <c r="A34" s="5" t="s">
        <v>85</v>
      </c>
      <c r="B34" s="4">
        <f>+IF(TA_ti!B34*TA_ti!B$50*TA_ti!$BG34=0,10000,TA_ti!B34*TA_ti!B$50*TA_ti!$BG34)</f>
        <v>10000</v>
      </c>
      <c r="C34" s="4">
        <f>+IF(TA_ti!C34*TA_ti!C$50*TA_ti!$BG34=0,10000,TA_ti!C34*TA_ti!C$50*TA_ti!$BG34)</f>
        <v>10000</v>
      </c>
      <c r="D34" s="4">
        <f>+IF(TA_ti!D34*TA_ti!D$50*TA_ti!$BG34=0,10000,TA_ti!D34*TA_ti!D$50*TA_ti!$BG34)</f>
        <v>10000</v>
      </c>
      <c r="E34" s="4">
        <f>+IF(TA_ti!E34*TA_ti!E$50*TA_ti!$BG34=0,10000,TA_ti!E34*TA_ti!E$50*TA_ti!$BG34)</f>
        <v>10000</v>
      </c>
      <c r="F34" s="4">
        <f>+IF(TA_ti!F34*TA_ti!F$50*TA_ti!$BG34=0,10000,TA_ti!F34*TA_ti!F$50*TA_ti!$BG34)</f>
        <v>10000</v>
      </c>
      <c r="G34" s="4">
        <f>+IF(TA_ti!G34*TA_ti!G$50*TA_ti!$BG34=0,10000,TA_ti!G34*TA_ti!G$50*TA_ti!$BG34)</f>
        <v>10000</v>
      </c>
      <c r="H34" s="4">
        <f>+IF(TA_ti!H34*TA_ti!H$50*TA_ti!$BG34=0,10000,TA_ti!H34*TA_ti!H$50*TA_ti!$BG34)</f>
        <v>10000</v>
      </c>
      <c r="I34" s="4">
        <f>+IF(TA_ti!I34*TA_ti!I$50*TA_ti!$BG34=0,10000,TA_ti!I34*TA_ti!I$50*TA_ti!$BG34)</f>
        <v>10000</v>
      </c>
      <c r="J34" s="4">
        <f>+IF(TA_ti!J34*TA_ti!J$50*TA_ti!$BG34=0,10000,TA_ti!J34*TA_ti!J$50*TA_ti!$BG34)</f>
        <v>10000</v>
      </c>
      <c r="K34" s="4">
        <f>+IF(TA_ti!K34*TA_ti!K$50*TA_ti!$BG34=0,10000,TA_ti!K34*TA_ti!K$50*TA_ti!$BG34)</f>
        <v>10000</v>
      </c>
      <c r="L34" s="4">
        <f>+IF(TA_ti!L34*TA_ti!L$50*TA_ti!$BG34=0,10000,TA_ti!L34*TA_ti!L$50*TA_ti!$BG34)</f>
        <v>10000</v>
      </c>
      <c r="M34" s="4">
        <f>+IF(TA_ti!M34*TA_ti!M$50*TA_ti!$BG34=0,10000,TA_ti!M34*TA_ti!M$50*TA_ti!$BG34)</f>
        <v>10000</v>
      </c>
      <c r="N34" s="4">
        <f>+IF(TA_ti!N34*TA_ti!N$50*TA_ti!$BG34=0,10000,TA_ti!N34*TA_ti!N$50*TA_ti!$BG34)</f>
        <v>10000</v>
      </c>
      <c r="O34" s="4">
        <f>+IF(TA_ti!O34*TA_ti!O$50*TA_ti!$BG34=0,10000,TA_ti!O34*TA_ti!O$50*TA_ti!$BG34)</f>
        <v>10000</v>
      </c>
      <c r="P34" s="4">
        <f>+IF(TA_ti!P34*TA_ti!P$50*TA_ti!$BG34=0,10000,TA_ti!P34*TA_ti!P$50*TA_ti!$BG34)</f>
        <v>10000</v>
      </c>
      <c r="Q34" s="4">
        <f>+IF(TA_ti!Q34*TA_ti!Q$50*TA_ti!$BG34=0,10000,TA_ti!Q34*TA_ti!Q$50*TA_ti!$BG34)</f>
        <v>10000</v>
      </c>
      <c r="R34" s="4">
        <f>+IF(TA_ti!R34*TA_ti!R$50*TA_ti!$BG34=0,10000,TA_ti!R34*TA_ti!R$50*TA_ti!$BG34)</f>
        <v>10000</v>
      </c>
      <c r="S34" s="4">
        <f>+IF(TA_ti!S34*TA_ti!S$50*TA_ti!$BG34=0,10000,TA_ti!S34*TA_ti!S$50*TA_ti!$BG34)</f>
        <v>10000</v>
      </c>
      <c r="T34" s="4">
        <f>+IF(TA_ti!T34*TA_ti!T$50*TA_ti!$BG34=0,10000,TA_ti!T34*TA_ti!T$50*TA_ti!$BG34)</f>
        <v>10000</v>
      </c>
      <c r="U34" s="4">
        <f>+IF(TA_ti!U34*TA_ti!U$50*TA_ti!$BG34=0,10000,TA_ti!U34*TA_ti!U$50*TA_ti!$BG34)</f>
        <v>10000</v>
      </c>
      <c r="V34" s="4">
        <f>+IF(TA_ti!V34*TA_ti!V$50*TA_ti!$BG34=0,10000,TA_ti!V34*TA_ti!V$50*TA_ti!$BG34)</f>
        <v>10000</v>
      </c>
      <c r="W34" s="4">
        <f>+IF(TA_ti!W34*TA_ti!W$50*TA_ti!$BG34=0,10000,TA_ti!W34*TA_ti!W$50*TA_ti!$BG34)</f>
        <v>10000</v>
      </c>
      <c r="X34" s="4">
        <f>+IF(TA_ti!X34*TA_ti!X$50*TA_ti!$BG34=0,10000,TA_ti!X34*TA_ti!X$50*TA_ti!$BG34)</f>
        <v>10000</v>
      </c>
      <c r="Y34" s="4">
        <f>+IF(TA_ti!Y34*TA_ti!Y$50*TA_ti!$BG34=0,10000,TA_ti!Y34*TA_ti!Y$50*TA_ti!$BG34)</f>
        <v>10000</v>
      </c>
      <c r="Z34" s="4">
        <f>+IF(TA_ti!Z34*TA_ti!Z$50*TA_ti!$BG34=0,10000,TA_ti!Z34*TA_ti!Z$50*TA_ti!$BG34)</f>
        <v>10000</v>
      </c>
      <c r="AA34" s="4">
        <f>+IF(TA_ti!AA34*TA_ti!AA$50*TA_ti!$BG34=0,10000,TA_ti!AA34*TA_ti!AA$50*TA_ti!$BG34)</f>
        <v>10000</v>
      </c>
      <c r="AB34" s="4">
        <f>+IF(TA_ti!AB34*TA_ti!AB$50*TA_ti!$BG34=0,10000,TA_ti!AB34*TA_ti!AB$50*TA_ti!$BG34)</f>
        <v>10000</v>
      </c>
      <c r="AC34" s="4">
        <f>+IF(TA_ti!AC34*TA_ti!AC$50*TA_ti!$BG34=0,10000,TA_ti!AC34*TA_ti!AC$50*TA_ti!$BG34)</f>
        <v>10000</v>
      </c>
      <c r="AD34" s="4">
        <f>+IF(TA_ti!AD34*TA_ti!AD$50*TA_ti!$BG34=0,10000,TA_ti!AD34*TA_ti!AD$50*TA_ti!$BG34)</f>
        <v>10000</v>
      </c>
      <c r="AE34" s="4">
        <f>+IF(TA_ti!AE34*TA_ti!AE$50*TA_ti!$BG34=0,10000,TA_ti!AE34*TA_ti!AE$50*TA_ti!$BG34)</f>
        <v>10000</v>
      </c>
      <c r="AF34" s="4">
        <f>+IF(TA_ti!AF34*TA_ti!AF$50*TA_ti!$BG34=0,10000,TA_ti!AF34*TA_ti!AF$50*TA_ti!$BG34)</f>
        <v>10000</v>
      </c>
      <c r="AG34" s="4">
        <f>+IF(TA_ti!AG34*TA_ti!AG$50*TA_ti!$BG34=0,10000,TA_ti!AG34*TA_ti!AG$50*TA_ti!$BG34)</f>
        <v>10000</v>
      </c>
      <c r="AH34" s="4">
        <f>+IF(TA_ti!AH34*TA_ti!AH$50*TA_ti!$BG34=0,10000,TA_ti!AH34*TA_ti!AH$50*TA_ti!$BG34)</f>
        <v>10000</v>
      </c>
      <c r="AI34" s="4">
        <f>+IF(TA_ti!AI34*TA_ti!AI$50*TA_ti!$BG34=0,10000,TA_ti!AI34*TA_ti!AI$50*TA_ti!$BG34)</f>
        <v>10000</v>
      </c>
      <c r="AJ34" s="4">
        <f>+IF(TA_ti!AJ34*TA_ti!AJ$50*TA_ti!$BG34=0,10000,TA_ti!AJ34*TA_ti!AJ$50*TA_ti!$BG34)</f>
        <v>10000</v>
      </c>
      <c r="AK34" s="4">
        <f>+IF(TA_ti!AK34*TA_ti!AK$50*TA_ti!$BG34=0,10000,TA_ti!AK34*TA_ti!AK$50*TA_ti!$BG34)</f>
        <v>10000</v>
      </c>
      <c r="AL34" s="4">
        <f>+IF(TA_ti!AL34*TA_ti!AL$50*TA_ti!$BG34=0,10000,TA_ti!AL34*TA_ti!AL$50*TA_ti!$BG34)</f>
        <v>10000</v>
      </c>
      <c r="AM34" s="4">
        <f>+IF(TA_ti!AM34*TA_ti!AM$50*TA_ti!$BG34=0,10000,TA_ti!AM34*TA_ti!AM$50*TA_ti!$BG34)</f>
        <v>10000</v>
      </c>
      <c r="AN34" s="4">
        <f>+IF(TA_ti!AN34*TA_ti!AN$50*TA_ti!$BG34=0,10000,TA_ti!AN34*TA_ti!AN$50*TA_ti!$BG34)</f>
        <v>10000</v>
      </c>
      <c r="AO34" s="4">
        <f>+IF(TA_ti!AO34*TA_ti!AO$50*TA_ti!$BG34=0,10000,TA_ti!AO34*TA_ti!AO$50*TA_ti!$BG34)</f>
        <v>10000</v>
      </c>
      <c r="AP34" s="4">
        <f>+IF(TA_ti!AP34*TA_ti!AP$50*TA_ti!$BG34=0,10000,TA_ti!AP34*TA_ti!AP$50*TA_ti!$BG34)</f>
        <v>10000</v>
      </c>
      <c r="AQ34" s="4">
        <f>+IF(TA_ti!AQ34*TA_ti!AQ$50*TA_ti!$BG34=0,10000,TA_ti!AQ34*TA_ti!AQ$50*TA_ti!$BG34)</f>
        <v>10000</v>
      </c>
      <c r="AR34" s="4">
        <f>+IF(TA_ti!AR34*TA_ti!AR$50*TA_ti!$BG34=0,10000,TA_ti!AR34*TA_ti!AR$50*TA_ti!$BG34)</f>
        <v>10000</v>
      </c>
      <c r="AS34" s="4">
        <f>+IF(TA_ti!AS34*TA_ti!AS$50*TA_ti!$BG34=0,10000,TA_ti!AS34*TA_ti!AS$50*TA_ti!$BG34)</f>
        <v>10000</v>
      </c>
      <c r="AT34" s="4">
        <f>+IF(TA_ti!AT34*TA_ti!AT$50*TA_ti!$BG34=0,10000,TA_ti!AT34*TA_ti!AT$50*TA_ti!$BG34)</f>
        <v>10000</v>
      </c>
      <c r="AU34" s="4">
        <f>+IF(TA_ti!AU34*TA_ti!AU$50*TA_ti!$BG34=0,10000,TA_ti!AU34*TA_ti!AU$50*TA_ti!$BG34)</f>
        <v>10000</v>
      </c>
      <c r="AV34" s="4">
        <f>+IF(TA_ti!AV34*TA_ti!AV$50*TA_ti!$BG34=0,10000,TA_ti!AV34*TA_ti!AV$50*TA_ti!$BG34)</f>
        <v>10000</v>
      </c>
      <c r="AW34" s="4">
        <f>+IF(TA_ti!AW34*TA_ti!AW$50*TA_ti!$BG34=0,10000,TA_ti!AW34*TA_ti!AW$50*TA_ti!$BG34)</f>
        <v>10000</v>
      </c>
      <c r="AX34" s="4">
        <f>+IF(TA_ti!AX34*TA_ti!AX$50*TA_ti!$BG34=0,10000,TA_ti!AX34*TA_ti!AX$50*TA_ti!$BG34)</f>
        <v>10000</v>
      </c>
      <c r="AY34" s="4">
        <f>+IF(TA_ti!AY34*TA_ti!AY$50*TA_ti!$BG34=0,10000,TA_ti!AY34*TA_ti!AY$50*TA_ti!$BG34)</f>
        <v>10000</v>
      </c>
      <c r="AZ34" s="4">
        <f>+IF(TA_ti!AZ34*TA_ti!AZ$50*TA_ti!$BG34=0,10000,TA_ti!AZ34*TA_ti!AZ$50*TA_ti!$BG34)</f>
        <v>10000</v>
      </c>
      <c r="BA34" s="4">
        <f>+IF(TA_ti!BA34*TA_ti!BA$50*TA_ti!$BG34=0,10000,TA_ti!BA34*TA_ti!BA$50*TA_ti!$BG34)</f>
        <v>10000</v>
      </c>
      <c r="BB34" s="4">
        <f>+IF(TA_ti!BB34*TA_ti!BB$50*TA_ti!$BG34=0,10000,TA_ti!BB34*TA_ti!BB$50*TA_ti!$BG34)</f>
        <v>10000</v>
      </c>
      <c r="BC34" s="4">
        <f>+IF(TA_ti!BC34*TA_ti!BC$50*TA_ti!$BG34=0,10000,TA_ti!BC34*TA_ti!BC$50*TA_ti!$BG34)</f>
        <v>10000</v>
      </c>
    </row>
    <row r="35" spans="1:55" ht="18.75" customHeight="1" x14ac:dyDescent="0.25">
      <c r="A35" s="5" t="s">
        <v>86</v>
      </c>
      <c r="B35" s="4">
        <f>+IF(TA_ti!B35*TA_ti!B$50*TA_ti!$BG35=0,10000,TA_ti!B35*TA_ti!B$50*TA_ti!$BG35)</f>
        <v>10000</v>
      </c>
      <c r="C35" s="4">
        <f>+IF(TA_ti!C35*TA_ti!C$50*TA_ti!$BG35=0,10000,TA_ti!C35*TA_ti!C$50*TA_ti!$BG35)</f>
        <v>10000</v>
      </c>
      <c r="D35" s="4">
        <f>+IF(TA_ti!D35*TA_ti!D$50*TA_ti!$BG35=0,10000,TA_ti!D35*TA_ti!D$50*TA_ti!$BG35)</f>
        <v>10000</v>
      </c>
      <c r="E35" s="4">
        <f>+IF(TA_ti!E35*TA_ti!E$50*TA_ti!$BG35=0,10000,TA_ti!E35*TA_ti!E$50*TA_ti!$BG35)</f>
        <v>10000</v>
      </c>
      <c r="F35" s="4">
        <f>+IF(TA_ti!F35*TA_ti!F$50*TA_ti!$BG35=0,10000,TA_ti!F35*TA_ti!F$50*TA_ti!$BG35)</f>
        <v>10000</v>
      </c>
      <c r="G35" s="4">
        <f>+IF(TA_ti!G35*TA_ti!G$50*TA_ti!$BG35=0,10000,TA_ti!G35*TA_ti!G$50*TA_ti!$BG35)</f>
        <v>10000</v>
      </c>
      <c r="H35" s="4">
        <f>+IF(TA_ti!H35*TA_ti!H$50*TA_ti!$BG35=0,10000,TA_ti!H35*TA_ti!H$50*TA_ti!$BG35)</f>
        <v>10000</v>
      </c>
      <c r="I35" s="4">
        <f>+IF(TA_ti!I35*TA_ti!I$50*TA_ti!$BG35=0,10000,TA_ti!I35*TA_ti!I$50*TA_ti!$BG35)</f>
        <v>10000</v>
      </c>
      <c r="J35" s="4">
        <f>+IF(TA_ti!J35*TA_ti!J$50*TA_ti!$BG35=0,10000,TA_ti!J35*TA_ti!J$50*TA_ti!$BG35)</f>
        <v>10000</v>
      </c>
      <c r="K35" s="4">
        <f>+IF(TA_ti!K35*TA_ti!K$50*TA_ti!$BG35=0,10000,TA_ti!K35*TA_ti!K$50*TA_ti!$BG35)</f>
        <v>10000</v>
      </c>
      <c r="L35" s="4">
        <f>+IF(TA_ti!L35*TA_ti!L$50*TA_ti!$BG35=0,10000,TA_ti!L35*TA_ti!L$50*TA_ti!$BG35)</f>
        <v>10000</v>
      </c>
      <c r="M35" s="4">
        <f>+IF(TA_ti!M35*TA_ti!M$50*TA_ti!$BG35=0,10000,TA_ti!M35*TA_ti!M$50*TA_ti!$BG35)</f>
        <v>10000</v>
      </c>
      <c r="N35" s="4">
        <f>+IF(TA_ti!N35*TA_ti!N$50*TA_ti!$BG35=0,10000,TA_ti!N35*TA_ti!N$50*TA_ti!$BG35)</f>
        <v>10000</v>
      </c>
      <c r="O35" s="4">
        <f>+IF(TA_ti!O35*TA_ti!O$50*TA_ti!$BG35=0,10000,TA_ti!O35*TA_ti!O$50*TA_ti!$BG35)</f>
        <v>10000</v>
      </c>
      <c r="P35" s="4">
        <f>+IF(TA_ti!P35*TA_ti!P$50*TA_ti!$BG35=0,10000,TA_ti!P35*TA_ti!P$50*TA_ti!$BG35)</f>
        <v>10000</v>
      </c>
      <c r="Q35" s="4">
        <f>+IF(TA_ti!Q35*TA_ti!Q$50*TA_ti!$BG35=0,10000,TA_ti!Q35*TA_ti!Q$50*TA_ti!$BG35)</f>
        <v>10000</v>
      </c>
      <c r="R35" s="4">
        <f>+IF(TA_ti!R35*TA_ti!R$50*TA_ti!$BG35=0,10000,TA_ti!R35*TA_ti!R$50*TA_ti!$BG35)</f>
        <v>10000</v>
      </c>
      <c r="S35" s="4">
        <f>+IF(TA_ti!S35*TA_ti!S$50*TA_ti!$BG35=0,10000,TA_ti!S35*TA_ti!S$50*TA_ti!$BG35)</f>
        <v>10000</v>
      </c>
      <c r="T35" s="4">
        <f>+IF(TA_ti!T35*TA_ti!T$50*TA_ti!$BG35=0,10000,TA_ti!T35*TA_ti!T$50*TA_ti!$BG35)</f>
        <v>10000</v>
      </c>
      <c r="U35" s="4">
        <f>+IF(TA_ti!U35*TA_ti!U$50*TA_ti!$BG35=0,10000,TA_ti!U35*TA_ti!U$50*TA_ti!$BG35)</f>
        <v>10000</v>
      </c>
      <c r="V35" s="4">
        <f>+IF(TA_ti!V35*TA_ti!V$50*TA_ti!$BG35=0,10000,TA_ti!V35*TA_ti!V$50*TA_ti!$BG35)</f>
        <v>10000</v>
      </c>
      <c r="W35" s="4">
        <f>+IF(TA_ti!W35*TA_ti!W$50*TA_ti!$BG35=0,10000,TA_ti!W35*TA_ti!W$50*TA_ti!$BG35)</f>
        <v>10000</v>
      </c>
      <c r="X35" s="4">
        <f>+IF(TA_ti!X35*TA_ti!X$50*TA_ti!$BG35=0,10000,TA_ti!X35*TA_ti!X$50*TA_ti!$BG35)</f>
        <v>10000</v>
      </c>
      <c r="Y35" s="4">
        <f>+IF(TA_ti!Y35*TA_ti!Y$50*TA_ti!$BG35=0,10000,TA_ti!Y35*TA_ti!Y$50*TA_ti!$BG35)</f>
        <v>10000</v>
      </c>
      <c r="Z35" s="4">
        <f>+IF(TA_ti!Z35*TA_ti!Z$50*TA_ti!$BG35=0,10000,TA_ti!Z35*TA_ti!Z$50*TA_ti!$BG35)</f>
        <v>10000</v>
      </c>
      <c r="AA35" s="4">
        <f>+IF(TA_ti!AA35*TA_ti!AA$50*TA_ti!$BG35=0,10000,TA_ti!AA35*TA_ti!AA$50*TA_ti!$BG35)</f>
        <v>10000</v>
      </c>
      <c r="AB35" s="4">
        <f>+IF(TA_ti!AB35*TA_ti!AB$50*TA_ti!$BG35=0,10000,TA_ti!AB35*TA_ti!AB$50*TA_ti!$BG35)</f>
        <v>10000</v>
      </c>
      <c r="AC35" s="4">
        <f>+IF(TA_ti!AC35*TA_ti!AC$50*TA_ti!$BG35=0,10000,TA_ti!AC35*TA_ti!AC$50*TA_ti!$BG35)</f>
        <v>10000</v>
      </c>
      <c r="AD35" s="4">
        <f>+IF(TA_ti!AD35*TA_ti!AD$50*TA_ti!$BG35=0,10000,TA_ti!AD35*TA_ti!AD$50*TA_ti!$BG35)</f>
        <v>10000</v>
      </c>
      <c r="AE35" s="4">
        <f>+IF(TA_ti!AE35*TA_ti!AE$50*TA_ti!$BG35=0,10000,TA_ti!AE35*TA_ti!AE$50*TA_ti!$BG35)</f>
        <v>10000</v>
      </c>
      <c r="AF35" s="4">
        <f>+IF(TA_ti!AF35*TA_ti!AF$50*TA_ti!$BG35=0,10000,TA_ti!AF35*TA_ti!AF$50*TA_ti!$BG35)</f>
        <v>10000</v>
      </c>
      <c r="AG35" s="4">
        <f>+IF(TA_ti!AG35*TA_ti!AG$50*TA_ti!$BG35=0,10000,TA_ti!AG35*TA_ti!AG$50*TA_ti!$BG35)</f>
        <v>10000</v>
      </c>
      <c r="AH35" s="4">
        <f>+IF(TA_ti!AH35*TA_ti!AH$50*TA_ti!$BG35=0,10000,TA_ti!AH35*TA_ti!AH$50*TA_ti!$BG35)</f>
        <v>10000</v>
      </c>
      <c r="AI35" s="4">
        <f>+IF(TA_ti!AI35*TA_ti!AI$50*TA_ti!$BG35=0,10000,TA_ti!AI35*TA_ti!AI$50*TA_ti!$BG35)</f>
        <v>10000</v>
      </c>
      <c r="AJ35" s="4">
        <f>+IF(TA_ti!AJ35*TA_ti!AJ$50*TA_ti!$BG35=0,10000,TA_ti!AJ35*TA_ti!AJ$50*TA_ti!$BG35)</f>
        <v>10000</v>
      </c>
      <c r="AK35" s="4">
        <f>+IF(TA_ti!AK35*TA_ti!AK$50*TA_ti!$BG35=0,10000,TA_ti!AK35*TA_ti!AK$50*TA_ti!$BG35)</f>
        <v>10000</v>
      </c>
      <c r="AL35" s="4">
        <f>+IF(TA_ti!AL35*TA_ti!AL$50*TA_ti!$BG35=0,10000,TA_ti!AL35*TA_ti!AL$50*TA_ti!$BG35)</f>
        <v>10000</v>
      </c>
      <c r="AM35" s="4">
        <f>+IF(TA_ti!AM35*TA_ti!AM$50*TA_ti!$BG35=0,10000,TA_ti!AM35*TA_ti!AM$50*TA_ti!$BG35)</f>
        <v>10000</v>
      </c>
      <c r="AN35" s="4">
        <f>+IF(TA_ti!AN35*TA_ti!AN$50*TA_ti!$BG35=0,10000,TA_ti!AN35*TA_ti!AN$50*TA_ti!$BG35)</f>
        <v>10000</v>
      </c>
      <c r="AO35" s="4">
        <f>+IF(TA_ti!AO35*TA_ti!AO$50*TA_ti!$BG35=0,10000,TA_ti!AO35*TA_ti!AO$50*TA_ti!$BG35)</f>
        <v>10000</v>
      </c>
      <c r="AP35" s="4">
        <f>+IF(TA_ti!AP35*TA_ti!AP$50*TA_ti!$BG35=0,10000,TA_ti!AP35*TA_ti!AP$50*TA_ti!$BG35)</f>
        <v>10000</v>
      </c>
      <c r="AQ35" s="4">
        <f>+IF(TA_ti!AQ35*TA_ti!AQ$50*TA_ti!$BG35=0,10000,TA_ti!AQ35*TA_ti!AQ$50*TA_ti!$BG35)</f>
        <v>10000</v>
      </c>
      <c r="AR35" s="4">
        <f>+IF(TA_ti!AR35*TA_ti!AR$50*TA_ti!$BG35=0,10000,TA_ti!AR35*TA_ti!AR$50*TA_ti!$BG35)</f>
        <v>10000</v>
      </c>
      <c r="AS35" s="4">
        <f>+IF(TA_ti!AS35*TA_ti!AS$50*TA_ti!$BG35=0,10000,TA_ti!AS35*TA_ti!AS$50*TA_ti!$BG35)</f>
        <v>10000</v>
      </c>
      <c r="AT35" s="4">
        <f>+IF(TA_ti!AT35*TA_ti!AT$50*TA_ti!$BG35=0,10000,TA_ti!AT35*TA_ti!AT$50*TA_ti!$BG35)</f>
        <v>10000</v>
      </c>
      <c r="AU35" s="4">
        <f>+IF(TA_ti!AU35*TA_ti!AU$50*TA_ti!$BG35=0,10000,TA_ti!AU35*TA_ti!AU$50*TA_ti!$BG35)</f>
        <v>10000</v>
      </c>
      <c r="AV35" s="4">
        <f>+IF(TA_ti!AV35*TA_ti!AV$50*TA_ti!$BG35=0,10000,TA_ti!AV35*TA_ti!AV$50*TA_ti!$BG35)</f>
        <v>10000</v>
      </c>
      <c r="AW35" s="4">
        <f>+IF(TA_ti!AW35*TA_ti!AW$50*TA_ti!$BG35=0,10000,TA_ti!AW35*TA_ti!AW$50*TA_ti!$BG35)</f>
        <v>10000</v>
      </c>
      <c r="AX35" s="4">
        <f>+IF(TA_ti!AX35*TA_ti!AX$50*TA_ti!$BG35=0,10000,TA_ti!AX35*TA_ti!AX$50*TA_ti!$BG35)</f>
        <v>10000</v>
      </c>
      <c r="AY35" s="4">
        <f>+IF(TA_ti!AY35*TA_ti!AY$50*TA_ti!$BG35=0,10000,TA_ti!AY35*TA_ti!AY$50*TA_ti!$BG35)</f>
        <v>10000</v>
      </c>
      <c r="AZ35" s="4">
        <f>+IF(TA_ti!AZ35*TA_ti!AZ$50*TA_ti!$BG35=0,10000,TA_ti!AZ35*TA_ti!AZ$50*TA_ti!$BG35)</f>
        <v>10000</v>
      </c>
      <c r="BA35" s="4">
        <f>+IF(TA_ti!BA35*TA_ti!BA$50*TA_ti!$BG35=0,10000,TA_ti!BA35*TA_ti!BA$50*TA_ti!$BG35)</f>
        <v>10000</v>
      </c>
      <c r="BB35" s="4">
        <f>+IF(TA_ti!BB35*TA_ti!BB$50*TA_ti!$BG35=0,10000,TA_ti!BB35*TA_ti!BB$50*TA_ti!$BG35)</f>
        <v>10000</v>
      </c>
      <c r="BC35" s="4">
        <f>+IF(TA_ti!BC35*TA_ti!BC$50*TA_ti!$BG35=0,10000,TA_ti!BC35*TA_ti!BC$50*TA_ti!$BG35)</f>
        <v>10000</v>
      </c>
    </row>
    <row r="36" spans="1:55" ht="18.75" customHeight="1" x14ac:dyDescent="0.25">
      <c r="A36" s="5" t="s">
        <v>87</v>
      </c>
      <c r="B36" s="4">
        <f>+IF(TA_ti!B36*TA_ti!B$50*TA_ti!$BG36=0,10000,TA_ti!B36*TA_ti!B$50*TA_ti!$BG36)</f>
        <v>10000</v>
      </c>
      <c r="C36" s="4">
        <f>+IF(TA_ti!C36*TA_ti!C$50*TA_ti!$BG36=0,10000,TA_ti!C36*TA_ti!C$50*TA_ti!$BG36)</f>
        <v>10000</v>
      </c>
      <c r="D36" s="4">
        <f>+IF(TA_ti!D36*TA_ti!D$50*TA_ti!$BG36=0,10000,TA_ti!D36*TA_ti!D$50*TA_ti!$BG36)</f>
        <v>10000</v>
      </c>
      <c r="E36" s="4">
        <f>+IF(TA_ti!E36*TA_ti!E$50*TA_ti!$BG36=0,10000,TA_ti!E36*TA_ti!E$50*TA_ti!$BG36)</f>
        <v>10000</v>
      </c>
      <c r="F36" s="4">
        <f>+IF(TA_ti!F36*TA_ti!F$50*TA_ti!$BG36=0,10000,TA_ti!F36*TA_ti!F$50*TA_ti!$BG36)</f>
        <v>10000</v>
      </c>
      <c r="G36" s="4">
        <f>+IF(TA_ti!G36*TA_ti!G$50*TA_ti!$BG36=0,10000,TA_ti!G36*TA_ti!G$50*TA_ti!$BG36)</f>
        <v>10000</v>
      </c>
      <c r="H36" s="4">
        <f>+IF(TA_ti!H36*TA_ti!H$50*TA_ti!$BG36=0,10000,TA_ti!H36*TA_ti!H$50*TA_ti!$BG36)</f>
        <v>10000</v>
      </c>
      <c r="I36" s="4">
        <f>+IF(TA_ti!I36*TA_ti!I$50*TA_ti!$BG36=0,10000,TA_ti!I36*TA_ti!I$50*TA_ti!$BG36)</f>
        <v>10000</v>
      </c>
      <c r="J36" s="4">
        <f>+IF(TA_ti!J36*TA_ti!J$50*TA_ti!$BG36=0,10000,TA_ti!J36*TA_ti!J$50*TA_ti!$BG36)</f>
        <v>10000</v>
      </c>
      <c r="K36" s="4">
        <f>+IF(TA_ti!K36*TA_ti!K$50*TA_ti!$BG36=0,10000,TA_ti!K36*TA_ti!K$50*TA_ti!$BG36)</f>
        <v>10000</v>
      </c>
      <c r="L36" s="4">
        <f>+IF(TA_ti!L36*TA_ti!L$50*TA_ti!$BG36=0,10000,TA_ti!L36*TA_ti!L$50*TA_ti!$BG36)</f>
        <v>10000</v>
      </c>
      <c r="M36" s="4">
        <f>+IF(TA_ti!M36*TA_ti!M$50*TA_ti!$BG36=0,10000,TA_ti!M36*TA_ti!M$50*TA_ti!$BG36)</f>
        <v>10000</v>
      </c>
      <c r="N36" s="4">
        <f>+IF(TA_ti!N36*TA_ti!N$50*TA_ti!$BG36=0,10000,TA_ti!N36*TA_ti!N$50*TA_ti!$BG36)</f>
        <v>10000</v>
      </c>
      <c r="O36" s="4">
        <f>+IF(TA_ti!O36*TA_ti!O$50*TA_ti!$BG36=0,10000,TA_ti!O36*TA_ti!O$50*TA_ti!$BG36)</f>
        <v>10000</v>
      </c>
      <c r="P36" s="4">
        <f>+IF(TA_ti!P36*TA_ti!P$50*TA_ti!$BG36=0,10000,TA_ti!P36*TA_ti!P$50*TA_ti!$BG36)</f>
        <v>10000</v>
      </c>
      <c r="Q36" s="4">
        <f>+IF(TA_ti!Q36*TA_ti!Q$50*TA_ti!$BG36=0,10000,TA_ti!Q36*TA_ti!Q$50*TA_ti!$BG36)</f>
        <v>10000</v>
      </c>
      <c r="R36" s="4">
        <f>+IF(TA_ti!R36*TA_ti!R$50*TA_ti!$BG36=0,10000,TA_ti!R36*TA_ti!R$50*TA_ti!$BG36)</f>
        <v>10000</v>
      </c>
      <c r="S36" s="4">
        <f>+IF(TA_ti!S36*TA_ti!S$50*TA_ti!$BG36=0,10000,TA_ti!S36*TA_ti!S$50*TA_ti!$BG36)</f>
        <v>10000</v>
      </c>
      <c r="T36" s="4">
        <f>+IF(TA_ti!T36*TA_ti!T$50*TA_ti!$BG36=0,10000,TA_ti!T36*TA_ti!T$50*TA_ti!$BG36)</f>
        <v>10000</v>
      </c>
      <c r="U36" s="4">
        <f>+IF(TA_ti!U36*TA_ti!U$50*TA_ti!$BG36=0,10000,TA_ti!U36*TA_ti!U$50*TA_ti!$BG36)</f>
        <v>10000</v>
      </c>
      <c r="V36" s="4">
        <f>+IF(TA_ti!V36*TA_ti!V$50*TA_ti!$BG36=0,10000,TA_ti!V36*TA_ti!V$50*TA_ti!$BG36)</f>
        <v>10000</v>
      </c>
      <c r="W36" s="4">
        <f>+IF(TA_ti!W36*TA_ti!W$50*TA_ti!$BG36=0,10000,TA_ti!W36*TA_ti!W$50*TA_ti!$BG36)</f>
        <v>10000</v>
      </c>
      <c r="X36" s="4">
        <f>+IF(TA_ti!X36*TA_ti!X$50*TA_ti!$BG36=0,10000,TA_ti!X36*TA_ti!X$50*TA_ti!$BG36)</f>
        <v>10000</v>
      </c>
      <c r="Y36" s="4">
        <f>+IF(TA_ti!Y36*TA_ti!Y$50*TA_ti!$BG36=0,10000,TA_ti!Y36*TA_ti!Y$50*TA_ti!$BG36)</f>
        <v>10000</v>
      </c>
      <c r="Z36" s="4">
        <f>+IF(TA_ti!Z36*TA_ti!Z$50*TA_ti!$BG36=0,10000,TA_ti!Z36*TA_ti!Z$50*TA_ti!$BG36)</f>
        <v>10000</v>
      </c>
      <c r="AA36" s="4">
        <f>+IF(TA_ti!AA36*TA_ti!AA$50*TA_ti!$BG36=0,10000,TA_ti!AA36*TA_ti!AA$50*TA_ti!$BG36)</f>
        <v>10000</v>
      </c>
      <c r="AB36" s="4">
        <f>+IF(TA_ti!AB36*TA_ti!AB$50*TA_ti!$BG36=0,10000,TA_ti!AB36*TA_ti!AB$50*TA_ti!$BG36)</f>
        <v>10000</v>
      </c>
      <c r="AC36" s="4">
        <f>+IF(TA_ti!AC36*TA_ti!AC$50*TA_ti!$BG36=0,10000,TA_ti!AC36*TA_ti!AC$50*TA_ti!$BG36)</f>
        <v>10000</v>
      </c>
      <c r="AD36" s="4">
        <f>+IF(TA_ti!AD36*TA_ti!AD$50*TA_ti!$BG36=0,10000,TA_ti!AD36*TA_ti!AD$50*TA_ti!$BG36)</f>
        <v>10000</v>
      </c>
      <c r="AE36" s="4">
        <f>+IF(TA_ti!AE36*TA_ti!AE$50*TA_ti!$BG36=0,10000,TA_ti!AE36*TA_ti!AE$50*TA_ti!$BG36)</f>
        <v>10000</v>
      </c>
      <c r="AF36" s="4">
        <f>+IF(TA_ti!AF36*TA_ti!AF$50*TA_ti!$BG36=0,10000,TA_ti!AF36*TA_ti!AF$50*TA_ti!$BG36)</f>
        <v>10000</v>
      </c>
      <c r="AG36" s="4">
        <f>+IF(TA_ti!AG36*TA_ti!AG$50*TA_ti!$BG36=0,10000,TA_ti!AG36*TA_ti!AG$50*TA_ti!$BG36)</f>
        <v>10000</v>
      </c>
      <c r="AH36" s="4">
        <f>+IF(TA_ti!AH36*TA_ti!AH$50*TA_ti!$BG36=0,10000,TA_ti!AH36*TA_ti!AH$50*TA_ti!$BG36)</f>
        <v>10000</v>
      </c>
      <c r="AI36" s="4">
        <f>+IF(TA_ti!AI36*TA_ti!AI$50*TA_ti!$BG36=0,10000,TA_ti!AI36*TA_ti!AI$50*TA_ti!$BG36)</f>
        <v>10000</v>
      </c>
      <c r="AJ36" s="4">
        <f>+IF(TA_ti!AJ36*TA_ti!AJ$50*TA_ti!$BG36=0,10000,TA_ti!AJ36*TA_ti!AJ$50*TA_ti!$BG36)</f>
        <v>10000</v>
      </c>
      <c r="AK36" s="4">
        <f>+IF(TA_ti!AK36*TA_ti!AK$50*TA_ti!$BG36=0,10000,TA_ti!AK36*TA_ti!AK$50*TA_ti!$BG36)</f>
        <v>10000</v>
      </c>
      <c r="AL36" s="4">
        <f>+IF(TA_ti!AL36*TA_ti!AL$50*TA_ti!$BG36=0,10000,TA_ti!AL36*TA_ti!AL$50*TA_ti!$BG36)</f>
        <v>10000</v>
      </c>
      <c r="AM36" s="4">
        <f>+IF(TA_ti!AM36*TA_ti!AM$50*TA_ti!$BG36=0,10000,TA_ti!AM36*TA_ti!AM$50*TA_ti!$BG36)</f>
        <v>10000</v>
      </c>
      <c r="AN36" s="4">
        <f>+IF(TA_ti!AN36*TA_ti!AN$50*TA_ti!$BG36=0,10000,TA_ti!AN36*TA_ti!AN$50*TA_ti!$BG36)</f>
        <v>10000</v>
      </c>
      <c r="AO36" s="4">
        <f>+IF(TA_ti!AO36*TA_ti!AO$50*TA_ti!$BG36=0,10000,TA_ti!AO36*TA_ti!AO$50*TA_ti!$BG36)</f>
        <v>10000</v>
      </c>
      <c r="AP36" s="4">
        <f>+IF(TA_ti!AP36*TA_ti!AP$50*TA_ti!$BG36=0,10000,TA_ti!AP36*TA_ti!AP$50*TA_ti!$BG36)</f>
        <v>10000</v>
      </c>
      <c r="AQ36" s="4">
        <f>+IF(TA_ti!AQ36*TA_ti!AQ$50*TA_ti!$BG36=0,10000,TA_ti!AQ36*TA_ti!AQ$50*TA_ti!$BG36)</f>
        <v>10000</v>
      </c>
      <c r="AR36" s="4">
        <f>+IF(TA_ti!AR36*TA_ti!AR$50*TA_ti!$BG36=0,10000,TA_ti!AR36*TA_ti!AR$50*TA_ti!$BG36)</f>
        <v>10000</v>
      </c>
      <c r="AS36" s="4">
        <f>+IF(TA_ti!AS36*TA_ti!AS$50*TA_ti!$BG36=0,10000,TA_ti!AS36*TA_ti!AS$50*TA_ti!$BG36)</f>
        <v>10000</v>
      </c>
      <c r="AT36" s="4">
        <f>+IF(TA_ti!AT36*TA_ti!AT$50*TA_ti!$BG36=0,10000,TA_ti!AT36*TA_ti!AT$50*TA_ti!$BG36)</f>
        <v>10000</v>
      </c>
      <c r="AU36" s="4">
        <f>+IF(TA_ti!AU36*TA_ti!AU$50*TA_ti!$BG36=0,10000,TA_ti!AU36*TA_ti!AU$50*TA_ti!$BG36)</f>
        <v>10000</v>
      </c>
      <c r="AV36" s="4">
        <f>+IF(TA_ti!AV36*TA_ti!AV$50*TA_ti!$BG36=0,10000,TA_ti!AV36*TA_ti!AV$50*TA_ti!$BG36)</f>
        <v>10000</v>
      </c>
      <c r="AW36" s="4">
        <f>+IF(TA_ti!AW36*TA_ti!AW$50*TA_ti!$BG36=0,10000,TA_ti!AW36*TA_ti!AW$50*TA_ti!$BG36)</f>
        <v>10000</v>
      </c>
      <c r="AX36" s="4">
        <f>+IF(TA_ti!AX36*TA_ti!AX$50*TA_ti!$BG36=0,10000,TA_ti!AX36*TA_ti!AX$50*TA_ti!$BG36)</f>
        <v>10000</v>
      </c>
      <c r="AY36" s="4">
        <f>+IF(TA_ti!AY36*TA_ti!AY$50*TA_ti!$BG36=0,10000,TA_ti!AY36*TA_ti!AY$50*TA_ti!$BG36)</f>
        <v>10000</v>
      </c>
      <c r="AZ36" s="4">
        <f>+IF(TA_ti!AZ36*TA_ti!AZ$50*TA_ti!$BG36=0,10000,TA_ti!AZ36*TA_ti!AZ$50*TA_ti!$BG36)</f>
        <v>10000</v>
      </c>
      <c r="BA36" s="4">
        <f>+IF(TA_ti!BA36*TA_ti!BA$50*TA_ti!$BG36=0,10000,TA_ti!BA36*TA_ti!BA$50*TA_ti!$BG36)</f>
        <v>10000</v>
      </c>
      <c r="BB36" s="4">
        <f>+IF(TA_ti!BB36*TA_ti!BB$50*TA_ti!$BG36=0,10000,TA_ti!BB36*TA_ti!BB$50*TA_ti!$BG36)</f>
        <v>10000</v>
      </c>
      <c r="BC36" s="4">
        <f>+IF(TA_ti!BC36*TA_ti!BC$50*TA_ti!$BG36=0,10000,TA_ti!BC36*TA_ti!BC$50*TA_ti!$BG36)</f>
        <v>10000</v>
      </c>
    </row>
    <row r="37" spans="1:55" ht="18.75" customHeight="1" x14ac:dyDescent="0.25">
      <c r="A37" s="5" t="s">
        <v>88</v>
      </c>
      <c r="B37" s="4">
        <f>+IF(TA_ti!B37*TA_ti!B$50*TA_ti!$BG37=0,10000,TA_ti!B37*TA_ti!B$50*TA_ti!$BG37)</f>
        <v>10000</v>
      </c>
      <c r="C37" s="4">
        <f>+IF(TA_ti!C37*TA_ti!C$50*TA_ti!$BG37=0,10000,TA_ti!C37*TA_ti!C$50*TA_ti!$BG37)</f>
        <v>10000</v>
      </c>
      <c r="D37" s="4">
        <f>+IF(TA_ti!D37*TA_ti!D$50*TA_ti!$BG37=0,10000,TA_ti!D37*TA_ti!D$50*TA_ti!$BG37)</f>
        <v>10000</v>
      </c>
      <c r="E37" s="4">
        <f>+IF(TA_ti!E37*TA_ti!E$50*TA_ti!$BG37=0,10000,TA_ti!E37*TA_ti!E$50*TA_ti!$BG37)</f>
        <v>10000</v>
      </c>
      <c r="F37" s="4">
        <f>+IF(TA_ti!F37*TA_ti!F$50*TA_ti!$BG37=0,10000,TA_ti!F37*TA_ti!F$50*TA_ti!$BG37)</f>
        <v>10000</v>
      </c>
      <c r="G37" s="4">
        <f>+IF(TA_ti!G37*TA_ti!G$50*TA_ti!$BG37=0,10000,TA_ti!G37*TA_ti!G$50*TA_ti!$BG37)</f>
        <v>10000</v>
      </c>
      <c r="H37" s="4">
        <f>+IF(TA_ti!H37*TA_ti!H$50*TA_ti!$BG37=0,10000,TA_ti!H37*TA_ti!H$50*TA_ti!$BG37)</f>
        <v>10000</v>
      </c>
      <c r="I37" s="4">
        <f>+IF(TA_ti!I37*TA_ti!I$50*TA_ti!$BG37=0,10000,TA_ti!I37*TA_ti!I$50*TA_ti!$BG37)</f>
        <v>10000</v>
      </c>
      <c r="J37" s="4">
        <f>+IF(TA_ti!J37*TA_ti!J$50*TA_ti!$BG37=0,10000,TA_ti!J37*TA_ti!J$50*TA_ti!$BG37)</f>
        <v>10000</v>
      </c>
      <c r="K37" s="4">
        <f>+IF(TA_ti!K37*TA_ti!K$50*TA_ti!$BG37=0,10000,TA_ti!K37*TA_ti!K$50*TA_ti!$BG37)</f>
        <v>10000</v>
      </c>
      <c r="L37" s="4">
        <f>+IF(TA_ti!L37*TA_ti!L$50*TA_ti!$BG37=0,10000,TA_ti!L37*TA_ti!L$50*TA_ti!$BG37)</f>
        <v>10000</v>
      </c>
      <c r="M37" s="4">
        <f>+IF(TA_ti!M37*TA_ti!M$50*TA_ti!$BG37=0,10000,TA_ti!M37*TA_ti!M$50*TA_ti!$BG37)</f>
        <v>10000</v>
      </c>
      <c r="N37" s="4">
        <f>+IF(TA_ti!N37*TA_ti!N$50*TA_ti!$BG37=0,10000,TA_ti!N37*TA_ti!N$50*TA_ti!$BG37)</f>
        <v>10000</v>
      </c>
      <c r="O37" s="4">
        <f>+IF(TA_ti!O37*TA_ti!O$50*TA_ti!$BG37=0,10000,TA_ti!O37*TA_ti!O$50*TA_ti!$BG37)</f>
        <v>10000</v>
      </c>
      <c r="P37" s="4">
        <f>+IF(TA_ti!P37*TA_ti!P$50*TA_ti!$BG37=0,10000,TA_ti!P37*TA_ti!P$50*TA_ti!$BG37)</f>
        <v>10000</v>
      </c>
      <c r="Q37" s="4">
        <f>+IF(TA_ti!Q37*TA_ti!Q$50*TA_ti!$BG37=0,10000,TA_ti!Q37*TA_ti!Q$50*TA_ti!$BG37)</f>
        <v>10000</v>
      </c>
      <c r="R37" s="4">
        <f>+IF(TA_ti!R37*TA_ti!R$50*TA_ti!$BG37=0,10000,TA_ti!R37*TA_ti!R$50*TA_ti!$BG37)</f>
        <v>10000</v>
      </c>
      <c r="S37" s="4">
        <f>+IF(TA_ti!S37*TA_ti!S$50*TA_ti!$BG37=0,10000,TA_ti!S37*TA_ti!S$50*TA_ti!$BG37)</f>
        <v>10000</v>
      </c>
      <c r="T37" s="4">
        <f>+IF(TA_ti!T37*TA_ti!T$50*TA_ti!$BG37=0,10000,TA_ti!T37*TA_ti!T$50*TA_ti!$BG37)</f>
        <v>10000</v>
      </c>
      <c r="U37" s="4">
        <f>+IF(TA_ti!U37*TA_ti!U$50*TA_ti!$BG37=0,10000,TA_ti!U37*TA_ti!U$50*TA_ti!$BG37)</f>
        <v>10000</v>
      </c>
      <c r="V37" s="4">
        <f>+IF(TA_ti!V37*TA_ti!V$50*TA_ti!$BG37=0,10000,TA_ti!V37*TA_ti!V$50*TA_ti!$BG37)</f>
        <v>10000</v>
      </c>
      <c r="W37" s="4">
        <f>+IF(TA_ti!W37*TA_ti!W$50*TA_ti!$BG37=0,10000,TA_ti!W37*TA_ti!W$50*TA_ti!$BG37)</f>
        <v>10000</v>
      </c>
      <c r="X37" s="4">
        <f>+IF(TA_ti!X37*TA_ti!X$50*TA_ti!$BG37=0,10000,TA_ti!X37*TA_ti!X$50*TA_ti!$BG37)</f>
        <v>10000</v>
      </c>
      <c r="Y37" s="4">
        <f>+IF(TA_ti!Y37*TA_ti!Y$50*TA_ti!$BG37=0,10000,TA_ti!Y37*TA_ti!Y$50*TA_ti!$BG37)</f>
        <v>10000</v>
      </c>
      <c r="Z37" s="4">
        <f>+IF(TA_ti!Z37*TA_ti!Z$50*TA_ti!$BG37=0,10000,TA_ti!Z37*TA_ti!Z$50*TA_ti!$BG37)</f>
        <v>10000</v>
      </c>
      <c r="AA37" s="4">
        <f>+IF(TA_ti!AA37*TA_ti!AA$50*TA_ti!$BG37=0,10000,TA_ti!AA37*TA_ti!AA$50*TA_ti!$BG37)</f>
        <v>10000</v>
      </c>
      <c r="AB37" s="4">
        <f>+IF(TA_ti!AB37*TA_ti!AB$50*TA_ti!$BG37=0,10000,TA_ti!AB37*TA_ti!AB$50*TA_ti!$BG37)</f>
        <v>10000</v>
      </c>
      <c r="AC37" s="4">
        <f>+IF(TA_ti!AC37*TA_ti!AC$50*TA_ti!$BG37=0,10000,TA_ti!AC37*TA_ti!AC$50*TA_ti!$BG37)</f>
        <v>10000</v>
      </c>
      <c r="AD37" s="4">
        <f>+IF(TA_ti!AD37*TA_ti!AD$50*TA_ti!$BG37=0,10000,TA_ti!AD37*TA_ti!AD$50*TA_ti!$BG37)</f>
        <v>10000</v>
      </c>
      <c r="AE37" s="4">
        <f>+IF(TA_ti!AE37*TA_ti!AE$50*TA_ti!$BG37=0,10000,TA_ti!AE37*TA_ti!AE$50*TA_ti!$BG37)</f>
        <v>10000</v>
      </c>
      <c r="AF37" s="4">
        <f>+IF(TA_ti!AF37*TA_ti!AF$50*TA_ti!$BG37=0,10000,TA_ti!AF37*TA_ti!AF$50*TA_ti!$BG37)</f>
        <v>10000</v>
      </c>
      <c r="AG37" s="4">
        <f>+IF(TA_ti!AG37*TA_ti!AG$50*TA_ti!$BG37=0,10000,TA_ti!AG37*TA_ti!AG$50*TA_ti!$BG37)</f>
        <v>10000</v>
      </c>
      <c r="AH37" s="4">
        <f>+IF(TA_ti!AH37*TA_ti!AH$50*TA_ti!$BG37=0,10000,TA_ti!AH37*TA_ti!AH$50*TA_ti!$BG37)</f>
        <v>10000</v>
      </c>
      <c r="AI37" s="4">
        <f>+IF(TA_ti!AI37*TA_ti!AI$50*TA_ti!$BG37=0,10000,TA_ti!AI37*TA_ti!AI$50*TA_ti!$BG37)</f>
        <v>10000</v>
      </c>
      <c r="AJ37" s="4">
        <f>+IF(TA_ti!AJ37*TA_ti!AJ$50*TA_ti!$BG37=0,10000,TA_ti!AJ37*TA_ti!AJ$50*TA_ti!$BG37)</f>
        <v>10000</v>
      </c>
      <c r="AK37" s="4">
        <f>+IF(TA_ti!AK37*TA_ti!AK$50*TA_ti!$BG37=0,10000,TA_ti!AK37*TA_ti!AK$50*TA_ti!$BG37)</f>
        <v>10000</v>
      </c>
      <c r="AL37" s="4">
        <f>+IF(TA_ti!AL37*TA_ti!AL$50*TA_ti!$BG37=0,10000,TA_ti!AL37*TA_ti!AL$50*TA_ti!$BG37)</f>
        <v>10000</v>
      </c>
      <c r="AM37" s="4">
        <f>+IF(TA_ti!AM37*TA_ti!AM$50*TA_ti!$BG37=0,10000,TA_ti!AM37*TA_ti!AM$50*TA_ti!$BG37)</f>
        <v>10000</v>
      </c>
      <c r="AN37" s="4">
        <f>+IF(TA_ti!AN37*TA_ti!AN$50*TA_ti!$BG37=0,10000,TA_ti!AN37*TA_ti!AN$50*TA_ti!$BG37)</f>
        <v>10000</v>
      </c>
      <c r="AO37" s="4">
        <f>+IF(TA_ti!AO37*TA_ti!AO$50*TA_ti!$BG37=0,10000,TA_ti!AO37*TA_ti!AO$50*TA_ti!$BG37)</f>
        <v>10000</v>
      </c>
      <c r="AP37" s="4">
        <f>+IF(TA_ti!AP37*TA_ti!AP$50*TA_ti!$BG37=0,10000,TA_ti!AP37*TA_ti!AP$50*TA_ti!$BG37)</f>
        <v>10000</v>
      </c>
      <c r="AQ37" s="4">
        <f>+IF(TA_ti!AQ37*TA_ti!AQ$50*TA_ti!$BG37=0,10000,TA_ti!AQ37*TA_ti!AQ$50*TA_ti!$BG37)</f>
        <v>10000</v>
      </c>
      <c r="AR37" s="4">
        <f>+IF(TA_ti!AR37*TA_ti!AR$50*TA_ti!$BG37=0,10000,TA_ti!AR37*TA_ti!AR$50*TA_ti!$BG37)</f>
        <v>10000</v>
      </c>
      <c r="AS37" s="4">
        <f>+IF(TA_ti!AS37*TA_ti!AS$50*TA_ti!$BG37=0,10000,TA_ti!AS37*TA_ti!AS$50*TA_ti!$BG37)</f>
        <v>10000</v>
      </c>
      <c r="AT37" s="4">
        <f>+IF(TA_ti!AT37*TA_ti!AT$50*TA_ti!$BG37=0,10000,TA_ti!AT37*TA_ti!AT$50*TA_ti!$BG37)</f>
        <v>10000</v>
      </c>
      <c r="AU37" s="4">
        <f>+IF(TA_ti!AU37*TA_ti!AU$50*TA_ti!$BG37=0,10000,TA_ti!AU37*TA_ti!AU$50*TA_ti!$BG37)</f>
        <v>10000</v>
      </c>
      <c r="AV37" s="4">
        <f>+IF(TA_ti!AV37*TA_ti!AV$50*TA_ti!$BG37=0,10000,TA_ti!AV37*TA_ti!AV$50*TA_ti!$BG37)</f>
        <v>10000</v>
      </c>
      <c r="AW37" s="4">
        <f>+IF(TA_ti!AW37*TA_ti!AW$50*TA_ti!$BG37=0,10000,TA_ti!AW37*TA_ti!AW$50*TA_ti!$BG37)</f>
        <v>10000</v>
      </c>
      <c r="AX37" s="4">
        <f>+IF(TA_ti!AX37*TA_ti!AX$50*TA_ti!$BG37=0,10000,TA_ti!AX37*TA_ti!AX$50*TA_ti!$BG37)</f>
        <v>10000</v>
      </c>
      <c r="AY37" s="4">
        <f>+IF(TA_ti!AY37*TA_ti!AY$50*TA_ti!$BG37=0,10000,TA_ti!AY37*TA_ti!AY$50*TA_ti!$BG37)</f>
        <v>10000</v>
      </c>
      <c r="AZ37" s="4">
        <f>+IF(TA_ti!AZ37*TA_ti!AZ$50*TA_ti!$BG37=0,10000,TA_ti!AZ37*TA_ti!AZ$50*TA_ti!$BG37)</f>
        <v>10000</v>
      </c>
      <c r="BA37" s="4">
        <f>+IF(TA_ti!BA37*TA_ti!BA$50*TA_ti!$BG37=0,10000,TA_ti!BA37*TA_ti!BA$50*TA_ti!$BG37)</f>
        <v>10000</v>
      </c>
      <c r="BB37" s="4">
        <f>+IF(TA_ti!BB37*TA_ti!BB$50*TA_ti!$BG37=0,10000,TA_ti!BB37*TA_ti!BB$50*TA_ti!$BG37)</f>
        <v>10000</v>
      </c>
      <c r="BC37" s="4">
        <f>+IF(TA_ti!BC37*TA_ti!BC$50*TA_ti!$BG37=0,10000,TA_ti!BC37*TA_ti!BC$50*TA_ti!$BG37)</f>
        <v>10000</v>
      </c>
    </row>
    <row r="38" spans="1:55" ht="18.75" customHeight="1" x14ac:dyDescent="0.25">
      <c r="A38" s="5" t="s">
        <v>89</v>
      </c>
      <c r="B38" s="4">
        <f>+IF(TA_ti!B38*TA_ti!B$50*TA_ti!$BG38=0,10000,TA_ti!B38*TA_ti!B$50*TA_ti!$BG38)</f>
        <v>10000</v>
      </c>
      <c r="C38" s="4">
        <f>+IF(TA_ti!C38*TA_ti!C$50*TA_ti!$BG38=0,10000,TA_ti!C38*TA_ti!C$50*TA_ti!$BG38)</f>
        <v>10000</v>
      </c>
      <c r="D38" s="4">
        <f>+IF(TA_ti!D38*TA_ti!D$50*TA_ti!$BG38=0,10000,TA_ti!D38*TA_ti!D$50*TA_ti!$BG38)</f>
        <v>10000</v>
      </c>
      <c r="E38" s="4">
        <f>+IF(TA_ti!E38*TA_ti!E$50*TA_ti!$BG38=0,10000,TA_ti!E38*TA_ti!E$50*TA_ti!$BG38)</f>
        <v>10000</v>
      </c>
      <c r="F38" s="4">
        <f>+IF(TA_ti!F38*TA_ti!F$50*TA_ti!$BG38=0,10000,TA_ti!F38*TA_ti!F$50*TA_ti!$BG38)</f>
        <v>10000</v>
      </c>
      <c r="G38" s="4">
        <f>+IF(TA_ti!G38*TA_ti!G$50*TA_ti!$BG38=0,10000,TA_ti!G38*TA_ti!G$50*TA_ti!$BG38)</f>
        <v>10000</v>
      </c>
      <c r="H38" s="4">
        <f>+IF(TA_ti!H38*TA_ti!H$50*TA_ti!$BG38=0,10000,TA_ti!H38*TA_ti!H$50*TA_ti!$BG38)</f>
        <v>10000</v>
      </c>
      <c r="I38" s="4">
        <f>+IF(TA_ti!I38*TA_ti!I$50*TA_ti!$BG38=0,10000,TA_ti!I38*TA_ti!I$50*TA_ti!$BG38)</f>
        <v>10000</v>
      </c>
      <c r="J38" s="4">
        <f>+IF(TA_ti!J38*TA_ti!J$50*TA_ti!$BG38=0,10000,TA_ti!J38*TA_ti!J$50*TA_ti!$BG38)</f>
        <v>10000</v>
      </c>
      <c r="K38" s="4">
        <f>+IF(TA_ti!K38*TA_ti!K$50*TA_ti!$BG38=0,10000,TA_ti!K38*TA_ti!K$50*TA_ti!$BG38)</f>
        <v>12</v>
      </c>
      <c r="L38" s="4">
        <f>+IF(TA_ti!L38*TA_ti!L$50*TA_ti!$BG38=0,10000,TA_ti!L38*TA_ti!L$50*TA_ti!$BG38)</f>
        <v>10000</v>
      </c>
      <c r="M38" s="4">
        <f>+IF(TA_ti!M38*TA_ti!M$50*TA_ti!$BG38=0,10000,TA_ti!M38*TA_ti!M$50*TA_ti!$BG38)</f>
        <v>10000</v>
      </c>
      <c r="N38" s="4">
        <f>+IF(TA_ti!N38*TA_ti!N$50*TA_ti!$BG38=0,10000,TA_ti!N38*TA_ti!N$50*TA_ti!$BG38)</f>
        <v>10000</v>
      </c>
      <c r="O38" s="4">
        <f>+IF(TA_ti!O38*TA_ti!O$50*TA_ti!$BG38=0,10000,TA_ti!O38*TA_ti!O$50*TA_ti!$BG38)</f>
        <v>10000</v>
      </c>
      <c r="P38" s="4">
        <f>+IF(TA_ti!P38*TA_ti!P$50*TA_ti!$BG38=0,10000,TA_ti!P38*TA_ti!P$50*TA_ti!$BG38)</f>
        <v>10000</v>
      </c>
      <c r="Q38" s="4">
        <f>+IF(TA_ti!Q38*TA_ti!Q$50*TA_ti!$BG38=0,10000,TA_ti!Q38*TA_ti!Q$50*TA_ti!$BG38)</f>
        <v>10000</v>
      </c>
      <c r="R38" s="4">
        <f>+IF(TA_ti!R38*TA_ti!R$50*TA_ti!$BG38=0,10000,TA_ti!R38*TA_ti!R$50*TA_ti!$BG38)</f>
        <v>10000</v>
      </c>
      <c r="S38" s="4">
        <f>+IF(TA_ti!S38*TA_ti!S$50*TA_ti!$BG38=0,10000,TA_ti!S38*TA_ti!S$50*TA_ti!$BG38)</f>
        <v>10000</v>
      </c>
      <c r="T38" s="4">
        <f>+IF(TA_ti!T38*TA_ti!T$50*TA_ti!$BG38=0,10000,TA_ti!T38*TA_ti!T$50*TA_ti!$BG38)</f>
        <v>10000</v>
      </c>
      <c r="U38" s="4">
        <f>+IF(TA_ti!U38*TA_ti!U$50*TA_ti!$BG38=0,10000,TA_ti!U38*TA_ti!U$50*TA_ti!$BG38)</f>
        <v>10000</v>
      </c>
      <c r="V38" s="4">
        <f>+IF(TA_ti!V38*TA_ti!V$50*TA_ti!$BG38=0,10000,TA_ti!V38*TA_ti!V$50*TA_ti!$BG38)</f>
        <v>10000</v>
      </c>
      <c r="W38" s="4">
        <f>+IF(TA_ti!W38*TA_ti!W$50*TA_ti!$BG38=0,10000,TA_ti!W38*TA_ti!W$50*TA_ti!$BG38)</f>
        <v>10000</v>
      </c>
      <c r="X38" s="4">
        <f>+IF(TA_ti!X38*TA_ti!X$50*TA_ti!$BG38=0,10000,TA_ti!X38*TA_ti!X$50*TA_ti!$BG38)</f>
        <v>10000</v>
      </c>
      <c r="Y38" s="4">
        <f>+IF(TA_ti!Y38*TA_ti!Y$50*TA_ti!$BG38=0,10000,TA_ti!Y38*TA_ti!Y$50*TA_ti!$BG38)</f>
        <v>10000</v>
      </c>
      <c r="Z38" s="4">
        <f>+IF(TA_ti!Z38*TA_ti!Z$50*TA_ti!$BG38=0,10000,TA_ti!Z38*TA_ti!Z$50*TA_ti!$BG38)</f>
        <v>10000</v>
      </c>
      <c r="AA38" s="4">
        <f>+IF(TA_ti!AA38*TA_ti!AA$50*TA_ti!$BG38=0,10000,TA_ti!AA38*TA_ti!AA$50*TA_ti!$BG38)</f>
        <v>10000</v>
      </c>
      <c r="AB38" s="4">
        <f>+IF(TA_ti!AB38*TA_ti!AB$50*TA_ti!$BG38=0,10000,TA_ti!AB38*TA_ti!AB$50*TA_ti!$BG38)</f>
        <v>10000</v>
      </c>
      <c r="AC38" s="4">
        <f>+IF(TA_ti!AC38*TA_ti!AC$50*TA_ti!$BG38=0,10000,TA_ti!AC38*TA_ti!AC$50*TA_ti!$BG38)</f>
        <v>10000</v>
      </c>
      <c r="AD38" s="4">
        <f>+IF(TA_ti!AD38*TA_ti!AD$50*TA_ti!$BG38=0,10000,TA_ti!AD38*TA_ti!AD$50*TA_ti!$BG38)</f>
        <v>10000</v>
      </c>
      <c r="AE38" s="4">
        <f>+IF(TA_ti!AE38*TA_ti!AE$50*TA_ti!$BG38=0,10000,TA_ti!AE38*TA_ti!AE$50*TA_ti!$BG38)</f>
        <v>10000</v>
      </c>
      <c r="AF38" s="4">
        <f>+IF(TA_ti!AF38*TA_ti!AF$50*TA_ti!$BG38=0,10000,TA_ti!AF38*TA_ti!AF$50*TA_ti!$BG38)</f>
        <v>10000</v>
      </c>
      <c r="AG38" s="4">
        <f>+IF(TA_ti!AG38*TA_ti!AG$50*TA_ti!$BG38=0,10000,TA_ti!AG38*TA_ti!AG$50*TA_ti!$BG38)</f>
        <v>10000</v>
      </c>
      <c r="AH38" s="4">
        <f>+IF(TA_ti!AH38*TA_ti!AH$50*TA_ti!$BG38=0,10000,TA_ti!AH38*TA_ti!AH$50*TA_ti!$BG38)</f>
        <v>10000</v>
      </c>
      <c r="AI38" s="4">
        <f>+IF(TA_ti!AI38*TA_ti!AI$50*TA_ti!$BG38=0,10000,TA_ti!AI38*TA_ti!AI$50*TA_ti!$BG38)</f>
        <v>10000</v>
      </c>
      <c r="AJ38" s="4">
        <f>+IF(TA_ti!AJ38*TA_ti!AJ$50*TA_ti!$BG38=0,10000,TA_ti!AJ38*TA_ti!AJ$50*TA_ti!$BG38)</f>
        <v>10000</v>
      </c>
      <c r="AK38" s="4">
        <f>+IF(TA_ti!AK38*TA_ti!AK$50*TA_ti!$BG38=0,10000,TA_ti!AK38*TA_ti!AK$50*TA_ti!$BG38)</f>
        <v>10000</v>
      </c>
      <c r="AL38" s="4">
        <f>+IF(TA_ti!AL38*TA_ti!AL$50*TA_ti!$BG38=0,10000,TA_ti!AL38*TA_ti!AL$50*TA_ti!$BG38)</f>
        <v>10000</v>
      </c>
      <c r="AM38" s="4">
        <f>+IF(TA_ti!AM38*TA_ti!AM$50*TA_ti!$BG38=0,10000,TA_ti!AM38*TA_ti!AM$50*TA_ti!$BG38)</f>
        <v>10</v>
      </c>
      <c r="AN38" s="4">
        <f>+IF(TA_ti!AN38*TA_ti!AN$50*TA_ti!$BG38=0,10000,TA_ti!AN38*TA_ti!AN$50*TA_ti!$BG38)</f>
        <v>10000</v>
      </c>
      <c r="AO38" s="4">
        <f>+IF(TA_ti!AO38*TA_ti!AO$50*TA_ti!$BG38=0,10000,TA_ti!AO38*TA_ti!AO$50*TA_ti!$BG38)</f>
        <v>10000</v>
      </c>
      <c r="AP38" s="4">
        <f>+IF(TA_ti!AP38*TA_ti!AP$50*TA_ti!$BG38=0,10000,TA_ti!AP38*TA_ti!AP$50*TA_ti!$BG38)</f>
        <v>10000</v>
      </c>
      <c r="AQ38" s="4">
        <f>+IF(TA_ti!AQ38*TA_ti!AQ$50*TA_ti!$BG38=0,10000,TA_ti!AQ38*TA_ti!AQ$50*TA_ti!$BG38)</f>
        <v>10000</v>
      </c>
      <c r="AR38" s="4">
        <f>+IF(TA_ti!AR38*TA_ti!AR$50*TA_ti!$BG38=0,10000,TA_ti!AR38*TA_ti!AR$50*TA_ti!$BG38)</f>
        <v>10000</v>
      </c>
      <c r="AS38" s="4">
        <f>+IF(TA_ti!AS38*TA_ti!AS$50*TA_ti!$BG38=0,10000,TA_ti!AS38*TA_ti!AS$50*TA_ti!$BG38)</f>
        <v>10000</v>
      </c>
      <c r="AT38" s="4">
        <f>+IF(TA_ti!AT38*TA_ti!AT$50*TA_ti!$BG38=0,10000,TA_ti!AT38*TA_ti!AT$50*TA_ti!$BG38)</f>
        <v>10000</v>
      </c>
      <c r="AU38" s="4">
        <f>+IF(TA_ti!AU38*TA_ti!AU$50*TA_ti!$BG38=0,10000,TA_ti!AU38*TA_ti!AU$50*TA_ti!$BG38)</f>
        <v>10000</v>
      </c>
      <c r="AV38" s="4">
        <f>+IF(TA_ti!AV38*TA_ti!AV$50*TA_ti!$BG38=0,10000,TA_ti!AV38*TA_ti!AV$50*TA_ti!$BG38)</f>
        <v>10000</v>
      </c>
      <c r="AW38" s="4">
        <f>+IF(TA_ti!AW38*TA_ti!AW$50*TA_ti!$BG38=0,10000,TA_ti!AW38*TA_ti!AW$50*TA_ti!$BG38)</f>
        <v>10000</v>
      </c>
      <c r="AX38" s="4">
        <f>+IF(TA_ti!AX38*TA_ti!AX$50*TA_ti!$BG38=0,10000,TA_ti!AX38*TA_ti!AX$50*TA_ti!$BG38)</f>
        <v>10000</v>
      </c>
      <c r="AY38" s="4">
        <f>+IF(TA_ti!AY38*TA_ti!AY$50*TA_ti!$BG38=0,10000,TA_ti!AY38*TA_ti!AY$50*TA_ti!$BG38)</f>
        <v>10000</v>
      </c>
      <c r="AZ38" s="4">
        <f>+IF(TA_ti!AZ38*TA_ti!AZ$50*TA_ti!$BG38=0,10000,TA_ti!AZ38*TA_ti!AZ$50*TA_ti!$BG38)</f>
        <v>10000</v>
      </c>
      <c r="BA38" s="4">
        <f>+IF(TA_ti!BA38*TA_ti!BA$50*TA_ti!$BG38=0,10000,TA_ti!BA38*TA_ti!BA$50*TA_ti!$BG38)</f>
        <v>10000</v>
      </c>
      <c r="BB38" s="4">
        <f>+IF(TA_ti!BB38*TA_ti!BB$50*TA_ti!$BG38=0,10000,TA_ti!BB38*TA_ti!BB$50*TA_ti!$BG38)</f>
        <v>10000</v>
      </c>
      <c r="BC38" s="4">
        <f>+IF(TA_ti!BC38*TA_ti!BC$50*TA_ti!$BG38=0,10000,TA_ti!BC38*TA_ti!BC$50*TA_ti!$BG38)</f>
        <v>10000</v>
      </c>
    </row>
    <row r="39" spans="1:55" ht="18.75" customHeight="1" x14ac:dyDescent="0.25">
      <c r="A39" s="5" t="s">
        <v>90</v>
      </c>
      <c r="B39" s="4">
        <f>+IF(TA_ti!B39*TA_ti!B$50*TA_ti!$BG39=0,10000,TA_ti!B39*TA_ti!B$50*TA_ti!$BG39)</f>
        <v>10000</v>
      </c>
      <c r="C39" s="4">
        <f>+IF(TA_ti!C39*TA_ti!C$50*TA_ti!$BG39=0,10000,TA_ti!C39*TA_ti!C$50*TA_ti!$BG39)</f>
        <v>10000</v>
      </c>
      <c r="D39" s="4">
        <f>+IF(TA_ti!D39*TA_ti!D$50*TA_ti!$BG39=0,10000,TA_ti!D39*TA_ti!D$50*TA_ti!$BG39)</f>
        <v>10000</v>
      </c>
      <c r="E39" s="4">
        <f>+IF(TA_ti!E39*TA_ti!E$50*TA_ti!$BG39=0,10000,TA_ti!E39*TA_ti!E$50*TA_ti!$BG39)</f>
        <v>10000</v>
      </c>
      <c r="F39" s="4">
        <f>+IF(TA_ti!F39*TA_ti!F$50*TA_ti!$BG39=0,10000,TA_ti!F39*TA_ti!F$50*TA_ti!$BG39)</f>
        <v>10000</v>
      </c>
      <c r="G39" s="4">
        <f>+IF(TA_ti!G39*TA_ti!G$50*TA_ti!$BG39=0,10000,TA_ti!G39*TA_ti!G$50*TA_ti!$BG39)</f>
        <v>10000</v>
      </c>
      <c r="H39" s="4">
        <f>+IF(TA_ti!H39*TA_ti!H$50*TA_ti!$BG39=0,10000,TA_ti!H39*TA_ti!H$50*TA_ti!$BG39)</f>
        <v>10000</v>
      </c>
      <c r="I39" s="4">
        <f>+IF(TA_ti!I39*TA_ti!I$50*TA_ti!$BG39=0,10000,TA_ti!I39*TA_ti!I$50*TA_ti!$BG39)</f>
        <v>10000</v>
      </c>
      <c r="J39" s="4">
        <f>+IF(TA_ti!J39*TA_ti!J$50*TA_ti!$BG39=0,10000,TA_ti!J39*TA_ti!J$50*TA_ti!$BG39)</f>
        <v>10000</v>
      </c>
      <c r="K39" s="4">
        <f>+IF(TA_ti!K39*TA_ti!K$50*TA_ti!$BG39=0,10000,TA_ti!K39*TA_ti!K$50*TA_ti!$BG39)</f>
        <v>12</v>
      </c>
      <c r="L39" s="4">
        <f>+IF(TA_ti!L39*TA_ti!L$50*TA_ti!$BG39=0,10000,TA_ti!L39*TA_ti!L$50*TA_ti!$BG39)</f>
        <v>10000</v>
      </c>
      <c r="M39" s="4">
        <f>+IF(TA_ti!M39*TA_ti!M$50*TA_ti!$BG39=0,10000,TA_ti!M39*TA_ti!M$50*TA_ti!$BG39)</f>
        <v>10000</v>
      </c>
      <c r="N39" s="4">
        <f>+IF(TA_ti!N39*TA_ti!N$50*TA_ti!$BG39=0,10000,TA_ti!N39*TA_ti!N$50*TA_ti!$BG39)</f>
        <v>10000</v>
      </c>
      <c r="O39" s="4">
        <f>+IF(TA_ti!O39*TA_ti!O$50*TA_ti!$BG39=0,10000,TA_ti!O39*TA_ti!O$50*TA_ti!$BG39)</f>
        <v>10000</v>
      </c>
      <c r="P39" s="4">
        <f>+IF(TA_ti!P39*TA_ti!P$50*TA_ti!$BG39=0,10000,TA_ti!P39*TA_ti!P$50*TA_ti!$BG39)</f>
        <v>10000</v>
      </c>
      <c r="Q39" s="4">
        <f>+IF(TA_ti!Q39*TA_ti!Q$50*TA_ti!$BG39=0,10000,TA_ti!Q39*TA_ti!Q$50*TA_ti!$BG39)</f>
        <v>10000</v>
      </c>
      <c r="R39" s="4">
        <f>+IF(TA_ti!R39*TA_ti!R$50*TA_ti!$BG39=0,10000,TA_ti!R39*TA_ti!R$50*TA_ti!$BG39)</f>
        <v>10000</v>
      </c>
      <c r="S39" s="4">
        <f>+IF(TA_ti!S39*TA_ti!S$50*TA_ti!$BG39=0,10000,TA_ti!S39*TA_ti!S$50*TA_ti!$BG39)</f>
        <v>10000</v>
      </c>
      <c r="T39" s="4">
        <f>+IF(TA_ti!T39*TA_ti!T$50*TA_ti!$BG39=0,10000,TA_ti!T39*TA_ti!T$50*TA_ti!$BG39)</f>
        <v>10000</v>
      </c>
      <c r="U39" s="4">
        <f>+IF(TA_ti!U39*TA_ti!U$50*TA_ti!$BG39=0,10000,TA_ti!U39*TA_ti!U$50*TA_ti!$BG39)</f>
        <v>15</v>
      </c>
      <c r="V39" s="4">
        <f>+IF(TA_ti!V39*TA_ti!V$50*TA_ti!$BG39=0,10000,TA_ti!V39*TA_ti!V$50*TA_ti!$BG39)</f>
        <v>10000</v>
      </c>
      <c r="W39" s="4">
        <f>+IF(TA_ti!W39*TA_ti!W$50*TA_ti!$BG39=0,10000,TA_ti!W39*TA_ti!W$50*TA_ti!$BG39)</f>
        <v>10000</v>
      </c>
      <c r="X39" s="4">
        <f>+IF(TA_ti!X39*TA_ti!X$50*TA_ti!$BG39=0,10000,TA_ti!X39*TA_ti!X$50*TA_ti!$BG39)</f>
        <v>10000</v>
      </c>
      <c r="Y39" s="4">
        <f>+IF(TA_ti!Y39*TA_ti!Y$50*TA_ti!$BG39=0,10000,TA_ti!Y39*TA_ti!Y$50*TA_ti!$BG39)</f>
        <v>10000</v>
      </c>
      <c r="Z39" s="4">
        <f>+IF(TA_ti!Z39*TA_ti!Z$50*TA_ti!$BG39=0,10000,TA_ti!Z39*TA_ti!Z$50*TA_ti!$BG39)</f>
        <v>10000</v>
      </c>
      <c r="AA39" s="4">
        <f>+IF(TA_ti!AA39*TA_ti!AA$50*TA_ti!$BG39=0,10000,TA_ti!AA39*TA_ti!AA$50*TA_ti!$BG39)</f>
        <v>10000</v>
      </c>
      <c r="AB39" s="4">
        <f>+IF(TA_ti!AB39*TA_ti!AB$50*TA_ti!$BG39=0,10000,TA_ti!AB39*TA_ti!AB$50*TA_ti!$BG39)</f>
        <v>10000</v>
      </c>
      <c r="AC39" s="4">
        <f>+IF(TA_ti!AC39*TA_ti!AC$50*TA_ti!$BG39=0,10000,TA_ti!AC39*TA_ti!AC$50*TA_ti!$BG39)</f>
        <v>10000</v>
      </c>
      <c r="AD39" s="4">
        <f>+IF(TA_ti!AD39*TA_ti!AD$50*TA_ti!$BG39=0,10000,TA_ti!AD39*TA_ti!AD$50*TA_ti!$BG39)</f>
        <v>10000</v>
      </c>
      <c r="AE39" s="4">
        <f>+IF(TA_ti!AE39*TA_ti!AE$50*TA_ti!$BG39=0,10000,TA_ti!AE39*TA_ti!AE$50*TA_ti!$BG39)</f>
        <v>10000</v>
      </c>
      <c r="AF39" s="4">
        <f>+IF(TA_ti!AF39*TA_ti!AF$50*TA_ti!$BG39=0,10000,TA_ti!AF39*TA_ti!AF$50*TA_ti!$BG39)</f>
        <v>10000</v>
      </c>
      <c r="AG39" s="4">
        <f>+IF(TA_ti!AG39*TA_ti!AG$50*TA_ti!$BG39=0,10000,TA_ti!AG39*TA_ti!AG$50*TA_ti!$BG39)</f>
        <v>10000</v>
      </c>
      <c r="AH39" s="4">
        <f>+IF(TA_ti!AH39*TA_ti!AH$50*TA_ti!$BG39=0,10000,TA_ti!AH39*TA_ti!AH$50*TA_ti!$BG39)</f>
        <v>10000</v>
      </c>
      <c r="AI39" s="4">
        <f>+IF(TA_ti!AI39*TA_ti!AI$50*TA_ti!$BG39=0,10000,TA_ti!AI39*TA_ti!AI$50*TA_ti!$BG39)</f>
        <v>10000</v>
      </c>
      <c r="AJ39" s="4">
        <f>+IF(TA_ti!AJ39*TA_ti!AJ$50*TA_ti!$BG39=0,10000,TA_ti!AJ39*TA_ti!AJ$50*TA_ti!$BG39)</f>
        <v>10000</v>
      </c>
      <c r="AK39" s="4">
        <f>+IF(TA_ti!AK39*TA_ti!AK$50*TA_ti!$BG39=0,10000,TA_ti!AK39*TA_ti!AK$50*TA_ti!$BG39)</f>
        <v>10000</v>
      </c>
      <c r="AL39" s="4">
        <f>+IF(TA_ti!AL39*TA_ti!AL$50*TA_ti!$BG39=0,10000,TA_ti!AL39*TA_ti!AL$50*TA_ti!$BG39)</f>
        <v>10000</v>
      </c>
      <c r="AM39" s="4">
        <f>+IF(TA_ti!AM39*TA_ti!AM$50*TA_ti!$BG39=0,10000,TA_ti!AM39*TA_ti!AM$50*TA_ti!$BG39)</f>
        <v>10</v>
      </c>
      <c r="AN39" s="4">
        <f>+IF(TA_ti!AN39*TA_ti!AN$50*TA_ti!$BG39=0,10000,TA_ti!AN39*TA_ti!AN$50*TA_ti!$BG39)</f>
        <v>10000</v>
      </c>
      <c r="AO39" s="4">
        <f>+IF(TA_ti!AO39*TA_ti!AO$50*TA_ti!$BG39=0,10000,TA_ti!AO39*TA_ti!AO$50*TA_ti!$BG39)</f>
        <v>10000</v>
      </c>
      <c r="AP39" s="4">
        <f>+IF(TA_ti!AP39*TA_ti!AP$50*TA_ti!$BG39=0,10000,TA_ti!AP39*TA_ti!AP$50*TA_ti!$BG39)</f>
        <v>10000</v>
      </c>
      <c r="AQ39" s="4">
        <f>+IF(TA_ti!AQ39*TA_ti!AQ$50*TA_ti!$BG39=0,10000,TA_ti!AQ39*TA_ti!AQ$50*TA_ti!$BG39)</f>
        <v>10000</v>
      </c>
      <c r="AR39" s="4">
        <f>+IF(TA_ti!AR39*TA_ti!AR$50*TA_ti!$BG39=0,10000,TA_ti!AR39*TA_ti!AR$50*TA_ti!$BG39)</f>
        <v>10000</v>
      </c>
      <c r="AS39" s="4">
        <f>+IF(TA_ti!AS39*TA_ti!AS$50*TA_ti!$BG39=0,10000,TA_ti!AS39*TA_ti!AS$50*TA_ti!$BG39)</f>
        <v>10000</v>
      </c>
      <c r="AT39" s="4">
        <f>+IF(TA_ti!AT39*TA_ti!AT$50*TA_ti!$BG39=0,10000,TA_ti!AT39*TA_ti!AT$50*TA_ti!$BG39)</f>
        <v>10000</v>
      </c>
      <c r="AU39" s="4">
        <f>+IF(TA_ti!AU39*TA_ti!AU$50*TA_ti!$BG39=0,10000,TA_ti!AU39*TA_ti!AU$50*TA_ti!$BG39)</f>
        <v>10000</v>
      </c>
      <c r="AV39" s="4">
        <f>+IF(TA_ti!AV39*TA_ti!AV$50*TA_ti!$BG39=0,10000,TA_ti!AV39*TA_ti!AV$50*TA_ti!$BG39)</f>
        <v>10000</v>
      </c>
      <c r="AW39" s="4">
        <f>+IF(TA_ti!AW39*TA_ti!AW$50*TA_ti!$BG39=0,10000,TA_ti!AW39*TA_ti!AW$50*TA_ti!$BG39)</f>
        <v>10000</v>
      </c>
      <c r="AX39" s="4">
        <f>+IF(TA_ti!AX39*TA_ti!AX$50*TA_ti!$BG39=0,10000,TA_ti!AX39*TA_ti!AX$50*TA_ti!$BG39)</f>
        <v>10000</v>
      </c>
      <c r="AY39" s="4">
        <f>+IF(TA_ti!AY39*TA_ti!AY$50*TA_ti!$BG39=0,10000,TA_ti!AY39*TA_ti!AY$50*TA_ti!$BG39)</f>
        <v>10000</v>
      </c>
      <c r="AZ39" s="4">
        <f>+IF(TA_ti!AZ39*TA_ti!AZ$50*TA_ti!$BG39=0,10000,TA_ti!AZ39*TA_ti!AZ$50*TA_ti!$BG39)</f>
        <v>10000</v>
      </c>
      <c r="BA39" s="4">
        <f>+IF(TA_ti!BA39*TA_ti!BA$50*TA_ti!$BG39=0,10000,TA_ti!BA39*TA_ti!BA$50*TA_ti!$BG39)</f>
        <v>10000</v>
      </c>
      <c r="BB39" s="4">
        <f>+IF(TA_ti!BB39*TA_ti!BB$50*TA_ti!$BG39=0,10000,TA_ti!BB39*TA_ti!BB$50*TA_ti!$BG39)</f>
        <v>10000</v>
      </c>
      <c r="BC39" s="4">
        <f>+IF(TA_ti!BC39*TA_ti!BC$50*TA_ti!$BG39=0,10000,TA_ti!BC39*TA_ti!BC$50*TA_ti!$BG39)</f>
        <v>10000</v>
      </c>
    </row>
    <row r="40" spans="1:55" ht="18.75" customHeight="1" x14ac:dyDescent="0.25">
      <c r="A40" s="5" t="s">
        <v>91</v>
      </c>
      <c r="B40" s="4">
        <f>+IF(TA_ti!B40*TA_ti!B$50*TA_ti!$BG40=0,10000,TA_ti!B40*TA_ti!B$50*TA_ti!$BG40)</f>
        <v>10000</v>
      </c>
      <c r="C40" s="4">
        <f>+IF(TA_ti!C40*TA_ti!C$50*TA_ti!$BG40=0,10000,TA_ti!C40*TA_ti!C$50*TA_ti!$BG40)</f>
        <v>10000</v>
      </c>
      <c r="D40" s="4">
        <f>+IF(TA_ti!D40*TA_ti!D$50*TA_ti!$BG40=0,10000,TA_ti!D40*TA_ti!D$50*TA_ti!$BG40)</f>
        <v>15</v>
      </c>
      <c r="E40" s="4">
        <f>+IF(TA_ti!E40*TA_ti!E$50*TA_ti!$BG40=0,10000,TA_ti!E40*TA_ti!E$50*TA_ti!$BG40)</f>
        <v>10000</v>
      </c>
      <c r="F40" s="4">
        <f>+IF(TA_ti!F40*TA_ti!F$50*TA_ti!$BG40=0,10000,TA_ti!F40*TA_ti!F$50*TA_ti!$BG40)</f>
        <v>10000</v>
      </c>
      <c r="G40" s="4">
        <f>+IF(TA_ti!G40*TA_ti!G$50*TA_ti!$BG40=0,10000,TA_ti!G40*TA_ti!G$50*TA_ti!$BG40)</f>
        <v>12</v>
      </c>
      <c r="H40" s="4">
        <f>+IF(TA_ti!H40*TA_ti!H$50*TA_ti!$BG40=0,10000,TA_ti!H40*TA_ti!H$50*TA_ti!$BG40)</f>
        <v>10000</v>
      </c>
      <c r="I40" s="4">
        <f>+IF(TA_ti!I40*TA_ti!I$50*TA_ti!$BG40=0,10000,TA_ti!I40*TA_ti!I$50*TA_ti!$BG40)</f>
        <v>10000</v>
      </c>
      <c r="J40" s="4">
        <f>+IF(TA_ti!J40*TA_ti!J$50*TA_ti!$BG40=0,10000,TA_ti!J40*TA_ti!J$50*TA_ti!$BG40)</f>
        <v>10000</v>
      </c>
      <c r="K40" s="4">
        <f>+IF(TA_ti!K40*TA_ti!K$50*TA_ti!$BG40=0,10000,TA_ti!K40*TA_ti!K$50*TA_ti!$BG40)</f>
        <v>10000</v>
      </c>
      <c r="L40" s="4">
        <f>+IF(TA_ti!L40*TA_ti!L$50*TA_ti!$BG40=0,10000,TA_ti!L40*TA_ti!L$50*TA_ti!$BG40)</f>
        <v>12</v>
      </c>
      <c r="M40" s="4">
        <f>+IF(TA_ti!M40*TA_ti!M$50*TA_ti!$BG40=0,10000,TA_ti!M40*TA_ti!M$50*TA_ti!$BG40)</f>
        <v>12</v>
      </c>
      <c r="N40" s="4">
        <f>+IF(TA_ti!N40*TA_ti!N$50*TA_ti!$BG40=0,10000,TA_ti!N40*TA_ti!N$50*TA_ti!$BG40)</f>
        <v>15</v>
      </c>
      <c r="O40" s="4">
        <f>+IF(TA_ti!O40*TA_ti!O$50*TA_ti!$BG40=0,10000,TA_ti!O40*TA_ti!O$50*TA_ti!$BG40)</f>
        <v>10000</v>
      </c>
      <c r="P40" s="4">
        <f>+IF(TA_ti!P40*TA_ti!P$50*TA_ti!$BG40=0,10000,TA_ti!P40*TA_ti!P$50*TA_ti!$BG40)</f>
        <v>10000</v>
      </c>
      <c r="Q40" s="4">
        <f>+IF(TA_ti!Q40*TA_ti!Q$50*TA_ti!$BG40=0,10000,TA_ti!Q40*TA_ti!Q$50*TA_ti!$BG40)</f>
        <v>10000</v>
      </c>
      <c r="R40" s="4">
        <f>+IF(TA_ti!R40*TA_ti!R$50*TA_ti!$BG40=0,10000,TA_ti!R40*TA_ti!R$50*TA_ti!$BG40)</f>
        <v>10000</v>
      </c>
      <c r="S40" s="4">
        <f>+IF(TA_ti!S40*TA_ti!S$50*TA_ti!$BG40=0,10000,TA_ti!S40*TA_ti!S$50*TA_ti!$BG40)</f>
        <v>10000</v>
      </c>
      <c r="T40" s="4">
        <f>+IF(TA_ti!T40*TA_ti!T$50*TA_ti!$BG40=0,10000,TA_ti!T40*TA_ti!T$50*TA_ti!$BG40)</f>
        <v>10000</v>
      </c>
      <c r="U40" s="4">
        <f>+IF(TA_ti!U40*TA_ti!U$50*TA_ti!$BG40=0,10000,TA_ti!U40*TA_ti!U$50*TA_ti!$BG40)</f>
        <v>10000</v>
      </c>
      <c r="V40" s="4">
        <f>+IF(TA_ti!V40*TA_ti!V$50*TA_ti!$BG40=0,10000,TA_ti!V40*TA_ti!V$50*TA_ti!$BG40)</f>
        <v>10000</v>
      </c>
      <c r="W40" s="4">
        <f>+IF(TA_ti!W40*TA_ti!W$50*TA_ti!$BG40=0,10000,TA_ti!W40*TA_ti!W$50*TA_ti!$BG40)</f>
        <v>10000</v>
      </c>
      <c r="X40" s="4">
        <f>+IF(TA_ti!X40*TA_ti!X$50*TA_ti!$BG40=0,10000,TA_ti!X40*TA_ti!X$50*TA_ti!$BG40)</f>
        <v>10000</v>
      </c>
      <c r="Y40" s="4">
        <f>+IF(TA_ti!Y40*TA_ti!Y$50*TA_ti!$BG40=0,10000,TA_ti!Y40*TA_ti!Y$50*TA_ti!$BG40)</f>
        <v>10000</v>
      </c>
      <c r="Z40" s="4">
        <f>+IF(TA_ti!Z40*TA_ti!Z$50*TA_ti!$BG40=0,10000,TA_ti!Z40*TA_ti!Z$50*TA_ti!$BG40)</f>
        <v>10000</v>
      </c>
      <c r="AA40" s="4">
        <f>+IF(TA_ti!AA40*TA_ti!AA$50*TA_ti!$BG40=0,10000,TA_ti!AA40*TA_ti!AA$50*TA_ti!$BG40)</f>
        <v>10000</v>
      </c>
      <c r="AB40" s="4">
        <f>+IF(TA_ti!AB40*TA_ti!AB$50*TA_ti!$BG40=0,10000,TA_ti!AB40*TA_ti!AB$50*TA_ti!$BG40)</f>
        <v>10000</v>
      </c>
      <c r="AC40" s="4">
        <f>+IF(TA_ti!AC40*TA_ti!AC$50*TA_ti!$BG40=0,10000,TA_ti!AC40*TA_ti!AC$50*TA_ti!$BG40)</f>
        <v>10000</v>
      </c>
      <c r="AD40" s="4">
        <f>+IF(TA_ti!AD40*TA_ti!AD$50*TA_ti!$BG40=0,10000,TA_ti!AD40*TA_ti!AD$50*TA_ti!$BG40)</f>
        <v>10000</v>
      </c>
      <c r="AE40" s="4">
        <f>+IF(TA_ti!AE40*TA_ti!AE$50*TA_ti!$BG40=0,10000,TA_ti!AE40*TA_ti!AE$50*TA_ti!$BG40)</f>
        <v>10000</v>
      </c>
      <c r="AF40" s="4">
        <f>+IF(TA_ti!AF40*TA_ti!AF$50*TA_ti!$BG40=0,10000,TA_ti!AF40*TA_ti!AF$50*TA_ti!$BG40)</f>
        <v>10000</v>
      </c>
      <c r="AG40" s="4">
        <f>+IF(TA_ti!AG40*TA_ti!AG$50*TA_ti!$BG40=0,10000,TA_ti!AG40*TA_ti!AG$50*TA_ti!$BG40)</f>
        <v>10000</v>
      </c>
      <c r="AH40" s="4">
        <f>+IF(TA_ti!AH40*TA_ti!AH$50*TA_ti!$BG40=0,10000,TA_ti!AH40*TA_ti!AH$50*TA_ti!$BG40)</f>
        <v>10000</v>
      </c>
      <c r="AI40" s="4">
        <f>+IF(TA_ti!AI40*TA_ti!AI$50*TA_ti!$BG40=0,10000,TA_ti!AI40*TA_ti!AI$50*TA_ti!$BG40)</f>
        <v>10000</v>
      </c>
      <c r="AJ40" s="4">
        <f>+IF(TA_ti!AJ40*TA_ti!AJ$50*TA_ti!$BG40=0,10000,TA_ti!AJ40*TA_ti!AJ$50*TA_ti!$BG40)</f>
        <v>10000</v>
      </c>
      <c r="AK40" s="4">
        <f>+IF(TA_ti!AK40*TA_ti!AK$50*TA_ti!$BG40=0,10000,TA_ti!AK40*TA_ti!AK$50*TA_ti!$BG40)</f>
        <v>10000</v>
      </c>
      <c r="AL40" s="4">
        <f>+IF(TA_ti!AL40*TA_ti!AL$50*TA_ti!$BG40=0,10000,TA_ti!AL40*TA_ti!AL$50*TA_ti!$BG40)</f>
        <v>10000</v>
      </c>
      <c r="AM40" s="4">
        <f>+IF(TA_ti!AM40*TA_ti!AM$50*TA_ti!$BG40=0,10000,TA_ti!AM40*TA_ti!AM$50*TA_ti!$BG40)</f>
        <v>10000</v>
      </c>
      <c r="AN40" s="4">
        <f>+IF(TA_ti!AN40*TA_ti!AN$50*TA_ti!$BG40=0,10000,TA_ti!AN40*TA_ti!AN$50*TA_ti!$BG40)</f>
        <v>10000</v>
      </c>
      <c r="AO40" s="4">
        <f>+IF(TA_ti!AO40*TA_ti!AO$50*TA_ti!$BG40=0,10000,TA_ti!AO40*TA_ti!AO$50*TA_ti!$BG40)</f>
        <v>10000</v>
      </c>
      <c r="AP40" s="4">
        <f>+IF(TA_ti!AP40*TA_ti!AP$50*TA_ti!$BG40=0,10000,TA_ti!AP40*TA_ti!AP$50*TA_ti!$BG40)</f>
        <v>10000</v>
      </c>
      <c r="AQ40" s="4">
        <f>+IF(TA_ti!AQ40*TA_ti!AQ$50*TA_ti!$BG40=0,10000,TA_ti!AQ40*TA_ti!AQ$50*TA_ti!$BG40)</f>
        <v>10000</v>
      </c>
      <c r="AR40" s="4">
        <f>+IF(TA_ti!AR40*TA_ti!AR$50*TA_ti!$BG40=0,10000,TA_ti!AR40*TA_ti!AR$50*TA_ti!$BG40)</f>
        <v>10000</v>
      </c>
      <c r="AS40" s="4">
        <f>+IF(TA_ti!AS40*TA_ti!AS$50*TA_ti!$BG40=0,10000,TA_ti!AS40*TA_ti!AS$50*TA_ti!$BG40)</f>
        <v>10000</v>
      </c>
      <c r="AT40" s="4">
        <f>+IF(TA_ti!AT40*TA_ti!AT$50*TA_ti!$BG40=0,10000,TA_ti!AT40*TA_ti!AT$50*TA_ti!$BG40)</f>
        <v>10000</v>
      </c>
      <c r="AU40" s="4">
        <f>+IF(TA_ti!AU40*TA_ti!AU$50*TA_ti!$BG40=0,10000,TA_ti!AU40*TA_ti!AU$50*TA_ti!$BG40)</f>
        <v>10000</v>
      </c>
      <c r="AV40" s="4">
        <f>+IF(TA_ti!AV40*TA_ti!AV$50*TA_ti!$BG40=0,10000,TA_ti!AV40*TA_ti!AV$50*TA_ti!$BG40)</f>
        <v>10000</v>
      </c>
      <c r="AW40" s="4">
        <f>+IF(TA_ti!AW40*TA_ti!AW$50*TA_ti!$BG40=0,10000,TA_ti!AW40*TA_ti!AW$50*TA_ti!$BG40)</f>
        <v>10000</v>
      </c>
      <c r="AX40" s="4">
        <f>+IF(TA_ti!AX40*TA_ti!AX$50*TA_ti!$BG40=0,10000,TA_ti!AX40*TA_ti!AX$50*TA_ti!$BG40)</f>
        <v>10000</v>
      </c>
      <c r="AY40" s="4">
        <f>+IF(TA_ti!AY40*TA_ti!AY$50*TA_ti!$BG40=0,10000,TA_ti!AY40*TA_ti!AY$50*TA_ti!$BG40)</f>
        <v>10000</v>
      </c>
      <c r="AZ40" s="4">
        <f>+IF(TA_ti!AZ40*TA_ti!AZ$50*TA_ti!$BG40=0,10000,TA_ti!AZ40*TA_ti!AZ$50*TA_ti!$BG40)</f>
        <v>10000</v>
      </c>
      <c r="BA40" s="4">
        <f>+IF(TA_ti!BA40*TA_ti!BA$50*TA_ti!$BG40=0,10000,TA_ti!BA40*TA_ti!BA$50*TA_ti!$BG40)</f>
        <v>10000</v>
      </c>
      <c r="BB40" s="4">
        <f>+IF(TA_ti!BB40*TA_ti!BB$50*TA_ti!$BG40=0,10000,TA_ti!BB40*TA_ti!BB$50*TA_ti!$BG40)</f>
        <v>10000</v>
      </c>
      <c r="BC40" s="4">
        <f>+IF(TA_ti!BC40*TA_ti!BC$50*TA_ti!$BG40=0,10000,TA_ti!BC40*TA_ti!BC$50*TA_ti!$BG40)</f>
        <v>10000</v>
      </c>
    </row>
    <row r="41" spans="1:55" ht="18.75" customHeight="1" x14ac:dyDescent="0.25">
      <c r="A41" s="5" t="s">
        <v>92</v>
      </c>
      <c r="B41" s="4">
        <f>+IF(TA_ti!B41*TA_ti!B$50*TA_ti!$BG41=0,10000,TA_ti!B41*TA_ti!B$50*TA_ti!$BG41)</f>
        <v>10000</v>
      </c>
      <c r="C41" s="4">
        <f>+IF(TA_ti!C41*TA_ti!C$50*TA_ti!$BG41=0,10000,TA_ti!C41*TA_ti!C$50*TA_ti!$BG41)</f>
        <v>10000</v>
      </c>
      <c r="D41" s="4">
        <f>+IF(TA_ti!D41*TA_ti!D$50*TA_ti!$BG41=0,10000,TA_ti!D41*TA_ti!D$50*TA_ti!$BG41)</f>
        <v>10000</v>
      </c>
      <c r="E41" s="4">
        <f>+IF(TA_ti!E41*TA_ti!E$50*TA_ti!$BG41=0,10000,TA_ti!E41*TA_ti!E$50*TA_ti!$BG41)</f>
        <v>10000</v>
      </c>
      <c r="F41" s="4">
        <f>+IF(TA_ti!F41*TA_ti!F$50*TA_ti!$BG41=0,10000,TA_ti!F41*TA_ti!F$50*TA_ti!$BG41)</f>
        <v>10000</v>
      </c>
      <c r="G41" s="4">
        <f>+IF(TA_ti!G41*TA_ti!G$50*TA_ti!$BG41=0,10000,TA_ti!G41*TA_ti!G$50*TA_ti!$BG41)</f>
        <v>10000</v>
      </c>
      <c r="H41" s="4">
        <f>+IF(TA_ti!H41*TA_ti!H$50*TA_ti!$BG41=0,10000,TA_ti!H41*TA_ti!H$50*TA_ti!$BG41)</f>
        <v>10000</v>
      </c>
      <c r="I41" s="4">
        <f>+IF(TA_ti!I41*TA_ti!I$50*TA_ti!$BG41=0,10000,TA_ti!I41*TA_ti!I$50*TA_ti!$BG41)</f>
        <v>10000</v>
      </c>
      <c r="J41" s="4">
        <f>+IF(TA_ti!J41*TA_ti!J$50*TA_ti!$BG41=0,10000,TA_ti!J41*TA_ti!J$50*TA_ti!$BG41)</f>
        <v>10000</v>
      </c>
      <c r="K41" s="4">
        <f>+IF(TA_ti!K41*TA_ti!K$50*TA_ti!$BG41=0,10000,TA_ti!K41*TA_ti!K$50*TA_ti!$BG41)</f>
        <v>10000</v>
      </c>
      <c r="L41" s="4">
        <f>+IF(TA_ti!L41*TA_ti!L$50*TA_ti!$BG41=0,10000,TA_ti!L41*TA_ti!L$50*TA_ti!$BG41)</f>
        <v>10000</v>
      </c>
      <c r="M41" s="4">
        <f>+IF(TA_ti!M41*TA_ti!M$50*TA_ti!$BG41=0,10000,TA_ti!M41*TA_ti!M$50*TA_ti!$BG41)</f>
        <v>10000</v>
      </c>
      <c r="N41" s="4">
        <f>+IF(TA_ti!N41*TA_ti!N$50*TA_ti!$BG41=0,10000,TA_ti!N41*TA_ti!N$50*TA_ti!$BG41)</f>
        <v>10000</v>
      </c>
      <c r="O41" s="4">
        <f>+IF(TA_ti!O41*TA_ti!O$50*TA_ti!$BG41=0,10000,TA_ti!O41*TA_ti!O$50*TA_ti!$BG41)</f>
        <v>10000</v>
      </c>
      <c r="P41" s="4">
        <f>+IF(TA_ti!P41*TA_ti!P$50*TA_ti!$BG41=0,10000,TA_ti!P41*TA_ti!P$50*TA_ti!$BG41)</f>
        <v>10000</v>
      </c>
      <c r="Q41" s="4">
        <f>+IF(TA_ti!Q41*TA_ti!Q$50*TA_ti!$BG41=0,10000,TA_ti!Q41*TA_ti!Q$50*TA_ti!$BG41)</f>
        <v>10000</v>
      </c>
      <c r="R41" s="4">
        <f>+IF(TA_ti!R41*TA_ti!R$50*TA_ti!$BG41=0,10000,TA_ti!R41*TA_ti!R$50*TA_ti!$BG41)</f>
        <v>10000</v>
      </c>
      <c r="S41" s="4">
        <f>+IF(TA_ti!S41*TA_ti!S$50*TA_ti!$BG41=0,10000,TA_ti!S41*TA_ti!S$50*TA_ti!$BG41)</f>
        <v>10000</v>
      </c>
      <c r="T41" s="4">
        <f>+IF(TA_ti!T41*TA_ti!T$50*TA_ti!$BG41=0,10000,TA_ti!T41*TA_ti!T$50*TA_ti!$BG41)</f>
        <v>10000</v>
      </c>
      <c r="U41" s="4">
        <f>+IF(TA_ti!U41*TA_ti!U$50*TA_ti!$BG41=0,10000,TA_ti!U41*TA_ti!U$50*TA_ti!$BG41)</f>
        <v>10000</v>
      </c>
      <c r="V41" s="4">
        <f>+IF(TA_ti!V41*TA_ti!V$50*TA_ti!$BG41=0,10000,TA_ti!V41*TA_ti!V$50*TA_ti!$BG41)</f>
        <v>10000</v>
      </c>
      <c r="W41" s="4">
        <f>+IF(TA_ti!W41*TA_ti!W$50*TA_ti!$BG41=0,10000,TA_ti!W41*TA_ti!W$50*TA_ti!$BG41)</f>
        <v>10000</v>
      </c>
      <c r="X41" s="4">
        <f>+IF(TA_ti!X41*TA_ti!X$50*TA_ti!$BG41=0,10000,TA_ti!X41*TA_ti!X$50*TA_ti!$BG41)</f>
        <v>10000</v>
      </c>
      <c r="Y41" s="4">
        <f>+IF(TA_ti!Y41*TA_ti!Y$50*TA_ti!$BG41=0,10000,TA_ti!Y41*TA_ti!Y$50*TA_ti!$BG41)</f>
        <v>10000</v>
      </c>
      <c r="Z41" s="4">
        <f>+IF(TA_ti!Z41*TA_ti!Z$50*TA_ti!$BG41=0,10000,TA_ti!Z41*TA_ti!Z$50*TA_ti!$BG41)</f>
        <v>10000</v>
      </c>
      <c r="AA41" s="4">
        <f>+IF(TA_ti!AA41*TA_ti!AA$50*TA_ti!$BG41=0,10000,TA_ti!AA41*TA_ti!AA$50*TA_ti!$BG41)</f>
        <v>10000</v>
      </c>
      <c r="AB41" s="4">
        <f>+IF(TA_ti!AB41*TA_ti!AB$50*TA_ti!$BG41=0,10000,TA_ti!AB41*TA_ti!AB$50*TA_ti!$BG41)</f>
        <v>10000</v>
      </c>
      <c r="AC41" s="4">
        <f>+IF(TA_ti!AC41*TA_ti!AC$50*TA_ti!$BG41=0,10000,TA_ti!AC41*TA_ti!AC$50*TA_ti!$BG41)</f>
        <v>10000</v>
      </c>
      <c r="AD41" s="4">
        <f>+IF(TA_ti!AD41*TA_ti!AD$50*TA_ti!$BG41=0,10000,TA_ti!AD41*TA_ti!AD$50*TA_ti!$BG41)</f>
        <v>10000</v>
      </c>
      <c r="AE41" s="4">
        <f>+IF(TA_ti!AE41*TA_ti!AE$50*TA_ti!$BG41=0,10000,TA_ti!AE41*TA_ti!AE$50*TA_ti!$BG41)</f>
        <v>10000</v>
      </c>
      <c r="AF41" s="4">
        <f>+IF(TA_ti!AF41*TA_ti!AF$50*TA_ti!$BG41=0,10000,TA_ti!AF41*TA_ti!AF$50*TA_ti!$BG41)</f>
        <v>10000</v>
      </c>
      <c r="AG41" s="4">
        <f>+IF(TA_ti!AG41*TA_ti!AG$50*TA_ti!$BG41=0,10000,TA_ti!AG41*TA_ti!AG$50*TA_ti!$BG41)</f>
        <v>10000</v>
      </c>
      <c r="AH41" s="4">
        <f>+IF(TA_ti!AH41*TA_ti!AH$50*TA_ti!$BG41=0,10000,TA_ti!AH41*TA_ti!AH$50*TA_ti!$BG41)</f>
        <v>10000</v>
      </c>
      <c r="AI41" s="4">
        <f>+IF(TA_ti!AI41*TA_ti!AI$50*TA_ti!$BG41=0,10000,TA_ti!AI41*TA_ti!AI$50*TA_ti!$BG41)</f>
        <v>10000</v>
      </c>
      <c r="AJ41" s="4">
        <f>+IF(TA_ti!AJ41*TA_ti!AJ$50*TA_ti!$BG41=0,10000,TA_ti!AJ41*TA_ti!AJ$50*TA_ti!$BG41)</f>
        <v>10000</v>
      </c>
      <c r="AK41" s="4">
        <f>+IF(TA_ti!AK41*TA_ti!AK$50*TA_ti!$BG41=0,10000,TA_ti!AK41*TA_ti!AK$50*TA_ti!$BG41)</f>
        <v>10000</v>
      </c>
      <c r="AL41" s="4">
        <f>+IF(TA_ti!AL41*TA_ti!AL$50*TA_ti!$BG41=0,10000,TA_ti!AL41*TA_ti!AL$50*TA_ti!$BG41)</f>
        <v>10000</v>
      </c>
      <c r="AM41" s="4">
        <f>+IF(TA_ti!AM41*TA_ti!AM$50*TA_ti!$BG41=0,10000,TA_ti!AM41*TA_ti!AM$50*TA_ti!$BG41)</f>
        <v>10000</v>
      </c>
      <c r="AN41" s="4">
        <f>+IF(TA_ti!AN41*TA_ti!AN$50*TA_ti!$BG41=0,10000,TA_ti!AN41*TA_ti!AN$50*TA_ti!$BG41)</f>
        <v>10000</v>
      </c>
      <c r="AO41" s="4">
        <f>+IF(TA_ti!AO41*TA_ti!AO$50*TA_ti!$BG41=0,10000,TA_ti!AO41*TA_ti!AO$50*TA_ti!$BG41)</f>
        <v>10000</v>
      </c>
      <c r="AP41" s="4">
        <f>+IF(TA_ti!AP41*TA_ti!AP$50*TA_ti!$BG41=0,10000,TA_ti!AP41*TA_ti!AP$50*TA_ti!$BG41)</f>
        <v>10000</v>
      </c>
      <c r="AQ41" s="4">
        <f>+IF(TA_ti!AQ41*TA_ti!AQ$50*TA_ti!$BG41=0,10000,TA_ti!AQ41*TA_ti!AQ$50*TA_ti!$BG41)</f>
        <v>10000</v>
      </c>
      <c r="AR41" s="4">
        <f>+IF(TA_ti!AR41*TA_ti!AR$50*TA_ti!$BG41=0,10000,TA_ti!AR41*TA_ti!AR$50*TA_ti!$BG41)</f>
        <v>10000</v>
      </c>
      <c r="AS41" s="4">
        <f>+IF(TA_ti!AS41*TA_ti!AS$50*TA_ti!$BG41=0,10000,TA_ti!AS41*TA_ti!AS$50*TA_ti!$BG41)</f>
        <v>10000</v>
      </c>
      <c r="AT41" s="4">
        <f>+IF(TA_ti!AT41*TA_ti!AT$50*TA_ti!$BG41=0,10000,TA_ti!AT41*TA_ti!AT$50*TA_ti!$BG41)</f>
        <v>10000</v>
      </c>
      <c r="AU41" s="4">
        <f>+IF(TA_ti!AU41*TA_ti!AU$50*TA_ti!$BG41=0,10000,TA_ti!AU41*TA_ti!AU$50*TA_ti!$BG41)</f>
        <v>10000</v>
      </c>
      <c r="AV41" s="4">
        <f>+IF(TA_ti!AV41*TA_ti!AV$50*TA_ti!$BG41=0,10000,TA_ti!AV41*TA_ti!AV$50*TA_ti!$BG41)</f>
        <v>10000</v>
      </c>
      <c r="AW41" s="4">
        <f>+IF(TA_ti!AW41*TA_ti!AW$50*TA_ti!$BG41=0,10000,TA_ti!AW41*TA_ti!AW$50*TA_ti!$BG41)</f>
        <v>10000</v>
      </c>
      <c r="AX41" s="4">
        <f>+IF(TA_ti!AX41*TA_ti!AX$50*TA_ti!$BG41=0,10000,TA_ti!AX41*TA_ti!AX$50*TA_ti!$BG41)</f>
        <v>10000</v>
      </c>
      <c r="AY41" s="4">
        <f>+IF(TA_ti!AY41*TA_ti!AY$50*TA_ti!$BG41=0,10000,TA_ti!AY41*TA_ti!AY$50*TA_ti!$BG41)</f>
        <v>10000</v>
      </c>
      <c r="AZ41" s="4">
        <f>+IF(TA_ti!AZ41*TA_ti!AZ$50*TA_ti!$BG41=0,10000,TA_ti!AZ41*TA_ti!AZ$50*TA_ti!$BG41)</f>
        <v>10000</v>
      </c>
      <c r="BA41" s="4">
        <f>+IF(TA_ti!BA41*TA_ti!BA$50*TA_ti!$BG41=0,10000,TA_ti!BA41*TA_ti!BA$50*TA_ti!$BG41)</f>
        <v>10000</v>
      </c>
      <c r="BB41" s="4">
        <f>+IF(TA_ti!BB41*TA_ti!BB$50*TA_ti!$BG41=0,10000,TA_ti!BB41*TA_ti!BB$50*TA_ti!$BG41)</f>
        <v>10000</v>
      </c>
      <c r="BC41" s="4">
        <f>+IF(TA_ti!BC41*TA_ti!BC$50*TA_ti!$BG41=0,10000,TA_ti!BC41*TA_ti!BC$50*TA_ti!$BG41)</f>
        <v>10000</v>
      </c>
    </row>
    <row r="42" spans="1:55" ht="18.75" customHeight="1" x14ac:dyDescent="0.25">
      <c r="A42" s="5" t="s">
        <v>93</v>
      </c>
      <c r="B42" s="4">
        <f>+IF(TA_ti!B42*TA_ti!B$50*TA_ti!$BG42=0,10000,TA_ti!B42*TA_ti!B$50*TA_ti!$BG42)</f>
        <v>10000</v>
      </c>
      <c r="C42" s="4">
        <f>+IF(TA_ti!C42*TA_ti!C$50*TA_ti!$BG42=0,10000,TA_ti!C42*TA_ti!C$50*TA_ti!$BG42)</f>
        <v>10000</v>
      </c>
      <c r="D42" s="4">
        <f>+IF(TA_ti!D42*TA_ti!D$50*TA_ti!$BG42=0,10000,TA_ti!D42*TA_ti!D$50*TA_ti!$BG42)</f>
        <v>10000</v>
      </c>
      <c r="E42" s="4">
        <f>+IF(TA_ti!E42*TA_ti!E$50*TA_ti!$BG42=0,10000,TA_ti!E42*TA_ti!E$50*TA_ti!$BG42)</f>
        <v>10000</v>
      </c>
      <c r="F42" s="4">
        <f>+IF(TA_ti!F42*TA_ti!F$50*TA_ti!$BG42=0,10000,TA_ti!F42*TA_ti!F$50*TA_ti!$BG42)</f>
        <v>10000</v>
      </c>
      <c r="G42" s="4">
        <f>+IF(TA_ti!G42*TA_ti!G$50*TA_ti!$BG42=0,10000,TA_ti!G42*TA_ti!G$50*TA_ti!$BG42)</f>
        <v>10000</v>
      </c>
      <c r="H42" s="4">
        <f>+IF(TA_ti!H42*TA_ti!H$50*TA_ti!$BG42=0,10000,TA_ti!H42*TA_ti!H$50*TA_ti!$BG42)</f>
        <v>10000</v>
      </c>
      <c r="I42" s="4">
        <f>+IF(TA_ti!I42*TA_ti!I$50*TA_ti!$BG42=0,10000,TA_ti!I42*TA_ti!I$50*TA_ti!$BG42)</f>
        <v>10000</v>
      </c>
      <c r="J42" s="4">
        <f>+IF(TA_ti!J42*TA_ti!J$50*TA_ti!$BG42=0,10000,TA_ti!J42*TA_ti!J$50*TA_ti!$BG42)</f>
        <v>10000</v>
      </c>
      <c r="K42" s="4">
        <f>+IF(TA_ti!K42*TA_ti!K$50*TA_ti!$BG42=0,10000,TA_ti!K42*TA_ti!K$50*TA_ti!$BG42)</f>
        <v>10000</v>
      </c>
      <c r="L42" s="4">
        <f>+IF(TA_ti!L42*TA_ti!L$50*TA_ti!$BG42=0,10000,TA_ti!L42*TA_ti!L$50*TA_ti!$BG42)</f>
        <v>10000</v>
      </c>
      <c r="M42" s="4">
        <f>+IF(TA_ti!M42*TA_ti!M$50*TA_ti!$BG42=0,10000,TA_ti!M42*TA_ti!M$50*TA_ti!$BG42)</f>
        <v>10000</v>
      </c>
      <c r="N42" s="4">
        <f>+IF(TA_ti!N42*TA_ti!N$50*TA_ti!$BG42=0,10000,TA_ti!N42*TA_ti!N$50*TA_ti!$BG42)</f>
        <v>10000</v>
      </c>
      <c r="O42" s="4">
        <f>+IF(TA_ti!O42*TA_ti!O$50*TA_ti!$BG42=0,10000,TA_ti!O42*TA_ti!O$50*TA_ti!$BG42)</f>
        <v>10000</v>
      </c>
      <c r="P42" s="4">
        <f>+IF(TA_ti!P42*TA_ti!P$50*TA_ti!$BG42=0,10000,TA_ti!P42*TA_ti!P$50*TA_ti!$BG42)</f>
        <v>10000</v>
      </c>
      <c r="Q42" s="4">
        <f>+IF(TA_ti!Q42*TA_ti!Q$50*TA_ti!$BG42=0,10000,TA_ti!Q42*TA_ti!Q$50*TA_ti!$BG42)</f>
        <v>10000</v>
      </c>
      <c r="R42" s="4">
        <f>+IF(TA_ti!R42*TA_ti!R$50*TA_ti!$BG42=0,10000,TA_ti!R42*TA_ti!R$50*TA_ti!$BG42)</f>
        <v>10000</v>
      </c>
      <c r="S42" s="4">
        <f>+IF(TA_ti!S42*TA_ti!S$50*TA_ti!$BG42=0,10000,TA_ti!S42*TA_ti!S$50*TA_ti!$BG42)</f>
        <v>10000</v>
      </c>
      <c r="T42" s="4">
        <f>+IF(TA_ti!T42*TA_ti!T$50*TA_ti!$BG42=0,10000,TA_ti!T42*TA_ti!T$50*TA_ti!$BG42)</f>
        <v>10000</v>
      </c>
      <c r="U42" s="4">
        <f>+IF(TA_ti!U42*TA_ti!U$50*TA_ti!$BG42=0,10000,TA_ti!U42*TA_ti!U$50*TA_ti!$BG42)</f>
        <v>10000</v>
      </c>
      <c r="V42" s="4">
        <f>+IF(TA_ti!V42*TA_ti!V$50*TA_ti!$BG42=0,10000,TA_ti!V42*TA_ti!V$50*TA_ti!$BG42)</f>
        <v>10000</v>
      </c>
      <c r="W42" s="4">
        <f>+IF(TA_ti!W42*TA_ti!W$50*TA_ti!$BG42=0,10000,TA_ti!W42*TA_ti!W$50*TA_ti!$BG42)</f>
        <v>10000</v>
      </c>
      <c r="X42" s="4">
        <f>+IF(TA_ti!X42*TA_ti!X$50*TA_ti!$BG42=0,10000,TA_ti!X42*TA_ti!X$50*TA_ti!$BG42)</f>
        <v>10000</v>
      </c>
      <c r="Y42" s="4">
        <f>+IF(TA_ti!Y42*TA_ti!Y$50*TA_ti!$BG42=0,10000,TA_ti!Y42*TA_ti!Y$50*TA_ti!$BG42)</f>
        <v>10000</v>
      </c>
      <c r="Z42" s="4">
        <f>+IF(TA_ti!Z42*TA_ti!Z$50*TA_ti!$BG42=0,10000,TA_ti!Z42*TA_ti!Z$50*TA_ti!$BG42)</f>
        <v>10000</v>
      </c>
      <c r="AA42" s="4">
        <f>+IF(TA_ti!AA42*TA_ti!AA$50*TA_ti!$BG42=0,10000,TA_ti!AA42*TA_ti!AA$50*TA_ti!$BG42)</f>
        <v>10000</v>
      </c>
      <c r="AB42" s="4">
        <f>+IF(TA_ti!AB42*TA_ti!AB$50*TA_ti!$BG42=0,10000,TA_ti!AB42*TA_ti!AB$50*TA_ti!$BG42)</f>
        <v>10000</v>
      </c>
      <c r="AC42" s="4">
        <f>+IF(TA_ti!AC42*TA_ti!AC$50*TA_ti!$BG42=0,10000,TA_ti!AC42*TA_ti!AC$50*TA_ti!$BG42)</f>
        <v>10000</v>
      </c>
      <c r="AD42" s="4">
        <f>+IF(TA_ti!AD42*TA_ti!AD$50*TA_ti!$BG42=0,10000,TA_ti!AD42*TA_ti!AD$50*TA_ti!$BG42)</f>
        <v>10000</v>
      </c>
      <c r="AE42" s="4">
        <f>+IF(TA_ti!AE42*TA_ti!AE$50*TA_ti!$BG42=0,10000,TA_ti!AE42*TA_ti!AE$50*TA_ti!$BG42)</f>
        <v>10000</v>
      </c>
      <c r="AF42" s="4">
        <f>+IF(TA_ti!AF42*TA_ti!AF$50*TA_ti!$BG42=0,10000,TA_ti!AF42*TA_ti!AF$50*TA_ti!$BG42)</f>
        <v>10000</v>
      </c>
      <c r="AG42" s="4">
        <f>+IF(TA_ti!AG42*TA_ti!AG$50*TA_ti!$BG42=0,10000,TA_ti!AG42*TA_ti!AG$50*TA_ti!$BG42)</f>
        <v>10000</v>
      </c>
      <c r="AH42" s="4">
        <f>+IF(TA_ti!AH42*TA_ti!AH$50*TA_ti!$BG42=0,10000,TA_ti!AH42*TA_ti!AH$50*TA_ti!$BG42)</f>
        <v>10000</v>
      </c>
      <c r="AI42" s="4">
        <f>+IF(TA_ti!AI42*TA_ti!AI$50*TA_ti!$BG42=0,10000,TA_ti!AI42*TA_ti!AI$50*TA_ti!$BG42)</f>
        <v>10000</v>
      </c>
      <c r="AJ42" s="4">
        <f>+IF(TA_ti!AJ42*TA_ti!AJ$50*TA_ti!$BG42=0,10000,TA_ti!AJ42*TA_ti!AJ$50*TA_ti!$BG42)</f>
        <v>10000</v>
      </c>
      <c r="AK42" s="4">
        <f>+IF(TA_ti!AK42*TA_ti!AK$50*TA_ti!$BG42=0,10000,TA_ti!AK42*TA_ti!AK$50*TA_ti!$BG42)</f>
        <v>10000</v>
      </c>
      <c r="AL42" s="4">
        <f>+IF(TA_ti!AL42*TA_ti!AL$50*TA_ti!$BG42=0,10000,TA_ti!AL42*TA_ti!AL$50*TA_ti!$BG42)</f>
        <v>10000</v>
      </c>
      <c r="AM42" s="4">
        <f>+IF(TA_ti!AM42*TA_ti!AM$50*TA_ti!$BG42=0,10000,TA_ti!AM42*TA_ti!AM$50*TA_ti!$BG42)</f>
        <v>10000</v>
      </c>
      <c r="AN42" s="4">
        <f>+IF(TA_ti!AN42*TA_ti!AN$50*TA_ti!$BG42=0,10000,TA_ti!AN42*TA_ti!AN$50*TA_ti!$BG42)</f>
        <v>10000</v>
      </c>
      <c r="AO42" s="4">
        <f>+IF(TA_ti!AO42*TA_ti!AO$50*TA_ti!$BG42=0,10000,TA_ti!AO42*TA_ti!AO$50*TA_ti!$BG42)</f>
        <v>10000</v>
      </c>
      <c r="AP42" s="4">
        <f>+IF(TA_ti!AP42*TA_ti!AP$50*TA_ti!$BG42=0,10000,TA_ti!AP42*TA_ti!AP$50*TA_ti!$BG42)</f>
        <v>10000</v>
      </c>
      <c r="AQ42" s="4">
        <f>+IF(TA_ti!AQ42*TA_ti!AQ$50*TA_ti!$BG42=0,10000,TA_ti!AQ42*TA_ti!AQ$50*TA_ti!$BG42)</f>
        <v>10000</v>
      </c>
      <c r="AR42" s="4">
        <f>+IF(TA_ti!AR42*TA_ti!AR$50*TA_ti!$BG42=0,10000,TA_ti!AR42*TA_ti!AR$50*TA_ti!$BG42)</f>
        <v>10000</v>
      </c>
      <c r="AS42" s="4">
        <f>+IF(TA_ti!AS42*TA_ti!AS$50*TA_ti!$BG42=0,10000,TA_ti!AS42*TA_ti!AS$50*TA_ti!$BG42)</f>
        <v>10000</v>
      </c>
      <c r="AT42" s="4">
        <f>+IF(TA_ti!AT42*TA_ti!AT$50*TA_ti!$BG42=0,10000,TA_ti!AT42*TA_ti!AT$50*TA_ti!$BG42)</f>
        <v>10000</v>
      </c>
      <c r="AU42" s="4">
        <f>+IF(TA_ti!AU42*TA_ti!AU$50*TA_ti!$BG42=0,10000,TA_ti!AU42*TA_ti!AU$50*TA_ti!$BG42)</f>
        <v>10000</v>
      </c>
      <c r="AV42" s="4">
        <f>+IF(TA_ti!AV42*TA_ti!AV$50*TA_ti!$BG42=0,10000,TA_ti!AV42*TA_ti!AV$50*TA_ti!$BG42)</f>
        <v>10000</v>
      </c>
      <c r="AW42" s="4">
        <f>+IF(TA_ti!AW42*TA_ti!AW$50*TA_ti!$BG42=0,10000,TA_ti!AW42*TA_ti!AW$50*TA_ti!$BG42)</f>
        <v>10000</v>
      </c>
      <c r="AX42" s="4">
        <f>+IF(TA_ti!AX42*TA_ti!AX$50*TA_ti!$BG42=0,10000,TA_ti!AX42*TA_ti!AX$50*TA_ti!$BG42)</f>
        <v>10000</v>
      </c>
      <c r="AY42" s="4">
        <f>+IF(TA_ti!AY42*TA_ti!AY$50*TA_ti!$BG42=0,10000,TA_ti!AY42*TA_ti!AY$50*TA_ti!$BG42)</f>
        <v>10000</v>
      </c>
      <c r="AZ42" s="4">
        <f>+IF(TA_ti!AZ42*TA_ti!AZ$50*TA_ti!$BG42=0,10000,TA_ti!AZ42*TA_ti!AZ$50*TA_ti!$BG42)</f>
        <v>10000</v>
      </c>
      <c r="BA42" s="4">
        <f>+IF(TA_ti!BA42*TA_ti!BA$50*TA_ti!$BG42=0,10000,TA_ti!BA42*TA_ti!BA$50*TA_ti!$BG42)</f>
        <v>10000</v>
      </c>
      <c r="BB42" s="4">
        <f>+IF(TA_ti!BB42*TA_ti!BB$50*TA_ti!$BG42=0,10000,TA_ti!BB42*TA_ti!BB$50*TA_ti!$BG42)</f>
        <v>10000</v>
      </c>
      <c r="BC42" s="4">
        <f>+IF(TA_ti!BC42*TA_ti!BC$50*TA_ti!$BG42=0,10000,TA_ti!BC42*TA_ti!BC$50*TA_ti!$BG42)</f>
        <v>10000</v>
      </c>
    </row>
    <row r="43" spans="1:55" ht="18.75" customHeight="1" x14ac:dyDescent="0.25">
      <c r="A43" s="5" t="s">
        <v>94</v>
      </c>
      <c r="B43" s="4">
        <f>+IF(TA_ti!B43*TA_ti!B$50*TA_ti!$BG43=0,10000,TA_ti!B43*TA_ti!B$50*TA_ti!$BG43)</f>
        <v>10000</v>
      </c>
      <c r="C43" s="4">
        <f>+IF(TA_ti!C43*TA_ti!C$50*TA_ti!$BG43=0,10000,TA_ti!C43*TA_ti!C$50*TA_ti!$BG43)</f>
        <v>10000</v>
      </c>
      <c r="D43" s="4">
        <f>+IF(TA_ti!D43*TA_ti!D$50*TA_ti!$BG43=0,10000,TA_ti!D43*TA_ti!D$50*TA_ti!$BG43)</f>
        <v>10000</v>
      </c>
      <c r="E43" s="4">
        <f>+IF(TA_ti!E43*TA_ti!E$50*TA_ti!$BG43=0,10000,TA_ti!E43*TA_ti!E$50*TA_ti!$BG43)</f>
        <v>10000</v>
      </c>
      <c r="F43" s="4">
        <f>+IF(TA_ti!F43*TA_ti!F$50*TA_ti!$BG43=0,10000,TA_ti!F43*TA_ti!F$50*TA_ti!$BG43)</f>
        <v>10000</v>
      </c>
      <c r="G43" s="4">
        <f>+IF(TA_ti!G43*TA_ti!G$50*TA_ti!$BG43=0,10000,TA_ti!G43*TA_ti!G$50*TA_ti!$BG43)</f>
        <v>10000</v>
      </c>
      <c r="H43" s="4">
        <f>+IF(TA_ti!H43*TA_ti!H$50*TA_ti!$BG43=0,10000,TA_ti!H43*TA_ti!H$50*TA_ti!$BG43)</f>
        <v>10000</v>
      </c>
      <c r="I43" s="4">
        <f>+IF(TA_ti!I43*TA_ti!I$50*TA_ti!$BG43=0,10000,TA_ti!I43*TA_ti!I$50*TA_ti!$BG43)</f>
        <v>10000</v>
      </c>
      <c r="J43" s="4">
        <f>+IF(TA_ti!J43*TA_ti!J$50*TA_ti!$BG43=0,10000,TA_ti!J43*TA_ti!J$50*TA_ti!$BG43)</f>
        <v>10000</v>
      </c>
      <c r="K43" s="4">
        <f>+IF(TA_ti!K43*TA_ti!K$50*TA_ti!$BG43=0,10000,TA_ti!K43*TA_ti!K$50*TA_ti!$BG43)</f>
        <v>10000</v>
      </c>
      <c r="L43" s="4">
        <f>+IF(TA_ti!L43*TA_ti!L$50*TA_ti!$BG43=0,10000,TA_ti!L43*TA_ti!L$50*TA_ti!$BG43)</f>
        <v>10000</v>
      </c>
      <c r="M43" s="4">
        <f>+IF(TA_ti!M43*TA_ti!M$50*TA_ti!$BG43=0,10000,TA_ti!M43*TA_ti!M$50*TA_ti!$BG43)</f>
        <v>10000</v>
      </c>
      <c r="N43" s="4">
        <f>+IF(TA_ti!N43*TA_ti!N$50*TA_ti!$BG43=0,10000,TA_ti!N43*TA_ti!N$50*TA_ti!$BG43)</f>
        <v>10000</v>
      </c>
      <c r="O43" s="4">
        <f>+IF(TA_ti!O43*TA_ti!O$50*TA_ti!$BG43=0,10000,TA_ti!O43*TA_ti!O$50*TA_ti!$BG43)</f>
        <v>10000</v>
      </c>
      <c r="P43" s="4">
        <f>+IF(TA_ti!P43*TA_ti!P$50*TA_ti!$BG43=0,10000,TA_ti!P43*TA_ti!P$50*TA_ti!$BG43)</f>
        <v>10000</v>
      </c>
      <c r="Q43" s="4">
        <f>+IF(TA_ti!Q43*TA_ti!Q$50*TA_ti!$BG43=0,10000,TA_ti!Q43*TA_ti!Q$50*TA_ti!$BG43)</f>
        <v>10000</v>
      </c>
      <c r="R43" s="4">
        <f>+IF(TA_ti!R43*TA_ti!R$50*TA_ti!$BG43=0,10000,TA_ti!R43*TA_ti!R$50*TA_ti!$BG43)</f>
        <v>10000</v>
      </c>
      <c r="S43" s="4">
        <f>+IF(TA_ti!S43*TA_ti!S$50*TA_ti!$BG43=0,10000,TA_ti!S43*TA_ti!S$50*TA_ti!$BG43)</f>
        <v>10000</v>
      </c>
      <c r="T43" s="4">
        <f>+IF(TA_ti!T43*TA_ti!T$50*TA_ti!$BG43=0,10000,TA_ti!T43*TA_ti!T$50*TA_ti!$BG43)</f>
        <v>10000</v>
      </c>
      <c r="U43" s="4">
        <f>+IF(TA_ti!U43*TA_ti!U$50*TA_ti!$BG43=0,10000,TA_ti!U43*TA_ti!U$50*TA_ti!$BG43)</f>
        <v>10000</v>
      </c>
      <c r="V43" s="4">
        <f>+IF(TA_ti!V43*TA_ti!V$50*TA_ti!$BG43=0,10000,TA_ti!V43*TA_ti!V$50*TA_ti!$BG43)</f>
        <v>10000</v>
      </c>
      <c r="W43" s="4">
        <f>+IF(TA_ti!W43*TA_ti!W$50*TA_ti!$BG43=0,10000,TA_ti!W43*TA_ti!W$50*TA_ti!$BG43)</f>
        <v>10000</v>
      </c>
      <c r="X43" s="4">
        <f>+IF(TA_ti!X43*TA_ti!X$50*TA_ti!$BG43=0,10000,TA_ti!X43*TA_ti!X$50*TA_ti!$BG43)</f>
        <v>10000</v>
      </c>
      <c r="Y43" s="4">
        <f>+IF(TA_ti!Y43*TA_ti!Y$50*TA_ti!$BG43=0,10000,TA_ti!Y43*TA_ti!Y$50*TA_ti!$BG43)</f>
        <v>10000</v>
      </c>
      <c r="Z43" s="4">
        <f>+IF(TA_ti!Z43*TA_ti!Z$50*TA_ti!$BG43=0,10000,TA_ti!Z43*TA_ti!Z$50*TA_ti!$BG43)</f>
        <v>10000</v>
      </c>
      <c r="AA43" s="4">
        <f>+IF(TA_ti!AA43*TA_ti!AA$50*TA_ti!$BG43=0,10000,TA_ti!AA43*TA_ti!AA$50*TA_ti!$BG43)</f>
        <v>10000</v>
      </c>
      <c r="AB43" s="4">
        <f>+IF(TA_ti!AB43*TA_ti!AB$50*TA_ti!$BG43=0,10000,TA_ti!AB43*TA_ti!AB$50*TA_ti!$BG43)</f>
        <v>10000</v>
      </c>
      <c r="AC43" s="4">
        <f>+IF(TA_ti!AC43*TA_ti!AC$50*TA_ti!$BG43=0,10000,TA_ti!AC43*TA_ti!AC$50*TA_ti!$BG43)</f>
        <v>10000</v>
      </c>
      <c r="AD43" s="4">
        <f>+IF(TA_ti!AD43*TA_ti!AD$50*TA_ti!$BG43=0,10000,TA_ti!AD43*TA_ti!AD$50*TA_ti!$BG43)</f>
        <v>10000</v>
      </c>
      <c r="AE43" s="4">
        <f>+IF(TA_ti!AE43*TA_ti!AE$50*TA_ti!$BG43=0,10000,TA_ti!AE43*TA_ti!AE$50*TA_ti!$BG43)</f>
        <v>10000</v>
      </c>
      <c r="AF43" s="4">
        <f>+IF(TA_ti!AF43*TA_ti!AF$50*TA_ti!$BG43=0,10000,TA_ti!AF43*TA_ti!AF$50*TA_ti!$BG43)</f>
        <v>10000</v>
      </c>
      <c r="AG43" s="4">
        <f>+IF(TA_ti!AG43*TA_ti!AG$50*TA_ti!$BG43=0,10000,TA_ti!AG43*TA_ti!AG$50*TA_ti!$BG43)</f>
        <v>10000</v>
      </c>
      <c r="AH43" s="4">
        <f>+IF(TA_ti!AH43*TA_ti!AH$50*TA_ti!$BG43=0,10000,TA_ti!AH43*TA_ti!AH$50*TA_ti!$BG43)</f>
        <v>10000</v>
      </c>
      <c r="AI43" s="4">
        <f>+IF(TA_ti!AI43*TA_ti!AI$50*TA_ti!$BG43=0,10000,TA_ti!AI43*TA_ti!AI$50*TA_ti!$BG43)</f>
        <v>10000</v>
      </c>
      <c r="AJ43" s="4">
        <f>+IF(TA_ti!AJ43*TA_ti!AJ$50*TA_ti!$BG43=0,10000,TA_ti!AJ43*TA_ti!AJ$50*TA_ti!$BG43)</f>
        <v>10000</v>
      </c>
      <c r="AK43" s="4">
        <f>+IF(TA_ti!AK43*TA_ti!AK$50*TA_ti!$BG43=0,10000,TA_ti!AK43*TA_ti!AK$50*TA_ti!$BG43)</f>
        <v>10000</v>
      </c>
      <c r="AL43" s="4">
        <f>+IF(TA_ti!AL43*TA_ti!AL$50*TA_ti!$BG43=0,10000,TA_ti!AL43*TA_ti!AL$50*TA_ti!$BG43)</f>
        <v>10000</v>
      </c>
      <c r="AM43" s="4">
        <f>+IF(TA_ti!AM43*TA_ti!AM$50*TA_ti!$BG43=0,10000,TA_ti!AM43*TA_ti!AM$50*TA_ti!$BG43)</f>
        <v>10000</v>
      </c>
      <c r="AN43" s="4">
        <f>+IF(TA_ti!AN43*TA_ti!AN$50*TA_ti!$BG43=0,10000,TA_ti!AN43*TA_ti!AN$50*TA_ti!$BG43)</f>
        <v>10000</v>
      </c>
      <c r="AO43" s="4">
        <f>+IF(TA_ti!AO43*TA_ti!AO$50*TA_ti!$BG43=0,10000,TA_ti!AO43*TA_ti!AO$50*TA_ti!$BG43)</f>
        <v>10000</v>
      </c>
      <c r="AP43" s="4">
        <f>+IF(TA_ti!AP43*TA_ti!AP$50*TA_ti!$BG43=0,10000,TA_ti!AP43*TA_ti!AP$50*TA_ti!$BG43)</f>
        <v>10000</v>
      </c>
      <c r="AQ43" s="4">
        <f>+IF(TA_ti!AQ43*TA_ti!AQ$50*TA_ti!$BG43=0,10000,TA_ti!AQ43*TA_ti!AQ$50*TA_ti!$BG43)</f>
        <v>10000</v>
      </c>
      <c r="AR43" s="4">
        <f>+IF(TA_ti!AR43*TA_ti!AR$50*TA_ti!$BG43=0,10000,TA_ti!AR43*TA_ti!AR$50*TA_ti!$BG43)</f>
        <v>10000</v>
      </c>
      <c r="AS43" s="4">
        <f>+IF(TA_ti!AS43*TA_ti!AS$50*TA_ti!$BG43=0,10000,TA_ti!AS43*TA_ti!AS$50*TA_ti!$BG43)</f>
        <v>10000</v>
      </c>
      <c r="AT43" s="4">
        <f>+IF(TA_ti!AT43*TA_ti!AT$50*TA_ti!$BG43=0,10000,TA_ti!AT43*TA_ti!AT$50*TA_ti!$BG43)</f>
        <v>10000</v>
      </c>
      <c r="AU43" s="4">
        <f>+IF(TA_ti!AU43*TA_ti!AU$50*TA_ti!$BG43=0,10000,TA_ti!AU43*TA_ti!AU$50*TA_ti!$BG43)</f>
        <v>10000</v>
      </c>
      <c r="AV43" s="4">
        <f>+IF(TA_ti!AV43*TA_ti!AV$50*TA_ti!$BG43=0,10000,TA_ti!AV43*TA_ti!AV$50*TA_ti!$BG43)</f>
        <v>10000</v>
      </c>
      <c r="AW43" s="4">
        <f>+IF(TA_ti!AW43*TA_ti!AW$50*TA_ti!$BG43=0,10000,TA_ti!AW43*TA_ti!AW$50*TA_ti!$BG43)</f>
        <v>10000</v>
      </c>
      <c r="AX43" s="4">
        <f>+IF(TA_ti!AX43*TA_ti!AX$50*TA_ti!$BG43=0,10000,TA_ti!AX43*TA_ti!AX$50*TA_ti!$BG43)</f>
        <v>10000</v>
      </c>
      <c r="AY43" s="4">
        <f>+IF(TA_ti!AY43*TA_ti!AY$50*TA_ti!$BG43=0,10000,TA_ti!AY43*TA_ti!AY$50*TA_ti!$BG43)</f>
        <v>10000</v>
      </c>
      <c r="AZ43" s="4">
        <f>+IF(TA_ti!AZ43*TA_ti!AZ$50*TA_ti!$BG43=0,10000,TA_ti!AZ43*TA_ti!AZ$50*TA_ti!$BG43)</f>
        <v>10000</v>
      </c>
      <c r="BA43" s="4">
        <f>+IF(TA_ti!BA43*TA_ti!BA$50*TA_ti!$BG43=0,10000,TA_ti!BA43*TA_ti!BA$50*TA_ti!$BG43)</f>
        <v>10000</v>
      </c>
      <c r="BB43" s="4">
        <f>+IF(TA_ti!BB43*TA_ti!BB$50*TA_ti!$BG43=0,10000,TA_ti!BB43*TA_ti!BB$50*TA_ti!$BG43)</f>
        <v>10000</v>
      </c>
      <c r="BC43" s="4">
        <f>+IF(TA_ti!BC43*TA_ti!BC$50*TA_ti!$BG43=0,10000,TA_ti!BC43*TA_ti!BC$50*TA_ti!$BG43)</f>
        <v>10000</v>
      </c>
    </row>
    <row r="44" spans="1:55" ht="18.75" customHeight="1" x14ac:dyDescent="0.25">
      <c r="A44" s="5" t="s">
        <v>95</v>
      </c>
      <c r="B44" s="4">
        <f>+IF(TA_ti!B44*TA_ti!B$50*TA_ti!$BG44=0,10000,TA_ti!B44*TA_ti!B$50*TA_ti!$BG44)</f>
        <v>10000</v>
      </c>
      <c r="C44" s="4">
        <f>+IF(TA_ti!C44*TA_ti!C$50*TA_ti!$BG44=0,10000,TA_ti!C44*TA_ti!C$50*TA_ti!$BG44)</f>
        <v>10000</v>
      </c>
      <c r="D44" s="4">
        <f>+IF(TA_ti!D44*TA_ti!D$50*TA_ti!$BG44=0,10000,TA_ti!D44*TA_ti!D$50*TA_ti!$BG44)</f>
        <v>10000</v>
      </c>
      <c r="E44" s="4">
        <f>+IF(TA_ti!E44*TA_ti!E$50*TA_ti!$BG44=0,10000,TA_ti!E44*TA_ti!E$50*TA_ti!$BG44)</f>
        <v>10000</v>
      </c>
      <c r="F44" s="4">
        <f>+IF(TA_ti!F44*TA_ti!F$50*TA_ti!$BG44=0,10000,TA_ti!F44*TA_ti!F$50*TA_ti!$BG44)</f>
        <v>10000</v>
      </c>
      <c r="G44" s="4">
        <f>+IF(TA_ti!G44*TA_ti!G$50*TA_ti!$BG44=0,10000,TA_ti!G44*TA_ti!G$50*TA_ti!$BG44)</f>
        <v>10000</v>
      </c>
      <c r="H44" s="4">
        <f>+IF(TA_ti!H44*TA_ti!H$50*TA_ti!$BG44=0,10000,TA_ti!H44*TA_ti!H$50*TA_ti!$BG44)</f>
        <v>10000</v>
      </c>
      <c r="I44" s="4">
        <f>+IF(TA_ti!I44*TA_ti!I$50*TA_ti!$BG44=0,10000,TA_ti!I44*TA_ti!I$50*TA_ti!$BG44)</f>
        <v>10000</v>
      </c>
      <c r="J44" s="4">
        <f>+IF(TA_ti!J44*TA_ti!J$50*TA_ti!$BG44=0,10000,TA_ti!J44*TA_ti!J$50*TA_ti!$BG44)</f>
        <v>10000</v>
      </c>
      <c r="K44" s="4">
        <f>+IF(TA_ti!K44*TA_ti!K$50*TA_ti!$BG44=0,10000,TA_ti!K44*TA_ti!K$50*TA_ti!$BG44)</f>
        <v>10000</v>
      </c>
      <c r="L44" s="4">
        <f>+IF(TA_ti!L44*TA_ti!L$50*TA_ti!$BG44=0,10000,TA_ti!L44*TA_ti!L$50*TA_ti!$BG44)</f>
        <v>10000</v>
      </c>
      <c r="M44" s="4">
        <f>+IF(TA_ti!M44*TA_ti!M$50*TA_ti!$BG44=0,10000,TA_ti!M44*TA_ti!M$50*TA_ti!$BG44)</f>
        <v>10000</v>
      </c>
      <c r="N44" s="4">
        <f>+IF(TA_ti!N44*TA_ti!N$50*TA_ti!$BG44=0,10000,TA_ti!N44*TA_ti!N$50*TA_ti!$BG44)</f>
        <v>10000</v>
      </c>
      <c r="O44" s="4">
        <f>+IF(TA_ti!O44*TA_ti!O$50*TA_ti!$BG44=0,10000,TA_ti!O44*TA_ti!O$50*TA_ti!$BG44)</f>
        <v>10000</v>
      </c>
      <c r="P44" s="4">
        <f>+IF(TA_ti!P44*TA_ti!P$50*TA_ti!$BG44=0,10000,TA_ti!P44*TA_ti!P$50*TA_ti!$BG44)</f>
        <v>10000</v>
      </c>
      <c r="Q44" s="4">
        <f>+IF(TA_ti!Q44*TA_ti!Q$50*TA_ti!$BG44=0,10000,TA_ti!Q44*TA_ti!Q$50*TA_ti!$BG44)</f>
        <v>10000</v>
      </c>
      <c r="R44" s="4">
        <f>+IF(TA_ti!R44*TA_ti!R$50*TA_ti!$BG44=0,10000,TA_ti!R44*TA_ti!R$50*TA_ti!$BG44)</f>
        <v>10000</v>
      </c>
      <c r="S44" s="4">
        <f>+IF(TA_ti!S44*TA_ti!S$50*TA_ti!$BG44=0,10000,TA_ti!S44*TA_ti!S$50*TA_ti!$BG44)</f>
        <v>10000</v>
      </c>
      <c r="T44" s="4">
        <f>+IF(TA_ti!T44*TA_ti!T$50*TA_ti!$BG44=0,10000,TA_ti!T44*TA_ti!T$50*TA_ti!$BG44)</f>
        <v>10000</v>
      </c>
      <c r="U44" s="4">
        <f>+IF(TA_ti!U44*TA_ti!U$50*TA_ti!$BG44=0,10000,TA_ti!U44*TA_ti!U$50*TA_ti!$BG44)</f>
        <v>10000</v>
      </c>
      <c r="V44" s="4">
        <f>+IF(TA_ti!V44*TA_ti!V$50*TA_ti!$BG44=0,10000,TA_ti!V44*TA_ti!V$50*TA_ti!$BG44)</f>
        <v>10000</v>
      </c>
      <c r="W44" s="4">
        <f>+IF(TA_ti!W44*TA_ti!W$50*TA_ti!$BG44=0,10000,TA_ti!W44*TA_ti!W$50*TA_ti!$BG44)</f>
        <v>10000</v>
      </c>
      <c r="X44" s="4">
        <f>+IF(TA_ti!X44*TA_ti!X$50*TA_ti!$BG44=0,10000,TA_ti!X44*TA_ti!X$50*TA_ti!$BG44)</f>
        <v>10000</v>
      </c>
      <c r="Y44" s="4">
        <f>+IF(TA_ti!Y44*TA_ti!Y$50*TA_ti!$BG44=0,10000,TA_ti!Y44*TA_ti!Y$50*TA_ti!$BG44)</f>
        <v>10000</v>
      </c>
      <c r="Z44" s="4">
        <f>+IF(TA_ti!Z44*TA_ti!Z$50*TA_ti!$BG44=0,10000,TA_ti!Z44*TA_ti!Z$50*TA_ti!$BG44)</f>
        <v>10000</v>
      </c>
      <c r="AA44" s="4">
        <f>+IF(TA_ti!AA44*TA_ti!AA$50*TA_ti!$BG44=0,10000,TA_ti!AA44*TA_ti!AA$50*TA_ti!$BG44)</f>
        <v>10000</v>
      </c>
      <c r="AB44" s="4">
        <f>+IF(TA_ti!AB44*TA_ti!AB$50*TA_ti!$BG44=0,10000,TA_ti!AB44*TA_ti!AB$50*TA_ti!$BG44)</f>
        <v>10000</v>
      </c>
      <c r="AC44" s="4">
        <f>+IF(TA_ti!AC44*TA_ti!AC$50*TA_ti!$BG44=0,10000,TA_ti!AC44*TA_ti!AC$50*TA_ti!$BG44)</f>
        <v>10000</v>
      </c>
      <c r="AD44" s="4">
        <f>+IF(TA_ti!AD44*TA_ti!AD$50*TA_ti!$BG44=0,10000,TA_ti!AD44*TA_ti!AD$50*TA_ti!$BG44)</f>
        <v>10000</v>
      </c>
      <c r="AE44" s="4">
        <f>+IF(TA_ti!AE44*TA_ti!AE$50*TA_ti!$BG44=0,10000,TA_ti!AE44*TA_ti!AE$50*TA_ti!$BG44)</f>
        <v>10000</v>
      </c>
      <c r="AF44" s="4">
        <f>+IF(TA_ti!AF44*TA_ti!AF$50*TA_ti!$BG44=0,10000,TA_ti!AF44*TA_ti!AF$50*TA_ti!$BG44)</f>
        <v>10000</v>
      </c>
      <c r="AG44" s="4">
        <f>+IF(TA_ti!AG44*TA_ti!AG$50*TA_ti!$BG44=0,10000,TA_ti!AG44*TA_ti!AG$50*TA_ti!$BG44)</f>
        <v>10000</v>
      </c>
      <c r="AH44" s="4">
        <f>+IF(TA_ti!AH44*TA_ti!AH$50*TA_ti!$BG44=0,10000,TA_ti!AH44*TA_ti!AH$50*TA_ti!$BG44)</f>
        <v>10000</v>
      </c>
      <c r="AI44" s="4">
        <f>+IF(TA_ti!AI44*TA_ti!AI$50*TA_ti!$BG44=0,10000,TA_ti!AI44*TA_ti!AI$50*TA_ti!$BG44)</f>
        <v>10000</v>
      </c>
      <c r="AJ44" s="4">
        <f>+IF(TA_ti!AJ44*TA_ti!AJ$50*TA_ti!$BG44=0,10000,TA_ti!AJ44*TA_ti!AJ$50*TA_ti!$BG44)</f>
        <v>10000</v>
      </c>
      <c r="AK44" s="4">
        <f>+IF(TA_ti!AK44*TA_ti!AK$50*TA_ti!$BG44=0,10000,TA_ti!AK44*TA_ti!AK$50*TA_ti!$BG44)</f>
        <v>10000</v>
      </c>
      <c r="AL44" s="4">
        <f>+IF(TA_ti!AL44*TA_ti!AL$50*TA_ti!$BG44=0,10000,TA_ti!AL44*TA_ti!AL$50*TA_ti!$BG44)</f>
        <v>10000</v>
      </c>
      <c r="AM44" s="4">
        <f>+IF(TA_ti!AM44*TA_ti!AM$50*TA_ti!$BG44=0,10000,TA_ti!AM44*TA_ti!AM$50*TA_ti!$BG44)</f>
        <v>10000</v>
      </c>
      <c r="AN44" s="4">
        <f>+IF(TA_ti!AN44*TA_ti!AN$50*TA_ti!$BG44=0,10000,TA_ti!AN44*TA_ti!AN$50*TA_ti!$BG44)</f>
        <v>10000</v>
      </c>
      <c r="AO44" s="4">
        <f>+IF(TA_ti!AO44*TA_ti!AO$50*TA_ti!$BG44=0,10000,TA_ti!AO44*TA_ti!AO$50*TA_ti!$BG44)</f>
        <v>10000</v>
      </c>
      <c r="AP44" s="4">
        <f>+IF(TA_ti!AP44*TA_ti!AP$50*TA_ti!$BG44=0,10000,TA_ti!AP44*TA_ti!AP$50*TA_ti!$BG44)</f>
        <v>10000</v>
      </c>
      <c r="AQ44" s="4">
        <f>+IF(TA_ti!AQ44*TA_ti!AQ$50*TA_ti!$BG44=0,10000,TA_ti!AQ44*TA_ti!AQ$50*TA_ti!$BG44)</f>
        <v>10000</v>
      </c>
      <c r="AR44" s="4">
        <f>+IF(TA_ti!AR44*TA_ti!AR$50*TA_ti!$BG44=0,10000,TA_ti!AR44*TA_ti!AR$50*TA_ti!$BG44)</f>
        <v>10000</v>
      </c>
      <c r="AS44" s="4">
        <f>+IF(TA_ti!AS44*TA_ti!AS$50*TA_ti!$BG44=0,10000,TA_ti!AS44*TA_ti!AS$50*TA_ti!$BG44)</f>
        <v>10000</v>
      </c>
      <c r="AT44" s="4">
        <f>+IF(TA_ti!AT44*TA_ti!AT$50*TA_ti!$BG44=0,10000,TA_ti!AT44*TA_ti!AT$50*TA_ti!$BG44)</f>
        <v>10000</v>
      </c>
      <c r="AU44" s="4">
        <f>+IF(TA_ti!AU44*TA_ti!AU$50*TA_ti!$BG44=0,10000,TA_ti!AU44*TA_ti!AU$50*TA_ti!$BG44)</f>
        <v>10000</v>
      </c>
      <c r="AV44" s="4">
        <f>+IF(TA_ti!AV44*TA_ti!AV$50*TA_ti!$BG44=0,10000,TA_ti!AV44*TA_ti!AV$50*TA_ti!$BG44)</f>
        <v>10000</v>
      </c>
      <c r="AW44" s="4">
        <f>+IF(TA_ti!AW44*TA_ti!AW$50*TA_ti!$BG44=0,10000,TA_ti!AW44*TA_ti!AW$50*TA_ti!$BG44)</f>
        <v>10000</v>
      </c>
      <c r="AX44" s="4">
        <f>+IF(TA_ti!AX44*TA_ti!AX$50*TA_ti!$BG44=0,10000,TA_ti!AX44*TA_ti!AX$50*TA_ti!$BG44)</f>
        <v>10000</v>
      </c>
      <c r="AY44" s="4">
        <f>+IF(TA_ti!AY44*TA_ti!AY$50*TA_ti!$BG44=0,10000,TA_ti!AY44*TA_ti!AY$50*TA_ti!$BG44)</f>
        <v>10000</v>
      </c>
      <c r="AZ44" s="4">
        <f>+IF(TA_ti!AZ44*TA_ti!AZ$50*TA_ti!$BG44=0,10000,TA_ti!AZ44*TA_ti!AZ$50*TA_ti!$BG44)</f>
        <v>10000</v>
      </c>
      <c r="BA44" s="4">
        <f>+IF(TA_ti!BA44*TA_ti!BA$50*TA_ti!$BG44=0,10000,TA_ti!BA44*TA_ti!BA$50*TA_ti!$BG44)</f>
        <v>10000</v>
      </c>
      <c r="BB44" s="4">
        <f>+IF(TA_ti!BB44*TA_ti!BB$50*TA_ti!$BG44=0,10000,TA_ti!BB44*TA_ti!BB$50*TA_ti!$BG44)</f>
        <v>10000</v>
      </c>
      <c r="BC44" s="4">
        <f>+IF(TA_ti!BC44*TA_ti!BC$50*TA_ti!$BG44=0,10000,TA_ti!BC44*TA_ti!BC$50*TA_ti!$BG44)</f>
        <v>10000</v>
      </c>
    </row>
    <row r="45" spans="1:55" ht="18.75" customHeight="1" x14ac:dyDescent="0.25">
      <c r="A45" s="5" t="s">
        <v>96</v>
      </c>
      <c r="B45" s="4">
        <f>+IF(TA_ti!B45*TA_ti!B$50*TA_ti!$BG45=0,10000,TA_ti!B45*TA_ti!B$50*TA_ti!$BG45)</f>
        <v>10000</v>
      </c>
      <c r="C45" s="4">
        <f>+IF(TA_ti!C45*TA_ti!C$50*TA_ti!$BG45=0,10000,TA_ti!C45*TA_ti!C$50*TA_ti!$BG45)</f>
        <v>10000</v>
      </c>
      <c r="D45" s="4">
        <f>+IF(TA_ti!D45*TA_ti!D$50*TA_ti!$BG45=0,10000,TA_ti!D45*TA_ti!D$50*TA_ti!$BG45)</f>
        <v>10000</v>
      </c>
      <c r="E45" s="4">
        <f>+IF(TA_ti!E45*TA_ti!E$50*TA_ti!$BG45=0,10000,TA_ti!E45*TA_ti!E$50*TA_ti!$BG45)</f>
        <v>10000</v>
      </c>
      <c r="F45" s="4">
        <f>+IF(TA_ti!F45*TA_ti!F$50*TA_ti!$BG45=0,10000,TA_ti!F45*TA_ti!F$50*TA_ti!$BG45)</f>
        <v>10000</v>
      </c>
      <c r="G45" s="4">
        <f>+IF(TA_ti!G45*TA_ti!G$50*TA_ti!$BG45=0,10000,TA_ti!G45*TA_ti!G$50*TA_ti!$BG45)</f>
        <v>10000</v>
      </c>
      <c r="H45" s="4">
        <f>+IF(TA_ti!H45*TA_ti!H$50*TA_ti!$BG45=0,10000,TA_ti!H45*TA_ti!H$50*TA_ti!$BG45)</f>
        <v>10000</v>
      </c>
      <c r="I45" s="4">
        <f>+IF(TA_ti!I45*TA_ti!I$50*TA_ti!$BG45=0,10000,TA_ti!I45*TA_ti!I$50*TA_ti!$BG45)</f>
        <v>10000</v>
      </c>
      <c r="J45" s="4">
        <f>+IF(TA_ti!J45*TA_ti!J$50*TA_ti!$BG45=0,10000,TA_ti!J45*TA_ti!J$50*TA_ti!$BG45)</f>
        <v>10000</v>
      </c>
      <c r="K45" s="4">
        <f>+IF(TA_ti!K45*TA_ti!K$50*TA_ti!$BG45=0,10000,TA_ti!K45*TA_ti!K$50*TA_ti!$BG45)</f>
        <v>10000</v>
      </c>
      <c r="L45" s="4">
        <f>+IF(TA_ti!L45*TA_ti!L$50*TA_ti!$BG45=0,10000,TA_ti!L45*TA_ti!L$50*TA_ti!$BG45)</f>
        <v>10000</v>
      </c>
      <c r="M45" s="4">
        <f>+IF(TA_ti!M45*TA_ti!M$50*TA_ti!$BG45=0,10000,TA_ti!M45*TA_ti!M$50*TA_ti!$BG45)</f>
        <v>10000</v>
      </c>
      <c r="N45" s="4">
        <f>+IF(TA_ti!N45*TA_ti!N$50*TA_ti!$BG45=0,10000,TA_ti!N45*TA_ti!N$50*TA_ti!$BG45)</f>
        <v>10000</v>
      </c>
      <c r="O45" s="4">
        <f>+IF(TA_ti!O45*TA_ti!O$50*TA_ti!$BG45=0,10000,TA_ti!O45*TA_ti!O$50*TA_ti!$BG45)</f>
        <v>10000</v>
      </c>
      <c r="P45" s="4">
        <f>+IF(TA_ti!P45*TA_ti!P$50*TA_ti!$BG45=0,10000,TA_ti!P45*TA_ti!P$50*TA_ti!$BG45)</f>
        <v>10000</v>
      </c>
      <c r="Q45" s="4">
        <f>+IF(TA_ti!Q45*TA_ti!Q$50*TA_ti!$BG45=0,10000,TA_ti!Q45*TA_ti!Q$50*TA_ti!$BG45)</f>
        <v>10000</v>
      </c>
      <c r="R45" s="4">
        <f>+IF(TA_ti!R45*TA_ti!R$50*TA_ti!$BG45=0,10000,TA_ti!R45*TA_ti!R$50*TA_ti!$BG45)</f>
        <v>10000</v>
      </c>
      <c r="S45" s="4">
        <f>+IF(TA_ti!S45*TA_ti!S$50*TA_ti!$BG45=0,10000,TA_ti!S45*TA_ti!S$50*TA_ti!$BG45)</f>
        <v>10000</v>
      </c>
      <c r="T45" s="4">
        <f>+IF(TA_ti!T45*TA_ti!T$50*TA_ti!$BG45=0,10000,TA_ti!T45*TA_ti!T$50*TA_ti!$BG45)</f>
        <v>10000</v>
      </c>
      <c r="U45" s="4">
        <f>+IF(TA_ti!U45*TA_ti!U$50*TA_ti!$BG45=0,10000,TA_ti!U45*TA_ti!U$50*TA_ti!$BG45)</f>
        <v>10000</v>
      </c>
      <c r="V45" s="4">
        <f>+IF(TA_ti!V45*TA_ti!V$50*TA_ti!$BG45=0,10000,TA_ti!V45*TA_ti!V$50*TA_ti!$BG45)</f>
        <v>10000</v>
      </c>
      <c r="W45" s="4">
        <f>+IF(TA_ti!W45*TA_ti!W$50*TA_ti!$BG45=0,10000,TA_ti!W45*TA_ti!W$50*TA_ti!$BG45)</f>
        <v>10000</v>
      </c>
      <c r="X45" s="4">
        <f>+IF(TA_ti!X45*TA_ti!X$50*TA_ti!$BG45=0,10000,TA_ti!X45*TA_ti!X$50*TA_ti!$BG45)</f>
        <v>10000</v>
      </c>
      <c r="Y45" s="4">
        <f>+IF(TA_ti!Y45*TA_ti!Y$50*TA_ti!$BG45=0,10000,TA_ti!Y45*TA_ti!Y$50*TA_ti!$BG45)</f>
        <v>10000</v>
      </c>
      <c r="Z45" s="4">
        <f>+IF(TA_ti!Z45*TA_ti!Z$50*TA_ti!$BG45=0,10000,TA_ti!Z45*TA_ti!Z$50*TA_ti!$BG45)</f>
        <v>10000</v>
      </c>
      <c r="AA45" s="4">
        <f>+IF(TA_ti!AA45*TA_ti!AA$50*TA_ti!$BG45=0,10000,TA_ti!AA45*TA_ti!AA$50*TA_ti!$BG45)</f>
        <v>10000</v>
      </c>
      <c r="AB45" s="4">
        <f>+IF(TA_ti!AB45*TA_ti!AB$50*TA_ti!$BG45=0,10000,TA_ti!AB45*TA_ti!AB$50*TA_ti!$BG45)</f>
        <v>10000</v>
      </c>
      <c r="AC45" s="4">
        <f>+IF(TA_ti!AC45*TA_ti!AC$50*TA_ti!$BG45=0,10000,TA_ti!AC45*TA_ti!AC$50*TA_ti!$BG45)</f>
        <v>10000</v>
      </c>
      <c r="AD45" s="4">
        <f>+IF(TA_ti!AD45*TA_ti!AD$50*TA_ti!$BG45=0,10000,TA_ti!AD45*TA_ti!AD$50*TA_ti!$BG45)</f>
        <v>10000</v>
      </c>
      <c r="AE45" s="4">
        <f>+IF(TA_ti!AE45*TA_ti!AE$50*TA_ti!$BG45=0,10000,TA_ti!AE45*TA_ti!AE$50*TA_ti!$BG45)</f>
        <v>10000</v>
      </c>
      <c r="AF45" s="4">
        <f>+IF(TA_ti!AF45*TA_ti!AF$50*TA_ti!$BG45=0,10000,TA_ti!AF45*TA_ti!AF$50*TA_ti!$BG45)</f>
        <v>10000</v>
      </c>
      <c r="AG45" s="4">
        <f>+IF(TA_ti!AG45*TA_ti!AG$50*TA_ti!$BG45=0,10000,TA_ti!AG45*TA_ti!AG$50*TA_ti!$BG45)</f>
        <v>10000</v>
      </c>
      <c r="AH45" s="4">
        <f>+IF(TA_ti!AH45*TA_ti!AH$50*TA_ti!$BG45=0,10000,TA_ti!AH45*TA_ti!AH$50*TA_ti!$BG45)</f>
        <v>10000</v>
      </c>
      <c r="AI45" s="4">
        <f>+IF(TA_ti!AI45*TA_ti!AI$50*TA_ti!$BG45=0,10000,TA_ti!AI45*TA_ti!AI$50*TA_ti!$BG45)</f>
        <v>10000</v>
      </c>
      <c r="AJ45" s="4">
        <f>+IF(TA_ti!AJ45*TA_ti!AJ$50*TA_ti!$BG45=0,10000,TA_ti!AJ45*TA_ti!AJ$50*TA_ti!$BG45)</f>
        <v>10000</v>
      </c>
      <c r="AK45" s="4">
        <f>+IF(TA_ti!AK45*TA_ti!AK$50*TA_ti!$BG45=0,10000,TA_ti!AK45*TA_ti!AK$50*TA_ti!$BG45)</f>
        <v>10000</v>
      </c>
      <c r="AL45" s="4">
        <f>+IF(TA_ti!AL45*TA_ti!AL$50*TA_ti!$BG45=0,10000,TA_ti!AL45*TA_ti!AL$50*TA_ti!$BG45)</f>
        <v>10000</v>
      </c>
      <c r="AM45" s="4">
        <f>+IF(TA_ti!AM45*TA_ti!AM$50*TA_ti!$BG45=0,10000,TA_ti!AM45*TA_ti!AM$50*TA_ti!$BG45)</f>
        <v>10000</v>
      </c>
      <c r="AN45" s="4">
        <f>+IF(TA_ti!AN45*TA_ti!AN$50*TA_ti!$BG45=0,10000,TA_ti!AN45*TA_ti!AN$50*TA_ti!$BG45)</f>
        <v>10000</v>
      </c>
      <c r="AO45" s="4">
        <f>+IF(TA_ti!AO45*TA_ti!AO$50*TA_ti!$BG45=0,10000,TA_ti!AO45*TA_ti!AO$50*TA_ti!$BG45)</f>
        <v>10000</v>
      </c>
      <c r="AP45" s="4">
        <f>+IF(TA_ti!AP45*TA_ti!AP$50*TA_ti!$BG45=0,10000,TA_ti!AP45*TA_ti!AP$50*TA_ti!$BG45)</f>
        <v>10000</v>
      </c>
      <c r="AQ45" s="4">
        <f>+IF(TA_ti!AQ45*TA_ti!AQ$50*TA_ti!$BG45=0,10000,TA_ti!AQ45*TA_ti!AQ$50*TA_ti!$BG45)</f>
        <v>10000</v>
      </c>
      <c r="AR45" s="4">
        <f>+IF(TA_ti!AR45*TA_ti!AR$50*TA_ti!$BG45=0,10000,TA_ti!AR45*TA_ti!AR$50*TA_ti!$BG45)</f>
        <v>10000</v>
      </c>
      <c r="AS45" s="4">
        <f>+IF(TA_ti!AS45*TA_ti!AS$50*TA_ti!$BG45=0,10000,TA_ti!AS45*TA_ti!AS$50*TA_ti!$BG45)</f>
        <v>10000</v>
      </c>
      <c r="AT45" s="4">
        <f>+IF(TA_ti!AT45*TA_ti!AT$50*TA_ti!$BG45=0,10000,TA_ti!AT45*TA_ti!AT$50*TA_ti!$BG45)</f>
        <v>10000</v>
      </c>
      <c r="AU45" s="4">
        <f>+IF(TA_ti!AU45*TA_ti!AU$50*TA_ti!$BG45=0,10000,TA_ti!AU45*TA_ti!AU$50*TA_ti!$BG45)</f>
        <v>10000</v>
      </c>
      <c r="AV45" s="4">
        <f>+IF(TA_ti!AV45*TA_ti!AV$50*TA_ti!$BG45=0,10000,TA_ti!AV45*TA_ti!AV$50*TA_ti!$BG45)</f>
        <v>10000</v>
      </c>
      <c r="AW45" s="4">
        <f>+IF(TA_ti!AW45*TA_ti!AW$50*TA_ti!$BG45=0,10000,TA_ti!AW45*TA_ti!AW$50*TA_ti!$BG45)</f>
        <v>10000</v>
      </c>
      <c r="AX45" s="4">
        <f>+IF(TA_ti!AX45*TA_ti!AX$50*TA_ti!$BG45=0,10000,TA_ti!AX45*TA_ti!AX$50*TA_ti!$BG45)</f>
        <v>10000</v>
      </c>
      <c r="AY45" s="4">
        <f>+IF(TA_ti!AY45*TA_ti!AY$50*TA_ti!$BG45=0,10000,TA_ti!AY45*TA_ti!AY$50*TA_ti!$BG45)</f>
        <v>10000</v>
      </c>
      <c r="AZ45" s="4">
        <f>+IF(TA_ti!AZ45*TA_ti!AZ$50*TA_ti!$BG45=0,10000,TA_ti!AZ45*TA_ti!AZ$50*TA_ti!$BG45)</f>
        <v>10000</v>
      </c>
      <c r="BA45" s="4">
        <f>+IF(TA_ti!BA45*TA_ti!BA$50*TA_ti!$BG45=0,10000,TA_ti!BA45*TA_ti!BA$50*TA_ti!$BG45)</f>
        <v>10000</v>
      </c>
      <c r="BB45" s="4">
        <f>+IF(TA_ti!BB45*TA_ti!BB$50*TA_ti!$BG45=0,10000,TA_ti!BB45*TA_ti!BB$50*TA_ti!$BG45)</f>
        <v>10000</v>
      </c>
      <c r="BC45" s="4">
        <f>+IF(TA_ti!BC45*TA_ti!BC$50*TA_ti!$BG45=0,10000,TA_ti!BC45*TA_ti!BC$50*TA_ti!$BG45)</f>
        <v>10000</v>
      </c>
    </row>
    <row r="46" spans="1:55" ht="18.75" customHeight="1" x14ac:dyDescent="0.25">
      <c r="A46" s="6" t="s">
        <v>97</v>
      </c>
      <c r="B46" s="4">
        <f>+IF(TA_ti!B46*TA_ti!B$50*TA_ti!$BG46=0,10000,TA_ti!B46*TA_ti!B$50*TA_ti!$BG46)</f>
        <v>10000</v>
      </c>
      <c r="C46" s="4">
        <f>+IF(TA_ti!C46*TA_ti!C$50*TA_ti!$BG46=0,10000,TA_ti!C46*TA_ti!C$50*TA_ti!$BG46)</f>
        <v>10000</v>
      </c>
      <c r="D46" s="4">
        <f>+IF(TA_ti!D46*TA_ti!D$50*TA_ti!$BG46=0,10000,TA_ti!D46*TA_ti!D$50*TA_ti!$BG46)</f>
        <v>10000</v>
      </c>
      <c r="E46" s="4">
        <f>+IF(TA_ti!E46*TA_ti!E$50*TA_ti!$BG46=0,10000,TA_ti!E46*TA_ti!E$50*TA_ti!$BG46)</f>
        <v>10000</v>
      </c>
      <c r="F46" s="4">
        <f>+IF(TA_ti!F46*TA_ti!F$50*TA_ti!$BG46=0,10000,TA_ti!F46*TA_ti!F$50*TA_ti!$BG46)</f>
        <v>10000</v>
      </c>
      <c r="G46" s="4">
        <f>+IF(TA_ti!G46*TA_ti!G$50*TA_ti!$BG46=0,10000,TA_ti!G46*TA_ti!G$50*TA_ti!$BG46)</f>
        <v>10000</v>
      </c>
      <c r="H46" s="4">
        <f>+IF(TA_ti!H46*TA_ti!H$50*TA_ti!$BG46=0,10000,TA_ti!H46*TA_ti!H$50*TA_ti!$BG46)</f>
        <v>10000</v>
      </c>
      <c r="I46" s="4">
        <f>+IF(TA_ti!I46*TA_ti!I$50*TA_ti!$BG46=0,10000,TA_ti!I46*TA_ti!I$50*TA_ti!$BG46)</f>
        <v>10000</v>
      </c>
      <c r="J46" s="4">
        <f>+IF(TA_ti!J46*TA_ti!J$50*TA_ti!$BG46=0,10000,TA_ti!J46*TA_ti!J$50*TA_ti!$BG46)</f>
        <v>10000</v>
      </c>
      <c r="K46" s="4">
        <f>+IF(TA_ti!K46*TA_ti!K$50*TA_ti!$BG46=0,10000,TA_ti!K46*TA_ti!K$50*TA_ti!$BG46)</f>
        <v>10000</v>
      </c>
      <c r="L46" s="4">
        <f>+IF(TA_ti!L46*TA_ti!L$50*TA_ti!$BG46=0,10000,TA_ti!L46*TA_ti!L$50*TA_ti!$BG46)</f>
        <v>10000</v>
      </c>
      <c r="M46" s="4">
        <f>+IF(TA_ti!M46*TA_ti!M$50*TA_ti!$BG46=0,10000,TA_ti!M46*TA_ti!M$50*TA_ti!$BG46)</f>
        <v>10000</v>
      </c>
      <c r="N46" s="4">
        <f>+IF(TA_ti!N46*TA_ti!N$50*TA_ti!$BG46=0,10000,TA_ti!N46*TA_ti!N$50*TA_ti!$BG46)</f>
        <v>10000</v>
      </c>
      <c r="O46" s="4">
        <f>+IF(TA_ti!O46*TA_ti!O$50*TA_ti!$BG46=0,10000,TA_ti!O46*TA_ti!O$50*TA_ti!$BG46)</f>
        <v>10000</v>
      </c>
      <c r="P46" s="4">
        <f>+IF(TA_ti!P46*TA_ti!P$50*TA_ti!$BG46=0,10000,TA_ti!P46*TA_ti!P$50*TA_ti!$BG46)</f>
        <v>10000</v>
      </c>
      <c r="Q46" s="4">
        <f>+IF(TA_ti!Q46*TA_ti!Q$50*TA_ti!$BG46=0,10000,TA_ti!Q46*TA_ti!Q$50*TA_ti!$BG46)</f>
        <v>10000</v>
      </c>
      <c r="R46" s="4">
        <f>+IF(TA_ti!R46*TA_ti!R$50*TA_ti!$BG46=0,10000,TA_ti!R46*TA_ti!R$50*TA_ti!$BG46)</f>
        <v>10000</v>
      </c>
      <c r="S46" s="4">
        <f>+IF(TA_ti!S46*TA_ti!S$50*TA_ti!$BG46=0,10000,TA_ti!S46*TA_ti!S$50*TA_ti!$BG46)</f>
        <v>10000</v>
      </c>
      <c r="T46" s="4">
        <f>+IF(TA_ti!T46*TA_ti!T$50*TA_ti!$BG46=0,10000,TA_ti!T46*TA_ti!T$50*TA_ti!$BG46)</f>
        <v>10000</v>
      </c>
      <c r="U46" s="4">
        <f>+IF(TA_ti!U46*TA_ti!U$50*TA_ti!$BG46=0,10000,TA_ti!U46*TA_ti!U$50*TA_ti!$BG46)</f>
        <v>10000</v>
      </c>
      <c r="V46" s="4">
        <f>+IF(TA_ti!V46*TA_ti!V$50*TA_ti!$BG46=0,10000,TA_ti!V46*TA_ti!V$50*TA_ti!$BG46)</f>
        <v>10000</v>
      </c>
      <c r="W46" s="4">
        <f>+IF(TA_ti!W46*TA_ti!W$50*TA_ti!$BG46=0,10000,TA_ti!W46*TA_ti!W$50*TA_ti!$BG46)</f>
        <v>10000</v>
      </c>
      <c r="X46" s="4">
        <f>+IF(TA_ti!X46*TA_ti!X$50*TA_ti!$BG46=0,10000,TA_ti!X46*TA_ti!X$50*TA_ti!$BG46)</f>
        <v>10000</v>
      </c>
      <c r="Y46" s="4">
        <f>+IF(TA_ti!Y46*TA_ti!Y$50*TA_ti!$BG46=0,10000,TA_ti!Y46*TA_ti!Y$50*TA_ti!$BG46)</f>
        <v>10000</v>
      </c>
      <c r="Z46" s="4">
        <f>+IF(TA_ti!Z46*TA_ti!Z$50*TA_ti!$BG46=0,10000,TA_ti!Z46*TA_ti!Z$50*TA_ti!$BG46)</f>
        <v>10000</v>
      </c>
      <c r="AA46" s="4">
        <f>+IF(TA_ti!AA46*TA_ti!AA$50*TA_ti!$BG46=0,10000,TA_ti!AA46*TA_ti!AA$50*TA_ti!$BG46)</f>
        <v>10000</v>
      </c>
      <c r="AB46" s="4">
        <f>+IF(TA_ti!AB46*TA_ti!AB$50*TA_ti!$BG46=0,10000,TA_ti!AB46*TA_ti!AB$50*TA_ti!$BG46)</f>
        <v>10000</v>
      </c>
      <c r="AC46" s="4">
        <f>+IF(TA_ti!AC46*TA_ti!AC$50*TA_ti!$BG46=0,10000,TA_ti!AC46*TA_ti!AC$50*TA_ti!$BG46)</f>
        <v>10000</v>
      </c>
      <c r="AD46" s="4">
        <f>+IF(TA_ti!AD46*TA_ti!AD$50*TA_ti!$BG46=0,10000,TA_ti!AD46*TA_ti!AD$50*TA_ti!$BG46)</f>
        <v>10000</v>
      </c>
      <c r="AE46" s="4">
        <f>+IF(TA_ti!AE46*TA_ti!AE$50*TA_ti!$BG46=0,10000,TA_ti!AE46*TA_ti!AE$50*TA_ti!$BG46)</f>
        <v>10000</v>
      </c>
      <c r="AF46" s="4">
        <f>+IF(TA_ti!AF46*TA_ti!AF$50*TA_ti!$BG46=0,10000,TA_ti!AF46*TA_ti!AF$50*TA_ti!$BG46)</f>
        <v>10000</v>
      </c>
      <c r="AG46" s="4">
        <f>+IF(TA_ti!AG46*TA_ti!AG$50*TA_ti!$BG46=0,10000,TA_ti!AG46*TA_ti!AG$50*TA_ti!$BG46)</f>
        <v>10000</v>
      </c>
      <c r="AH46" s="4">
        <f>+IF(TA_ti!AH46*TA_ti!AH$50*TA_ti!$BG46=0,10000,TA_ti!AH46*TA_ti!AH$50*TA_ti!$BG46)</f>
        <v>10000</v>
      </c>
      <c r="AI46" s="4">
        <f>+IF(TA_ti!AI46*TA_ti!AI$50*TA_ti!$BG46=0,10000,TA_ti!AI46*TA_ti!AI$50*TA_ti!$BG46)</f>
        <v>10000</v>
      </c>
      <c r="AJ46" s="4">
        <f>+IF(TA_ti!AJ46*TA_ti!AJ$50*TA_ti!$BG46=0,10000,TA_ti!AJ46*TA_ti!AJ$50*TA_ti!$BG46)</f>
        <v>10000</v>
      </c>
      <c r="AK46" s="4">
        <f>+IF(TA_ti!AK46*TA_ti!AK$50*TA_ti!$BG46=0,10000,TA_ti!AK46*TA_ti!AK$50*TA_ti!$BG46)</f>
        <v>10000</v>
      </c>
      <c r="AL46" s="4">
        <f>+IF(TA_ti!AL46*TA_ti!AL$50*TA_ti!$BG46=0,10000,TA_ti!AL46*TA_ti!AL$50*TA_ti!$BG46)</f>
        <v>10000</v>
      </c>
      <c r="AM46" s="4">
        <f>+IF(TA_ti!AM46*TA_ti!AM$50*TA_ti!$BG46=0,10000,TA_ti!AM46*TA_ti!AM$50*TA_ti!$BG46)</f>
        <v>10000</v>
      </c>
      <c r="AN46" s="4">
        <f>+IF(TA_ti!AN46*TA_ti!AN$50*TA_ti!$BG46=0,10000,TA_ti!AN46*TA_ti!AN$50*TA_ti!$BG46)</f>
        <v>10000</v>
      </c>
      <c r="AO46" s="4">
        <f>+IF(TA_ti!AO46*TA_ti!AO$50*TA_ti!$BG46=0,10000,TA_ti!AO46*TA_ti!AO$50*TA_ti!$BG46)</f>
        <v>10000</v>
      </c>
      <c r="AP46" s="4">
        <f>+IF(TA_ti!AP46*TA_ti!AP$50*TA_ti!$BG46=0,10000,TA_ti!AP46*TA_ti!AP$50*TA_ti!$BG46)</f>
        <v>10000</v>
      </c>
      <c r="AQ46" s="4">
        <f>+IF(TA_ti!AQ46*TA_ti!AQ$50*TA_ti!$BG46=0,10000,TA_ti!AQ46*TA_ti!AQ$50*TA_ti!$BG46)</f>
        <v>10000</v>
      </c>
      <c r="AR46" s="4">
        <f>+IF(TA_ti!AR46*TA_ti!AR$50*TA_ti!$BG46=0,10000,TA_ti!AR46*TA_ti!AR$50*TA_ti!$BG46)</f>
        <v>10000</v>
      </c>
      <c r="AS46" s="4">
        <f>+IF(TA_ti!AS46*TA_ti!AS$50*TA_ti!$BG46=0,10000,TA_ti!AS46*TA_ti!AS$50*TA_ti!$BG46)</f>
        <v>10000</v>
      </c>
      <c r="AT46" s="4">
        <f>+IF(TA_ti!AT46*TA_ti!AT$50*TA_ti!$BG46=0,10000,TA_ti!AT46*TA_ti!AT$50*TA_ti!$BG46)</f>
        <v>10000</v>
      </c>
      <c r="AU46" s="4">
        <f>+IF(TA_ti!AU46*TA_ti!AU$50*TA_ti!$BG46=0,10000,TA_ti!AU46*TA_ti!AU$50*TA_ti!$BG46)</f>
        <v>10000</v>
      </c>
      <c r="AV46" s="4">
        <f>+IF(TA_ti!AV46*TA_ti!AV$50*TA_ti!$BG46=0,10000,TA_ti!AV46*TA_ti!AV$50*TA_ti!$BG46)</f>
        <v>10000</v>
      </c>
      <c r="AW46" s="4">
        <f>+IF(TA_ti!AW46*TA_ti!AW$50*TA_ti!$BG46=0,10000,TA_ti!AW46*TA_ti!AW$50*TA_ti!$BG46)</f>
        <v>10000</v>
      </c>
      <c r="AX46" s="4">
        <f>+IF(TA_ti!AX46*TA_ti!AX$50*TA_ti!$BG46=0,10000,TA_ti!AX46*TA_ti!AX$50*TA_ti!$BG46)</f>
        <v>10000</v>
      </c>
      <c r="AY46" s="4">
        <f>+IF(TA_ti!AY46*TA_ti!AY$50*TA_ti!$BG46=0,10000,TA_ti!AY46*TA_ti!AY$50*TA_ti!$BG46)</f>
        <v>10000</v>
      </c>
      <c r="AZ46" s="4">
        <f>+IF(TA_ti!AZ46*TA_ti!AZ$50*TA_ti!$BG46=0,10000,TA_ti!AZ46*TA_ti!AZ$50*TA_ti!$BG46)</f>
        <v>10000</v>
      </c>
      <c r="BA46" s="4">
        <f>+IF(TA_ti!BA46*TA_ti!BA$50*TA_ti!$BG46=0,10000,TA_ti!BA46*TA_ti!BA$50*TA_ti!$BG46)</f>
        <v>10000</v>
      </c>
      <c r="BB46" s="4">
        <f>+IF(TA_ti!BB46*TA_ti!BB$50*TA_ti!$BG46=0,10000,TA_ti!BB46*TA_ti!BB$50*TA_ti!$BG46)</f>
        <v>10000</v>
      </c>
      <c r="BC46" s="4">
        <f>+IF(TA_ti!BC46*TA_ti!BC$50*TA_ti!$BG46=0,10000,TA_ti!BC46*TA_ti!BC$50*TA_ti!$BG46)</f>
        <v>10000</v>
      </c>
    </row>
  </sheetData>
  <conditionalFormatting sqref="B2:BC46">
    <cfRule type="cellIs" dxfId="3" priority="1" operator="lessThan">
      <formula>5000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BC46"/>
  <sheetViews>
    <sheetView workbookViewId="0">
      <selection activeCell="E24" sqref="E24"/>
    </sheetView>
    <sheetView workbookViewId="1"/>
  </sheetViews>
  <sheetFormatPr baseColWidth="10" defaultColWidth="9.140625" defaultRowHeight="15" x14ac:dyDescent="0.25"/>
  <cols>
    <col min="1" max="1" width="7.42578125" style="1" bestFit="1" customWidth="1"/>
    <col min="2" max="52" width="7.5703125" style="7" bestFit="1" customWidth="1"/>
    <col min="53" max="55" width="7.85546875" style="7" bestFit="1" customWidth="1"/>
  </cols>
  <sheetData>
    <row r="1" spans="1:55" ht="18.75" customHeight="1" thickBo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18.75" customHeight="1" x14ac:dyDescent="0.25">
      <c r="A2" s="3" t="str">
        <f>"T"&amp;_xlfn.SEQUENCE(36,1,1,1)</f>
        <v>T1</v>
      </c>
      <c r="B2" s="4">
        <v>10000</v>
      </c>
      <c r="C2" s="4">
        <v>10000</v>
      </c>
      <c r="D2" s="4">
        <v>10000</v>
      </c>
      <c r="E2" s="4">
        <v>10000</v>
      </c>
      <c r="F2" s="4">
        <v>10000</v>
      </c>
      <c r="G2" s="4">
        <v>10000</v>
      </c>
      <c r="H2" s="4">
        <v>10000</v>
      </c>
      <c r="I2" s="4">
        <v>10000</v>
      </c>
      <c r="J2" s="4">
        <v>10000</v>
      </c>
      <c r="K2" s="4">
        <v>10000</v>
      </c>
      <c r="L2" s="4">
        <v>10000</v>
      </c>
      <c r="M2" s="4">
        <v>10000</v>
      </c>
      <c r="N2" s="4">
        <v>10000</v>
      </c>
      <c r="O2" s="4">
        <v>10000</v>
      </c>
      <c r="P2" s="4">
        <v>10000</v>
      </c>
      <c r="Q2" s="4">
        <v>10000</v>
      </c>
      <c r="R2" s="4">
        <v>10000</v>
      </c>
      <c r="S2" s="4">
        <v>10000</v>
      </c>
      <c r="T2" s="4">
        <v>10000</v>
      </c>
      <c r="U2" s="4">
        <v>10000</v>
      </c>
      <c r="V2" s="4">
        <v>10000</v>
      </c>
      <c r="W2" s="4">
        <v>10000</v>
      </c>
      <c r="X2" s="4">
        <v>10000</v>
      </c>
      <c r="Y2" s="4">
        <v>10000</v>
      </c>
      <c r="Z2" s="4">
        <v>10000</v>
      </c>
      <c r="AA2" s="4">
        <v>10000</v>
      </c>
      <c r="AB2" s="4">
        <v>10000</v>
      </c>
      <c r="AC2" s="4">
        <v>10000</v>
      </c>
      <c r="AD2" s="4">
        <v>10000</v>
      </c>
      <c r="AE2" s="4">
        <v>10000</v>
      </c>
      <c r="AF2" s="4">
        <v>10000</v>
      </c>
      <c r="AG2" s="4">
        <v>10000</v>
      </c>
      <c r="AH2" s="4">
        <v>10000</v>
      </c>
      <c r="AI2" s="4">
        <v>10000</v>
      </c>
      <c r="AJ2" s="4">
        <v>10000</v>
      </c>
      <c r="AK2" s="4">
        <v>10000</v>
      </c>
      <c r="AL2" s="4">
        <v>10000</v>
      </c>
      <c r="AM2" s="4">
        <v>10000</v>
      </c>
      <c r="AN2" s="4">
        <v>10000</v>
      </c>
      <c r="AO2" s="4">
        <v>10000</v>
      </c>
      <c r="AP2" s="4">
        <v>10000</v>
      </c>
      <c r="AQ2" s="4">
        <v>10000</v>
      </c>
      <c r="AR2" s="4">
        <v>10000</v>
      </c>
      <c r="AS2" s="4">
        <v>10000</v>
      </c>
      <c r="AT2" s="4">
        <v>10000</v>
      </c>
      <c r="AU2" s="4">
        <v>10000</v>
      </c>
      <c r="AV2" s="4">
        <v>10000</v>
      </c>
      <c r="AW2" s="4">
        <v>10000</v>
      </c>
      <c r="AX2" s="4">
        <v>10000</v>
      </c>
      <c r="AY2" s="4">
        <v>10000</v>
      </c>
      <c r="AZ2" s="4">
        <v>10000</v>
      </c>
      <c r="BA2" s="10">
        <v>10000</v>
      </c>
      <c r="BB2" s="4">
        <v>15</v>
      </c>
      <c r="BC2" s="4">
        <v>10000</v>
      </c>
    </row>
    <row r="3" spans="1:55" ht="18.75" customHeight="1" x14ac:dyDescent="0.25">
      <c r="A3" s="5" t="s">
        <v>54</v>
      </c>
      <c r="B3" s="4">
        <v>10000</v>
      </c>
      <c r="C3" s="4">
        <v>10000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4">
        <v>10000</v>
      </c>
      <c r="K3" s="4">
        <v>10000</v>
      </c>
      <c r="L3" s="4">
        <v>10000</v>
      </c>
      <c r="M3" s="4">
        <v>10000</v>
      </c>
      <c r="N3" s="4">
        <v>10000</v>
      </c>
      <c r="O3" s="4">
        <v>10000</v>
      </c>
      <c r="P3" s="4">
        <v>10000</v>
      </c>
      <c r="Q3" s="4">
        <v>10000</v>
      </c>
      <c r="R3" s="4">
        <v>10000</v>
      </c>
      <c r="S3" s="4">
        <v>10000</v>
      </c>
      <c r="T3" s="4">
        <v>10000</v>
      </c>
      <c r="U3" s="4">
        <v>10000</v>
      </c>
      <c r="V3" s="4">
        <v>10000</v>
      </c>
      <c r="W3" s="4">
        <v>10000</v>
      </c>
      <c r="X3" s="4">
        <v>10000</v>
      </c>
      <c r="Y3" s="4">
        <v>10000</v>
      </c>
      <c r="Z3" s="4">
        <v>10000</v>
      </c>
      <c r="AA3" s="4">
        <v>10000</v>
      </c>
      <c r="AB3" s="4">
        <v>10000</v>
      </c>
      <c r="AC3" s="4">
        <v>10000</v>
      </c>
      <c r="AD3" s="4">
        <v>10000</v>
      </c>
      <c r="AE3" s="4">
        <v>10000</v>
      </c>
      <c r="AF3" s="4">
        <v>10000</v>
      </c>
      <c r="AG3" s="4">
        <v>10000</v>
      </c>
      <c r="AH3" s="4">
        <v>10000</v>
      </c>
      <c r="AI3" s="4">
        <v>10000</v>
      </c>
      <c r="AJ3" s="4">
        <v>10000</v>
      </c>
      <c r="AK3" s="4">
        <v>10000</v>
      </c>
      <c r="AL3" s="4">
        <v>10000</v>
      </c>
      <c r="AM3" s="4">
        <v>10000</v>
      </c>
      <c r="AN3" s="4">
        <v>10000</v>
      </c>
      <c r="AO3" s="4">
        <v>10000</v>
      </c>
      <c r="AP3" s="4">
        <v>10000</v>
      </c>
      <c r="AQ3" s="4">
        <v>10000</v>
      </c>
      <c r="AR3" s="4">
        <v>10000</v>
      </c>
      <c r="AS3" s="4">
        <v>10000</v>
      </c>
      <c r="AT3" s="4">
        <v>10000</v>
      </c>
      <c r="AU3" s="4">
        <v>10000</v>
      </c>
      <c r="AV3" s="4">
        <v>10000</v>
      </c>
      <c r="AW3" s="4">
        <v>10000</v>
      </c>
      <c r="AX3" s="4">
        <v>10000</v>
      </c>
      <c r="AY3" s="4">
        <v>10000</v>
      </c>
      <c r="AZ3" s="4">
        <v>10000</v>
      </c>
      <c r="BA3" s="4">
        <v>10000</v>
      </c>
      <c r="BB3" s="4">
        <v>10000</v>
      </c>
      <c r="BC3" s="4">
        <v>10000</v>
      </c>
    </row>
    <row r="4" spans="1:55" ht="18.75" customHeight="1" x14ac:dyDescent="0.25">
      <c r="A4" s="5" t="s">
        <v>55</v>
      </c>
      <c r="B4" s="4">
        <v>10000</v>
      </c>
      <c r="C4" s="4">
        <v>10000</v>
      </c>
      <c r="D4" s="4">
        <v>10000</v>
      </c>
      <c r="E4" s="4">
        <v>10000</v>
      </c>
      <c r="F4" s="4">
        <v>10000</v>
      </c>
      <c r="G4" s="4">
        <v>10000</v>
      </c>
      <c r="H4" s="4">
        <v>10000</v>
      </c>
      <c r="I4" s="4">
        <v>10000</v>
      </c>
      <c r="J4" s="4">
        <v>10000</v>
      </c>
      <c r="K4" s="4">
        <v>10000</v>
      </c>
      <c r="L4" s="4">
        <v>10000</v>
      </c>
      <c r="M4" s="4">
        <v>10000</v>
      </c>
      <c r="N4" s="4">
        <v>10000</v>
      </c>
      <c r="O4" s="4">
        <v>10000</v>
      </c>
      <c r="P4" s="4">
        <v>10000</v>
      </c>
      <c r="Q4" s="4">
        <v>10000</v>
      </c>
      <c r="R4" s="4">
        <v>10000</v>
      </c>
      <c r="S4" s="4">
        <v>10000</v>
      </c>
      <c r="T4" s="4">
        <v>10000</v>
      </c>
      <c r="U4" s="4">
        <v>10000</v>
      </c>
      <c r="V4" s="4">
        <v>10000</v>
      </c>
      <c r="W4" s="4">
        <v>10000</v>
      </c>
      <c r="X4" s="4">
        <v>10000</v>
      </c>
      <c r="Y4" s="4">
        <v>10000</v>
      </c>
      <c r="Z4" s="4">
        <v>10000</v>
      </c>
      <c r="AA4" s="4">
        <v>10000</v>
      </c>
      <c r="AB4" s="4">
        <v>10000</v>
      </c>
      <c r="AC4" s="4">
        <v>10000</v>
      </c>
      <c r="AD4" s="4">
        <v>10000</v>
      </c>
      <c r="AE4" s="4">
        <v>10000</v>
      </c>
      <c r="AF4" s="4">
        <v>10000</v>
      </c>
      <c r="AG4" s="4">
        <v>10000</v>
      </c>
      <c r="AH4" s="4">
        <v>10000</v>
      </c>
      <c r="AI4" s="4">
        <v>10000</v>
      </c>
      <c r="AJ4" s="4">
        <v>10000</v>
      </c>
      <c r="AK4" s="4">
        <v>10000</v>
      </c>
      <c r="AL4" s="4">
        <v>10000</v>
      </c>
      <c r="AM4" s="4">
        <v>10000</v>
      </c>
      <c r="AN4" s="4">
        <v>10000</v>
      </c>
      <c r="AO4" s="4">
        <v>10000</v>
      </c>
      <c r="AP4" s="4">
        <v>10000</v>
      </c>
      <c r="AQ4" s="4">
        <v>10000</v>
      </c>
      <c r="AR4" s="4">
        <v>10000</v>
      </c>
      <c r="AS4" s="4">
        <v>10000</v>
      </c>
      <c r="AT4" s="4">
        <v>10000</v>
      </c>
      <c r="AU4" s="4">
        <v>10000</v>
      </c>
      <c r="AV4" s="4">
        <v>10000</v>
      </c>
      <c r="AW4" s="4">
        <v>10000</v>
      </c>
      <c r="AX4" s="4">
        <v>10000</v>
      </c>
      <c r="AY4" s="4">
        <v>10000</v>
      </c>
      <c r="AZ4" s="4">
        <v>10000</v>
      </c>
      <c r="BA4" s="4">
        <v>10000</v>
      </c>
      <c r="BB4" s="4">
        <v>10000</v>
      </c>
      <c r="BC4" s="4">
        <v>10000</v>
      </c>
    </row>
    <row r="5" spans="1:55" ht="18.75" customHeight="1" x14ac:dyDescent="0.25">
      <c r="A5" s="5" t="s">
        <v>56</v>
      </c>
      <c r="B5" s="4">
        <v>10000</v>
      </c>
      <c r="C5" s="4">
        <v>10000</v>
      </c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4">
        <v>10000</v>
      </c>
      <c r="J5" s="4">
        <v>10000</v>
      </c>
      <c r="K5" s="4">
        <v>10000</v>
      </c>
      <c r="L5" s="4">
        <v>10000</v>
      </c>
      <c r="M5" s="4">
        <v>10000</v>
      </c>
      <c r="N5" s="4">
        <v>10000</v>
      </c>
      <c r="O5" s="4">
        <v>10000</v>
      </c>
      <c r="P5" s="4">
        <v>10000</v>
      </c>
      <c r="Q5" s="4">
        <v>10000</v>
      </c>
      <c r="R5" s="4">
        <v>10000</v>
      </c>
      <c r="S5" s="4">
        <v>10000</v>
      </c>
      <c r="T5" s="4">
        <v>10000</v>
      </c>
      <c r="U5" s="4">
        <v>10000</v>
      </c>
      <c r="V5" s="4">
        <v>10000</v>
      </c>
      <c r="W5" s="4">
        <v>10000</v>
      </c>
      <c r="X5" s="4">
        <v>10000</v>
      </c>
      <c r="Y5" s="4">
        <v>10000</v>
      </c>
      <c r="Z5" s="4">
        <v>10000</v>
      </c>
      <c r="AA5" s="4">
        <v>10000</v>
      </c>
      <c r="AB5" s="4">
        <v>10000</v>
      </c>
      <c r="AC5" s="4">
        <v>10000</v>
      </c>
      <c r="AD5" s="4">
        <v>10000</v>
      </c>
      <c r="AE5" s="4">
        <v>10000</v>
      </c>
      <c r="AF5" s="4">
        <v>10000</v>
      </c>
      <c r="AG5" s="4">
        <v>10000</v>
      </c>
      <c r="AH5" s="4">
        <v>10000</v>
      </c>
      <c r="AI5" s="4">
        <v>10000</v>
      </c>
      <c r="AJ5" s="4">
        <v>10000</v>
      </c>
      <c r="AK5" s="4">
        <v>10000</v>
      </c>
      <c r="AL5" s="4">
        <v>10000</v>
      </c>
      <c r="AM5" s="4">
        <v>10000</v>
      </c>
      <c r="AN5" s="4">
        <v>10000</v>
      </c>
      <c r="AO5" s="4">
        <v>10000</v>
      </c>
      <c r="AP5" s="4">
        <v>10000</v>
      </c>
      <c r="AQ5" s="4">
        <v>10000</v>
      </c>
      <c r="AR5" s="4">
        <v>10000</v>
      </c>
      <c r="AS5" s="4">
        <v>10000</v>
      </c>
      <c r="AT5" s="4">
        <v>10000</v>
      </c>
      <c r="AU5" s="4">
        <v>10000</v>
      </c>
      <c r="AV5" s="4">
        <v>10000</v>
      </c>
      <c r="AW5" s="4">
        <v>10000</v>
      </c>
      <c r="AX5" s="4">
        <v>10000</v>
      </c>
      <c r="AY5" s="4">
        <v>10000</v>
      </c>
      <c r="AZ5" s="4">
        <v>10000</v>
      </c>
      <c r="BA5" s="4">
        <v>10000</v>
      </c>
      <c r="BB5" s="4">
        <v>10000</v>
      </c>
      <c r="BC5" s="4">
        <v>10000</v>
      </c>
    </row>
    <row r="6" spans="1:55" ht="18.75" customHeight="1" x14ac:dyDescent="0.25">
      <c r="A6" s="5" t="s">
        <v>57</v>
      </c>
      <c r="B6" s="4">
        <v>10000</v>
      </c>
      <c r="C6" s="4">
        <v>10000</v>
      </c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4">
        <v>10000</v>
      </c>
      <c r="K6" s="4">
        <v>10000</v>
      </c>
      <c r="L6" s="4">
        <v>10000</v>
      </c>
      <c r="M6" s="4">
        <v>10000</v>
      </c>
      <c r="N6" s="4">
        <v>10000</v>
      </c>
      <c r="O6" s="4">
        <v>10000</v>
      </c>
      <c r="P6" s="4">
        <v>10000</v>
      </c>
      <c r="Q6" s="4">
        <v>10000</v>
      </c>
      <c r="R6" s="4">
        <v>10000</v>
      </c>
      <c r="S6" s="4">
        <v>10000</v>
      </c>
      <c r="T6" s="4">
        <v>10000</v>
      </c>
      <c r="U6" s="4">
        <v>10000</v>
      </c>
      <c r="V6" s="4">
        <v>10000</v>
      </c>
      <c r="W6" s="4">
        <v>10000</v>
      </c>
      <c r="X6" s="4">
        <v>10000</v>
      </c>
      <c r="Y6" s="4">
        <v>10000</v>
      </c>
      <c r="Z6" s="4">
        <v>10000</v>
      </c>
      <c r="AA6" s="4">
        <v>10000</v>
      </c>
      <c r="AB6" s="4">
        <v>10000</v>
      </c>
      <c r="AC6" s="4">
        <v>10000</v>
      </c>
      <c r="AD6" s="4">
        <v>10000</v>
      </c>
      <c r="AE6" s="4">
        <v>10000</v>
      </c>
      <c r="AF6" s="4">
        <v>10000</v>
      </c>
      <c r="AG6" s="4">
        <v>10000</v>
      </c>
      <c r="AH6" s="4">
        <v>10000</v>
      </c>
      <c r="AI6" s="4">
        <v>10000</v>
      </c>
      <c r="AJ6" s="4">
        <v>10000</v>
      </c>
      <c r="AK6" s="4">
        <v>10000</v>
      </c>
      <c r="AL6" s="4">
        <v>10000</v>
      </c>
      <c r="AM6" s="4">
        <v>10000</v>
      </c>
      <c r="AN6" s="4">
        <v>10000</v>
      </c>
      <c r="AO6" s="4">
        <v>10000</v>
      </c>
      <c r="AP6" s="4">
        <v>10000</v>
      </c>
      <c r="AQ6" s="4">
        <v>10000</v>
      </c>
      <c r="AR6" s="4">
        <v>10000</v>
      </c>
      <c r="AS6" s="4">
        <v>10000</v>
      </c>
      <c r="AT6" s="4">
        <v>10000</v>
      </c>
      <c r="AU6" s="4">
        <v>10000</v>
      </c>
      <c r="AV6" s="4">
        <v>10000</v>
      </c>
      <c r="AW6" s="4">
        <v>10000</v>
      </c>
      <c r="AX6" s="4">
        <v>10000</v>
      </c>
      <c r="AY6" s="4">
        <v>10000</v>
      </c>
      <c r="AZ6" s="4">
        <v>10000</v>
      </c>
      <c r="BA6" s="4">
        <v>10000</v>
      </c>
      <c r="BB6" s="4">
        <v>10000</v>
      </c>
      <c r="BC6" s="4">
        <v>10000</v>
      </c>
    </row>
    <row r="7" spans="1:55" ht="18.75" customHeight="1" x14ac:dyDescent="0.25">
      <c r="A7" s="5" t="s">
        <v>58</v>
      </c>
      <c r="B7" s="4">
        <v>10000</v>
      </c>
      <c r="C7" s="4">
        <v>10000</v>
      </c>
      <c r="D7" s="4">
        <v>10000</v>
      </c>
      <c r="E7" s="4">
        <v>10000</v>
      </c>
      <c r="F7" s="4">
        <v>10000</v>
      </c>
      <c r="G7" s="4">
        <v>10000</v>
      </c>
      <c r="H7" s="4">
        <v>10000</v>
      </c>
      <c r="I7" s="4">
        <v>10000</v>
      </c>
      <c r="J7" s="4">
        <v>10000</v>
      </c>
      <c r="K7" s="4">
        <v>10000</v>
      </c>
      <c r="L7" s="4">
        <v>10000</v>
      </c>
      <c r="M7" s="4">
        <v>10000</v>
      </c>
      <c r="N7" s="4">
        <v>10000</v>
      </c>
      <c r="O7" s="4">
        <v>10000</v>
      </c>
      <c r="P7" s="4">
        <v>10000</v>
      </c>
      <c r="Q7" s="4">
        <v>10000</v>
      </c>
      <c r="R7" s="4">
        <v>10000</v>
      </c>
      <c r="S7" s="4">
        <v>10000</v>
      </c>
      <c r="T7" s="4">
        <v>10000</v>
      </c>
      <c r="U7" s="4">
        <v>10000</v>
      </c>
      <c r="V7" s="4">
        <v>10000</v>
      </c>
      <c r="W7" s="4">
        <v>10000</v>
      </c>
      <c r="X7" s="4">
        <v>10000</v>
      </c>
      <c r="Y7" s="4">
        <v>10000</v>
      </c>
      <c r="Z7" s="4">
        <v>10000</v>
      </c>
      <c r="AA7" s="4">
        <v>10000</v>
      </c>
      <c r="AB7" s="4">
        <v>10000</v>
      </c>
      <c r="AC7" s="4">
        <v>10000</v>
      </c>
      <c r="AD7" s="4">
        <v>10000</v>
      </c>
      <c r="AE7" s="4">
        <v>10000</v>
      </c>
      <c r="AF7" s="4">
        <v>10000</v>
      </c>
      <c r="AG7" s="4">
        <v>10000</v>
      </c>
      <c r="AH7" s="4">
        <v>10000</v>
      </c>
      <c r="AI7" s="4">
        <v>10000</v>
      </c>
      <c r="AJ7" s="4">
        <v>10000</v>
      </c>
      <c r="AK7" s="4">
        <v>10000</v>
      </c>
      <c r="AL7" s="4">
        <v>10000</v>
      </c>
      <c r="AM7" s="4">
        <v>10000</v>
      </c>
      <c r="AN7" s="4">
        <v>10000</v>
      </c>
      <c r="AO7" s="4">
        <v>10000</v>
      </c>
      <c r="AP7" s="4">
        <v>10000</v>
      </c>
      <c r="AQ7" s="4">
        <v>10000</v>
      </c>
      <c r="AR7" s="4">
        <v>10000</v>
      </c>
      <c r="AS7" s="4">
        <v>10000</v>
      </c>
      <c r="AT7" s="4">
        <v>10000</v>
      </c>
      <c r="AU7" s="4">
        <v>10000</v>
      </c>
      <c r="AV7" s="4">
        <v>10000</v>
      </c>
      <c r="AW7" s="4">
        <v>10000</v>
      </c>
      <c r="AX7" s="4">
        <v>10000</v>
      </c>
      <c r="AY7" s="4">
        <v>10000</v>
      </c>
      <c r="AZ7" s="4">
        <v>10000</v>
      </c>
      <c r="BA7" s="4">
        <v>10000</v>
      </c>
      <c r="BB7" s="4">
        <v>10000</v>
      </c>
      <c r="BC7" s="4">
        <v>10000</v>
      </c>
    </row>
    <row r="8" spans="1:55" ht="18.75" customHeight="1" x14ac:dyDescent="0.25">
      <c r="A8" s="5" t="s">
        <v>59</v>
      </c>
      <c r="B8" s="4">
        <v>10000</v>
      </c>
      <c r="C8" s="4">
        <v>10000</v>
      </c>
      <c r="D8" s="4">
        <v>10000</v>
      </c>
      <c r="E8" s="4">
        <v>10000</v>
      </c>
      <c r="F8" s="4">
        <v>10000</v>
      </c>
      <c r="G8" s="4">
        <v>10000</v>
      </c>
      <c r="H8" s="4">
        <v>10000</v>
      </c>
      <c r="I8" s="4">
        <v>10000</v>
      </c>
      <c r="J8" s="4">
        <v>10000</v>
      </c>
      <c r="K8" s="4">
        <v>10000</v>
      </c>
      <c r="L8" s="4">
        <v>10000</v>
      </c>
      <c r="M8" s="4">
        <v>10000</v>
      </c>
      <c r="N8" s="4">
        <v>10000</v>
      </c>
      <c r="O8" s="4">
        <v>10000</v>
      </c>
      <c r="P8" s="4">
        <v>10000</v>
      </c>
      <c r="Q8" s="4">
        <v>10000</v>
      </c>
      <c r="R8" s="4">
        <v>10000</v>
      </c>
      <c r="S8" s="4">
        <v>10000</v>
      </c>
      <c r="T8" s="4">
        <v>10000</v>
      </c>
      <c r="U8" s="4">
        <v>10000</v>
      </c>
      <c r="V8" s="4">
        <v>10000</v>
      </c>
      <c r="W8" s="4">
        <v>10000</v>
      </c>
      <c r="X8" s="4">
        <v>10000</v>
      </c>
      <c r="Y8" s="4">
        <v>10000</v>
      </c>
      <c r="Z8" s="4">
        <v>10000</v>
      </c>
      <c r="AA8" s="4">
        <v>10000</v>
      </c>
      <c r="AB8" s="4">
        <v>10000</v>
      </c>
      <c r="AC8" s="4">
        <v>10000</v>
      </c>
      <c r="AD8" s="4">
        <v>10000</v>
      </c>
      <c r="AE8" s="4">
        <v>10000</v>
      </c>
      <c r="AF8" s="4">
        <v>10000</v>
      </c>
      <c r="AG8" s="4">
        <v>10000</v>
      </c>
      <c r="AH8" s="4">
        <v>10000</v>
      </c>
      <c r="AI8" s="4">
        <v>10000</v>
      </c>
      <c r="AJ8" s="4">
        <v>10000</v>
      </c>
      <c r="AK8" s="4">
        <v>10000</v>
      </c>
      <c r="AL8" s="4">
        <v>10000</v>
      </c>
      <c r="AM8" s="4">
        <v>10000</v>
      </c>
      <c r="AN8" s="4">
        <v>10000</v>
      </c>
      <c r="AO8" s="4">
        <v>10000</v>
      </c>
      <c r="AP8" s="4">
        <v>10000</v>
      </c>
      <c r="AQ8" s="4">
        <v>10000</v>
      </c>
      <c r="AR8" s="4">
        <v>10000</v>
      </c>
      <c r="AS8" s="4">
        <v>10000</v>
      </c>
      <c r="AT8" s="4">
        <v>10000</v>
      </c>
      <c r="AU8" s="4">
        <v>10000</v>
      </c>
      <c r="AV8" s="4">
        <v>10000</v>
      </c>
      <c r="AW8" s="4">
        <v>10000</v>
      </c>
      <c r="AX8" s="4">
        <v>10000</v>
      </c>
      <c r="AY8" s="4">
        <v>10000</v>
      </c>
      <c r="AZ8" s="4">
        <v>10000</v>
      </c>
      <c r="BA8" s="4">
        <v>10000</v>
      </c>
      <c r="BB8" s="4">
        <v>15</v>
      </c>
      <c r="BC8" s="4">
        <v>10000</v>
      </c>
    </row>
    <row r="9" spans="1:55" ht="18.75" customHeight="1" x14ac:dyDescent="0.25">
      <c r="A9" s="5" t="s">
        <v>60</v>
      </c>
      <c r="B9" s="4">
        <v>10000</v>
      </c>
      <c r="C9" s="4">
        <v>10000</v>
      </c>
      <c r="D9" s="4">
        <v>10000</v>
      </c>
      <c r="E9" s="4">
        <v>10000</v>
      </c>
      <c r="F9" s="4">
        <v>10000</v>
      </c>
      <c r="G9" s="4">
        <v>10000</v>
      </c>
      <c r="H9" s="4">
        <v>10000</v>
      </c>
      <c r="I9" s="4">
        <v>10000</v>
      </c>
      <c r="J9" s="4">
        <v>10000</v>
      </c>
      <c r="K9" s="4">
        <v>10000</v>
      </c>
      <c r="L9" s="4">
        <v>10000</v>
      </c>
      <c r="M9" s="4">
        <v>10000</v>
      </c>
      <c r="N9" s="4">
        <v>10000</v>
      </c>
      <c r="O9" s="4">
        <v>10000</v>
      </c>
      <c r="P9" s="4">
        <v>10000</v>
      </c>
      <c r="Q9" s="4">
        <v>10000</v>
      </c>
      <c r="R9" s="4">
        <v>10000</v>
      </c>
      <c r="S9" s="4">
        <v>10000</v>
      </c>
      <c r="T9" s="4">
        <v>10000</v>
      </c>
      <c r="U9" s="4">
        <v>10000</v>
      </c>
      <c r="V9" s="4">
        <v>10000</v>
      </c>
      <c r="W9" s="4">
        <v>10000</v>
      </c>
      <c r="X9" s="4">
        <v>10000</v>
      </c>
      <c r="Y9" s="4">
        <v>10000</v>
      </c>
      <c r="Z9" s="4">
        <v>10000</v>
      </c>
      <c r="AA9" s="4">
        <v>10000</v>
      </c>
      <c r="AB9" s="4">
        <v>10000</v>
      </c>
      <c r="AC9" s="4">
        <v>10000</v>
      </c>
      <c r="AD9" s="4">
        <v>10000</v>
      </c>
      <c r="AE9" s="4">
        <v>10000</v>
      </c>
      <c r="AF9" s="4">
        <v>10000</v>
      </c>
      <c r="AG9" s="4">
        <v>10000</v>
      </c>
      <c r="AH9" s="4">
        <v>10000</v>
      </c>
      <c r="AI9" s="4">
        <v>10000</v>
      </c>
      <c r="AJ9" s="4">
        <v>10000</v>
      </c>
      <c r="AK9" s="4">
        <v>10000</v>
      </c>
      <c r="AL9" s="4">
        <v>10000</v>
      </c>
      <c r="AM9" s="4">
        <v>10000</v>
      </c>
      <c r="AN9" s="4">
        <v>10000</v>
      </c>
      <c r="AO9" s="4">
        <v>10000</v>
      </c>
      <c r="AP9" s="4">
        <v>10000</v>
      </c>
      <c r="AQ9" s="4">
        <v>10000</v>
      </c>
      <c r="AR9" s="4">
        <v>10000</v>
      </c>
      <c r="AS9" s="4">
        <v>10000</v>
      </c>
      <c r="AT9" s="4">
        <v>10000</v>
      </c>
      <c r="AU9" s="4">
        <v>10000</v>
      </c>
      <c r="AV9" s="4">
        <v>10000</v>
      </c>
      <c r="AW9" s="4">
        <v>10000</v>
      </c>
      <c r="AX9" s="4">
        <v>10000</v>
      </c>
      <c r="AY9" s="4">
        <v>10000</v>
      </c>
      <c r="AZ9" s="4">
        <v>10000</v>
      </c>
      <c r="BA9" s="4">
        <v>10000</v>
      </c>
      <c r="BB9" s="4">
        <v>15</v>
      </c>
      <c r="BC9" s="4">
        <v>10000</v>
      </c>
    </row>
    <row r="10" spans="1:55" ht="18.75" customHeight="1" x14ac:dyDescent="0.25">
      <c r="A10" s="5" t="s">
        <v>61</v>
      </c>
      <c r="B10" s="4">
        <v>10000</v>
      </c>
      <c r="C10" s="4">
        <v>10000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10000</v>
      </c>
      <c r="K10" s="4">
        <v>10000</v>
      </c>
      <c r="L10" s="4">
        <v>10000</v>
      </c>
      <c r="M10" s="4">
        <v>10000</v>
      </c>
      <c r="N10" s="4">
        <v>10000</v>
      </c>
      <c r="O10" s="4">
        <v>10000</v>
      </c>
      <c r="P10" s="4">
        <v>10000</v>
      </c>
      <c r="Q10" s="4">
        <v>10000</v>
      </c>
      <c r="R10" s="4">
        <v>10000</v>
      </c>
      <c r="S10" s="4">
        <v>10000</v>
      </c>
      <c r="T10" s="4">
        <v>10000</v>
      </c>
      <c r="U10" s="4">
        <v>10000</v>
      </c>
      <c r="V10" s="4">
        <v>10000</v>
      </c>
      <c r="W10" s="4">
        <v>10000</v>
      </c>
      <c r="X10" s="4">
        <v>10000</v>
      </c>
      <c r="Y10" s="4">
        <v>10000</v>
      </c>
      <c r="Z10" s="4">
        <v>10000</v>
      </c>
      <c r="AA10" s="4">
        <v>10000</v>
      </c>
      <c r="AB10" s="4">
        <v>10000</v>
      </c>
      <c r="AC10" s="4">
        <v>10000</v>
      </c>
      <c r="AD10" s="4">
        <v>10000</v>
      </c>
      <c r="AE10" s="4">
        <v>10000</v>
      </c>
      <c r="AF10" s="4">
        <v>10000</v>
      </c>
      <c r="AG10" s="4">
        <v>10000</v>
      </c>
      <c r="AH10" s="4">
        <v>10000</v>
      </c>
      <c r="AI10" s="4">
        <v>10000</v>
      </c>
      <c r="AJ10" s="4">
        <v>10000</v>
      </c>
      <c r="AK10" s="4">
        <v>10000</v>
      </c>
      <c r="AL10" s="4">
        <v>10000</v>
      </c>
      <c r="AM10" s="4">
        <v>10000</v>
      </c>
      <c r="AN10" s="4">
        <v>10000</v>
      </c>
      <c r="AO10" s="4">
        <v>10000</v>
      </c>
      <c r="AP10" s="4">
        <v>10000</v>
      </c>
      <c r="AQ10" s="4">
        <v>10000</v>
      </c>
      <c r="AR10" s="4">
        <v>10000</v>
      </c>
      <c r="AS10" s="4">
        <v>10000</v>
      </c>
      <c r="AT10" s="4">
        <v>10000</v>
      </c>
      <c r="AU10" s="4">
        <v>10000</v>
      </c>
      <c r="AV10" s="4">
        <v>10000</v>
      </c>
      <c r="AW10" s="4">
        <v>10000</v>
      </c>
      <c r="AX10" s="4">
        <v>10000</v>
      </c>
      <c r="AY10" s="4">
        <v>10000</v>
      </c>
      <c r="AZ10" s="4">
        <v>10000</v>
      </c>
      <c r="BA10" s="4">
        <v>10000</v>
      </c>
      <c r="BB10" s="4">
        <v>10000</v>
      </c>
      <c r="BC10" s="4">
        <v>10000</v>
      </c>
    </row>
    <row r="11" spans="1:55" ht="18.75" customHeight="1" x14ac:dyDescent="0.25">
      <c r="A11" s="5" t="s">
        <v>62</v>
      </c>
      <c r="B11" s="4">
        <v>10000</v>
      </c>
      <c r="C11" s="4">
        <v>10000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4">
        <v>10000</v>
      </c>
      <c r="K11" s="4">
        <v>10000</v>
      </c>
      <c r="L11" s="4">
        <v>10000</v>
      </c>
      <c r="M11" s="4">
        <v>10000</v>
      </c>
      <c r="N11" s="4">
        <v>10000</v>
      </c>
      <c r="O11" s="4">
        <v>10000</v>
      </c>
      <c r="P11" s="4">
        <v>10000</v>
      </c>
      <c r="Q11" s="4">
        <v>10000</v>
      </c>
      <c r="R11" s="4">
        <v>10000</v>
      </c>
      <c r="S11" s="4">
        <v>10000</v>
      </c>
      <c r="T11" s="4">
        <v>10000</v>
      </c>
      <c r="U11" s="4">
        <v>10000</v>
      </c>
      <c r="V11" s="4">
        <v>10000</v>
      </c>
      <c r="W11" s="4">
        <v>10000</v>
      </c>
      <c r="X11" s="4">
        <v>10000</v>
      </c>
      <c r="Y11" s="4">
        <v>10000</v>
      </c>
      <c r="Z11" s="4">
        <v>10000</v>
      </c>
      <c r="AA11" s="4">
        <v>10000</v>
      </c>
      <c r="AB11" s="4">
        <v>10000</v>
      </c>
      <c r="AC11" s="4">
        <v>10000</v>
      </c>
      <c r="AD11" s="4">
        <v>10000</v>
      </c>
      <c r="AE11" s="4">
        <v>10000</v>
      </c>
      <c r="AF11" s="4">
        <v>10000</v>
      </c>
      <c r="AG11" s="4">
        <v>10000</v>
      </c>
      <c r="AH11" s="4">
        <v>10000</v>
      </c>
      <c r="AI11" s="4">
        <v>10000</v>
      </c>
      <c r="AJ11" s="4">
        <v>10000</v>
      </c>
      <c r="AK11" s="4">
        <v>10000</v>
      </c>
      <c r="AL11" s="4">
        <v>10000</v>
      </c>
      <c r="AM11" s="4">
        <v>10000</v>
      </c>
      <c r="AN11" s="4">
        <v>10000</v>
      </c>
      <c r="AO11" s="4">
        <v>10000</v>
      </c>
      <c r="AP11" s="4">
        <v>10000</v>
      </c>
      <c r="AQ11" s="4">
        <v>10000</v>
      </c>
      <c r="AR11" s="4">
        <v>10000</v>
      </c>
      <c r="AS11" s="4">
        <v>10000</v>
      </c>
      <c r="AT11" s="4">
        <v>10000</v>
      </c>
      <c r="AU11" s="4">
        <v>10000</v>
      </c>
      <c r="AV11" s="4">
        <v>10000</v>
      </c>
      <c r="AW11" s="4">
        <v>10000</v>
      </c>
      <c r="AX11" s="4">
        <v>10000</v>
      </c>
      <c r="AY11" s="4">
        <v>10000</v>
      </c>
      <c r="AZ11" s="4">
        <v>10000</v>
      </c>
      <c r="BA11" s="4">
        <v>10000</v>
      </c>
      <c r="BB11" s="4">
        <v>10000</v>
      </c>
      <c r="BC11" s="4">
        <v>10000</v>
      </c>
    </row>
    <row r="12" spans="1:55" ht="18.75" customHeight="1" x14ac:dyDescent="0.25">
      <c r="A12" s="5" t="s">
        <v>63</v>
      </c>
      <c r="B12" s="4">
        <v>10000</v>
      </c>
      <c r="C12" s="4">
        <v>10000</v>
      </c>
      <c r="D12" s="4">
        <v>10000</v>
      </c>
      <c r="E12" s="4">
        <v>10000</v>
      </c>
      <c r="F12" s="4">
        <v>10000</v>
      </c>
      <c r="G12" s="4">
        <v>10000</v>
      </c>
      <c r="H12" s="4">
        <v>10000</v>
      </c>
      <c r="I12" s="4">
        <v>10000</v>
      </c>
      <c r="J12" s="4">
        <v>10000</v>
      </c>
      <c r="K12" s="4">
        <v>10000</v>
      </c>
      <c r="L12" s="4">
        <v>10000</v>
      </c>
      <c r="M12" s="4">
        <v>10000</v>
      </c>
      <c r="N12" s="4">
        <v>10000</v>
      </c>
      <c r="O12" s="4">
        <v>10000</v>
      </c>
      <c r="P12" s="4">
        <v>10000</v>
      </c>
      <c r="Q12" s="4">
        <v>10000</v>
      </c>
      <c r="R12" s="4">
        <v>10000</v>
      </c>
      <c r="S12" s="4">
        <v>10000</v>
      </c>
      <c r="T12" s="4">
        <v>10000</v>
      </c>
      <c r="U12" s="4">
        <v>10000</v>
      </c>
      <c r="V12" s="4">
        <v>10000</v>
      </c>
      <c r="W12" s="4">
        <v>10000</v>
      </c>
      <c r="X12" s="4">
        <v>10000</v>
      </c>
      <c r="Y12" s="4">
        <v>10000</v>
      </c>
      <c r="Z12" s="4">
        <v>10000</v>
      </c>
      <c r="AA12" s="4">
        <v>10000</v>
      </c>
      <c r="AB12" s="4">
        <v>10000</v>
      </c>
      <c r="AC12" s="4">
        <v>10000</v>
      </c>
      <c r="AD12" s="4">
        <v>10000</v>
      </c>
      <c r="AE12" s="4">
        <v>10000</v>
      </c>
      <c r="AF12" s="4">
        <v>10000</v>
      </c>
      <c r="AG12" s="4">
        <v>10000</v>
      </c>
      <c r="AH12" s="4">
        <v>10000</v>
      </c>
      <c r="AI12" s="4">
        <v>10000</v>
      </c>
      <c r="AJ12" s="4">
        <v>10000</v>
      </c>
      <c r="AK12" s="4">
        <v>10000</v>
      </c>
      <c r="AL12" s="4">
        <v>10000</v>
      </c>
      <c r="AM12" s="4">
        <v>10000</v>
      </c>
      <c r="AN12" s="4">
        <v>10000</v>
      </c>
      <c r="AO12" s="4">
        <v>10000</v>
      </c>
      <c r="AP12" s="4">
        <v>10000</v>
      </c>
      <c r="AQ12" s="4">
        <v>10000</v>
      </c>
      <c r="AR12" s="4">
        <v>10000</v>
      </c>
      <c r="AS12" s="4">
        <v>10000</v>
      </c>
      <c r="AT12" s="4">
        <v>10000</v>
      </c>
      <c r="AU12" s="4">
        <v>10000</v>
      </c>
      <c r="AV12" s="4">
        <v>10000</v>
      </c>
      <c r="AW12" s="4">
        <v>10000</v>
      </c>
      <c r="AX12" s="4">
        <v>10000</v>
      </c>
      <c r="AY12" s="4">
        <v>10000</v>
      </c>
      <c r="AZ12" s="4">
        <v>10000</v>
      </c>
      <c r="BA12" s="4">
        <v>10000</v>
      </c>
      <c r="BB12" s="4">
        <v>10000</v>
      </c>
      <c r="BC12" s="4">
        <v>10000</v>
      </c>
    </row>
    <row r="13" spans="1:55" ht="18.75" customHeight="1" x14ac:dyDescent="0.25">
      <c r="A13" s="5" t="s">
        <v>64</v>
      </c>
      <c r="B13" s="4">
        <v>10000</v>
      </c>
      <c r="C13" s="4">
        <v>10000</v>
      </c>
      <c r="D13" s="4">
        <v>10000</v>
      </c>
      <c r="E13" s="4">
        <v>10000</v>
      </c>
      <c r="F13" s="4">
        <v>10000</v>
      </c>
      <c r="G13" s="4">
        <v>10000</v>
      </c>
      <c r="H13" s="4">
        <v>10000</v>
      </c>
      <c r="I13" s="4">
        <v>10000</v>
      </c>
      <c r="J13" s="4">
        <v>10000</v>
      </c>
      <c r="K13" s="4">
        <v>10000</v>
      </c>
      <c r="L13" s="4">
        <v>10000</v>
      </c>
      <c r="M13" s="4">
        <v>10000</v>
      </c>
      <c r="N13" s="4">
        <v>10000</v>
      </c>
      <c r="O13" s="4">
        <v>10000</v>
      </c>
      <c r="P13" s="4">
        <v>10000</v>
      </c>
      <c r="Q13" s="4">
        <v>10000</v>
      </c>
      <c r="R13" s="4">
        <v>10000</v>
      </c>
      <c r="S13" s="4">
        <v>10000</v>
      </c>
      <c r="T13" s="4">
        <v>10000</v>
      </c>
      <c r="U13" s="4">
        <v>10000</v>
      </c>
      <c r="V13" s="4">
        <v>10000</v>
      </c>
      <c r="W13" s="4">
        <v>10000</v>
      </c>
      <c r="X13" s="4">
        <v>10000</v>
      </c>
      <c r="Y13" s="4">
        <v>10000</v>
      </c>
      <c r="Z13" s="4">
        <v>10000</v>
      </c>
      <c r="AA13" s="4">
        <v>10000</v>
      </c>
      <c r="AB13" s="4">
        <v>10000</v>
      </c>
      <c r="AC13" s="4">
        <v>10000</v>
      </c>
      <c r="AD13" s="4">
        <v>10000</v>
      </c>
      <c r="AE13" s="4">
        <v>10000</v>
      </c>
      <c r="AF13" s="4">
        <v>10000</v>
      </c>
      <c r="AG13" s="4">
        <v>10000</v>
      </c>
      <c r="AH13" s="4">
        <v>10000</v>
      </c>
      <c r="AI13" s="4">
        <v>10000</v>
      </c>
      <c r="AJ13" s="4">
        <v>10000</v>
      </c>
      <c r="AK13" s="4">
        <v>10000</v>
      </c>
      <c r="AL13" s="4">
        <v>10000</v>
      </c>
      <c r="AM13" s="4">
        <v>10000</v>
      </c>
      <c r="AN13" s="4">
        <v>10000</v>
      </c>
      <c r="AO13" s="4">
        <v>10000</v>
      </c>
      <c r="AP13" s="4">
        <v>10000</v>
      </c>
      <c r="AQ13" s="4">
        <v>10000</v>
      </c>
      <c r="AR13" s="4">
        <v>10000</v>
      </c>
      <c r="AS13" s="4">
        <v>10000</v>
      </c>
      <c r="AT13" s="4">
        <v>10000</v>
      </c>
      <c r="AU13" s="4">
        <v>10000</v>
      </c>
      <c r="AV13" s="4">
        <v>10000</v>
      </c>
      <c r="AW13" s="4">
        <v>10000</v>
      </c>
      <c r="AX13" s="4">
        <v>10000</v>
      </c>
      <c r="AY13" s="4">
        <v>10000</v>
      </c>
      <c r="AZ13" s="4">
        <v>10000</v>
      </c>
      <c r="BA13" s="4">
        <v>10000</v>
      </c>
      <c r="BB13" s="4">
        <v>10000</v>
      </c>
      <c r="BC13" s="4">
        <v>10000</v>
      </c>
    </row>
    <row r="14" spans="1:55" ht="18.75" customHeight="1" x14ac:dyDescent="0.25">
      <c r="A14" s="5" t="s">
        <v>65</v>
      </c>
      <c r="B14" s="4">
        <v>10000</v>
      </c>
      <c r="C14" s="4">
        <v>10000</v>
      </c>
      <c r="D14" s="4">
        <v>10000</v>
      </c>
      <c r="E14" s="4">
        <v>10000</v>
      </c>
      <c r="F14" s="4">
        <v>10000</v>
      </c>
      <c r="G14" s="4">
        <v>10000</v>
      </c>
      <c r="H14" s="4">
        <v>10000</v>
      </c>
      <c r="I14" s="4">
        <v>10000</v>
      </c>
      <c r="J14" s="4">
        <v>10000</v>
      </c>
      <c r="K14" s="4">
        <v>10000</v>
      </c>
      <c r="L14" s="4">
        <v>10000</v>
      </c>
      <c r="M14" s="4">
        <v>10000</v>
      </c>
      <c r="N14" s="4">
        <v>10000</v>
      </c>
      <c r="O14" s="4">
        <v>10000</v>
      </c>
      <c r="P14" s="4">
        <v>10000</v>
      </c>
      <c r="Q14" s="4">
        <v>10000</v>
      </c>
      <c r="R14" s="4">
        <v>10000</v>
      </c>
      <c r="S14" s="4">
        <v>10000</v>
      </c>
      <c r="T14" s="4">
        <v>10000</v>
      </c>
      <c r="U14" s="4">
        <v>10000</v>
      </c>
      <c r="V14" s="4">
        <v>10000</v>
      </c>
      <c r="W14" s="4">
        <v>10000</v>
      </c>
      <c r="X14" s="4">
        <v>10000</v>
      </c>
      <c r="Y14" s="4">
        <v>10000</v>
      </c>
      <c r="Z14" s="4">
        <v>10000</v>
      </c>
      <c r="AA14" s="4">
        <v>10000</v>
      </c>
      <c r="AB14" s="4">
        <v>10000</v>
      </c>
      <c r="AC14" s="4">
        <v>10000</v>
      </c>
      <c r="AD14" s="4">
        <v>10000</v>
      </c>
      <c r="AE14" s="4">
        <v>10000</v>
      </c>
      <c r="AF14" s="4">
        <v>10000</v>
      </c>
      <c r="AG14" s="4">
        <v>10000</v>
      </c>
      <c r="AH14" s="4">
        <v>10000</v>
      </c>
      <c r="AI14" s="4">
        <v>10000</v>
      </c>
      <c r="AJ14" s="4">
        <v>10000</v>
      </c>
      <c r="AK14" s="4">
        <v>10000</v>
      </c>
      <c r="AL14" s="4">
        <v>10000</v>
      </c>
      <c r="AM14" s="4">
        <v>10000</v>
      </c>
      <c r="AN14" s="4">
        <v>10000</v>
      </c>
      <c r="AO14" s="4">
        <v>10000</v>
      </c>
      <c r="AP14" s="4">
        <v>10000</v>
      </c>
      <c r="AQ14" s="4">
        <v>10000</v>
      </c>
      <c r="AR14" s="4">
        <v>10000</v>
      </c>
      <c r="AS14" s="4">
        <v>10000</v>
      </c>
      <c r="AT14" s="4">
        <v>10000</v>
      </c>
      <c r="AU14" s="4">
        <v>10000</v>
      </c>
      <c r="AV14" s="4">
        <v>10000</v>
      </c>
      <c r="AW14" s="4">
        <v>10000</v>
      </c>
      <c r="AX14" s="4">
        <v>10000</v>
      </c>
      <c r="AY14" s="4">
        <v>10000</v>
      </c>
      <c r="AZ14" s="4">
        <v>10000</v>
      </c>
      <c r="BA14" s="4">
        <v>10000</v>
      </c>
      <c r="BB14" s="4">
        <v>10000</v>
      </c>
      <c r="BC14" s="4">
        <v>10000</v>
      </c>
    </row>
    <row r="15" spans="1:55" ht="18.75" customHeight="1" x14ac:dyDescent="0.25">
      <c r="A15" s="5" t="s">
        <v>66</v>
      </c>
      <c r="B15" s="4">
        <v>10000</v>
      </c>
      <c r="C15" s="4">
        <v>10000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10000</v>
      </c>
      <c r="K15" s="4">
        <v>10000</v>
      </c>
      <c r="L15" s="4">
        <v>10000</v>
      </c>
      <c r="M15" s="4">
        <v>10000</v>
      </c>
      <c r="N15" s="4">
        <v>10000</v>
      </c>
      <c r="O15" s="4">
        <v>10000</v>
      </c>
      <c r="P15" s="4">
        <v>10000</v>
      </c>
      <c r="Q15" s="4">
        <v>10000</v>
      </c>
      <c r="R15" s="4">
        <v>10000</v>
      </c>
      <c r="S15" s="4">
        <v>10000</v>
      </c>
      <c r="T15" s="4">
        <v>10000</v>
      </c>
      <c r="U15" s="4">
        <v>10000</v>
      </c>
      <c r="V15" s="4">
        <v>10000</v>
      </c>
      <c r="W15" s="4">
        <v>10000</v>
      </c>
      <c r="X15" s="4">
        <v>10000</v>
      </c>
      <c r="Y15" s="4">
        <v>10000</v>
      </c>
      <c r="Z15" s="4">
        <v>10000</v>
      </c>
      <c r="AA15" s="4">
        <v>10000</v>
      </c>
      <c r="AB15" s="4">
        <v>10000</v>
      </c>
      <c r="AC15" s="4">
        <v>10000</v>
      </c>
      <c r="AD15" s="4">
        <v>10000</v>
      </c>
      <c r="AE15" s="4">
        <v>10000</v>
      </c>
      <c r="AF15" s="4">
        <v>10000</v>
      </c>
      <c r="AG15" s="4">
        <v>10000</v>
      </c>
      <c r="AH15" s="4">
        <v>10000</v>
      </c>
      <c r="AI15" s="4">
        <v>10000</v>
      </c>
      <c r="AJ15" s="4">
        <v>10000</v>
      </c>
      <c r="AK15" s="4">
        <v>10000</v>
      </c>
      <c r="AL15" s="4">
        <v>10000</v>
      </c>
      <c r="AM15" s="4">
        <v>10000</v>
      </c>
      <c r="AN15" s="4">
        <v>10000</v>
      </c>
      <c r="AO15" s="4">
        <v>10000</v>
      </c>
      <c r="AP15" s="4">
        <v>10000</v>
      </c>
      <c r="AQ15" s="4">
        <v>10000</v>
      </c>
      <c r="AR15" s="4">
        <v>10000</v>
      </c>
      <c r="AS15" s="4">
        <v>10000</v>
      </c>
      <c r="AT15" s="4">
        <v>10000</v>
      </c>
      <c r="AU15" s="4">
        <v>10000</v>
      </c>
      <c r="AV15" s="4">
        <v>10000</v>
      </c>
      <c r="AW15" s="4">
        <v>10000</v>
      </c>
      <c r="AX15" s="4">
        <v>10000</v>
      </c>
      <c r="AY15" s="4">
        <v>10000</v>
      </c>
      <c r="AZ15" s="4">
        <v>10000</v>
      </c>
      <c r="BA15" s="4">
        <v>10000</v>
      </c>
      <c r="BB15" s="4">
        <v>10000</v>
      </c>
      <c r="BC15" s="4">
        <v>10000</v>
      </c>
    </row>
    <row r="16" spans="1:55" ht="18.75" customHeight="1" x14ac:dyDescent="0.25">
      <c r="A16" s="5" t="s">
        <v>67</v>
      </c>
      <c r="B16" s="4">
        <v>10000</v>
      </c>
      <c r="C16" s="4">
        <v>10000</v>
      </c>
      <c r="D16" s="4">
        <v>10000</v>
      </c>
      <c r="E16" s="4">
        <v>10000</v>
      </c>
      <c r="F16" s="4">
        <v>10000</v>
      </c>
      <c r="G16" s="4">
        <v>10000</v>
      </c>
      <c r="H16" s="4">
        <v>10000</v>
      </c>
      <c r="I16" s="4">
        <v>10000</v>
      </c>
      <c r="J16" s="4">
        <v>10000</v>
      </c>
      <c r="K16" s="4">
        <v>10000</v>
      </c>
      <c r="L16" s="4">
        <v>10000</v>
      </c>
      <c r="M16" s="4">
        <v>10000</v>
      </c>
      <c r="N16" s="4">
        <v>10000</v>
      </c>
      <c r="O16" s="4">
        <v>10000</v>
      </c>
      <c r="P16" s="4">
        <v>10000</v>
      </c>
      <c r="Q16" s="4">
        <v>10000</v>
      </c>
      <c r="R16" s="4">
        <v>10000</v>
      </c>
      <c r="S16" s="4">
        <v>10000</v>
      </c>
      <c r="T16" s="4">
        <v>10000</v>
      </c>
      <c r="U16" s="4">
        <v>10000</v>
      </c>
      <c r="V16" s="4">
        <v>10000</v>
      </c>
      <c r="W16" s="4">
        <v>10000</v>
      </c>
      <c r="X16" s="4">
        <v>10000</v>
      </c>
      <c r="Y16" s="4">
        <v>10000</v>
      </c>
      <c r="Z16" s="4">
        <v>10000</v>
      </c>
      <c r="AA16" s="4">
        <v>10000</v>
      </c>
      <c r="AB16" s="4">
        <v>10000</v>
      </c>
      <c r="AC16" s="4">
        <v>10000</v>
      </c>
      <c r="AD16" s="4">
        <v>10000</v>
      </c>
      <c r="AE16" s="4">
        <v>10000</v>
      </c>
      <c r="AF16" s="4">
        <v>10000</v>
      </c>
      <c r="AG16" s="4">
        <v>10000</v>
      </c>
      <c r="AH16" s="4">
        <v>10000</v>
      </c>
      <c r="AI16" s="4">
        <v>10000</v>
      </c>
      <c r="AJ16" s="4">
        <v>10000</v>
      </c>
      <c r="AK16" s="4">
        <v>10000</v>
      </c>
      <c r="AL16" s="4">
        <v>10000</v>
      </c>
      <c r="AM16" s="4">
        <v>10000</v>
      </c>
      <c r="AN16" s="4">
        <v>10000</v>
      </c>
      <c r="AO16" s="4">
        <v>10000</v>
      </c>
      <c r="AP16" s="4">
        <v>10000</v>
      </c>
      <c r="AQ16" s="4">
        <v>10000</v>
      </c>
      <c r="AR16" s="4">
        <v>10000</v>
      </c>
      <c r="AS16" s="4">
        <v>10000</v>
      </c>
      <c r="AT16" s="4">
        <v>10000</v>
      </c>
      <c r="AU16" s="4">
        <v>10000</v>
      </c>
      <c r="AV16" s="4">
        <v>10000</v>
      </c>
      <c r="AW16" s="4">
        <v>10000</v>
      </c>
      <c r="AX16" s="4">
        <v>10000</v>
      </c>
      <c r="AY16" s="4">
        <v>10000</v>
      </c>
      <c r="AZ16" s="4">
        <v>10000</v>
      </c>
      <c r="BA16" s="4">
        <v>10000</v>
      </c>
      <c r="BB16" s="4">
        <v>10000</v>
      </c>
      <c r="BC16" s="4">
        <v>10000</v>
      </c>
    </row>
    <row r="17" spans="1:55" ht="18.75" customHeight="1" x14ac:dyDescent="0.25">
      <c r="A17" s="5" t="s">
        <v>68</v>
      </c>
      <c r="B17" s="4">
        <v>10000</v>
      </c>
      <c r="C17" s="4">
        <v>10000</v>
      </c>
      <c r="D17" s="4">
        <v>10000</v>
      </c>
      <c r="E17" s="4">
        <v>10000</v>
      </c>
      <c r="F17" s="4">
        <v>10000</v>
      </c>
      <c r="G17" s="4">
        <v>10000</v>
      </c>
      <c r="H17" s="4">
        <v>10000</v>
      </c>
      <c r="I17" s="4">
        <v>10000</v>
      </c>
      <c r="J17" s="4">
        <v>10000</v>
      </c>
      <c r="K17" s="4">
        <v>10000</v>
      </c>
      <c r="L17" s="4">
        <v>10000</v>
      </c>
      <c r="M17" s="4">
        <v>10000</v>
      </c>
      <c r="N17" s="4">
        <v>10000</v>
      </c>
      <c r="O17" s="4">
        <v>10000</v>
      </c>
      <c r="P17" s="4">
        <v>10000</v>
      </c>
      <c r="Q17" s="4">
        <v>10000</v>
      </c>
      <c r="R17" s="4">
        <v>10000</v>
      </c>
      <c r="S17" s="4">
        <v>10000</v>
      </c>
      <c r="T17" s="4">
        <v>10000</v>
      </c>
      <c r="U17" s="4">
        <v>10000</v>
      </c>
      <c r="V17" s="4">
        <v>10000</v>
      </c>
      <c r="W17" s="4">
        <v>10000</v>
      </c>
      <c r="X17" s="4">
        <v>10000</v>
      </c>
      <c r="Y17" s="4">
        <v>10000</v>
      </c>
      <c r="Z17" s="4">
        <v>10000</v>
      </c>
      <c r="AA17" s="4">
        <v>10000</v>
      </c>
      <c r="AB17" s="4">
        <v>10000</v>
      </c>
      <c r="AC17" s="4">
        <v>10000</v>
      </c>
      <c r="AD17" s="4">
        <v>10000</v>
      </c>
      <c r="AE17" s="4">
        <v>10000</v>
      </c>
      <c r="AF17" s="4">
        <v>10000</v>
      </c>
      <c r="AG17" s="4">
        <v>10000</v>
      </c>
      <c r="AH17" s="4">
        <v>10000</v>
      </c>
      <c r="AI17" s="4">
        <v>10000</v>
      </c>
      <c r="AJ17" s="4">
        <v>10000</v>
      </c>
      <c r="AK17" s="4">
        <v>10000</v>
      </c>
      <c r="AL17" s="4">
        <v>10000</v>
      </c>
      <c r="AM17" s="4">
        <v>10000</v>
      </c>
      <c r="AN17" s="4">
        <v>10000</v>
      </c>
      <c r="AO17" s="4">
        <v>10000</v>
      </c>
      <c r="AP17" s="4">
        <v>10000</v>
      </c>
      <c r="AQ17" s="4">
        <v>10000</v>
      </c>
      <c r="AR17" s="4">
        <v>10000</v>
      </c>
      <c r="AS17" s="4">
        <v>10000</v>
      </c>
      <c r="AT17" s="4">
        <v>10000</v>
      </c>
      <c r="AU17" s="4">
        <v>10000</v>
      </c>
      <c r="AV17" s="4">
        <v>10000</v>
      </c>
      <c r="AW17" s="4">
        <v>10000</v>
      </c>
      <c r="AX17" s="4">
        <v>10000</v>
      </c>
      <c r="AY17" s="4">
        <v>10000</v>
      </c>
      <c r="AZ17" s="4">
        <v>10000</v>
      </c>
      <c r="BA17" s="4">
        <v>10000</v>
      </c>
      <c r="BB17" s="4">
        <v>10000</v>
      </c>
      <c r="BC17" s="4">
        <v>10000</v>
      </c>
    </row>
    <row r="18" spans="1:55" ht="18.75" customHeight="1" x14ac:dyDescent="0.25">
      <c r="A18" s="5" t="s">
        <v>69</v>
      </c>
      <c r="B18" s="4">
        <v>10000</v>
      </c>
      <c r="C18" s="4">
        <v>10000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10000</v>
      </c>
      <c r="K18" s="4">
        <v>10000</v>
      </c>
      <c r="L18" s="4">
        <v>10000</v>
      </c>
      <c r="M18" s="4">
        <v>10000</v>
      </c>
      <c r="N18" s="4">
        <v>10000</v>
      </c>
      <c r="O18" s="4">
        <v>10000</v>
      </c>
      <c r="P18" s="4">
        <v>10000</v>
      </c>
      <c r="Q18" s="4">
        <v>10000</v>
      </c>
      <c r="R18" s="4">
        <v>10000</v>
      </c>
      <c r="S18" s="4">
        <v>10000</v>
      </c>
      <c r="T18" s="4">
        <v>10000</v>
      </c>
      <c r="U18" s="4">
        <v>10000</v>
      </c>
      <c r="V18" s="4">
        <v>10000</v>
      </c>
      <c r="W18" s="4">
        <v>10000</v>
      </c>
      <c r="X18" s="4">
        <v>10000</v>
      </c>
      <c r="Y18" s="4">
        <v>10000</v>
      </c>
      <c r="Z18" s="4">
        <v>10000</v>
      </c>
      <c r="AA18" s="4">
        <v>10000</v>
      </c>
      <c r="AB18" s="4">
        <v>10000</v>
      </c>
      <c r="AC18" s="4">
        <v>10000</v>
      </c>
      <c r="AD18" s="4">
        <v>10000</v>
      </c>
      <c r="AE18" s="4">
        <v>10000</v>
      </c>
      <c r="AF18" s="4">
        <v>10000</v>
      </c>
      <c r="AG18" s="4">
        <v>10000</v>
      </c>
      <c r="AH18" s="4">
        <v>10000</v>
      </c>
      <c r="AI18" s="4">
        <v>10000</v>
      </c>
      <c r="AJ18" s="4">
        <v>10000</v>
      </c>
      <c r="AK18" s="4">
        <v>10000</v>
      </c>
      <c r="AL18" s="4">
        <v>10000</v>
      </c>
      <c r="AM18" s="4">
        <v>10000</v>
      </c>
      <c r="AN18" s="4">
        <v>10000</v>
      </c>
      <c r="AO18" s="4">
        <v>10000</v>
      </c>
      <c r="AP18" s="4">
        <v>10000</v>
      </c>
      <c r="AQ18" s="4">
        <v>10000</v>
      </c>
      <c r="AR18" s="4">
        <v>10000</v>
      </c>
      <c r="AS18" s="4">
        <v>10000</v>
      </c>
      <c r="AT18" s="4">
        <v>10000</v>
      </c>
      <c r="AU18" s="4">
        <v>10000</v>
      </c>
      <c r="AV18" s="4">
        <v>10000</v>
      </c>
      <c r="AW18" s="4">
        <v>10000</v>
      </c>
      <c r="AX18" s="4">
        <v>10000</v>
      </c>
      <c r="AY18" s="4">
        <v>10000</v>
      </c>
      <c r="AZ18" s="4">
        <v>10000</v>
      </c>
      <c r="BA18" s="4">
        <v>10000</v>
      </c>
      <c r="BB18" s="4">
        <v>10000</v>
      </c>
      <c r="BC18" s="4">
        <v>10000</v>
      </c>
    </row>
    <row r="19" spans="1:55" ht="18.75" customHeight="1" x14ac:dyDescent="0.25">
      <c r="A19" s="5" t="s">
        <v>70</v>
      </c>
      <c r="B19" s="4">
        <v>10000</v>
      </c>
      <c r="C19" s="4">
        <v>10000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10000</v>
      </c>
      <c r="K19" s="4">
        <v>10000</v>
      </c>
      <c r="L19" s="4">
        <v>10000</v>
      </c>
      <c r="M19" s="4">
        <v>10000</v>
      </c>
      <c r="N19" s="4">
        <v>10000</v>
      </c>
      <c r="O19" s="4">
        <v>10000</v>
      </c>
      <c r="P19" s="4">
        <v>10000</v>
      </c>
      <c r="Q19" s="4">
        <v>10000</v>
      </c>
      <c r="R19" s="4">
        <v>10000</v>
      </c>
      <c r="S19" s="4">
        <v>10000</v>
      </c>
      <c r="T19" s="4">
        <v>10000</v>
      </c>
      <c r="U19" s="4">
        <v>10000</v>
      </c>
      <c r="V19" s="4">
        <v>10000</v>
      </c>
      <c r="W19" s="4">
        <v>10000</v>
      </c>
      <c r="X19" s="4">
        <v>10000</v>
      </c>
      <c r="Y19" s="4">
        <v>10000</v>
      </c>
      <c r="Z19" s="4">
        <v>10000</v>
      </c>
      <c r="AA19" s="4">
        <v>10000</v>
      </c>
      <c r="AB19" s="4">
        <v>10000</v>
      </c>
      <c r="AC19" s="4">
        <v>10000</v>
      </c>
      <c r="AD19" s="4">
        <v>10000</v>
      </c>
      <c r="AE19" s="4">
        <v>10000</v>
      </c>
      <c r="AF19" s="4">
        <v>10000</v>
      </c>
      <c r="AG19" s="4">
        <v>10000</v>
      </c>
      <c r="AH19" s="4">
        <v>10000</v>
      </c>
      <c r="AI19" s="4">
        <v>10000</v>
      </c>
      <c r="AJ19" s="4">
        <v>10000</v>
      </c>
      <c r="AK19" s="4">
        <v>10000</v>
      </c>
      <c r="AL19" s="4">
        <v>10000</v>
      </c>
      <c r="AM19" s="4">
        <v>10000</v>
      </c>
      <c r="AN19" s="4">
        <v>10000</v>
      </c>
      <c r="AO19" s="4">
        <v>10000</v>
      </c>
      <c r="AP19" s="4">
        <v>10000</v>
      </c>
      <c r="AQ19" s="4">
        <v>10000</v>
      </c>
      <c r="AR19" s="4">
        <v>10000</v>
      </c>
      <c r="AS19" s="4">
        <v>10000</v>
      </c>
      <c r="AT19" s="4">
        <v>10000</v>
      </c>
      <c r="AU19" s="4">
        <v>10000</v>
      </c>
      <c r="AV19" s="4">
        <v>10000</v>
      </c>
      <c r="AW19" s="4">
        <v>10000</v>
      </c>
      <c r="AX19" s="4">
        <v>10000</v>
      </c>
      <c r="AY19" s="4">
        <v>10000</v>
      </c>
      <c r="AZ19" s="4">
        <v>10000</v>
      </c>
      <c r="BA19" s="4">
        <v>10000</v>
      </c>
      <c r="BB19" s="4">
        <v>10000</v>
      </c>
      <c r="BC19" s="4">
        <v>10000</v>
      </c>
    </row>
    <row r="20" spans="1:55" ht="18.75" customHeight="1" x14ac:dyDescent="0.25">
      <c r="A20" s="5" t="s">
        <v>71</v>
      </c>
      <c r="B20" s="4">
        <v>10000</v>
      </c>
      <c r="C20" s="4">
        <v>10000</v>
      </c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4">
        <v>10000</v>
      </c>
      <c r="K20" s="4">
        <v>10000</v>
      </c>
      <c r="L20" s="4">
        <v>10000</v>
      </c>
      <c r="M20" s="4">
        <v>10000</v>
      </c>
      <c r="N20" s="4">
        <v>10000</v>
      </c>
      <c r="O20" s="4">
        <v>10000</v>
      </c>
      <c r="P20" s="4">
        <v>10000</v>
      </c>
      <c r="Q20" s="4">
        <v>10000</v>
      </c>
      <c r="R20" s="4">
        <v>10000</v>
      </c>
      <c r="S20" s="4">
        <v>10000</v>
      </c>
      <c r="T20" s="4">
        <v>10000</v>
      </c>
      <c r="U20" s="4">
        <v>10000</v>
      </c>
      <c r="V20" s="4">
        <v>10000</v>
      </c>
      <c r="W20" s="4">
        <v>10000</v>
      </c>
      <c r="X20" s="4">
        <v>10000</v>
      </c>
      <c r="Y20" s="4">
        <v>10000</v>
      </c>
      <c r="Z20" s="4">
        <v>10000</v>
      </c>
      <c r="AA20" s="4">
        <v>10000</v>
      </c>
      <c r="AB20" s="4">
        <v>10000</v>
      </c>
      <c r="AC20" s="4">
        <v>10000</v>
      </c>
      <c r="AD20" s="4">
        <v>10000</v>
      </c>
      <c r="AE20" s="4">
        <v>10000</v>
      </c>
      <c r="AF20" s="4">
        <v>10000</v>
      </c>
      <c r="AG20" s="4">
        <v>10000</v>
      </c>
      <c r="AH20" s="4">
        <v>10000</v>
      </c>
      <c r="AI20" s="4">
        <v>10000</v>
      </c>
      <c r="AJ20" s="4">
        <v>10000</v>
      </c>
      <c r="AK20" s="4">
        <v>10000</v>
      </c>
      <c r="AL20" s="4">
        <v>10000</v>
      </c>
      <c r="AM20" s="4">
        <v>10000</v>
      </c>
      <c r="AN20" s="4">
        <v>10000</v>
      </c>
      <c r="AO20" s="4">
        <v>10000</v>
      </c>
      <c r="AP20" s="4">
        <v>10000</v>
      </c>
      <c r="AQ20" s="4">
        <v>10000</v>
      </c>
      <c r="AR20" s="4">
        <v>10000</v>
      </c>
      <c r="AS20" s="4">
        <v>10000</v>
      </c>
      <c r="AT20" s="4">
        <v>10000</v>
      </c>
      <c r="AU20" s="4">
        <v>10000</v>
      </c>
      <c r="AV20" s="4">
        <v>10000</v>
      </c>
      <c r="AW20" s="4">
        <v>10000</v>
      </c>
      <c r="AX20" s="4">
        <v>10000</v>
      </c>
      <c r="AY20" s="4">
        <v>10000</v>
      </c>
      <c r="AZ20" s="4">
        <v>10000</v>
      </c>
      <c r="BA20" s="4">
        <v>10000</v>
      </c>
      <c r="BB20" s="4">
        <v>10000</v>
      </c>
      <c r="BC20" s="4">
        <v>10000</v>
      </c>
    </row>
    <row r="21" spans="1:55" ht="18.75" customHeight="1" x14ac:dyDescent="0.25">
      <c r="A21" s="5" t="s">
        <v>72</v>
      </c>
      <c r="B21" s="4">
        <v>10000</v>
      </c>
      <c r="C21" s="4">
        <v>10000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4">
        <v>10000</v>
      </c>
      <c r="K21" s="4">
        <v>10000</v>
      </c>
      <c r="L21" s="4">
        <v>10000</v>
      </c>
      <c r="M21" s="4">
        <v>10000</v>
      </c>
      <c r="N21" s="4">
        <v>10000</v>
      </c>
      <c r="O21" s="4">
        <v>10000</v>
      </c>
      <c r="P21" s="4">
        <v>10000</v>
      </c>
      <c r="Q21" s="4">
        <v>10000</v>
      </c>
      <c r="R21" s="4">
        <v>10000</v>
      </c>
      <c r="S21" s="4">
        <v>10000</v>
      </c>
      <c r="T21" s="4">
        <v>10000</v>
      </c>
      <c r="U21" s="4">
        <v>10000</v>
      </c>
      <c r="V21" s="4">
        <v>10000</v>
      </c>
      <c r="W21" s="4">
        <v>10000</v>
      </c>
      <c r="X21" s="4">
        <v>10000</v>
      </c>
      <c r="Y21" s="4">
        <v>10000</v>
      </c>
      <c r="Z21" s="4">
        <v>10000</v>
      </c>
      <c r="AA21" s="4">
        <v>10000</v>
      </c>
      <c r="AB21" s="4">
        <v>10000</v>
      </c>
      <c r="AC21" s="4">
        <v>10000</v>
      </c>
      <c r="AD21" s="4">
        <v>10000</v>
      </c>
      <c r="AE21" s="4">
        <v>10000</v>
      </c>
      <c r="AF21" s="4">
        <v>10000</v>
      </c>
      <c r="AG21" s="4">
        <v>10000</v>
      </c>
      <c r="AH21" s="4">
        <v>10000</v>
      </c>
      <c r="AI21" s="4">
        <v>10000</v>
      </c>
      <c r="AJ21" s="4">
        <v>10000</v>
      </c>
      <c r="AK21" s="4">
        <v>10000</v>
      </c>
      <c r="AL21" s="4">
        <v>10000</v>
      </c>
      <c r="AM21" s="4">
        <v>10000</v>
      </c>
      <c r="AN21" s="4">
        <v>10000</v>
      </c>
      <c r="AO21" s="4">
        <v>10000</v>
      </c>
      <c r="AP21" s="4">
        <v>10000</v>
      </c>
      <c r="AQ21" s="4">
        <v>10000</v>
      </c>
      <c r="AR21" s="4">
        <v>10000</v>
      </c>
      <c r="AS21" s="4">
        <v>10000</v>
      </c>
      <c r="AT21" s="4">
        <v>10000</v>
      </c>
      <c r="AU21" s="4">
        <v>10000</v>
      </c>
      <c r="AV21" s="4">
        <v>10000</v>
      </c>
      <c r="AW21" s="4">
        <v>10000</v>
      </c>
      <c r="AX21" s="4">
        <v>10000</v>
      </c>
      <c r="AY21" s="4">
        <v>10000</v>
      </c>
      <c r="AZ21" s="4">
        <v>10000</v>
      </c>
      <c r="BA21" s="4">
        <v>10000</v>
      </c>
      <c r="BB21" s="4">
        <v>10000</v>
      </c>
      <c r="BC21" s="4">
        <v>15</v>
      </c>
    </row>
    <row r="22" spans="1:55" ht="18.75" customHeight="1" x14ac:dyDescent="0.25">
      <c r="A22" s="5" t="s">
        <v>73</v>
      </c>
      <c r="B22" s="4">
        <v>10000</v>
      </c>
      <c r="C22" s="4">
        <v>10000</v>
      </c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10000</v>
      </c>
      <c r="K22" s="4">
        <v>10000</v>
      </c>
      <c r="L22" s="4">
        <v>10000</v>
      </c>
      <c r="M22" s="4">
        <v>10000</v>
      </c>
      <c r="N22" s="4">
        <v>10000</v>
      </c>
      <c r="O22" s="4">
        <v>10000</v>
      </c>
      <c r="P22" s="4">
        <v>10000</v>
      </c>
      <c r="Q22" s="4">
        <v>10000</v>
      </c>
      <c r="R22" s="4">
        <v>10000</v>
      </c>
      <c r="S22" s="4">
        <v>10000</v>
      </c>
      <c r="T22" s="4">
        <v>10000</v>
      </c>
      <c r="U22" s="4">
        <v>10000</v>
      </c>
      <c r="V22" s="4">
        <v>10000</v>
      </c>
      <c r="W22" s="4">
        <v>10000</v>
      </c>
      <c r="X22" s="4">
        <v>10000</v>
      </c>
      <c r="Y22" s="4">
        <v>10000</v>
      </c>
      <c r="Z22" s="4">
        <v>10000</v>
      </c>
      <c r="AA22" s="4">
        <v>10000</v>
      </c>
      <c r="AB22" s="4">
        <v>10000</v>
      </c>
      <c r="AC22" s="4">
        <v>10000</v>
      </c>
      <c r="AD22" s="4">
        <v>10000</v>
      </c>
      <c r="AE22" s="4">
        <v>10000</v>
      </c>
      <c r="AF22" s="4">
        <v>10000</v>
      </c>
      <c r="AG22" s="4">
        <v>10000</v>
      </c>
      <c r="AH22" s="4">
        <v>10000</v>
      </c>
      <c r="AI22" s="4">
        <v>10000</v>
      </c>
      <c r="AJ22" s="4">
        <v>10000</v>
      </c>
      <c r="AK22" s="4">
        <v>10000</v>
      </c>
      <c r="AL22" s="4">
        <v>10000</v>
      </c>
      <c r="AM22" s="4">
        <v>10000</v>
      </c>
      <c r="AN22" s="4">
        <v>10000</v>
      </c>
      <c r="AO22" s="4">
        <v>10000</v>
      </c>
      <c r="AP22" s="4">
        <v>10000</v>
      </c>
      <c r="AQ22" s="4">
        <v>10000</v>
      </c>
      <c r="AR22" s="4">
        <v>10000</v>
      </c>
      <c r="AS22" s="4">
        <v>10000</v>
      </c>
      <c r="AT22" s="4">
        <v>10000</v>
      </c>
      <c r="AU22" s="4">
        <v>10000</v>
      </c>
      <c r="AV22" s="4">
        <v>10000</v>
      </c>
      <c r="AW22" s="4">
        <v>10000</v>
      </c>
      <c r="AX22" s="4">
        <v>10000</v>
      </c>
      <c r="AY22" s="4">
        <v>10000</v>
      </c>
      <c r="AZ22" s="4">
        <v>10000</v>
      </c>
      <c r="BA22" s="4">
        <v>10000</v>
      </c>
      <c r="BB22" s="4">
        <v>10000</v>
      </c>
      <c r="BC22" s="4">
        <v>10000</v>
      </c>
    </row>
    <row r="23" spans="1:55" ht="18.75" customHeight="1" x14ac:dyDescent="0.25">
      <c r="A23" s="5" t="s">
        <v>74</v>
      </c>
      <c r="B23" s="4">
        <v>10000</v>
      </c>
      <c r="C23" s="4">
        <v>10000</v>
      </c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4">
        <v>10000</v>
      </c>
      <c r="K23" s="4">
        <v>10000</v>
      </c>
      <c r="L23" s="4">
        <v>10000</v>
      </c>
      <c r="M23" s="4">
        <v>10000</v>
      </c>
      <c r="N23" s="4">
        <v>10000</v>
      </c>
      <c r="O23" s="4">
        <v>10000</v>
      </c>
      <c r="P23" s="4">
        <v>10000</v>
      </c>
      <c r="Q23" s="4">
        <v>10000</v>
      </c>
      <c r="R23" s="4">
        <v>10000</v>
      </c>
      <c r="S23" s="4">
        <v>10000</v>
      </c>
      <c r="T23" s="4">
        <v>10000</v>
      </c>
      <c r="U23" s="4">
        <v>10000</v>
      </c>
      <c r="V23" s="4">
        <v>10000</v>
      </c>
      <c r="W23" s="4">
        <v>10000</v>
      </c>
      <c r="X23" s="4">
        <v>10000</v>
      </c>
      <c r="Y23" s="4">
        <v>10000</v>
      </c>
      <c r="Z23" s="4">
        <v>10000</v>
      </c>
      <c r="AA23" s="4">
        <v>10000</v>
      </c>
      <c r="AB23" s="4">
        <v>10000</v>
      </c>
      <c r="AC23" s="4">
        <v>10000</v>
      </c>
      <c r="AD23" s="4">
        <v>10000</v>
      </c>
      <c r="AE23" s="4">
        <v>10000</v>
      </c>
      <c r="AF23" s="4">
        <v>10000</v>
      </c>
      <c r="AG23" s="4">
        <v>10000</v>
      </c>
      <c r="AH23" s="4">
        <v>10000</v>
      </c>
      <c r="AI23" s="4">
        <v>10000</v>
      </c>
      <c r="AJ23" s="4">
        <v>10000</v>
      </c>
      <c r="AK23" s="4">
        <v>10000</v>
      </c>
      <c r="AL23" s="4">
        <v>10000</v>
      </c>
      <c r="AM23" s="4">
        <v>10000</v>
      </c>
      <c r="AN23" s="4">
        <v>10000</v>
      </c>
      <c r="AO23" s="4">
        <v>10000</v>
      </c>
      <c r="AP23" s="4">
        <v>10000</v>
      </c>
      <c r="AQ23" s="4">
        <v>10000</v>
      </c>
      <c r="AR23" s="4">
        <v>10000</v>
      </c>
      <c r="AS23" s="4">
        <v>10000</v>
      </c>
      <c r="AT23" s="4">
        <v>10000</v>
      </c>
      <c r="AU23" s="4">
        <v>10000</v>
      </c>
      <c r="AV23" s="4">
        <v>10000</v>
      </c>
      <c r="AW23" s="4">
        <v>10000</v>
      </c>
      <c r="AX23" s="4">
        <v>10000</v>
      </c>
      <c r="AY23" s="4">
        <v>10000</v>
      </c>
      <c r="AZ23" s="4">
        <v>10000</v>
      </c>
      <c r="BA23" s="4">
        <v>10000</v>
      </c>
      <c r="BB23" s="4">
        <v>10000</v>
      </c>
      <c r="BC23" s="4">
        <v>10000</v>
      </c>
    </row>
    <row r="24" spans="1:55" ht="18.75" customHeight="1" x14ac:dyDescent="0.25">
      <c r="A24" s="5" t="s">
        <v>75</v>
      </c>
      <c r="B24" s="4">
        <v>10000</v>
      </c>
      <c r="C24" s="4">
        <v>10000</v>
      </c>
      <c r="D24" s="4">
        <v>10000</v>
      </c>
      <c r="E24" s="4">
        <v>10000</v>
      </c>
      <c r="F24" s="4">
        <v>10000</v>
      </c>
      <c r="G24" s="4">
        <v>10000</v>
      </c>
      <c r="H24" s="4">
        <v>10000</v>
      </c>
      <c r="I24" s="4">
        <v>10000</v>
      </c>
      <c r="J24" s="4">
        <v>10000</v>
      </c>
      <c r="K24" s="4">
        <v>10000</v>
      </c>
      <c r="L24" s="4">
        <v>10000</v>
      </c>
      <c r="M24" s="4">
        <v>10000</v>
      </c>
      <c r="N24" s="4">
        <v>10000</v>
      </c>
      <c r="O24" s="4">
        <v>10000</v>
      </c>
      <c r="P24" s="4">
        <v>10000</v>
      </c>
      <c r="Q24" s="4">
        <v>10000</v>
      </c>
      <c r="R24" s="4">
        <v>10000</v>
      </c>
      <c r="S24" s="4">
        <v>10000</v>
      </c>
      <c r="T24" s="4">
        <v>10000</v>
      </c>
      <c r="U24" s="4">
        <v>10000</v>
      </c>
      <c r="V24" s="4">
        <v>10000</v>
      </c>
      <c r="W24" s="4">
        <v>10000</v>
      </c>
      <c r="X24" s="4">
        <v>10000</v>
      </c>
      <c r="Y24" s="4">
        <v>10000</v>
      </c>
      <c r="Z24" s="4">
        <v>10000</v>
      </c>
      <c r="AA24" s="4">
        <v>10000</v>
      </c>
      <c r="AB24" s="4">
        <v>10000</v>
      </c>
      <c r="AC24" s="4">
        <v>10000</v>
      </c>
      <c r="AD24" s="4">
        <v>10000</v>
      </c>
      <c r="AE24" s="4">
        <v>10000</v>
      </c>
      <c r="AF24" s="4">
        <v>10000</v>
      </c>
      <c r="AG24" s="4">
        <v>10000</v>
      </c>
      <c r="AH24" s="4">
        <v>10000</v>
      </c>
      <c r="AI24" s="4">
        <v>10000</v>
      </c>
      <c r="AJ24" s="4">
        <v>10000</v>
      </c>
      <c r="AK24" s="4">
        <v>10000</v>
      </c>
      <c r="AL24" s="4">
        <v>10000</v>
      </c>
      <c r="AM24" s="4">
        <v>10000</v>
      </c>
      <c r="AN24" s="4">
        <v>10000</v>
      </c>
      <c r="AO24" s="4">
        <v>10000</v>
      </c>
      <c r="AP24" s="4">
        <v>10000</v>
      </c>
      <c r="AQ24" s="4">
        <v>10000</v>
      </c>
      <c r="AR24" s="4">
        <v>10000</v>
      </c>
      <c r="AS24" s="4">
        <v>10000</v>
      </c>
      <c r="AT24" s="4">
        <v>10000</v>
      </c>
      <c r="AU24" s="4">
        <v>10000</v>
      </c>
      <c r="AV24" s="4">
        <v>10000</v>
      </c>
      <c r="AW24" s="4">
        <v>10000</v>
      </c>
      <c r="AX24" s="4">
        <v>10000</v>
      </c>
      <c r="AY24" s="4">
        <v>10000</v>
      </c>
      <c r="AZ24" s="4">
        <v>10000</v>
      </c>
      <c r="BA24" s="4">
        <v>10000</v>
      </c>
      <c r="BB24" s="4">
        <v>10000</v>
      </c>
      <c r="BC24" s="4">
        <v>15</v>
      </c>
    </row>
    <row r="25" spans="1:55" ht="18.75" customHeight="1" x14ac:dyDescent="0.25">
      <c r="A25" s="5" t="s">
        <v>76</v>
      </c>
      <c r="B25" s="4">
        <v>10000</v>
      </c>
      <c r="C25" s="4">
        <v>10000</v>
      </c>
      <c r="D25" s="4">
        <v>10000</v>
      </c>
      <c r="E25" s="4">
        <v>10000</v>
      </c>
      <c r="F25" s="4">
        <v>10000</v>
      </c>
      <c r="G25" s="4">
        <v>10000</v>
      </c>
      <c r="H25" s="4">
        <v>10000</v>
      </c>
      <c r="I25" s="4">
        <v>10000</v>
      </c>
      <c r="J25" s="4">
        <v>10000</v>
      </c>
      <c r="K25" s="4">
        <v>10000</v>
      </c>
      <c r="L25" s="4">
        <v>10000</v>
      </c>
      <c r="M25" s="4">
        <v>10000</v>
      </c>
      <c r="N25" s="4">
        <v>10000</v>
      </c>
      <c r="O25" s="4">
        <v>10000</v>
      </c>
      <c r="P25" s="4">
        <v>10000</v>
      </c>
      <c r="Q25" s="4">
        <v>10000</v>
      </c>
      <c r="R25" s="4">
        <v>10000</v>
      </c>
      <c r="S25" s="4">
        <v>10000</v>
      </c>
      <c r="T25" s="4">
        <v>10000</v>
      </c>
      <c r="U25" s="4">
        <v>10000</v>
      </c>
      <c r="V25" s="4">
        <v>10000</v>
      </c>
      <c r="W25" s="4">
        <v>10000</v>
      </c>
      <c r="X25" s="4">
        <v>10000</v>
      </c>
      <c r="Y25" s="4">
        <v>10000</v>
      </c>
      <c r="Z25" s="4">
        <v>10000</v>
      </c>
      <c r="AA25" s="4">
        <v>10000</v>
      </c>
      <c r="AB25" s="4">
        <v>10000</v>
      </c>
      <c r="AC25" s="4">
        <v>10000</v>
      </c>
      <c r="AD25" s="4">
        <v>10000</v>
      </c>
      <c r="AE25" s="4">
        <v>10000</v>
      </c>
      <c r="AF25" s="4">
        <v>10000</v>
      </c>
      <c r="AG25" s="4">
        <v>10000</v>
      </c>
      <c r="AH25" s="4">
        <v>10000</v>
      </c>
      <c r="AI25" s="4">
        <v>10000</v>
      </c>
      <c r="AJ25" s="4">
        <v>10000</v>
      </c>
      <c r="AK25" s="4">
        <v>10000</v>
      </c>
      <c r="AL25" s="4">
        <v>10000</v>
      </c>
      <c r="AM25" s="4">
        <v>10000</v>
      </c>
      <c r="AN25" s="4">
        <v>10000</v>
      </c>
      <c r="AO25" s="4">
        <v>10000</v>
      </c>
      <c r="AP25" s="4">
        <v>10000</v>
      </c>
      <c r="AQ25" s="4">
        <v>10000</v>
      </c>
      <c r="AR25" s="4">
        <v>10000</v>
      </c>
      <c r="AS25" s="4">
        <v>10000</v>
      </c>
      <c r="AT25" s="4">
        <v>10000</v>
      </c>
      <c r="AU25" s="4">
        <v>10000</v>
      </c>
      <c r="AV25" s="4">
        <v>10000</v>
      </c>
      <c r="AW25" s="4">
        <v>10000</v>
      </c>
      <c r="AX25" s="4">
        <v>10000</v>
      </c>
      <c r="AY25" s="4">
        <v>10000</v>
      </c>
      <c r="AZ25" s="4">
        <v>10000</v>
      </c>
      <c r="BA25" s="4">
        <v>10000</v>
      </c>
      <c r="BB25" s="4">
        <v>10000</v>
      </c>
      <c r="BC25" s="4">
        <v>10000</v>
      </c>
    </row>
    <row r="26" spans="1:55" ht="18.75" customHeight="1" x14ac:dyDescent="0.25">
      <c r="A26" s="5" t="s">
        <v>77</v>
      </c>
      <c r="B26" s="4">
        <v>10000</v>
      </c>
      <c r="C26" s="4">
        <v>10000</v>
      </c>
      <c r="D26" s="4">
        <v>10000</v>
      </c>
      <c r="E26" s="4">
        <v>10000</v>
      </c>
      <c r="F26" s="4">
        <v>10000</v>
      </c>
      <c r="G26" s="4">
        <v>10000</v>
      </c>
      <c r="H26" s="4">
        <v>10000</v>
      </c>
      <c r="I26" s="4">
        <v>10000</v>
      </c>
      <c r="J26" s="4">
        <v>10000</v>
      </c>
      <c r="K26" s="4">
        <v>10000</v>
      </c>
      <c r="L26" s="4">
        <v>10000</v>
      </c>
      <c r="M26" s="4">
        <v>10000</v>
      </c>
      <c r="N26" s="4">
        <v>10000</v>
      </c>
      <c r="O26" s="4">
        <v>10000</v>
      </c>
      <c r="P26" s="4">
        <v>10000</v>
      </c>
      <c r="Q26" s="4">
        <v>10000</v>
      </c>
      <c r="R26" s="4">
        <v>10000</v>
      </c>
      <c r="S26" s="4">
        <v>10000</v>
      </c>
      <c r="T26" s="4">
        <v>10000</v>
      </c>
      <c r="U26" s="4">
        <v>10000</v>
      </c>
      <c r="V26" s="4">
        <v>10000</v>
      </c>
      <c r="W26" s="4">
        <v>10000</v>
      </c>
      <c r="X26" s="4">
        <v>10000</v>
      </c>
      <c r="Y26" s="4">
        <v>10000</v>
      </c>
      <c r="Z26" s="4">
        <v>10000</v>
      </c>
      <c r="AA26" s="4">
        <v>10000</v>
      </c>
      <c r="AB26" s="4">
        <v>10000</v>
      </c>
      <c r="AC26" s="4">
        <v>10000</v>
      </c>
      <c r="AD26" s="4">
        <v>10000</v>
      </c>
      <c r="AE26" s="4">
        <v>10000</v>
      </c>
      <c r="AF26" s="4">
        <v>10000</v>
      </c>
      <c r="AG26" s="4">
        <v>10000</v>
      </c>
      <c r="AH26" s="4">
        <v>10000</v>
      </c>
      <c r="AI26" s="4">
        <v>10000</v>
      </c>
      <c r="AJ26" s="4">
        <v>10000</v>
      </c>
      <c r="AK26" s="4">
        <v>10000</v>
      </c>
      <c r="AL26" s="4">
        <v>10000</v>
      </c>
      <c r="AM26" s="4">
        <v>10000</v>
      </c>
      <c r="AN26" s="4">
        <v>10000</v>
      </c>
      <c r="AO26" s="4">
        <v>10000</v>
      </c>
      <c r="AP26" s="4">
        <v>10000</v>
      </c>
      <c r="AQ26" s="4">
        <v>10000</v>
      </c>
      <c r="AR26" s="4">
        <v>10000</v>
      </c>
      <c r="AS26" s="4">
        <v>10000</v>
      </c>
      <c r="AT26" s="4">
        <v>10000</v>
      </c>
      <c r="AU26" s="4">
        <v>10000</v>
      </c>
      <c r="AV26" s="4">
        <v>10000</v>
      </c>
      <c r="AW26" s="4">
        <v>10000</v>
      </c>
      <c r="AX26" s="4">
        <v>10000</v>
      </c>
      <c r="AY26" s="4">
        <v>10000</v>
      </c>
      <c r="AZ26" s="4">
        <v>10000</v>
      </c>
      <c r="BA26" s="4">
        <v>10000</v>
      </c>
      <c r="BB26" s="4">
        <v>10000</v>
      </c>
      <c r="BC26" s="4">
        <v>10000</v>
      </c>
    </row>
    <row r="27" spans="1:55" ht="18.75" customHeight="1" x14ac:dyDescent="0.25">
      <c r="A27" s="5" t="s">
        <v>78</v>
      </c>
      <c r="B27" s="4">
        <v>10000</v>
      </c>
      <c r="C27" s="4">
        <v>10000</v>
      </c>
      <c r="D27" s="4">
        <v>10000</v>
      </c>
      <c r="E27" s="4">
        <v>10000</v>
      </c>
      <c r="F27" s="4">
        <v>10000</v>
      </c>
      <c r="G27" s="4">
        <v>10000</v>
      </c>
      <c r="H27" s="4">
        <v>10000</v>
      </c>
      <c r="I27" s="4">
        <v>10000</v>
      </c>
      <c r="J27" s="4">
        <v>10000</v>
      </c>
      <c r="K27" s="4">
        <v>10000</v>
      </c>
      <c r="L27" s="4">
        <v>10000</v>
      </c>
      <c r="M27" s="4">
        <v>10000</v>
      </c>
      <c r="N27" s="4">
        <v>10000</v>
      </c>
      <c r="O27" s="4">
        <v>10000</v>
      </c>
      <c r="P27" s="4">
        <v>10000</v>
      </c>
      <c r="Q27" s="4">
        <v>10000</v>
      </c>
      <c r="R27" s="4">
        <v>10000</v>
      </c>
      <c r="S27" s="4">
        <v>10000</v>
      </c>
      <c r="T27" s="4">
        <v>10000</v>
      </c>
      <c r="U27" s="4">
        <v>10000</v>
      </c>
      <c r="V27" s="4">
        <v>10000</v>
      </c>
      <c r="W27" s="4">
        <v>10000</v>
      </c>
      <c r="X27" s="4">
        <v>10000</v>
      </c>
      <c r="Y27" s="4">
        <v>10000</v>
      </c>
      <c r="Z27" s="4">
        <v>10000</v>
      </c>
      <c r="AA27" s="4">
        <v>10000</v>
      </c>
      <c r="AB27" s="4">
        <v>10000</v>
      </c>
      <c r="AC27" s="4">
        <v>10000</v>
      </c>
      <c r="AD27" s="4">
        <v>10000</v>
      </c>
      <c r="AE27" s="4">
        <v>10000</v>
      </c>
      <c r="AF27" s="4">
        <v>10000</v>
      </c>
      <c r="AG27" s="4">
        <v>10000</v>
      </c>
      <c r="AH27" s="4">
        <v>10000</v>
      </c>
      <c r="AI27" s="4">
        <v>10000</v>
      </c>
      <c r="AJ27" s="4">
        <v>10000</v>
      </c>
      <c r="AK27" s="4">
        <v>10000</v>
      </c>
      <c r="AL27" s="4">
        <v>10000</v>
      </c>
      <c r="AM27" s="4">
        <v>10000</v>
      </c>
      <c r="AN27" s="4">
        <v>10000</v>
      </c>
      <c r="AO27" s="4">
        <v>10000</v>
      </c>
      <c r="AP27" s="4">
        <v>10000</v>
      </c>
      <c r="AQ27" s="4">
        <v>10000</v>
      </c>
      <c r="AR27" s="4">
        <v>10000</v>
      </c>
      <c r="AS27" s="4">
        <v>10000</v>
      </c>
      <c r="AT27" s="4">
        <v>10000</v>
      </c>
      <c r="AU27" s="4">
        <v>10000</v>
      </c>
      <c r="AV27" s="4">
        <v>10000</v>
      </c>
      <c r="AW27" s="4">
        <v>10000</v>
      </c>
      <c r="AX27" s="4">
        <v>10000</v>
      </c>
      <c r="AY27" s="4">
        <v>10000</v>
      </c>
      <c r="AZ27" s="4">
        <v>10000</v>
      </c>
      <c r="BA27" s="4">
        <v>10000</v>
      </c>
      <c r="BB27" s="4">
        <v>10000</v>
      </c>
      <c r="BC27" s="4">
        <v>10000</v>
      </c>
    </row>
    <row r="28" spans="1:55" ht="18.75" customHeight="1" x14ac:dyDescent="0.25">
      <c r="A28" s="5" t="s">
        <v>79</v>
      </c>
      <c r="B28" s="4">
        <v>10000</v>
      </c>
      <c r="C28" s="4">
        <v>10000</v>
      </c>
      <c r="D28" s="4">
        <v>10000</v>
      </c>
      <c r="E28" s="4">
        <v>10000</v>
      </c>
      <c r="F28" s="4">
        <v>10000</v>
      </c>
      <c r="G28" s="4">
        <v>10000</v>
      </c>
      <c r="H28" s="4">
        <v>10000</v>
      </c>
      <c r="I28" s="4">
        <v>10000</v>
      </c>
      <c r="J28" s="4">
        <v>10000</v>
      </c>
      <c r="K28" s="4">
        <v>10000</v>
      </c>
      <c r="L28" s="4">
        <v>10000</v>
      </c>
      <c r="M28" s="4">
        <v>10000</v>
      </c>
      <c r="N28" s="4">
        <v>10000</v>
      </c>
      <c r="O28" s="4">
        <v>10000</v>
      </c>
      <c r="P28" s="4">
        <v>10000</v>
      </c>
      <c r="Q28" s="4">
        <v>10000</v>
      </c>
      <c r="R28" s="4">
        <v>10000</v>
      </c>
      <c r="S28" s="4">
        <v>10000</v>
      </c>
      <c r="T28" s="4">
        <v>10000</v>
      </c>
      <c r="U28" s="4">
        <v>10000</v>
      </c>
      <c r="V28" s="4">
        <v>10000</v>
      </c>
      <c r="W28" s="4">
        <v>10000</v>
      </c>
      <c r="X28" s="4">
        <v>10000</v>
      </c>
      <c r="Y28" s="4">
        <v>10000</v>
      </c>
      <c r="Z28" s="4">
        <v>10000</v>
      </c>
      <c r="AA28" s="4">
        <v>10000</v>
      </c>
      <c r="AB28" s="4">
        <v>10000</v>
      </c>
      <c r="AC28" s="4">
        <v>10000</v>
      </c>
      <c r="AD28" s="4">
        <v>10000</v>
      </c>
      <c r="AE28" s="4">
        <v>10000</v>
      </c>
      <c r="AF28" s="4">
        <v>10000</v>
      </c>
      <c r="AG28" s="4">
        <v>10000</v>
      </c>
      <c r="AH28" s="4">
        <v>10000</v>
      </c>
      <c r="AI28" s="4">
        <v>10000</v>
      </c>
      <c r="AJ28" s="4">
        <v>10000</v>
      </c>
      <c r="AK28" s="4">
        <v>10000</v>
      </c>
      <c r="AL28" s="4">
        <v>10000</v>
      </c>
      <c r="AM28" s="4">
        <v>10000</v>
      </c>
      <c r="AN28" s="4">
        <v>10000</v>
      </c>
      <c r="AO28" s="4">
        <v>10000</v>
      </c>
      <c r="AP28" s="4">
        <v>10000</v>
      </c>
      <c r="AQ28" s="4">
        <v>10000</v>
      </c>
      <c r="AR28" s="4">
        <v>10000</v>
      </c>
      <c r="AS28" s="4">
        <v>10000</v>
      </c>
      <c r="AT28" s="4">
        <v>10000</v>
      </c>
      <c r="AU28" s="4">
        <v>10000</v>
      </c>
      <c r="AV28" s="4">
        <v>10000</v>
      </c>
      <c r="AW28" s="4">
        <v>10000</v>
      </c>
      <c r="AX28" s="4">
        <v>10000</v>
      </c>
      <c r="AY28" s="4">
        <v>10000</v>
      </c>
      <c r="AZ28" s="4">
        <v>10000</v>
      </c>
      <c r="BA28" s="4">
        <v>10000</v>
      </c>
      <c r="BB28" s="4">
        <v>10000</v>
      </c>
      <c r="BC28" s="4">
        <v>15</v>
      </c>
    </row>
    <row r="29" spans="1:55" ht="18.75" customHeight="1" x14ac:dyDescent="0.25">
      <c r="A29" s="5" t="s">
        <v>80</v>
      </c>
      <c r="B29" s="4">
        <v>10000</v>
      </c>
      <c r="C29" s="4">
        <v>10000</v>
      </c>
      <c r="D29" s="4">
        <v>10000</v>
      </c>
      <c r="E29" s="4">
        <v>10000</v>
      </c>
      <c r="F29" s="4">
        <v>10000</v>
      </c>
      <c r="G29" s="4">
        <v>10000</v>
      </c>
      <c r="H29" s="4">
        <v>10000</v>
      </c>
      <c r="I29" s="4">
        <v>10000</v>
      </c>
      <c r="J29" s="4">
        <v>10000</v>
      </c>
      <c r="K29" s="4">
        <v>10000</v>
      </c>
      <c r="L29" s="4">
        <v>10000</v>
      </c>
      <c r="M29" s="4">
        <v>10000</v>
      </c>
      <c r="N29" s="4">
        <v>10000</v>
      </c>
      <c r="O29" s="4">
        <v>10000</v>
      </c>
      <c r="P29" s="4">
        <v>10000</v>
      </c>
      <c r="Q29" s="4">
        <v>10000</v>
      </c>
      <c r="R29" s="4">
        <v>10000</v>
      </c>
      <c r="S29" s="4">
        <v>10000</v>
      </c>
      <c r="T29" s="4">
        <v>10000</v>
      </c>
      <c r="U29" s="4">
        <v>10000</v>
      </c>
      <c r="V29" s="4">
        <v>10000</v>
      </c>
      <c r="W29" s="4">
        <v>10000</v>
      </c>
      <c r="X29" s="4">
        <v>10000</v>
      </c>
      <c r="Y29" s="4">
        <v>10000</v>
      </c>
      <c r="Z29" s="4">
        <v>10000</v>
      </c>
      <c r="AA29" s="4">
        <v>10000</v>
      </c>
      <c r="AB29" s="4">
        <v>10000</v>
      </c>
      <c r="AC29" s="4">
        <v>10000</v>
      </c>
      <c r="AD29" s="4">
        <v>10000</v>
      </c>
      <c r="AE29" s="4">
        <v>10000</v>
      </c>
      <c r="AF29" s="4">
        <v>10000</v>
      </c>
      <c r="AG29" s="4">
        <v>10000</v>
      </c>
      <c r="AH29" s="4">
        <v>10000</v>
      </c>
      <c r="AI29" s="4">
        <v>10000</v>
      </c>
      <c r="AJ29" s="4">
        <v>10000</v>
      </c>
      <c r="AK29" s="4">
        <v>10000</v>
      </c>
      <c r="AL29" s="4">
        <v>10000</v>
      </c>
      <c r="AM29" s="4">
        <v>10000</v>
      </c>
      <c r="AN29" s="4">
        <v>10000</v>
      </c>
      <c r="AO29" s="4">
        <v>10000</v>
      </c>
      <c r="AP29" s="4">
        <v>10000</v>
      </c>
      <c r="AQ29" s="4">
        <v>10000</v>
      </c>
      <c r="AR29" s="4">
        <v>10000</v>
      </c>
      <c r="AS29" s="4">
        <v>10000</v>
      </c>
      <c r="AT29" s="4">
        <v>10000</v>
      </c>
      <c r="AU29" s="4">
        <v>10000</v>
      </c>
      <c r="AV29" s="4">
        <v>10000</v>
      </c>
      <c r="AW29" s="4">
        <v>10000</v>
      </c>
      <c r="AX29" s="4">
        <v>10000</v>
      </c>
      <c r="AY29" s="4">
        <v>10000</v>
      </c>
      <c r="AZ29" s="4">
        <v>10000</v>
      </c>
      <c r="BA29" s="4">
        <v>10000</v>
      </c>
      <c r="BB29" s="4">
        <v>10000</v>
      </c>
      <c r="BC29" s="4">
        <v>10000</v>
      </c>
    </row>
    <row r="30" spans="1:55" ht="18.75" customHeight="1" x14ac:dyDescent="0.25">
      <c r="A30" s="5" t="s">
        <v>81</v>
      </c>
      <c r="B30" s="4">
        <v>10000</v>
      </c>
      <c r="C30" s="4">
        <v>10000</v>
      </c>
      <c r="D30" s="4">
        <v>10000</v>
      </c>
      <c r="E30" s="4">
        <v>10000</v>
      </c>
      <c r="F30" s="4">
        <v>10000</v>
      </c>
      <c r="G30" s="4">
        <v>10000</v>
      </c>
      <c r="H30" s="4">
        <v>10000</v>
      </c>
      <c r="I30" s="4">
        <v>10000</v>
      </c>
      <c r="J30" s="4">
        <v>10000</v>
      </c>
      <c r="K30" s="4">
        <v>10000</v>
      </c>
      <c r="L30" s="4">
        <v>10000</v>
      </c>
      <c r="M30" s="4">
        <v>10000</v>
      </c>
      <c r="N30" s="4">
        <v>10000</v>
      </c>
      <c r="O30" s="4">
        <v>10000</v>
      </c>
      <c r="P30" s="4">
        <v>10000</v>
      </c>
      <c r="Q30" s="4">
        <v>10000</v>
      </c>
      <c r="R30" s="4">
        <v>10000</v>
      </c>
      <c r="S30" s="4">
        <v>10000</v>
      </c>
      <c r="T30" s="4">
        <v>10000</v>
      </c>
      <c r="U30" s="4">
        <v>10000</v>
      </c>
      <c r="V30" s="4">
        <v>10000</v>
      </c>
      <c r="W30" s="4">
        <v>10000</v>
      </c>
      <c r="X30" s="4">
        <v>10000</v>
      </c>
      <c r="Y30" s="4">
        <v>10000</v>
      </c>
      <c r="Z30" s="4">
        <v>10000</v>
      </c>
      <c r="AA30" s="4">
        <v>10000</v>
      </c>
      <c r="AB30" s="4">
        <v>10000</v>
      </c>
      <c r="AC30" s="4">
        <v>10000</v>
      </c>
      <c r="AD30" s="4">
        <v>10000</v>
      </c>
      <c r="AE30" s="4">
        <v>10000</v>
      </c>
      <c r="AF30" s="4">
        <v>10000</v>
      </c>
      <c r="AG30" s="4">
        <v>10000</v>
      </c>
      <c r="AH30" s="4">
        <v>10000</v>
      </c>
      <c r="AI30" s="4">
        <v>10000</v>
      </c>
      <c r="AJ30" s="4">
        <v>10000</v>
      </c>
      <c r="AK30" s="4">
        <v>10000</v>
      </c>
      <c r="AL30" s="4">
        <v>10000</v>
      </c>
      <c r="AM30" s="4">
        <v>10000</v>
      </c>
      <c r="AN30" s="4">
        <v>10000</v>
      </c>
      <c r="AO30" s="4">
        <v>10000</v>
      </c>
      <c r="AP30" s="4">
        <v>10000</v>
      </c>
      <c r="AQ30" s="4">
        <v>10000</v>
      </c>
      <c r="AR30" s="4">
        <v>10000</v>
      </c>
      <c r="AS30" s="4">
        <v>10000</v>
      </c>
      <c r="AT30" s="4">
        <v>10000</v>
      </c>
      <c r="AU30" s="4">
        <v>10000</v>
      </c>
      <c r="AV30" s="4">
        <v>10000</v>
      </c>
      <c r="AW30" s="4">
        <v>10000</v>
      </c>
      <c r="AX30" s="4">
        <v>10000</v>
      </c>
      <c r="AY30" s="4">
        <v>10000</v>
      </c>
      <c r="AZ30" s="4">
        <v>10000</v>
      </c>
      <c r="BA30" s="4">
        <v>15</v>
      </c>
      <c r="BB30" s="4">
        <v>10000</v>
      </c>
      <c r="BC30" s="4">
        <v>10000</v>
      </c>
    </row>
    <row r="31" spans="1:55" ht="18.75" customHeight="1" x14ac:dyDescent="0.25">
      <c r="A31" s="5" t="s">
        <v>82</v>
      </c>
      <c r="B31" s="4">
        <v>10000</v>
      </c>
      <c r="C31" s="4">
        <v>10000</v>
      </c>
      <c r="D31" s="4">
        <v>10000</v>
      </c>
      <c r="E31" s="4">
        <v>10000</v>
      </c>
      <c r="F31" s="4">
        <v>10000</v>
      </c>
      <c r="G31" s="4">
        <v>10000</v>
      </c>
      <c r="H31" s="4">
        <v>10000</v>
      </c>
      <c r="I31" s="4">
        <v>10000</v>
      </c>
      <c r="J31" s="4">
        <v>10000</v>
      </c>
      <c r="K31" s="4">
        <v>10000</v>
      </c>
      <c r="L31" s="4">
        <v>10000</v>
      </c>
      <c r="M31" s="4">
        <v>10000</v>
      </c>
      <c r="N31" s="4">
        <v>10000</v>
      </c>
      <c r="O31" s="4">
        <v>10000</v>
      </c>
      <c r="P31" s="4">
        <v>10000</v>
      </c>
      <c r="Q31" s="4">
        <v>10000</v>
      </c>
      <c r="R31" s="4">
        <v>10000</v>
      </c>
      <c r="S31" s="4">
        <v>10000</v>
      </c>
      <c r="T31" s="4">
        <v>10000</v>
      </c>
      <c r="U31" s="4">
        <v>10000</v>
      </c>
      <c r="V31" s="4">
        <v>10000</v>
      </c>
      <c r="W31" s="4">
        <v>10000</v>
      </c>
      <c r="X31" s="4">
        <v>10000</v>
      </c>
      <c r="Y31" s="4">
        <v>10000</v>
      </c>
      <c r="Z31" s="4">
        <v>10000</v>
      </c>
      <c r="AA31" s="4">
        <v>10000</v>
      </c>
      <c r="AB31" s="4">
        <v>10000</v>
      </c>
      <c r="AC31" s="4">
        <v>10000</v>
      </c>
      <c r="AD31" s="4">
        <v>10000</v>
      </c>
      <c r="AE31" s="4">
        <v>10000</v>
      </c>
      <c r="AF31" s="4">
        <v>10000</v>
      </c>
      <c r="AG31" s="4">
        <v>10000</v>
      </c>
      <c r="AH31" s="4">
        <v>10000</v>
      </c>
      <c r="AI31" s="4">
        <v>10000</v>
      </c>
      <c r="AJ31" s="4">
        <v>10000</v>
      </c>
      <c r="AK31" s="4">
        <v>10000</v>
      </c>
      <c r="AL31" s="4">
        <v>10000</v>
      </c>
      <c r="AM31" s="4">
        <v>10000</v>
      </c>
      <c r="AN31" s="4">
        <v>10000</v>
      </c>
      <c r="AO31" s="4">
        <v>10000</v>
      </c>
      <c r="AP31" s="4">
        <v>10000</v>
      </c>
      <c r="AQ31" s="4">
        <v>10000</v>
      </c>
      <c r="AR31" s="4">
        <v>10000</v>
      </c>
      <c r="AS31" s="4">
        <v>10000</v>
      </c>
      <c r="AT31" s="4">
        <v>10000</v>
      </c>
      <c r="AU31" s="4">
        <v>10000</v>
      </c>
      <c r="AV31" s="4">
        <v>10000</v>
      </c>
      <c r="AW31" s="4">
        <v>10000</v>
      </c>
      <c r="AX31" s="4">
        <v>10000</v>
      </c>
      <c r="AY31" s="4">
        <v>10000</v>
      </c>
      <c r="AZ31" s="4">
        <v>10000</v>
      </c>
      <c r="BA31" s="4">
        <v>10000</v>
      </c>
      <c r="BB31" s="4">
        <v>10000</v>
      </c>
      <c r="BC31" s="4">
        <v>10000</v>
      </c>
    </row>
    <row r="32" spans="1:55" ht="18.75" customHeight="1" x14ac:dyDescent="0.25">
      <c r="A32" s="5" t="s">
        <v>83</v>
      </c>
      <c r="B32" s="4">
        <v>10000</v>
      </c>
      <c r="C32" s="4">
        <v>10000</v>
      </c>
      <c r="D32" s="4">
        <v>10000</v>
      </c>
      <c r="E32" s="4">
        <v>10000</v>
      </c>
      <c r="F32" s="4">
        <v>10000</v>
      </c>
      <c r="G32" s="4">
        <v>10000</v>
      </c>
      <c r="H32" s="4">
        <v>10000</v>
      </c>
      <c r="I32" s="4">
        <v>10000</v>
      </c>
      <c r="J32" s="4">
        <v>10000</v>
      </c>
      <c r="K32" s="4">
        <v>10000</v>
      </c>
      <c r="L32" s="4">
        <v>10000</v>
      </c>
      <c r="M32" s="4">
        <v>10000</v>
      </c>
      <c r="N32" s="4">
        <v>10000</v>
      </c>
      <c r="O32" s="4">
        <v>10000</v>
      </c>
      <c r="P32" s="4">
        <v>10000</v>
      </c>
      <c r="Q32" s="4">
        <v>10000</v>
      </c>
      <c r="R32" s="4">
        <v>10000</v>
      </c>
      <c r="S32" s="4">
        <v>10000</v>
      </c>
      <c r="T32" s="4">
        <v>10000</v>
      </c>
      <c r="U32" s="4">
        <v>10000</v>
      </c>
      <c r="V32" s="4">
        <v>10000</v>
      </c>
      <c r="W32" s="4">
        <v>10000</v>
      </c>
      <c r="X32" s="4">
        <v>10000</v>
      </c>
      <c r="Y32" s="4">
        <v>10000</v>
      </c>
      <c r="Z32" s="4">
        <v>10000</v>
      </c>
      <c r="AA32" s="4">
        <v>10000</v>
      </c>
      <c r="AB32" s="4">
        <v>10000</v>
      </c>
      <c r="AC32" s="4">
        <v>10000</v>
      </c>
      <c r="AD32" s="4">
        <v>10000</v>
      </c>
      <c r="AE32" s="4">
        <v>10000</v>
      </c>
      <c r="AF32" s="4">
        <v>10000</v>
      </c>
      <c r="AG32" s="4">
        <v>10000</v>
      </c>
      <c r="AH32" s="4">
        <v>10000</v>
      </c>
      <c r="AI32" s="4">
        <v>10000</v>
      </c>
      <c r="AJ32" s="4">
        <v>10000</v>
      </c>
      <c r="AK32" s="4">
        <v>10000</v>
      </c>
      <c r="AL32" s="4">
        <v>10000</v>
      </c>
      <c r="AM32" s="4">
        <v>10000</v>
      </c>
      <c r="AN32" s="4">
        <v>10000</v>
      </c>
      <c r="AO32" s="4">
        <v>10000</v>
      </c>
      <c r="AP32" s="4">
        <v>10000</v>
      </c>
      <c r="AQ32" s="4">
        <v>10000</v>
      </c>
      <c r="AR32" s="4">
        <v>10000</v>
      </c>
      <c r="AS32" s="4">
        <v>10000</v>
      </c>
      <c r="AT32" s="4">
        <v>10000</v>
      </c>
      <c r="AU32" s="4">
        <v>10000</v>
      </c>
      <c r="AV32" s="4">
        <v>10000</v>
      </c>
      <c r="AW32" s="4">
        <v>10000</v>
      </c>
      <c r="AX32" s="4">
        <v>10000</v>
      </c>
      <c r="AY32" s="4">
        <v>10000</v>
      </c>
      <c r="AZ32" s="4">
        <v>10000</v>
      </c>
      <c r="BA32" s="4">
        <v>10000</v>
      </c>
      <c r="BB32" s="4">
        <v>10000</v>
      </c>
      <c r="BC32" s="4">
        <v>10000</v>
      </c>
    </row>
    <row r="33" spans="1:55" ht="18.75" customHeight="1" x14ac:dyDescent="0.25">
      <c r="A33" s="5" t="s">
        <v>84</v>
      </c>
      <c r="B33" s="4">
        <v>10000</v>
      </c>
      <c r="C33" s="4">
        <v>10000</v>
      </c>
      <c r="D33" s="4">
        <v>10000</v>
      </c>
      <c r="E33" s="4">
        <v>10000</v>
      </c>
      <c r="F33" s="4">
        <v>10000</v>
      </c>
      <c r="G33" s="4">
        <v>10000</v>
      </c>
      <c r="H33" s="4">
        <v>10000</v>
      </c>
      <c r="I33" s="4">
        <v>10000</v>
      </c>
      <c r="J33" s="4">
        <v>10000</v>
      </c>
      <c r="K33" s="4">
        <v>10000</v>
      </c>
      <c r="L33" s="4">
        <v>10000</v>
      </c>
      <c r="M33" s="4">
        <v>10000</v>
      </c>
      <c r="N33" s="4">
        <v>10000</v>
      </c>
      <c r="O33" s="4">
        <v>10000</v>
      </c>
      <c r="P33" s="4">
        <v>10000</v>
      </c>
      <c r="Q33" s="4">
        <v>10000</v>
      </c>
      <c r="R33" s="4">
        <v>10000</v>
      </c>
      <c r="S33" s="4">
        <v>10000</v>
      </c>
      <c r="T33" s="4">
        <v>10000</v>
      </c>
      <c r="U33" s="4">
        <v>10000</v>
      </c>
      <c r="V33" s="4">
        <v>10000</v>
      </c>
      <c r="W33" s="4">
        <v>10000</v>
      </c>
      <c r="X33" s="4">
        <v>10000</v>
      </c>
      <c r="Y33" s="4">
        <v>10000</v>
      </c>
      <c r="Z33" s="4">
        <v>10000</v>
      </c>
      <c r="AA33" s="4">
        <v>10000</v>
      </c>
      <c r="AB33" s="4">
        <v>10000</v>
      </c>
      <c r="AC33" s="4">
        <v>10000</v>
      </c>
      <c r="AD33" s="4">
        <v>10000</v>
      </c>
      <c r="AE33" s="4">
        <v>10000</v>
      </c>
      <c r="AF33" s="4">
        <v>10000</v>
      </c>
      <c r="AG33" s="4">
        <v>10000</v>
      </c>
      <c r="AH33" s="4">
        <v>10000</v>
      </c>
      <c r="AI33" s="4">
        <v>10000</v>
      </c>
      <c r="AJ33" s="4">
        <v>10000</v>
      </c>
      <c r="AK33" s="4">
        <v>10000</v>
      </c>
      <c r="AL33" s="4">
        <v>10000</v>
      </c>
      <c r="AM33" s="4">
        <v>10000</v>
      </c>
      <c r="AN33" s="4">
        <v>10000</v>
      </c>
      <c r="AO33" s="4">
        <v>10000</v>
      </c>
      <c r="AP33" s="4">
        <v>10000</v>
      </c>
      <c r="AQ33" s="4">
        <v>10000</v>
      </c>
      <c r="AR33" s="4">
        <v>10000</v>
      </c>
      <c r="AS33" s="4">
        <v>10000</v>
      </c>
      <c r="AT33" s="4">
        <v>10000</v>
      </c>
      <c r="AU33" s="4">
        <v>10000</v>
      </c>
      <c r="AV33" s="4">
        <v>10000</v>
      </c>
      <c r="AW33" s="4">
        <v>10000</v>
      </c>
      <c r="AX33" s="4">
        <v>10000</v>
      </c>
      <c r="AY33" s="4">
        <v>10000</v>
      </c>
      <c r="AZ33" s="4">
        <v>10000</v>
      </c>
      <c r="BA33" s="4">
        <v>10000</v>
      </c>
      <c r="BB33" s="4">
        <v>10000</v>
      </c>
      <c r="BC33" s="4">
        <v>10000</v>
      </c>
    </row>
    <row r="34" spans="1:55" ht="18.75" customHeight="1" x14ac:dyDescent="0.25">
      <c r="A34" s="5" t="s">
        <v>85</v>
      </c>
      <c r="B34" s="4">
        <v>10000</v>
      </c>
      <c r="C34" s="4">
        <v>10000</v>
      </c>
      <c r="D34" s="4">
        <v>10000</v>
      </c>
      <c r="E34" s="4">
        <v>10000</v>
      </c>
      <c r="F34" s="4">
        <v>10000</v>
      </c>
      <c r="G34" s="4">
        <v>10000</v>
      </c>
      <c r="H34" s="4">
        <v>10000</v>
      </c>
      <c r="I34" s="4">
        <v>10000</v>
      </c>
      <c r="J34" s="4">
        <v>10000</v>
      </c>
      <c r="K34" s="4">
        <v>10000</v>
      </c>
      <c r="L34" s="4">
        <v>10000</v>
      </c>
      <c r="M34" s="4">
        <v>10000</v>
      </c>
      <c r="N34" s="4">
        <v>10000</v>
      </c>
      <c r="O34" s="4">
        <v>10000</v>
      </c>
      <c r="P34" s="4">
        <v>10000</v>
      </c>
      <c r="Q34" s="4">
        <v>10000</v>
      </c>
      <c r="R34" s="4">
        <v>10000</v>
      </c>
      <c r="S34" s="4">
        <v>10000</v>
      </c>
      <c r="T34" s="4">
        <v>10000</v>
      </c>
      <c r="U34" s="4">
        <v>10000</v>
      </c>
      <c r="V34" s="4">
        <v>10000</v>
      </c>
      <c r="W34" s="4">
        <v>10000</v>
      </c>
      <c r="X34" s="4">
        <v>10000</v>
      </c>
      <c r="Y34" s="4">
        <v>10000</v>
      </c>
      <c r="Z34" s="4">
        <v>10000</v>
      </c>
      <c r="AA34" s="4">
        <v>10000</v>
      </c>
      <c r="AB34" s="4">
        <v>10000</v>
      </c>
      <c r="AC34" s="4">
        <v>10000</v>
      </c>
      <c r="AD34" s="4">
        <v>10000</v>
      </c>
      <c r="AE34" s="4">
        <v>10000</v>
      </c>
      <c r="AF34" s="4">
        <v>10000</v>
      </c>
      <c r="AG34" s="4">
        <v>10000</v>
      </c>
      <c r="AH34" s="4">
        <v>10000</v>
      </c>
      <c r="AI34" s="4">
        <v>10000</v>
      </c>
      <c r="AJ34" s="4">
        <v>10000</v>
      </c>
      <c r="AK34" s="4">
        <v>10000</v>
      </c>
      <c r="AL34" s="4">
        <v>10000</v>
      </c>
      <c r="AM34" s="4">
        <v>10000</v>
      </c>
      <c r="AN34" s="4">
        <v>10000</v>
      </c>
      <c r="AO34" s="4">
        <v>10000</v>
      </c>
      <c r="AP34" s="4">
        <v>10000</v>
      </c>
      <c r="AQ34" s="4">
        <v>10000</v>
      </c>
      <c r="AR34" s="4">
        <v>10000</v>
      </c>
      <c r="AS34" s="4">
        <v>10000</v>
      </c>
      <c r="AT34" s="4">
        <v>10000</v>
      </c>
      <c r="AU34" s="4">
        <v>10000</v>
      </c>
      <c r="AV34" s="4">
        <v>10000</v>
      </c>
      <c r="AW34" s="4">
        <v>10000</v>
      </c>
      <c r="AX34" s="4">
        <v>10000</v>
      </c>
      <c r="AY34" s="4">
        <v>10000</v>
      </c>
      <c r="AZ34" s="4">
        <v>10000</v>
      </c>
      <c r="BA34" s="4">
        <v>10000</v>
      </c>
      <c r="BB34" s="4">
        <v>10000</v>
      </c>
      <c r="BC34" s="4">
        <v>10000</v>
      </c>
    </row>
    <row r="35" spans="1:55" ht="18.75" customHeight="1" x14ac:dyDescent="0.25">
      <c r="A35" s="5" t="s">
        <v>86</v>
      </c>
      <c r="B35" s="4">
        <v>10000</v>
      </c>
      <c r="C35" s="4">
        <v>10000</v>
      </c>
      <c r="D35" s="4">
        <v>10000</v>
      </c>
      <c r="E35" s="4">
        <v>10000</v>
      </c>
      <c r="F35" s="4">
        <v>10000</v>
      </c>
      <c r="G35" s="4">
        <v>10000</v>
      </c>
      <c r="H35" s="4">
        <v>10000</v>
      </c>
      <c r="I35" s="4">
        <v>10000</v>
      </c>
      <c r="J35" s="4">
        <v>10000</v>
      </c>
      <c r="K35" s="4">
        <v>10000</v>
      </c>
      <c r="L35" s="4">
        <v>10000</v>
      </c>
      <c r="M35" s="4">
        <v>10000</v>
      </c>
      <c r="N35" s="4">
        <v>10000</v>
      </c>
      <c r="O35" s="4">
        <v>10000</v>
      </c>
      <c r="P35" s="4">
        <v>10000</v>
      </c>
      <c r="Q35" s="4">
        <v>10000</v>
      </c>
      <c r="R35" s="4">
        <v>10000</v>
      </c>
      <c r="S35" s="4">
        <v>10000</v>
      </c>
      <c r="T35" s="4">
        <v>10000</v>
      </c>
      <c r="U35" s="4">
        <v>10000</v>
      </c>
      <c r="V35" s="4">
        <v>10000</v>
      </c>
      <c r="W35" s="4">
        <v>10000</v>
      </c>
      <c r="X35" s="4">
        <v>10000</v>
      </c>
      <c r="Y35" s="4">
        <v>10000</v>
      </c>
      <c r="Z35" s="4">
        <v>10000</v>
      </c>
      <c r="AA35" s="4">
        <v>10000</v>
      </c>
      <c r="AB35" s="4">
        <v>10000</v>
      </c>
      <c r="AC35" s="4">
        <v>10000</v>
      </c>
      <c r="AD35" s="4">
        <v>10000</v>
      </c>
      <c r="AE35" s="4">
        <v>10000</v>
      </c>
      <c r="AF35" s="4">
        <v>10000</v>
      </c>
      <c r="AG35" s="4">
        <v>10000</v>
      </c>
      <c r="AH35" s="4">
        <v>10000</v>
      </c>
      <c r="AI35" s="4">
        <v>10000</v>
      </c>
      <c r="AJ35" s="4">
        <v>10000</v>
      </c>
      <c r="AK35" s="4">
        <v>10000</v>
      </c>
      <c r="AL35" s="4">
        <v>10000</v>
      </c>
      <c r="AM35" s="4">
        <v>10000</v>
      </c>
      <c r="AN35" s="4">
        <v>10000</v>
      </c>
      <c r="AO35" s="4">
        <v>10000</v>
      </c>
      <c r="AP35" s="4">
        <v>10000</v>
      </c>
      <c r="AQ35" s="4">
        <v>10000</v>
      </c>
      <c r="AR35" s="4">
        <v>10000</v>
      </c>
      <c r="AS35" s="4">
        <v>10000</v>
      </c>
      <c r="AT35" s="4">
        <v>10000</v>
      </c>
      <c r="AU35" s="4">
        <v>10000</v>
      </c>
      <c r="AV35" s="4">
        <v>10000</v>
      </c>
      <c r="AW35" s="4">
        <v>10000</v>
      </c>
      <c r="AX35" s="4">
        <v>10000</v>
      </c>
      <c r="AY35" s="4">
        <v>10000</v>
      </c>
      <c r="AZ35" s="4">
        <v>10000</v>
      </c>
      <c r="BA35" s="4">
        <v>10000</v>
      </c>
      <c r="BB35" s="4">
        <v>10000</v>
      </c>
      <c r="BC35" s="4">
        <v>10000</v>
      </c>
    </row>
    <row r="36" spans="1:55" ht="18.75" customHeight="1" x14ac:dyDescent="0.25">
      <c r="A36" s="5" t="s">
        <v>87</v>
      </c>
      <c r="B36" s="4">
        <v>10000</v>
      </c>
      <c r="C36" s="4">
        <v>10000</v>
      </c>
      <c r="D36" s="4">
        <v>10000</v>
      </c>
      <c r="E36" s="4">
        <v>10000</v>
      </c>
      <c r="F36" s="4">
        <v>10000</v>
      </c>
      <c r="G36" s="4">
        <v>10000</v>
      </c>
      <c r="H36" s="4">
        <v>10000</v>
      </c>
      <c r="I36" s="4">
        <v>10000</v>
      </c>
      <c r="J36" s="4">
        <v>10000</v>
      </c>
      <c r="K36" s="4">
        <v>10000</v>
      </c>
      <c r="L36" s="4">
        <v>10000</v>
      </c>
      <c r="M36" s="4">
        <v>10000</v>
      </c>
      <c r="N36" s="4">
        <v>10000</v>
      </c>
      <c r="O36" s="4">
        <v>10000</v>
      </c>
      <c r="P36" s="4">
        <v>10000</v>
      </c>
      <c r="Q36" s="4">
        <v>10000</v>
      </c>
      <c r="R36" s="4">
        <v>10000</v>
      </c>
      <c r="S36" s="4">
        <v>10000</v>
      </c>
      <c r="T36" s="4">
        <v>10000</v>
      </c>
      <c r="U36" s="4">
        <v>10000</v>
      </c>
      <c r="V36" s="4">
        <v>10000</v>
      </c>
      <c r="W36" s="4">
        <v>10000</v>
      </c>
      <c r="X36" s="4">
        <v>10000</v>
      </c>
      <c r="Y36" s="4">
        <v>10000</v>
      </c>
      <c r="Z36" s="4">
        <v>10000</v>
      </c>
      <c r="AA36" s="4">
        <v>10000</v>
      </c>
      <c r="AB36" s="4">
        <v>10000</v>
      </c>
      <c r="AC36" s="4">
        <v>10000</v>
      </c>
      <c r="AD36" s="4">
        <v>10000</v>
      </c>
      <c r="AE36" s="4">
        <v>10000</v>
      </c>
      <c r="AF36" s="4">
        <v>10000</v>
      </c>
      <c r="AG36" s="4">
        <v>10000</v>
      </c>
      <c r="AH36" s="4">
        <v>10000</v>
      </c>
      <c r="AI36" s="4">
        <v>10000</v>
      </c>
      <c r="AJ36" s="4">
        <v>10000</v>
      </c>
      <c r="AK36" s="4">
        <v>10000</v>
      </c>
      <c r="AL36" s="4">
        <v>10000</v>
      </c>
      <c r="AM36" s="4">
        <v>10000</v>
      </c>
      <c r="AN36" s="4">
        <v>10000</v>
      </c>
      <c r="AO36" s="4">
        <v>10000</v>
      </c>
      <c r="AP36" s="4">
        <v>10000</v>
      </c>
      <c r="AQ36" s="4">
        <v>10000</v>
      </c>
      <c r="AR36" s="4">
        <v>10000</v>
      </c>
      <c r="AS36" s="4">
        <v>10000</v>
      </c>
      <c r="AT36" s="4">
        <v>10000</v>
      </c>
      <c r="AU36" s="4">
        <v>10000</v>
      </c>
      <c r="AV36" s="4">
        <v>10000</v>
      </c>
      <c r="AW36" s="4">
        <v>10000</v>
      </c>
      <c r="AX36" s="4">
        <v>10000</v>
      </c>
      <c r="AY36" s="4">
        <v>10000</v>
      </c>
      <c r="AZ36" s="4">
        <v>10000</v>
      </c>
      <c r="BA36" s="4">
        <v>10000</v>
      </c>
      <c r="BB36" s="4">
        <v>10000</v>
      </c>
      <c r="BC36" s="4">
        <v>10000</v>
      </c>
    </row>
    <row r="37" spans="1:55" ht="18.75" customHeight="1" x14ac:dyDescent="0.25">
      <c r="A37" s="5" t="s">
        <v>88</v>
      </c>
      <c r="B37" s="4">
        <v>10000</v>
      </c>
      <c r="C37" s="4">
        <v>10000</v>
      </c>
      <c r="D37" s="4">
        <v>10000</v>
      </c>
      <c r="E37" s="4">
        <v>10000</v>
      </c>
      <c r="F37" s="4">
        <v>10000</v>
      </c>
      <c r="G37" s="4">
        <v>10000</v>
      </c>
      <c r="H37" s="4">
        <v>10000</v>
      </c>
      <c r="I37" s="4">
        <v>10000</v>
      </c>
      <c r="J37" s="4">
        <v>10000</v>
      </c>
      <c r="K37" s="4">
        <v>10000</v>
      </c>
      <c r="L37" s="4">
        <v>10000</v>
      </c>
      <c r="M37" s="4">
        <v>10000</v>
      </c>
      <c r="N37" s="4">
        <v>10000</v>
      </c>
      <c r="O37" s="4">
        <v>10000</v>
      </c>
      <c r="P37" s="4">
        <v>10000</v>
      </c>
      <c r="Q37" s="4">
        <v>10000</v>
      </c>
      <c r="R37" s="4">
        <v>10000</v>
      </c>
      <c r="S37" s="4">
        <v>10000</v>
      </c>
      <c r="T37" s="4">
        <v>10000</v>
      </c>
      <c r="U37" s="4">
        <v>10000</v>
      </c>
      <c r="V37" s="4">
        <v>10000</v>
      </c>
      <c r="W37" s="4">
        <v>10000</v>
      </c>
      <c r="X37" s="4">
        <v>10000</v>
      </c>
      <c r="Y37" s="4">
        <v>10000</v>
      </c>
      <c r="Z37" s="4">
        <v>10000</v>
      </c>
      <c r="AA37" s="4">
        <v>10000</v>
      </c>
      <c r="AB37" s="4">
        <v>10000</v>
      </c>
      <c r="AC37" s="4">
        <v>10000</v>
      </c>
      <c r="AD37" s="4">
        <v>10000</v>
      </c>
      <c r="AE37" s="4">
        <v>10000</v>
      </c>
      <c r="AF37" s="4">
        <v>10000</v>
      </c>
      <c r="AG37" s="4">
        <v>10000</v>
      </c>
      <c r="AH37" s="4">
        <v>10000</v>
      </c>
      <c r="AI37" s="4">
        <v>10000</v>
      </c>
      <c r="AJ37" s="4">
        <v>10000</v>
      </c>
      <c r="AK37" s="4">
        <v>10000</v>
      </c>
      <c r="AL37" s="4">
        <v>10000</v>
      </c>
      <c r="AM37" s="4">
        <v>10000</v>
      </c>
      <c r="AN37" s="4">
        <v>10000</v>
      </c>
      <c r="AO37" s="4">
        <v>10000</v>
      </c>
      <c r="AP37" s="4">
        <v>10000</v>
      </c>
      <c r="AQ37" s="4">
        <v>10000</v>
      </c>
      <c r="AR37" s="4">
        <v>10000</v>
      </c>
      <c r="AS37" s="4">
        <v>10000</v>
      </c>
      <c r="AT37" s="4">
        <v>10000</v>
      </c>
      <c r="AU37" s="4">
        <v>10000</v>
      </c>
      <c r="AV37" s="4">
        <v>10000</v>
      </c>
      <c r="AW37" s="4">
        <v>10000</v>
      </c>
      <c r="AX37" s="4">
        <v>10000</v>
      </c>
      <c r="AY37" s="4">
        <v>10000</v>
      </c>
      <c r="AZ37" s="4">
        <v>10000</v>
      </c>
      <c r="BA37" s="4">
        <v>10000</v>
      </c>
      <c r="BB37" s="4">
        <v>10000</v>
      </c>
      <c r="BC37" s="4">
        <v>10000</v>
      </c>
    </row>
    <row r="38" spans="1:55" ht="18.75" customHeight="1" x14ac:dyDescent="0.25">
      <c r="A38" s="5" t="s">
        <v>89</v>
      </c>
      <c r="B38" s="4">
        <v>10000</v>
      </c>
      <c r="C38" s="4">
        <v>10000</v>
      </c>
      <c r="D38" s="4">
        <v>10000</v>
      </c>
      <c r="E38" s="4">
        <v>10000</v>
      </c>
      <c r="F38" s="4">
        <v>10000</v>
      </c>
      <c r="G38" s="4">
        <v>10000</v>
      </c>
      <c r="H38" s="4">
        <v>10000</v>
      </c>
      <c r="I38" s="4">
        <v>10000</v>
      </c>
      <c r="J38" s="4">
        <v>10000</v>
      </c>
      <c r="K38" s="4">
        <v>10000</v>
      </c>
      <c r="L38" s="4">
        <v>10000</v>
      </c>
      <c r="M38" s="4">
        <v>10000</v>
      </c>
      <c r="N38" s="4">
        <v>10000</v>
      </c>
      <c r="O38" s="4">
        <v>10000</v>
      </c>
      <c r="P38" s="4">
        <v>10000</v>
      </c>
      <c r="Q38" s="4">
        <v>10000</v>
      </c>
      <c r="R38" s="4">
        <v>10000</v>
      </c>
      <c r="S38" s="4">
        <v>10000</v>
      </c>
      <c r="T38" s="4">
        <v>10000</v>
      </c>
      <c r="U38" s="4">
        <v>10000</v>
      </c>
      <c r="V38" s="4">
        <v>10000</v>
      </c>
      <c r="W38" s="4">
        <v>10000</v>
      </c>
      <c r="X38" s="4">
        <v>10000</v>
      </c>
      <c r="Y38" s="4">
        <v>10000</v>
      </c>
      <c r="Z38" s="4">
        <v>10000</v>
      </c>
      <c r="AA38" s="4">
        <v>10000</v>
      </c>
      <c r="AB38" s="4">
        <v>10000</v>
      </c>
      <c r="AC38" s="4">
        <v>10000</v>
      </c>
      <c r="AD38" s="4">
        <v>10000</v>
      </c>
      <c r="AE38" s="4">
        <v>10000</v>
      </c>
      <c r="AF38" s="4">
        <v>10000</v>
      </c>
      <c r="AG38" s="4">
        <v>10000</v>
      </c>
      <c r="AH38" s="4">
        <v>10000</v>
      </c>
      <c r="AI38" s="4">
        <v>10000</v>
      </c>
      <c r="AJ38" s="4">
        <v>10000</v>
      </c>
      <c r="AK38" s="4">
        <v>10000</v>
      </c>
      <c r="AL38" s="4">
        <v>10000</v>
      </c>
      <c r="AM38" s="4">
        <v>10000</v>
      </c>
      <c r="AN38" s="4">
        <v>10000</v>
      </c>
      <c r="AO38" s="4">
        <v>10000</v>
      </c>
      <c r="AP38" s="4">
        <v>10000</v>
      </c>
      <c r="AQ38" s="4">
        <v>10000</v>
      </c>
      <c r="AR38" s="4">
        <v>10000</v>
      </c>
      <c r="AS38" s="4">
        <v>10000</v>
      </c>
      <c r="AT38" s="4">
        <v>10000</v>
      </c>
      <c r="AU38" s="4">
        <v>10000</v>
      </c>
      <c r="AV38" s="4">
        <v>10000</v>
      </c>
      <c r="AW38" s="4">
        <v>10000</v>
      </c>
      <c r="AX38" s="4">
        <v>10000</v>
      </c>
      <c r="AY38" s="4">
        <v>10000</v>
      </c>
      <c r="AZ38" s="4">
        <v>10000</v>
      </c>
      <c r="BA38" s="4">
        <v>10000</v>
      </c>
      <c r="BB38" s="4">
        <v>10000</v>
      </c>
      <c r="BC38" s="4">
        <v>10000</v>
      </c>
    </row>
    <row r="39" spans="1:55" ht="18.75" customHeight="1" x14ac:dyDescent="0.25">
      <c r="A39" s="5" t="s">
        <v>90</v>
      </c>
      <c r="B39" s="4">
        <v>10000</v>
      </c>
      <c r="C39" s="4">
        <v>10000</v>
      </c>
      <c r="D39" s="4">
        <v>10000</v>
      </c>
      <c r="E39" s="4">
        <v>10000</v>
      </c>
      <c r="F39" s="4">
        <v>10000</v>
      </c>
      <c r="G39" s="4">
        <v>10000</v>
      </c>
      <c r="H39" s="4">
        <v>10000</v>
      </c>
      <c r="I39" s="4">
        <v>10000</v>
      </c>
      <c r="J39" s="4">
        <v>10000</v>
      </c>
      <c r="K39" s="4">
        <v>10000</v>
      </c>
      <c r="L39" s="4">
        <v>10000</v>
      </c>
      <c r="M39" s="4">
        <v>10000</v>
      </c>
      <c r="N39" s="4">
        <v>10000</v>
      </c>
      <c r="O39" s="4">
        <v>10000</v>
      </c>
      <c r="P39" s="4">
        <v>10000</v>
      </c>
      <c r="Q39" s="4">
        <v>10000</v>
      </c>
      <c r="R39" s="4">
        <v>10000</v>
      </c>
      <c r="S39" s="4">
        <v>10000</v>
      </c>
      <c r="T39" s="4">
        <v>10000</v>
      </c>
      <c r="U39" s="4">
        <v>10000</v>
      </c>
      <c r="V39" s="4">
        <v>10000</v>
      </c>
      <c r="W39" s="4">
        <v>10000</v>
      </c>
      <c r="X39" s="4">
        <v>10000</v>
      </c>
      <c r="Y39" s="4">
        <v>10000</v>
      </c>
      <c r="Z39" s="4">
        <v>10000</v>
      </c>
      <c r="AA39" s="4">
        <v>10000</v>
      </c>
      <c r="AB39" s="4">
        <v>10000</v>
      </c>
      <c r="AC39" s="4">
        <v>10000</v>
      </c>
      <c r="AD39" s="4">
        <v>10000</v>
      </c>
      <c r="AE39" s="4">
        <v>10000</v>
      </c>
      <c r="AF39" s="4">
        <v>10000</v>
      </c>
      <c r="AG39" s="4">
        <v>10000</v>
      </c>
      <c r="AH39" s="4">
        <v>10000</v>
      </c>
      <c r="AI39" s="4">
        <v>10000</v>
      </c>
      <c r="AJ39" s="4">
        <v>10000</v>
      </c>
      <c r="AK39" s="4">
        <v>10000</v>
      </c>
      <c r="AL39" s="4">
        <v>10000</v>
      </c>
      <c r="AM39" s="4">
        <v>10000</v>
      </c>
      <c r="AN39" s="4">
        <v>10000</v>
      </c>
      <c r="AO39" s="4">
        <v>10000</v>
      </c>
      <c r="AP39" s="4">
        <v>10000</v>
      </c>
      <c r="AQ39" s="4">
        <v>10000</v>
      </c>
      <c r="AR39" s="4">
        <v>10000</v>
      </c>
      <c r="AS39" s="4">
        <v>10000</v>
      </c>
      <c r="AT39" s="4">
        <v>10000</v>
      </c>
      <c r="AU39" s="4">
        <v>10000</v>
      </c>
      <c r="AV39" s="4">
        <v>10000</v>
      </c>
      <c r="AW39" s="4">
        <v>10000</v>
      </c>
      <c r="AX39" s="4">
        <v>10000</v>
      </c>
      <c r="AY39" s="4">
        <v>10000</v>
      </c>
      <c r="AZ39" s="4">
        <v>10000</v>
      </c>
      <c r="BA39" s="4">
        <v>10000</v>
      </c>
      <c r="BB39" s="4">
        <v>10000</v>
      </c>
      <c r="BC39" s="4">
        <v>10000</v>
      </c>
    </row>
    <row r="40" spans="1:55" ht="18.75" customHeight="1" x14ac:dyDescent="0.25">
      <c r="A40" s="5" t="s">
        <v>91</v>
      </c>
      <c r="B40" s="4">
        <v>10000</v>
      </c>
      <c r="C40" s="4">
        <v>10000</v>
      </c>
      <c r="D40" s="4">
        <v>10000</v>
      </c>
      <c r="E40" s="4">
        <v>10000</v>
      </c>
      <c r="F40" s="4">
        <v>10000</v>
      </c>
      <c r="G40" s="4">
        <v>10000</v>
      </c>
      <c r="H40" s="4">
        <v>10000</v>
      </c>
      <c r="I40" s="4">
        <v>10000</v>
      </c>
      <c r="J40" s="4">
        <v>10000</v>
      </c>
      <c r="K40" s="4">
        <v>10000</v>
      </c>
      <c r="L40" s="4">
        <v>10000</v>
      </c>
      <c r="M40" s="4">
        <v>10000</v>
      </c>
      <c r="N40" s="4">
        <v>10000</v>
      </c>
      <c r="O40" s="4">
        <v>10000</v>
      </c>
      <c r="P40" s="4">
        <v>10000</v>
      </c>
      <c r="Q40" s="4">
        <v>10000</v>
      </c>
      <c r="R40" s="4">
        <v>10000</v>
      </c>
      <c r="S40" s="4">
        <v>10000</v>
      </c>
      <c r="T40" s="4">
        <v>10000</v>
      </c>
      <c r="U40" s="4">
        <v>10000</v>
      </c>
      <c r="V40" s="4">
        <v>10000</v>
      </c>
      <c r="W40" s="4">
        <v>10000</v>
      </c>
      <c r="X40" s="4">
        <v>10000</v>
      </c>
      <c r="Y40" s="4">
        <v>10000</v>
      </c>
      <c r="Z40" s="4">
        <v>10000</v>
      </c>
      <c r="AA40" s="4">
        <v>10000</v>
      </c>
      <c r="AB40" s="4">
        <v>10000</v>
      </c>
      <c r="AC40" s="4">
        <v>10000</v>
      </c>
      <c r="AD40" s="4">
        <v>10000</v>
      </c>
      <c r="AE40" s="4">
        <v>10000</v>
      </c>
      <c r="AF40" s="4">
        <v>10000</v>
      </c>
      <c r="AG40" s="4">
        <v>10000</v>
      </c>
      <c r="AH40" s="4">
        <v>10000</v>
      </c>
      <c r="AI40" s="4">
        <v>10000</v>
      </c>
      <c r="AJ40" s="4">
        <v>10000</v>
      </c>
      <c r="AK40" s="4">
        <v>10000</v>
      </c>
      <c r="AL40" s="4">
        <v>10000</v>
      </c>
      <c r="AM40" s="4">
        <v>10000</v>
      </c>
      <c r="AN40" s="4">
        <v>10000</v>
      </c>
      <c r="AO40" s="4">
        <v>10000</v>
      </c>
      <c r="AP40" s="4">
        <v>10000</v>
      </c>
      <c r="AQ40" s="4">
        <v>10000</v>
      </c>
      <c r="AR40" s="4">
        <v>10000</v>
      </c>
      <c r="AS40" s="4">
        <v>10000</v>
      </c>
      <c r="AT40" s="4">
        <v>10000</v>
      </c>
      <c r="AU40" s="4">
        <v>10000</v>
      </c>
      <c r="AV40" s="4">
        <v>10000</v>
      </c>
      <c r="AW40" s="4">
        <v>10000</v>
      </c>
      <c r="AX40" s="4">
        <v>10000</v>
      </c>
      <c r="AY40" s="4">
        <v>10000</v>
      </c>
      <c r="AZ40" s="4">
        <v>10000</v>
      </c>
      <c r="BA40" s="4">
        <v>10000</v>
      </c>
      <c r="BB40" s="4">
        <v>10000</v>
      </c>
      <c r="BC40" s="4">
        <v>10000</v>
      </c>
    </row>
    <row r="41" spans="1:55" ht="18.75" customHeight="1" x14ac:dyDescent="0.25">
      <c r="A41" s="5" t="s">
        <v>92</v>
      </c>
      <c r="B41" s="4">
        <v>10000</v>
      </c>
      <c r="C41" s="4">
        <v>10000</v>
      </c>
      <c r="D41" s="4">
        <v>10000</v>
      </c>
      <c r="E41" s="4">
        <v>10000</v>
      </c>
      <c r="F41" s="4">
        <v>10000</v>
      </c>
      <c r="G41" s="4">
        <v>10000</v>
      </c>
      <c r="H41" s="4">
        <v>10000</v>
      </c>
      <c r="I41" s="4">
        <v>10000</v>
      </c>
      <c r="J41" s="4">
        <v>10000</v>
      </c>
      <c r="K41" s="4">
        <v>10000</v>
      </c>
      <c r="L41" s="4">
        <v>10000</v>
      </c>
      <c r="M41" s="4">
        <v>10000</v>
      </c>
      <c r="N41" s="4">
        <v>10000</v>
      </c>
      <c r="O41" s="4">
        <v>10000</v>
      </c>
      <c r="P41" s="4">
        <v>10000</v>
      </c>
      <c r="Q41" s="4">
        <v>10000</v>
      </c>
      <c r="R41" s="4">
        <v>10000</v>
      </c>
      <c r="S41" s="4">
        <v>10000</v>
      </c>
      <c r="T41" s="4">
        <v>10000</v>
      </c>
      <c r="U41" s="4">
        <v>10000</v>
      </c>
      <c r="V41" s="4">
        <v>10000</v>
      </c>
      <c r="W41" s="4">
        <v>10000</v>
      </c>
      <c r="X41" s="4">
        <v>10000</v>
      </c>
      <c r="Y41" s="4">
        <v>10000</v>
      </c>
      <c r="Z41" s="4">
        <v>10000</v>
      </c>
      <c r="AA41" s="4">
        <v>10000</v>
      </c>
      <c r="AB41" s="4">
        <v>10000</v>
      </c>
      <c r="AC41" s="4">
        <v>10000</v>
      </c>
      <c r="AD41" s="4">
        <v>10000</v>
      </c>
      <c r="AE41" s="4">
        <v>10000</v>
      </c>
      <c r="AF41" s="4">
        <v>10000</v>
      </c>
      <c r="AG41" s="4">
        <v>10000</v>
      </c>
      <c r="AH41" s="4">
        <v>10000</v>
      </c>
      <c r="AI41" s="4">
        <v>10000</v>
      </c>
      <c r="AJ41" s="4">
        <v>10000</v>
      </c>
      <c r="AK41" s="4">
        <v>10000</v>
      </c>
      <c r="AL41" s="4">
        <v>10000</v>
      </c>
      <c r="AM41" s="4">
        <v>10000</v>
      </c>
      <c r="AN41" s="4">
        <v>10000</v>
      </c>
      <c r="AO41" s="4">
        <v>10000</v>
      </c>
      <c r="AP41" s="4">
        <v>10000</v>
      </c>
      <c r="AQ41" s="4">
        <v>10000</v>
      </c>
      <c r="AR41" s="4">
        <v>10000</v>
      </c>
      <c r="AS41" s="4">
        <v>10000</v>
      </c>
      <c r="AT41" s="4">
        <v>10000</v>
      </c>
      <c r="AU41" s="4">
        <v>10000</v>
      </c>
      <c r="AV41" s="4">
        <v>10000</v>
      </c>
      <c r="AW41" s="4">
        <v>10000</v>
      </c>
      <c r="AX41" s="4">
        <v>10000</v>
      </c>
      <c r="AY41" s="4">
        <v>10000</v>
      </c>
      <c r="AZ41" s="4">
        <v>10000</v>
      </c>
      <c r="BA41" s="4">
        <v>10000</v>
      </c>
      <c r="BB41" s="4">
        <v>10000</v>
      </c>
      <c r="BC41" s="4">
        <v>10000</v>
      </c>
    </row>
    <row r="42" spans="1:55" ht="18.75" customHeight="1" x14ac:dyDescent="0.25">
      <c r="A42" s="5" t="s">
        <v>93</v>
      </c>
      <c r="B42" s="4">
        <v>10000</v>
      </c>
      <c r="C42" s="4">
        <v>10000</v>
      </c>
      <c r="D42" s="4">
        <v>10000</v>
      </c>
      <c r="E42" s="4">
        <v>10000</v>
      </c>
      <c r="F42" s="4">
        <v>10000</v>
      </c>
      <c r="G42" s="4">
        <v>10000</v>
      </c>
      <c r="H42" s="4">
        <v>10000</v>
      </c>
      <c r="I42" s="4">
        <v>10000</v>
      </c>
      <c r="J42" s="4">
        <v>10000</v>
      </c>
      <c r="K42" s="4">
        <v>10000</v>
      </c>
      <c r="L42" s="4">
        <v>10000</v>
      </c>
      <c r="M42" s="4">
        <v>10000</v>
      </c>
      <c r="N42" s="4">
        <v>10000</v>
      </c>
      <c r="O42" s="4">
        <v>10000</v>
      </c>
      <c r="P42" s="4">
        <v>10000</v>
      </c>
      <c r="Q42" s="4">
        <v>10000</v>
      </c>
      <c r="R42" s="4">
        <v>10000</v>
      </c>
      <c r="S42" s="4">
        <v>10000</v>
      </c>
      <c r="T42" s="4">
        <v>10000</v>
      </c>
      <c r="U42" s="4">
        <v>10000</v>
      </c>
      <c r="V42" s="4">
        <v>10000</v>
      </c>
      <c r="W42" s="4">
        <v>10000</v>
      </c>
      <c r="X42" s="4">
        <v>10000</v>
      </c>
      <c r="Y42" s="4">
        <v>10000</v>
      </c>
      <c r="Z42" s="4">
        <v>10000</v>
      </c>
      <c r="AA42" s="4">
        <v>10000</v>
      </c>
      <c r="AB42" s="4">
        <v>10000</v>
      </c>
      <c r="AC42" s="4">
        <v>10000</v>
      </c>
      <c r="AD42" s="4">
        <v>10000</v>
      </c>
      <c r="AE42" s="4">
        <v>10000</v>
      </c>
      <c r="AF42" s="4">
        <v>10000</v>
      </c>
      <c r="AG42" s="4">
        <v>10000</v>
      </c>
      <c r="AH42" s="4">
        <v>10000</v>
      </c>
      <c r="AI42" s="4">
        <v>10000</v>
      </c>
      <c r="AJ42" s="4">
        <v>10000</v>
      </c>
      <c r="AK42" s="4">
        <v>10000</v>
      </c>
      <c r="AL42" s="4">
        <v>10000</v>
      </c>
      <c r="AM42" s="4">
        <v>10000</v>
      </c>
      <c r="AN42" s="4">
        <v>10000</v>
      </c>
      <c r="AO42" s="4">
        <v>10000</v>
      </c>
      <c r="AP42" s="4">
        <v>10000</v>
      </c>
      <c r="AQ42" s="4">
        <v>10000</v>
      </c>
      <c r="AR42" s="4">
        <v>10000</v>
      </c>
      <c r="AS42" s="4">
        <v>10000</v>
      </c>
      <c r="AT42" s="4">
        <v>10000</v>
      </c>
      <c r="AU42" s="4">
        <v>10000</v>
      </c>
      <c r="AV42" s="4">
        <v>10000</v>
      </c>
      <c r="AW42" s="4">
        <v>10000</v>
      </c>
      <c r="AX42" s="4">
        <v>10000</v>
      </c>
      <c r="AY42" s="4">
        <v>10000</v>
      </c>
      <c r="AZ42" s="4">
        <v>10000</v>
      </c>
      <c r="BA42" s="4">
        <v>10000</v>
      </c>
      <c r="BB42" s="4">
        <v>10000</v>
      </c>
      <c r="BC42" s="4">
        <v>10000</v>
      </c>
    </row>
    <row r="43" spans="1:55" ht="18.75" customHeight="1" x14ac:dyDescent="0.25">
      <c r="A43" s="5" t="s">
        <v>94</v>
      </c>
      <c r="B43" s="4">
        <v>10000</v>
      </c>
      <c r="C43" s="4">
        <v>10000</v>
      </c>
      <c r="D43" s="4">
        <v>10000</v>
      </c>
      <c r="E43" s="4">
        <v>10000</v>
      </c>
      <c r="F43" s="4">
        <v>10000</v>
      </c>
      <c r="G43" s="4">
        <v>10000</v>
      </c>
      <c r="H43" s="4">
        <v>10000</v>
      </c>
      <c r="I43" s="4">
        <v>10000</v>
      </c>
      <c r="J43" s="4">
        <v>10000</v>
      </c>
      <c r="K43" s="4">
        <v>10000</v>
      </c>
      <c r="L43" s="4">
        <v>10000</v>
      </c>
      <c r="M43" s="4">
        <v>10000</v>
      </c>
      <c r="N43" s="4">
        <v>10000</v>
      </c>
      <c r="O43" s="4">
        <v>10000</v>
      </c>
      <c r="P43" s="4">
        <v>10000</v>
      </c>
      <c r="Q43" s="4">
        <v>10000</v>
      </c>
      <c r="R43" s="4">
        <v>10000</v>
      </c>
      <c r="S43" s="4">
        <v>10000</v>
      </c>
      <c r="T43" s="4">
        <v>10000</v>
      </c>
      <c r="U43" s="4">
        <v>10000</v>
      </c>
      <c r="V43" s="4">
        <v>10000</v>
      </c>
      <c r="W43" s="4">
        <v>10000</v>
      </c>
      <c r="X43" s="4">
        <v>10000</v>
      </c>
      <c r="Y43" s="4">
        <v>10000</v>
      </c>
      <c r="Z43" s="4">
        <v>10000</v>
      </c>
      <c r="AA43" s="4">
        <v>10000</v>
      </c>
      <c r="AB43" s="4">
        <v>10000</v>
      </c>
      <c r="AC43" s="4">
        <v>10000</v>
      </c>
      <c r="AD43" s="4">
        <v>10000</v>
      </c>
      <c r="AE43" s="4">
        <v>10000</v>
      </c>
      <c r="AF43" s="4">
        <v>10000</v>
      </c>
      <c r="AG43" s="4">
        <v>10000</v>
      </c>
      <c r="AH43" s="4">
        <v>10000</v>
      </c>
      <c r="AI43" s="4">
        <v>10000</v>
      </c>
      <c r="AJ43" s="4">
        <v>10000</v>
      </c>
      <c r="AK43" s="4">
        <v>10000</v>
      </c>
      <c r="AL43" s="4">
        <v>10000</v>
      </c>
      <c r="AM43" s="4">
        <v>10000</v>
      </c>
      <c r="AN43" s="4">
        <v>10000</v>
      </c>
      <c r="AO43" s="4">
        <v>10000</v>
      </c>
      <c r="AP43" s="4">
        <v>10000</v>
      </c>
      <c r="AQ43" s="4">
        <v>10000</v>
      </c>
      <c r="AR43" s="4">
        <v>10000</v>
      </c>
      <c r="AS43" s="4">
        <v>10000</v>
      </c>
      <c r="AT43" s="4">
        <v>10000</v>
      </c>
      <c r="AU43" s="4">
        <v>10000</v>
      </c>
      <c r="AV43" s="4">
        <v>10000</v>
      </c>
      <c r="AW43" s="4">
        <v>10000</v>
      </c>
      <c r="AX43" s="4">
        <v>10000</v>
      </c>
      <c r="AY43" s="4">
        <v>10000</v>
      </c>
      <c r="AZ43" s="4">
        <v>10000</v>
      </c>
      <c r="BA43" s="4">
        <v>10000</v>
      </c>
      <c r="BB43" s="4">
        <v>10000</v>
      </c>
      <c r="BC43" s="4">
        <v>10000</v>
      </c>
    </row>
    <row r="44" spans="1:55" ht="18.75" customHeight="1" x14ac:dyDescent="0.25">
      <c r="A44" s="5" t="s">
        <v>95</v>
      </c>
      <c r="B44" s="4">
        <v>10000</v>
      </c>
      <c r="C44" s="4">
        <v>10000</v>
      </c>
      <c r="D44" s="4">
        <v>10000</v>
      </c>
      <c r="E44" s="4">
        <v>10000</v>
      </c>
      <c r="F44" s="4">
        <v>10000</v>
      </c>
      <c r="G44" s="4">
        <v>10000</v>
      </c>
      <c r="H44" s="4">
        <v>10000</v>
      </c>
      <c r="I44" s="4">
        <v>10000</v>
      </c>
      <c r="J44" s="4">
        <v>10000</v>
      </c>
      <c r="K44" s="4">
        <v>10000</v>
      </c>
      <c r="L44" s="4">
        <v>10000</v>
      </c>
      <c r="M44" s="4">
        <v>10000</v>
      </c>
      <c r="N44" s="4">
        <v>10000</v>
      </c>
      <c r="O44" s="4">
        <v>10000</v>
      </c>
      <c r="P44" s="4">
        <v>10000</v>
      </c>
      <c r="Q44" s="4">
        <v>10000</v>
      </c>
      <c r="R44" s="4">
        <v>10000</v>
      </c>
      <c r="S44" s="4">
        <v>10000</v>
      </c>
      <c r="T44" s="4">
        <v>10000</v>
      </c>
      <c r="U44" s="4">
        <v>10000</v>
      </c>
      <c r="V44" s="4">
        <v>10000</v>
      </c>
      <c r="W44" s="4">
        <v>10000</v>
      </c>
      <c r="X44" s="4">
        <v>10000</v>
      </c>
      <c r="Y44" s="4">
        <v>10000</v>
      </c>
      <c r="Z44" s="4">
        <v>10000</v>
      </c>
      <c r="AA44" s="4">
        <v>10000</v>
      </c>
      <c r="AB44" s="4">
        <v>10000</v>
      </c>
      <c r="AC44" s="4">
        <v>10000</v>
      </c>
      <c r="AD44" s="4">
        <v>10000</v>
      </c>
      <c r="AE44" s="4">
        <v>10000</v>
      </c>
      <c r="AF44" s="4">
        <v>10000</v>
      </c>
      <c r="AG44" s="4">
        <v>10000</v>
      </c>
      <c r="AH44" s="4">
        <v>10000</v>
      </c>
      <c r="AI44" s="4">
        <v>10000</v>
      </c>
      <c r="AJ44" s="4">
        <v>10000</v>
      </c>
      <c r="AK44" s="4">
        <v>10000</v>
      </c>
      <c r="AL44" s="4">
        <v>10000</v>
      </c>
      <c r="AM44" s="4">
        <v>10000</v>
      </c>
      <c r="AN44" s="4">
        <v>10000</v>
      </c>
      <c r="AO44" s="4">
        <v>10000</v>
      </c>
      <c r="AP44" s="4">
        <v>10000</v>
      </c>
      <c r="AQ44" s="4">
        <v>10000</v>
      </c>
      <c r="AR44" s="4">
        <v>10000</v>
      </c>
      <c r="AS44" s="4">
        <v>10000</v>
      </c>
      <c r="AT44" s="4">
        <v>10000</v>
      </c>
      <c r="AU44" s="4">
        <v>10000</v>
      </c>
      <c r="AV44" s="4">
        <v>10000</v>
      </c>
      <c r="AW44" s="4">
        <v>10000</v>
      </c>
      <c r="AX44" s="4">
        <v>10000</v>
      </c>
      <c r="AY44" s="4">
        <v>10000</v>
      </c>
      <c r="AZ44" s="4">
        <v>10000</v>
      </c>
      <c r="BA44" s="4">
        <v>10000</v>
      </c>
      <c r="BB44" s="4">
        <v>10000</v>
      </c>
      <c r="BC44" s="4">
        <v>10000</v>
      </c>
    </row>
    <row r="45" spans="1:55" ht="18.75" customHeight="1" x14ac:dyDescent="0.25">
      <c r="A45" s="5" t="s">
        <v>96</v>
      </c>
      <c r="B45" s="4">
        <v>10000</v>
      </c>
      <c r="C45" s="4">
        <v>10000</v>
      </c>
      <c r="D45" s="4">
        <v>10000</v>
      </c>
      <c r="E45" s="4">
        <v>10000</v>
      </c>
      <c r="F45" s="4">
        <v>10000</v>
      </c>
      <c r="G45" s="4">
        <v>10000</v>
      </c>
      <c r="H45" s="4">
        <v>10000</v>
      </c>
      <c r="I45" s="4">
        <v>10000</v>
      </c>
      <c r="J45" s="4">
        <v>10000</v>
      </c>
      <c r="K45" s="4">
        <v>10000</v>
      </c>
      <c r="L45" s="4">
        <v>10000</v>
      </c>
      <c r="M45" s="4">
        <v>10000</v>
      </c>
      <c r="N45" s="4">
        <v>10000</v>
      </c>
      <c r="O45" s="4">
        <v>10000</v>
      </c>
      <c r="P45" s="4">
        <v>10000</v>
      </c>
      <c r="Q45" s="4">
        <v>10000</v>
      </c>
      <c r="R45" s="4">
        <v>10000</v>
      </c>
      <c r="S45" s="4">
        <v>10000</v>
      </c>
      <c r="T45" s="4">
        <v>10000</v>
      </c>
      <c r="U45" s="4">
        <v>10000</v>
      </c>
      <c r="V45" s="4">
        <v>10000</v>
      </c>
      <c r="W45" s="4">
        <v>10000</v>
      </c>
      <c r="X45" s="4">
        <v>10000</v>
      </c>
      <c r="Y45" s="4">
        <v>10000</v>
      </c>
      <c r="Z45" s="4">
        <v>10000</v>
      </c>
      <c r="AA45" s="4">
        <v>10000</v>
      </c>
      <c r="AB45" s="4">
        <v>10000</v>
      </c>
      <c r="AC45" s="4">
        <v>10000</v>
      </c>
      <c r="AD45" s="4">
        <v>10000</v>
      </c>
      <c r="AE45" s="4">
        <v>10000</v>
      </c>
      <c r="AF45" s="4">
        <v>10000</v>
      </c>
      <c r="AG45" s="4">
        <v>10000</v>
      </c>
      <c r="AH45" s="4">
        <v>10000</v>
      </c>
      <c r="AI45" s="4">
        <v>10000</v>
      </c>
      <c r="AJ45" s="4">
        <v>10000</v>
      </c>
      <c r="AK45" s="4">
        <v>10000</v>
      </c>
      <c r="AL45" s="4">
        <v>10000</v>
      </c>
      <c r="AM45" s="4">
        <v>10000</v>
      </c>
      <c r="AN45" s="4">
        <v>10000</v>
      </c>
      <c r="AO45" s="4">
        <v>10000</v>
      </c>
      <c r="AP45" s="4">
        <v>10000</v>
      </c>
      <c r="AQ45" s="4">
        <v>10000</v>
      </c>
      <c r="AR45" s="4">
        <v>10000</v>
      </c>
      <c r="AS45" s="4">
        <v>10000</v>
      </c>
      <c r="AT45" s="4">
        <v>10000</v>
      </c>
      <c r="AU45" s="4">
        <v>10000</v>
      </c>
      <c r="AV45" s="4">
        <v>10000</v>
      </c>
      <c r="AW45" s="4">
        <v>10000</v>
      </c>
      <c r="AX45" s="4">
        <v>10000</v>
      </c>
      <c r="AY45" s="4">
        <v>10000</v>
      </c>
      <c r="AZ45" s="4">
        <v>10000</v>
      </c>
      <c r="BA45" s="4">
        <v>10000</v>
      </c>
      <c r="BB45" s="4">
        <v>10000</v>
      </c>
      <c r="BC45" s="4">
        <v>10000</v>
      </c>
    </row>
    <row r="46" spans="1:55" ht="18.75" customHeight="1" thickBot="1" x14ac:dyDescent="0.3">
      <c r="A46" s="6" t="s">
        <v>97</v>
      </c>
      <c r="B46" s="4">
        <v>10000</v>
      </c>
      <c r="C46" s="4">
        <v>10000</v>
      </c>
      <c r="D46" s="4">
        <v>10000</v>
      </c>
      <c r="E46" s="4">
        <v>10000</v>
      </c>
      <c r="F46" s="4">
        <v>10000</v>
      </c>
      <c r="G46" s="4">
        <v>10000</v>
      </c>
      <c r="H46" s="4">
        <v>10000</v>
      </c>
      <c r="I46" s="4">
        <v>10000</v>
      </c>
      <c r="J46" s="4">
        <v>10000</v>
      </c>
      <c r="K46" s="4">
        <v>10000</v>
      </c>
      <c r="L46" s="4">
        <v>10000</v>
      </c>
      <c r="M46" s="4">
        <v>10000</v>
      </c>
      <c r="N46" s="4">
        <v>10000</v>
      </c>
      <c r="O46" s="4">
        <v>10000</v>
      </c>
      <c r="P46" s="4">
        <v>10000</v>
      </c>
      <c r="Q46" s="4">
        <v>10000</v>
      </c>
      <c r="R46" s="4">
        <v>10000</v>
      </c>
      <c r="S46" s="4">
        <v>10000</v>
      </c>
      <c r="T46" s="4">
        <v>10000</v>
      </c>
      <c r="U46" s="4">
        <v>10000</v>
      </c>
      <c r="V46" s="4">
        <v>10000</v>
      </c>
      <c r="W46" s="4">
        <v>10000</v>
      </c>
      <c r="X46" s="4">
        <v>10000</v>
      </c>
      <c r="Y46" s="4">
        <v>10000</v>
      </c>
      <c r="Z46" s="4">
        <v>10000</v>
      </c>
      <c r="AA46" s="4">
        <v>10000</v>
      </c>
      <c r="AB46" s="4">
        <v>10000</v>
      </c>
      <c r="AC46" s="4">
        <v>10000</v>
      </c>
      <c r="AD46" s="4">
        <v>10000</v>
      </c>
      <c r="AE46" s="4">
        <v>10000</v>
      </c>
      <c r="AF46" s="4">
        <v>10000</v>
      </c>
      <c r="AG46" s="4">
        <v>10000</v>
      </c>
      <c r="AH46" s="4">
        <v>10000</v>
      </c>
      <c r="AI46" s="4">
        <v>10000</v>
      </c>
      <c r="AJ46" s="4">
        <v>10000</v>
      </c>
      <c r="AK46" s="4">
        <v>10000</v>
      </c>
      <c r="AL46" s="4">
        <v>10000</v>
      </c>
      <c r="AM46" s="4">
        <v>10000</v>
      </c>
      <c r="AN46" s="4">
        <v>10000</v>
      </c>
      <c r="AO46" s="4">
        <v>10000</v>
      </c>
      <c r="AP46" s="4">
        <v>10000</v>
      </c>
      <c r="AQ46" s="4">
        <v>10000</v>
      </c>
      <c r="AR46" s="4">
        <v>10000</v>
      </c>
      <c r="AS46" s="4">
        <v>10000</v>
      </c>
      <c r="AT46" s="4">
        <v>10000</v>
      </c>
      <c r="AU46" s="4">
        <v>10000</v>
      </c>
      <c r="AV46" s="4">
        <v>10000</v>
      </c>
      <c r="AW46" s="4">
        <v>10000</v>
      </c>
      <c r="AX46" s="4">
        <v>10000</v>
      </c>
      <c r="AY46" s="4">
        <v>10000</v>
      </c>
      <c r="AZ46" s="4">
        <v>10000</v>
      </c>
      <c r="BA46" s="4">
        <v>10000</v>
      </c>
      <c r="BB46" s="4">
        <v>10000</v>
      </c>
      <c r="BC46" s="4">
        <v>10000</v>
      </c>
    </row>
  </sheetData>
  <conditionalFormatting sqref="B2:BC46">
    <cfRule type="cellIs" dxfId="2" priority="1" operator="lessThan">
      <formula>5000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3199F-BC9E-4EC4-9D77-4E0A35A5A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Servicios</vt:lpstr>
      <vt:lpstr>Trabajadores</vt:lpstr>
      <vt:lpstr>Consultorios</vt:lpstr>
      <vt:lpstr>Presencia_sede</vt:lpstr>
      <vt:lpstr>Habilidad</vt:lpstr>
      <vt:lpstr>FORM</vt:lpstr>
      <vt:lpstr>AD_tis</vt:lpstr>
      <vt:lpstr>DEMANDA</vt:lpstr>
      <vt:lpstr>D_si(2)</vt:lpstr>
      <vt:lpstr>D_si</vt:lpstr>
      <vt:lpstr>K_si</vt:lpstr>
      <vt:lpstr>Costo</vt:lpstr>
      <vt:lpstr>CON_HAB</vt:lpstr>
      <vt:lpstr>TD_tdj1</vt:lpstr>
      <vt:lpstr>TD_tdj2</vt:lpstr>
      <vt:lpstr>TJ_tdj1</vt:lpstr>
      <vt:lpstr>TJ_tdj2</vt:lpstr>
      <vt:lpstr>AD_tis1</vt:lpstr>
      <vt:lpstr>AD_tis2</vt:lpstr>
      <vt:lpstr>AD_tis3</vt:lpstr>
      <vt:lpstr>AD_tis4</vt:lpstr>
      <vt:lpstr>AD_tis5</vt:lpstr>
      <vt:lpstr>C_ics1</vt:lpstr>
      <vt:lpstr>C_ics2</vt:lpstr>
      <vt:lpstr>C_ics3</vt:lpstr>
      <vt:lpstr>C_ics4</vt:lpstr>
      <vt:lpstr>C_ics5</vt:lpstr>
      <vt:lpstr>TA_ti</vt:lpstr>
      <vt:lpstr>TA_tis1</vt:lpstr>
      <vt:lpstr>TA_tis2</vt:lpstr>
      <vt:lpstr>TA_tis3</vt:lpstr>
      <vt:lpstr>TA_tis4</vt:lpstr>
      <vt:lpstr>TA_tis5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 Mogollón</cp:lastModifiedBy>
  <dcterms:created xsi:type="dcterms:W3CDTF">2025-11-05T20:15:52Z</dcterms:created>
  <dcterms:modified xsi:type="dcterms:W3CDTF">2025-12-10T06:48:03Z</dcterms:modified>
</cp:coreProperties>
</file>